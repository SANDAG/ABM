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4837BA0-65D6-932C-5D65-3B800EBDC72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1\common\input\template\validation\2016\"/>
    </mc:Choice>
  </mc:AlternateContent>
  <bookViews>
    <workbookView xWindow="-120" yWindow="-120" windowWidth="29040" windowHeight="17640" tabRatio="732" activeTab="1"/>
  </bookViews>
  <sheets>
    <sheet name="readme" sheetId="3" r:id="rId1"/>
    <sheet name="Boardings_by_Hub" sheetId="14" r:id="rId2"/>
  </sheets>
  <externalReferences>
    <externalReference r:id="rId3"/>
    <externalReference r:id="rId4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rh" localSheetId="0" hidden="1">readme!$E$1:$G$30</definedName>
    <definedName name="sql2014a8.sandag.org_ws_Transit2015table" localSheetId="0" hidden="1">readme!$I$1:$K$30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4" l="1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C31" i="14" l="1"/>
  <c r="G30" i="3" l="1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C2" i="3"/>
  <c r="I3" i="3" l="1"/>
  <c r="J3" i="3"/>
  <c r="K3" i="3"/>
  <c r="I4" i="3"/>
  <c r="J4" i="3"/>
  <c r="K4" i="3"/>
  <c r="I5" i="3"/>
  <c r="J5" i="3"/>
  <c r="K5" i="3"/>
  <c r="I6" i="3"/>
  <c r="J6" i="3"/>
  <c r="K6" i="3"/>
  <c r="I7" i="3"/>
  <c r="J7" i="3"/>
  <c r="K7" i="3"/>
  <c r="I8" i="3"/>
  <c r="J8" i="3"/>
  <c r="K8" i="3"/>
  <c r="I9" i="3"/>
  <c r="J9" i="3"/>
  <c r="K9" i="3"/>
  <c r="I10" i="3"/>
  <c r="J10" i="3"/>
  <c r="K10" i="3"/>
  <c r="I11" i="3"/>
  <c r="J11" i="3"/>
  <c r="K11" i="3"/>
  <c r="I12" i="3"/>
  <c r="J12" i="3"/>
  <c r="K12" i="3"/>
  <c r="I13" i="3"/>
  <c r="J13" i="3"/>
  <c r="K13" i="3"/>
  <c r="I14" i="3"/>
  <c r="J14" i="3"/>
  <c r="K14" i="3"/>
  <c r="I15" i="3"/>
  <c r="J15" i="3"/>
  <c r="K15" i="3"/>
  <c r="I16" i="3"/>
  <c r="J16" i="3"/>
  <c r="K16" i="3"/>
  <c r="I17" i="3"/>
  <c r="J17" i="3"/>
  <c r="K17" i="3"/>
  <c r="I18" i="3"/>
  <c r="J18" i="3"/>
  <c r="K18" i="3"/>
  <c r="I19" i="3"/>
  <c r="J19" i="3"/>
  <c r="K19" i="3"/>
  <c r="I20" i="3"/>
  <c r="J20" i="3"/>
  <c r="K20" i="3"/>
  <c r="I21" i="3"/>
  <c r="J21" i="3"/>
  <c r="K21" i="3"/>
  <c r="I22" i="3"/>
  <c r="J22" i="3"/>
  <c r="K22" i="3"/>
  <c r="I23" i="3"/>
  <c r="J23" i="3"/>
  <c r="K23" i="3"/>
  <c r="I24" i="3"/>
  <c r="J24" i="3"/>
  <c r="K24" i="3"/>
  <c r="I25" i="3"/>
  <c r="J25" i="3"/>
  <c r="K25" i="3"/>
  <c r="I26" i="3"/>
  <c r="J26" i="3"/>
  <c r="K26" i="3"/>
  <c r="I27" i="3"/>
  <c r="J27" i="3"/>
  <c r="K27" i="3"/>
  <c r="I28" i="3"/>
  <c r="J28" i="3"/>
  <c r="K28" i="3"/>
  <c r="I29" i="3"/>
  <c r="J29" i="3"/>
  <c r="K29" i="3"/>
  <c r="I30" i="3"/>
  <c r="J30" i="3"/>
  <c r="K30" i="3"/>
  <c r="K2" i="3"/>
  <c r="J2" i="3"/>
  <c r="I2" i="3"/>
  <c r="Z1" i="14" l="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2" i="14"/>
  <c r="D31" i="14"/>
  <c r="E31" i="14" l="1"/>
  <c r="Y2" i="14"/>
  <c r="Z2" i="14" s="1"/>
</calcChain>
</file>

<file path=xl/connections.xml><?xml version="1.0" encoding="utf-8"?>
<connections xmlns="http://schemas.openxmlformats.org/spreadsheetml/2006/main">
  <connection id="1" keepAlive="1" name="abm2_trh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_Hub]('256')"/>
  </connection>
  <connection id="2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Hub2016]('873')"/>
  </connection>
</connections>
</file>

<file path=xl/sharedStrings.xml><?xml version="1.0" encoding="utf-8"?>
<sst xmlns="http://schemas.openxmlformats.org/spreadsheetml/2006/main" count="51" uniqueCount="45">
  <si>
    <t>Steps to update the validation result:</t>
  </si>
  <si>
    <t>Input Scenario_id in cell $c$2</t>
  </si>
  <si>
    <t>All the rest will be updated automatically.</t>
  </si>
  <si>
    <t>scenario_id</t>
  </si>
  <si>
    <t>Hubid</t>
  </si>
  <si>
    <t>Hub</t>
  </si>
  <si>
    <t>12th/Imperial TC</t>
  </si>
  <si>
    <t>Grossmont Community College</t>
  </si>
  <si>
    <t>Old Town TC</t>
  </si>
  <si>
    <t>San Ysidro Trolley</t>
  </si>
  <si>
    <t>Smart Corner</t>
  </si>
  <si>
    <t>UCSD (Gillman Loop)</t>
  </si>
  <si>
    <t>El Cajon TC</t>
  </si>
  <si>
    <t>Palomar Trolley</t>
  </si>
  <si>
    <t>Euclid TC</t>
  </si>
  <si>
    <t>Escondido TC</t>
  </si>
  <si>
    <t>SDSU</t>
  </si>
  <si>
    <t>Fashion Valley</t>
  </si>
  <si>
    <t>Vista TC</t>
  </si>
  <si>
    <t>Oceanside TC</t>
  </si>
  <si>
    <t>Grossmont TC</t>
  </si>
  <si>
    <t>8th St Trolley</t>
  </si>
  <si>
    <t>Palomar Sprinter</t>
  </si>
  <si>
    <t>San Ysidro West</t>
  </si>
  <si>
    <t>UTC</t>
  </si>
  <si>
    <t>Otay Mesa Border</t>
  </si>
  <si>
    <t>SR15 @ University</t>
  </si>
  <si>
    <t>Southwestern College</t>
  </si>
  <si>
    <t>Barrio Logan Trolley</t>
  </si>
  <si>
    <t>SR15 @ El Cajon Blvd</t>
  </si>
  <si>
    <t>Sorrento Valley Coaster</t>
  </si>
  <si>
    <t>CSU San Marcos</t>
  </si>
  <si>
    <t>Sabre Springs</t>
  </si>
  <si>
    <t>Parkway Plaza</t>
  </si>
  <si>
    <t>Otay Ranch</t>
  </si>
  <si>
    <t>total_boardings</t>
  </si>
  <si>
    <t>Gap</t>
  </si>
  <si>
    <t>Fall 2016 Count</t>
  </si>
  <si>
    <t>total</t>
  </si>
  <si>
    <t>Wu's comments:</t>
  </si>
  <si>
    <t>SY West why 0? Transit lines in 2016 network?</t>
  </si>
  <si>
    <t>SDSU?</t>
  </si>
  <si>
    <t>12th/Imperial TC?</t>
  </si>
  <si>
    <t>A lot better than 13.3.2</t>
  </si>
  <si>
    <t>FY 2016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</si>
</sst>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0" fontId="0" fillId="0" borderId="0" xfId="0"/>
    <xf numFmtId="0" fontId="0" fillId="0" borderId="0" xfId="0" applyFont="1"/>
    <xf numFmtId="0" fontId="0" fillId="0" borderId="0" xfId="0" applyFill="1"/>
    <xf numFmtId="9" fontId="0" fillId="0" borderId="0" xfId="0" applyNumberFormat="1"/>
    <xf numFmtId="0" fontId="1" fillId="0" borderId="0" xfId="0" applyFont="1"/>
    <xf numFmtId="0" fontId="0" fillId="3" borderId="0" xfId="0" applyFill="1"/>
    <xf numFmtId="1" fontId="0" fillId="3" borderId="0" xfId="0" applyNumberFormat="1" applyFill="1"/>
    <xf numFmtId="9" fontId="0" fillId="3" borderId="0" xfId="0" applyNumberFormat="1" applyFill="1"/>
    <xf numFmtId="1" fontId="1" fillId="0" borderId="0" xfId="0" applyNumberFormat="1" applyFont="1"/>
    <xf numFmtId="1" fontId="0" fillId="0" borderId="0" xfId="0" applyNumberFormat="1" applyFill="1"/>
    <xf numFmtId="1" fontId="0" fillId="2" borderId="0" xfId="0" applyNumberFormat="1" applyFill="1"/>
    <xf numFmtId="9" fontId="0" fillId="2" borderId="0" xfId="0" applyNumberFormat="1" applyFill="1"/>
    <xf numFmtId="164" fontId="0" fillId="0" borderId="0" xfId="1" applyNumberFormat="1" applyFont="1"/>
    <xf numFmtId="1" fontId="1" fillId="3" borderId="0" xfId="0" applyNumberFormat="1" applyFont="1" applyFill="1"/>
    <xf numFmtId="0" fontId="1" fillId="2" borderId="0" xfId="0" applyFont="1" applyFill="1"/>
  </cellXfs>
  <cellStyles count="2">
    <cellStyle name="Comma" xfId="1" builtinId="3"/>
    <cellStyle name="Normal" xfId="0" builtinId="0"/>
  </cellStyles>
  <dxfs count="8">
    <dxf>
      <numFmt numFmtId="13" formatCode="0%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numFmt numFmtId="164" formatCode="_(* #,##0_);_(* \(#,##0\);_(* &quot;-&quot;??_);_(@_)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Boardings at Hub - 2016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816681E2-6161-4FE2-939A-D713A5920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54C4C3B-18FD-40CE-9C5B-EE33FD5B95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AC2BB26A-1015-4BA2-A637-21F1DC9093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C931EBA6-73D1-4ECE-9D43-A121F98AA5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C9670788-A4EA-463B-86B9-263B8C95D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470D020A-6CA2-49AF-A18A-531135A29C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77B5B232-2084-4D8D-9FE4-0072E705B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7D053FE8-1409-4FAD-BF2F-30662CD945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270498D3-6DC0-4AA3-8B1B-21B2C763A8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BDAF654E-4653-4662-BB34-9C48933D74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2BDB8150-5B33-46A1-A83A-1A6F6B6255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F0A51DDC-FD43-4DBD-8144-594729B58E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795D8DEB-1FC6-4FF3-B8BA-B94426E503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-7.8155519884364286E-3"/>
                  <c:y val="-1.0055304172951232E-2"/>
                </c:manualLayout>
              </c:layout>
              <c:tx>
                <c:rich>
                  <a:bodyPr/>
                  <a:lstStyle/>
                  <a:p>
                    <a:fld id="{252BCA4D-383E-4312-B8E5-81B16A450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5.6271974316742322E-2"/>
                  <c:y val="-3.2176973353443938E-2"/>
                </c:manualLayout>
              </c:layout>
              <c:tx>
                <c:rich>
                  <a:bodyPr/>
                  <a:lstStyle/>
                  <a:p>
                    <a:fld id="{AFBAFDAC-3B6F-4221-97E1-E71DF6FFFC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A1236CA8-5D1F-4883-8C02-833141650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A7B3338D-6399-4A17-8185-BB489875A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129B5444-C036-4862-B59C-4CAD1D8B04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D50D500E-B149-4A03-B029-3139232A96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93DAC4BD-558E-4FBC-8BA9-33D28D2A9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CA1D1E8D-8AAA-405C-92CA-D5D992B787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7E0BD84E-D47E-4A96-8E9F-3626F5D829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88C8C0A3-7F16-44CE-8144-3CAD941965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5C5CC2ED-46A9-46BC-AA02-DDED577C6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7A3B4F4F-D9A7-4EA2-83E8-0D279D8A7F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A5-48DB-A505-67483EA73375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52A88CC9-9FC9-41C4-A47C-F98C56455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A5-48DB-A505-67483EA73375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3215C6B2-F8E5-4BEC-AECB-817280F36A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A5-48DB-A505-67483EA73375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ED7A88E6-FCD8-47FE-828A-E148D525FB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A5-48DB-A505-67483EA73375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A63E3FB8-0513-4808-8DDE-0C51D38460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Boardings_by_Hub!$D$2:$D$30</c:f>
            </c:numRef>
          </c:xVal>
          <c:yVal>
            <c:numRef>
              <c:f>Boardings_by_Hub!$E$2:$E$30</c:f>
              <c:numCache>
                <c:formatCode>0</c:formatCode>
                <c:ptCount val="29"/>
                <c:pt idx="0">
                  <c:v>10308.012563</c:v>
                </c:pt>
                <c:pt idx="1">
                  <c:v>8389.1568480000005</c:v>
                </c:pt>
                <c:pt idx="2">
                  <c:v>13323.61139</c:v>
                </c:pt>
                <c:pt idx="3">
                  <c:v>10582.548205999999</c:v>
                </c:pt>
                <c:pt idx="4">
                  <c:v>4327.8173630000001</c:v>
                </c:pt>
                <c:pt idx="5">
                  <c:v>5355.3511120000003</c:v>
                </c:pt>
                <c:pt idx="6">
                  <c:v>6309.9335849999998</c:v>
                </c:pt>
                <c:pt idx="7">
                  <c:v>3582.6720129999999</c:v>
                </c:pt>
                <c:pt idx="8">
                  <c:v>6620.5007699999996</c:v>
                </c:pt>
                <c:pt idx="9">
                  <c:v>10173.496080000001</c:v>
                </c:pt>
                <c:pt idx="10">
                  <c:v>6598.7692639999996</c:v>
                </c:pt>
                <c:pt idx="11">
                  <c:v>4456.4469509999999</c:v>
                </c:pt>
                <c:pt idx="12">
                  <c:v>3808.4430440000001</c:v>
                </c:pt>
                <c:pt idx="13">
                  <c:v>4290.3804879999998</c:v>
                </c:pt>
                <c:pt idx="14">
                  <c:v>3848.6063920000001</c:v>
                </c:pt>
                <c:pt idx="15">
                  <c:v>5010.9243290000004</c:v>
                </c:pt>
                <c:pt idx="16">
                  <c:v>67</c:v>
                </c:pt>
                <c:pt idx="17">
                  <c:v>3058.6549220000002</c:v>
                </c:pt>
                <c:pt idx="18">
                  <c:v>2486.2499979999998</c:v>
                </c:pt>
                <c:pt idx="19">
                  <c:v>1847.5870749999999</c:v>
                </c:pt>
                <c:pt idx="20">
                  <c:v>1862.7914060000001</c:v>
                </c:pt>
                <c:pt idx="21">
                  <c:v>554.71641999999997</c:v>
                </c:pt>
                <c:pt idx="22">
                  <c:v>2468.3512489999998</c:v>
                </c:pt>
                <c:pt idx="23">
                  <c:v>996.33166800000004</c:v>
                </c:pt>
                <c:pt idx="24">
                  <c:v>1308.6089549999999</c:v>
                </c:pt>
                <c:pt idx="25">
                  <c:v>61</c:v>
                </c:pt>
                <c:pt idx="26">
                  <c:v>911.61962900000003</c:v>
                </c:pt>
                <c:pt idx="27">
                  <c:v>400.08003100000002</c:v>
                </c:pt>
                <c:pt idx="28">
                  <c:v>285.04271199999999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Boardings_by_Hub!$B$2:$B$30</c15:f>
                <c15:dlblRangeCache>
                  <c:ptCount val="29"/>
                  <c:pt idx="0">
                    <c:v>12th/Imperial TC</c:v>
                  </c:pt>
                  <c:pt idx="1">
                    <c:v>Old Town TC</c:v>
                  </c:pt>
                  <c:pt idx="2">
                    <c:v>San Ysidro Trolley</c:v>
                  </c:pt>
                  <c:pt idx="3">
                    <c:v>Smart Corner</c:v>
                  </c:pt>
                  <c:pt idx="4">
                    <c:v>UCSD (Gillman Loop)</c:v>
                  </c:pt>
                  <c:pt idx="5">
                    <c:v>El Cajon TC</c:v>
                  </c:pt>
                  <c:pt idx="6">
                    <c:v>Palomar Trolley</c:v>
                  </c:pt>
                  <c:pt idx="7">
                    <c:v>Euclid TC</c:v>
                  </c:pt>
                  <c:pt idx="8">
                    <c:v>Escondido TC</c:v>
                  </c:pt>
                  <c:pt idx="9">
                    <c:v>SDSU</c:v>
                  </c:pt>
                  <c:pt idx="10">
                    <c:v>Fashion Valley</c:v>
                  </c:pt>
                  <c:pt idx="11">
                    <c:v>Vista TC</c:v>
                  </c:pt>
                  <c:pt idx="12">
                    <c:v>Oceanside TC</c:v>
                  </c:pt>
                  <c:pt idx="13">
                    <c:v>Grossmont TC</c:v>
                  </c:pt>
                  <c:pt idx="14">
                    <c:v>8th St Trolley</c:v>
                  </c:pt>
                  <c:pt idx="15">
                    <c:v>Palomar Sprinter</c:v>
                  </c:pt>
                  <c:pt idx="16">
                    <c:v>San Ysidro West</c:v>
                  </c:pt>
                  <c:pt idx="17">
                    <c:v>UTC</c:v>
                  </c:pt>
                  <c:pt idx="18">
                    <c:v>Otay Mesa Border</c:v>
                  </c:pt>
                  <c:pt idx="19">
                    <c:v>SR15 @ University</c:v>
                  </c:pt>
                  <c:pt idx="20">
                    <c:v>Southwestern College</c:v>
                  </c:pt>
                  <c:pt idx="21">
                    <c:v>Barrio Logan Trolley</c:v>
                  </c:pt>
                  <c:pt idx="22">
                    <c:v>SR15 @ El Cajon Blvd</c:v>
                  </c:pt>
                  <c:pt idx="23">
                    <c:v>Sorrento Valley Coaster</c:v>
                  </c:pt>
                  <c:pt idx="24">
                    <c:v>CSU San Marcos</c:v>
                  </c:pt>
                  <c:pt idx="25">
                    <c:v>Sabre Springs</c:v>
                  </c:pt>
                  <c:pt idx="26">
                    <c:v>Grossmont Community College</c:v>
                  </c:pt>
                  <c:pt idx="27">
                    <c:v>Parkway Plaza</c:v>
                  </c:pt>
                  <c:pt idx="28">
                    <c:v>Otay Ranch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Boardings_by_Hub!$Y$1:$Y$2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Boardings_by_Hub!$Z$1:$Z$2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Boardings at Hub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Boardings</a:t>
                </a:r>
                <a:r>
                  <a:rPr lang="en-US" b="1" baseline="0"/>
                  <a:t> at Hub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609599</xdr:colOff>
      <xdr:row>0</xdr:row>
      <xdr:rowOff>38099</xdr:rowOff>
    </xdr:from>
    <xdr:to>
      <xdr:col>22</xdr:col>
      <xdr:colOff>200025</xdr:colOff>
      <xdr:row>33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release/ABM/version_14_1_1/template/validation/2016/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>
        <row r="2">
          <cell r="A2">
            <v>376</v>
          </cell>
          <cell r="B2">
            <v>18</v>
          </cell>
          <cell r="C2">
            <v>3058.6549220000002</v>
          </cell>
        </row>
        <row r="3">
          <cell r="A3">
            <v>376</v>
          </cell>
          <cell r="B3">
            <v>19</v>
          </cell>
          <cell r="C3">
            <v>2486.2499979999998</v>
          </cell>
        </row>
        <row r="4">
          <cell r="A4">
            <v>376</v>
          </cell>
          <cell r="B4">
            <v>13</v>
          </cell>
          <cell r="C4">
            <v>3808.4430440000001</v>
          </cell>
        </row>
        <row r="5">
          <cell r="A5">
            <v>376</v>
          </cell>
          <cell r="B5">
            <v>15</v>
          </cell>
          <cell r="C5">
            <v>3848.6063920000001</v>
          </cell>
        </row>
        <row r="6">
          <cell r="A6">
            <v>376</v>
          </cell>
          <cell r="B6">
            <v>24</v>
          </cell>
          <cell r="C6">
            <v>996.33166800000004</v>
          </cell>
        </row>
        <row r="7">
          <cell r="A7">
            <v>376</v>
          </cell>
          <cell r="B7">
            <v>1</v>
          </cell>
          <cell r="C7">
            <v>10308.012563</v>
          </cell>
        </row>
        <row r="8">
          <cell r="A8">
            <v>376</v>
          </cell>
          <cell r="B8">
            <v>11</v>
          </cell>
          <cell r="C8">
            <v>6598.7692639999996</v>
          </cell>
        </row>
        <row r="9">
          <cell r="A9">
            <v>376</v>
          </cell>
          <cell r="B9">
            <v>26</v>
          </cell>
          <cell r="C9">
            <v>61</v>
          </cell>
        </row>
        <row r="10">
          <cell r="A10">
            <v>376</v>
          </cell>
          <cell r="B10">
            <v>4</v>
          </cell>
          <cell r="C10">
            <v>10582.548205999999</v>
          </cell>
        </row>
        <row r="11">
          <cell r="A11">
            <v>376</v>
          </cell>
          <cell r="B11">
            <v>23</v>
          </cell>
          <cell r="C11">
            <v>2468.3512489999998</v>
          </cell>
        </row>
        <row r="12">
          <cell r="A12">
            <v>376</v>
          </cell>
          <cell r="B12">
            <v>3</v>
          </cell>
          <cell r="C12">
            <v>13323.61139</v>
          </cell>
        </row>
        <row r="13">
          <cell r="A13">
            <v>376</v>
          </cell>
          <cell r="B13">
            <v>5</v>
          </cell>
          <cell r="C13">
            <v>4327.8173630000001</v>
          </cell>
        </row>
        <row r="14">
          <cell r="A14">
            <v>376</v>
          </cell>
          <cell r="B14">
            <v>9</v>
          </cell>
          <cell r="C14">
            <v>6620.5007699999996</v>
          </cell>
        </row>
        <row r="15">
          <cell r="A15">
            <v>376</v>
          </cell>
          <cell r="B15">
            <v>16</v>
          </cell>
          <cell r="C15">
            <v>5010.9243290000004</v>
          </cell>
        </row>
        <row r="16">
          <cell r="A16">
            <v>376</v>
          </cell>
          <cell r="B16">
            <v>22</v>
          </cell>
          <cell r="C16">
            <v>554.71641999999997</v>
          </cell>
        </row>
        <row r="17">
          <cell r="A17">
            <v>376</v>
          </cell>
          <cell r="B17">
            <v>12</v>
          </cell>
          <cell r="C17">
            <v>4456.4469509999999</v>
          </cell>
        </row>
        <row r="18">
          <cell r="A18">
            <v>376</v>
          </cell>
          <cell r="B18">
            <v>29</v>
          </cell>
          <cell r="C18">
            <v>285.04271199999999</v>
          </cell>
        </row>
        <row r="19">
          <cell r="A19">
            <v>376</v>
          </cell>
          <cell r="B19">
            <v>2</v>
          </cell>
          <cell r="C19">
            <v>8389.1568480000005</v>
          </cell>
        </row>
        <row r="20">
          <cell r="A20">
            <v>376</v>
          </cell>
          <cell r="B20">
            <v>27</v>
          </cell>
          <cell r="C20">
            <v>911.61962900000003</v>
          </cell>
        </row>
        <row r="21">
          <cell r="A21">
            <v>376</v>
          </cell>
          <cell r="B21">
            <v>8</v>
          </cell>
          <cell r="C21">
            <v>3582.6720129999999</v>
          </cell>
        </row>
        <row r="22">
          <cell r="A22">
            <v>376</v>
          </cell>
          <cell r="B22">
            <v>25</v>
          </cell>
          <cell r="C22">
            <v>1308.6089549999999</v>
          </cell>
        </row>
        <row r="23">
          <cell r="A23">
            <v>376</v>
          </cell>
          <cell r="B23">
            <v>17</v>
          </cell>
          <cell r="C23">
            <v>67</v>
          </cell>
        </row>
        <row r="24">
          <cell r="A24">
            <v>376</v>
          </cell>
          <cell r="B24">
            <v>6</v>
          </cell>
          <cell r="C24">
            <v>5355.3511120000003</v>
          </cell>
        </row>
        <row r="25">
          <cell r="A25">
            <v>376</v>
          </cell>
          <cell r="B25">
            <v>21</v>
          </cell>
          <cell r="C25">
            <v>1862.7914060000001</v>
          </cell>
        </row>
        <row r="26">
          <cell r="A26">
            <v>376</v>
          </cell>
          <cell r="B26">
            <v>28</v>
          </cell>
          <cell r="C26">
            <v>400.08003100000002</v>
          </cell>
        </row>
        <row r="27">
          <cell r="A27">
            <v>376</v>
          </cell>
          <cell r="B27">
            <v>14</v>
          </cell>
          <cell r="C27">
            <v>4290.3804879999998</v>
          </cell>
        </row>
        <row r="28">
          <cell r="A28">
            <v>376</v>
          </cell>
          <cell r="B28">
            <v>10</v>
          </cell>
          <cell r="C28">
            <v>10173.496080000001</v>
          </cell>
        </row>
        <row r="29">
          <cell r="A29">
            <v>376</v>
          </cell>
          <cell r="B29">
            <v>20</v>
          </cell>
          <cell r="C29">
            <v>1847.5870749999999</v>
          </cell>
        </row>
        <row r="30">
          <cell r="A30">
            <v>376</v>
          </cell>
          <cell r="B30">
            <v>7</v>
          </cell>
          <cell r="C30">
            <v>6309.9335849999998</v>
          </cell>
        </row>
      </sheetData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sql2014a8.sandag.org ws Transit2015table" connectionId="2" autoFormatId="16" applyNumberFormats="0" applyBorderFormats="0" applyFontFormats="0" applyPatternFormats="0" applyAlignmentFormats="0" applyWidthHeightFormats="0">
  <queryTableRefresh nextId="16">
    <queryTableFields count="3">
      <queryTableField id="1" name="scenario_id" tableColumnId="1"/>
      <queryTableField id="14" name="Hubid" tableColumnId="2"/>
      <queryTableField id="15" name="total_boardings" tableColumnId="3"/>
    </queryTableFields>
  </queryTableRefresh>
</queryTable>
</file>

<file path=xl/queryTables/queryTable2.xml><?xml version="1.0" encoding="utf-8"?>
<queryTable xmlns="http://schemas.openxmlformats.org/spreadsheetml/2006/main" name="socioeca8.sandag.org_abm2_trh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ubid" tableColumnId="2"/>
      <queryTableField id="3" name="total_boarding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md" displayName="md" ref="I1:K30" tableType="queryTable" totalsRowShown="0">
  <autoFilter ref="I1:K30"/>
  <tableColumns count="3">
    <tableColumn id="1" uniqueName="1" name="scenario_id" queryTableFieldId="1"/>
    <tableColumn id="2" uniqueName="2" name="Hubid" queryTableFieldId="14"/>
    <tableColumn id="3" uniqueName="3" name="total_boardings" queryTableFieldId="15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socioeca8.sandag.org_abm2_trh" displayName="Table_socioeca8.sandag.org_abm2_trh" ref="E1:G30" tableType="queryTable" totalsRowShown="0">
  <autoFilter ref="E1:G30"/>
  <tableColumns count="3">
    <tableColumn id="1" uniqueName="1" name="scenario_id" queryTableFieldId="1"/>
    <tableColumn id="2" uniqueName="2" name="Hubid" queryTableFieldId="2"/>
    <tableColumn id="3" uniqueName="3" name="total_boardings" queryTableFieldId="3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F31" totalsRowShown="0">
  <autoFilter ref="A1:F31"/>
  <tableColumns count="6">
    <tableColumn id="1" name="Hubid"/>
    <tableColumn id="2" name="Hub"/>
    <tableColumn id="6" name="FY 2016 Count" dataDxfId="3" dataCellStyle="Comma"/>
    <tableColumn id="3" name="Fall 2016 Count" dataDxfId="2"/>
    <tableColumn id="4" name="total_boardings" dataDxfId="1">
      <calculatedColumnFormula>VLOOKUP(A2,md[[Hubid]:[total_boardings]],2,FALSE)</calculatedColumnFormula>
    </tableColumn>
    <tableColumn id="5" name="Gap" dataDxfId="0">
      <calculatedColumnFormula>E2/C2-1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4.9989318521683403E-2"/>
  </sheetPr>
  <dimension ref="A1:V138"/>
  <sheetViews>
    <sheetView workbookViewId="0">
      <selection activeCell="B37" sqref="B37"/>
    </sheetView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4" customWidth="1"/>
    <col min="5" max="5" width="13.42578125" style="4" customWidth="1"/>
    <col min="6" max="6" width="8.5703125" style="4" customWidth="1"/>
    <col min="7" max="7" width="17.28515625" style="2" customWidth="1"/>
    <col min="9" max="9" width="13.42578125" hidden="1" customWidth="1"/>
    <col min="10" max="10" width="8.5703125" style="4" hidden="1" customWidth="1"/>
    <col min="11" max="11" width="17.28515625" style="2" hidden="1" customWidth="1"/>
    <col min="12" max="12" width="8.140625" hidden="1" customWidth="1"/>
    <col min="13" max="13" width="14.42578125" style="3" customWidth="1"/>
    <col min="14" max="15" width="15.42578125" style="3" customWidth="1"/>
    <col min="16" max="16" width="15.140625" style="3" customWidth="1"/>
    <col min="17" max="17" width="14.42578125" style="3" customWidth="1"/>
    <col min="18" max="18" width="20.85546875" style="3" customWidth="1"/>
    <col min="19" max="20" width="21.7109375" style="3" customWidth="1"/>
    <col min="21" max="21" width="21.5703125" style="3" customWidth="1"/>
    <col min="22" max="22" width="20.85546875" style="3" customWidth="1"/>
  </cols>
  <sheetData>
    <row r="1" spans="1:22" x14ac:dyDescent="0.25">
      <c r="A1" s="4" t="s">
        <v>0</v>
      </c>
      <c r="B1" s="4"/>
      <c r="C1" t="s">
        <v>3</v>
      </c>
      <c r="E1" s="4" t="s">
        <v>3</v>
      </c>
      <c r="F1" s="4" t="s">
        <v>4</v>
      </c>
      <c r="G1" s="2" t="s">
        <v>35</v>
      </c>
      <c r="I1" t="s">
        <v>3</v>
      </c>
      <c r="J1" s="4" t="s">
        <v>4</v>
      </c>
      <c r="K1" s="2" t="s">
        <v>35</v>
      </c>
      <c r="M1"/>
      <c r="N1"/>
      <c r="O1"/>
      <c r="P1"/>
      <c r="Q1"/>
      <c r="R1"/>
      <c r="S1"/>
      <c r="T1"/>
      <c r="U1"/>
      <c r="V1"/>
    </row>
    <row r="2" spans="1:22" x14ac:dyDescent="0.25">
      <c r="A2" s="4">
        <v>1</v>
      </c>
      <c r="B2" s="4" t="s">
        <v>1</v>
      </c>
      <c r="C2" s="1">
        <f>[2]Settings!$B$3</f>
        <v>376</v>
      </c>
      <c r="D2" s="6"/>
      <c r="E2" s="6">
        <f>[2]transit_hub!A2</f>
        <v>376</v>
      </c>
      <c r="F2" s="6">
        <f>[2]transit_hub!B2</f>
        <v>18</v>
      </c>
      <c r="G2" s="13">
        <f>[2]transit_hub!C2</f>
        <v>3058.6549220000002</v>
      </c>
      <c r="I2" s="4">
        <f>Table_socioeca8.sandag.org_abm2_trh[[#This Row],[scenario_id]]</f>
        <v>376</v>
      </c>
      <c r="J2" s="4">
        <f>Table_socioeca8.sandag.org_abm2_trh[[#This Row],[Hubid]]</f>
        <v>18</v>
      </c>
      <c r="K2" s="2">
        <f>Table_socioeca8.sandag.org_abm2_trh[[#This Row],[total_boardings]]</f>
        <v>3058.6549220000002</v>
      </c>
      <c r="M2"/>
      <c r="N2"/>
      <c r="O2"/>
      <c r="P2"/>
      <c r="Q2"/>
      <c r="R2"/>
      <c r="S2"/>
      <c r="T2"/>
      <c r="U2"/>
      <c r="V2"/>
    </row>
    <row r="3" spans="1:22" x14ac:dyDescent="0.25">
      <c r="A3" s="4">
        <v>2</v>
      </c>
      <c r="B3" s="4" t="s">
        <v>2</v>
      </c>
      <c r="E3" s="4">
        <f>[2]transit_hub!A3</f>
        <v>376</v>
      </c>
      <c r="F3" s="4">
        <f>[2]transit_hub!B3</f>
        <v>19</v>
      </c>
      <c r="G3" s="2">
        <f>[2]transit_hub!C3</f>
        <v>2486.2499979999998</v>
      </c>
      <c r="I3" s="4">
        <f>Table_socioeca8.sandag.org_abm2_trh[[#This Row],[scenario_id]]</f>
        <v>376</v>
      </c>
      <c r="J3" s="4">
        <f>Table_socioeca8.sandag.org_abm2_trh[[#This Row],[Hubid]]</f>
        <v>19</v>
      </c>
      <c r="K3" s="2">
        <f>Table_socioeca8.sandag.org_abm2_trh[[#This Row],[total_boardings]]</f>
        <v>2486.2499979999998</v>
      </c>
      <c r="M3"/>
      <c r="N3"/>
      <c r="O3"/>
      <c r="P3"/>
      <c r="Q3"/>
      <c r="R3"/>
      <c r="S3"/>
      <c r="T3"/>
      <c r="U3"/>
      <c r="V3"/>
    </row>
    <row r="4" spans="1:22" x14ac:dyDescent="0.25">
      <c r="A4" s="4"/>
      <c r="B4" s="4"/>
      <c r="E4" s="4">
        <f>[2]transit_hub!A4</f>
        <v>376</v>
      </c>
      <c r="F4" s="4">
        <f>[2]transit_hub!B4</f>
        <v>13</v>
      </c>
      <c r="G4" s="2">
        <f>[2]transit_hub!C4</f>
        <v>3808.4430440000001</v>
      </c>
      <c r="I4" s="4">
        <f>Table_socioeca8.sandag.org_abm2_trh[[#This Row],[scenario_id]]</f>
        <v>376</v>
      </c>
      <c r="J4" s="4">
        <f>Table_socioeca8.sandag.org_abm2_trh[[#This Row],[Hubid]]</f>
        <v>13</v>
      </c>
      <c r="K4" s="2">
        <f>Table_socioeca8.sandag.org_abm2_trh[[#This Row],[total_boardings]]</f>
        <v>3808.4430440000001</v>
      </c>
      <c r="M4"/>
      <c r="N4"/>
      <c r="O4"/>
      <c r="P4"/>
      <c r="Q4"/>
      <c r="R4"/>
      <c r="S4"/>
      <c r="T4"/>
      <c r="U4"/>
      <c r="V4"/>
    </row>
    <row r="5" spans="1:22" x14ac:dyDescent="0.25">
      <c r="A5" s="4"/>
      <c r="B5" s="4"/>
      <c r="E5" s="4">
        <f>[2]transit_hub!A5</f>
        <v>376</v>
      </c>
      <c r="F5" s="4">
        <f>[2]transit_hub!B5</f>
        <v>15</v>
      </c>
      <c r="G5" s="2">
        <f>[2]transit_hub!C5</f>
        <v>3848.6063920000001</v>
      </c>
      <c r="I5" s="4">
        <f>Table_socioeca8.sandag.org_abm2_trh[[#This Row],[scenario_id]]</f>
        <v>376</v>
      </c>
      <c r="J5" s="4">
        <f>Table_socioeca8.sandag.org_abm2_trh[[#This Row],[Hubid]]</f>
        <v>15</v>
      </c>
      <c r="K5" s="2">
        <f>Table_socioeca8.sandag.org_abm2_trh[[#This Row],[total_boardings]]</f>
        <v>3848.6063920000001</v>
      </c>
      <c r="M5"/>
      <c r="N5"/>
      <c r="O5"/>
      <c r="P5"/>
      <c r="Q5"/>
      <c r="R5"/>
      <c r="S5"/>
      <c r="T5"/>
      <c r="U5"/>
      <c r="V5"/>
    </row>
    <row r="6" spans="1:22" x14ac:dyDescent="0.25">
      <c r="A6" s="4"/>
      <c r="B6" s="4"/>
      <c r="E6" s="4">
        <f>[2]transit_hub!A6</f>
        <v>376</v>
      </c>
      <c r="F6" s="4">
        <f>[2]transit_hub!B6</f>
        <v>24</v>
      </c>
      <c r="G6" s="2">
        <f>[2]transit_hub!C6</f>
        <v>996.33166800000004</v>
      </c>
      <c r="I6" s="4">
        <f>Table_socioeca8.sandag.org_abm2_trh[[#This Row],[scenario_id]]</f>
        <v>376</v>
      </c>
      <c r="J6" s="4">
        <f>Table_socioeca8.sandag.org_abm2_trh[[#This Row],[Hubid]]</f>
        <v>24</v>
      </c>
      <c r="K6" s="2">
        <f>Table_socioeca8.sandag.org_abm2_trh[[#This Row],[total_boardings]]</f>
        <v>996.33166800000004</v>
      </c>
      <c r="M6"/>
      <c r="N6"/>
      <c r="O6"/>
      <c r="P6"/>
      <c r="Q6"/>
      <c r="R6"/>
      <c r="S6"/>
      <c r="T6"/>
      <c r="U6"/>
      <c r="V6"/>
    </row>
    <row r="7" spans="1:22" x14ac:dyDescent="0.25">
      <c r="A7" s="4"/>
      <c r="B7" s="4"/>
      <c r="E7" s="4">
        <f>[2]transit_hub!A7</f>
        <v>376</v>
      </c>
      <c r="F7" s="4">
        <f>[2]transit_hub!B7</f>
        <v>1</v>
      </c>
      <c r="G7" s="2">
        <f>[2]transit_hub!C7</f>
        <v>10308.012563</v>
      </c>
      <c r="I7" s="4">
        <f>Table_socioeca8.sandag.org_abm2_trh[[#This Row],[scenario_id]]</f>
        <v>376</v>
      </c>
      <c r="J7" s="4">
        <f>Table_socioeca8.sandag.org_abm2_trh[[#This Row],[Hubid]]</f>
        <v>1</v>
      </c>
      <c r="K7" s="2">
        <f>Table_socioeca8.sandag.org_abm2_trh[[#This Row],[total_boardings]]</f>
        <v>10308.012563</v>
      </c>
      <c r="M7"/>
      <c r="N7"/>
      <c r="O7"/>
      <c r="P7"/>
      <c r="Q7"/>
      <c r="R7"/>
      <c r="S7"/>
      <c r="T7"/>
      <c r="U7"/>
      <c r="V7"/>
    </row>
    <row r="8" spans="1:22" x14ac:dyDescent="0.25">
      <c r="A8" s="4"/>
      <c r="B8" s="4"/>
      <c r="E8" s="4">
        <f>[2]transit_hub!A8</f>
        <v>376</v>
      </c>
      <c r="F8" s="4">
        <f>[2]transit_hub!B8</f>
        <v>11</v>
      </c>
      <c r="G8" s="2">
        <f>[2]transit_hub!C8</f>
        <v>6598.7692639999996</v>
      </c>
      <c r="I8" s="4">
        <f>Table_socioeca8.sandag.org_abm2_trh[[#This Row],[scenario_id]]</f>
        <v>376</v>
      </c>
      <c r="J8" s="4">
        <f>Table_socioeca8.sandag.org_abm2_trh[[#This Row],[Hubid]]</f>
        <v>11</v>
      </c>
      <c r="K8" s="2">
        <f>Table_socioeca8.sandag.org_abm2_trh[[#This Row],[total_boardings]]</f>
        <v>6598.7692639999996</v>
      </c>
      <c r="M8"/>
      <c r="N8"/>
      <c r="O8"/>
      <c r="P8"/>
      <c r="Q8"/>
      <c r="R8"/>
      <c r="S8"/>
      <c r="T8"/>
      <c r="U8"/>
      <c r="V8"/>
    </row>
    <row r="9" spans="1:22" x14ac:dyDescent="0.25">
      <c r="A9" s="4"/>
      <c r="B9" s="4"/>
      <c r="E9" s="4">
        <f>[2]transit_hub!A9</f>
        <v>376</v>
      </c>
      <c r="F9" s="4">
        <f>[2]transit_hub!B9</f>
        <v>26</v>
      </c>
      <c r="G9" s="2">
        <f>[2]transit_hub!C9</f>
        <v>61</v>
      </c>
      <c r="I9" s="4">
        <f>Table_socioeca8.sandag.org_abm2_trh[[#This Row],[scenario_id]]</f>
        <v>376</v>
      </c>
      <c r="J9" s="4">
        <f>Table_socioeca8.sandag.org_abm2_trh[[#This Row],[Hubid]]</f>
        <v>26</v>
      </c>
      <c r="K9" s="2">
        <f>Table_socioeca8.sandag.org_abm2_trh[[#This Row],[total_boardings]]</f>
        <v>61</v>
      </c>
      <c r="M9"/>
      <c r="N9"/>
      <c r="O9"/>
      <c r="P9"/>
      <c r="Q9"/>
      <c r="R9"/>
      <c r="S9"/>
      <c r="T9"/>
      <c r="U9"/>
      <c r="V9"/>
    </row>
    <row r="10" spans="1:22" x14ac:dyDescent="0.25">
      <c r="A10" s="5"/>
      <c r="B10" s="4"/>
      <c r="E10" s="4">
        <f>[2]transit_hub!A10</f>
        <v>376</v>
      </c>
      <c r="F10" s="4">
        <f>[2]transit_hub!B10</f>
        <v>4</v>
      </c>
      <c r="G10" s="2">
        <f>[2]transit_hub!C10</f>
        <v>10582.548205999999</v>
      </c>
      <c r="I10" s="4">
        <f>Table_socioeca8.sandag.org_abm2_trh[[#This Row],[scenario_id]]</f>
        <v>376</v>
      </c>
      <c r="J10" s="4">
        <f>Table_socioeca8.sandag.org_abm2_trh[[#This Row],[Hubid]]</f>
        <v>4</v>
      </c>
      <c r="K10" s="2">
        <f>Table_socioeca8.sandag.org_abm2_trh[[#This Row],[total_boardings]]</f>
        <v>10582.548205999999</v>
      </c>
      <c r="M10"/>
      <c r="N10"/>
      <c r="O10"/>
      <c r="P10"/>
      <c r="Q10"/>
      <c r="R10"/>
      <c r="S10"/>
      <c r="T10"/>
      <c r="U10"/>
      <c r="V10"/>
    </row>
    <row r="11" spans="1:22" x14ac:dyDescent="0.25">
      <c r="E11" s="4">
        <f>[2]transit_hub!A11</f>
        <v>376</v>
      </c>
      <c r="F11" s="4">
        <f>[2]transit_hub!B11</f>
        <v>23</v>
      </c>
      <c r="G11" s="2">
        <f>[2]transit_hub!C11</f>
        <v>2468.3512489999998</v>
      </c>
      <c r="I11" s="4">
        <f>Table_socioeca8.sandag.org_abm2_trh[[#This Row],[scenario_id]]</f>
        <v>376</v>
      </c>
      <c r="J11" s="4">
        <f>Table_socioeca8.sandag.org_abm2_trh[[#This Row],[Hubid]]</f>
        <v>23</v>
      </c>
      <c r="K11" s="2">
        <f>Table_socioeca8.sandag.org_abm2_trh[[#This Row],[total_boardings]]</f>
        <v>2468.3512489999998</v>
      </c>
      <c r="M11"/>
      <c r="N11"/>
      <c r="O11"/>
      <c r="P11"/>
      <c r="Q11"/>
      <c r="R11"/>
      <c r="S11"/>
      <c r="T11"/>
      <c r="U11"/>
      <c r="V11"/>
    </row>
    <row r="12" spans="1:22" x14ac:dyDescent="0.25">
      <c r="E12" s="4">
        <f>[2]transit_hub!A12</f>
        <v>376</v>
      </c>
      <c r="F12" s="4">
        <f>[2]transit_hub!B12</f>
        <v>3</v>
      </c>
      <c r="G12" s="2">
        <f>[2]transit_hub!C12</f>
        <v>13323.61139</v>
      </c>
      <c r="I12" s="4">
        <f>Table_socioeca8.sandag.org_abm2_trh[[#This Row],[scenario_id]]</f>
        <v>376</v>
      </c>
      <c r="J12" s="4">
        <f>Table_socioeca8.sandag.org_abm2_trh[[#This Row],[Hubid]]</f>
        <v>3</v>
      </c>
      <c r="K12" s="2">
        <f>Table_socioeca8.sandag.org_abm2_trh[[#This Row],[total_boardings]]</f>
        <v>13323.61139</v>
      </c>
      <c r="M12"/>
      <c r="N12"/>
      <c r="O12"/>
      <c r="P12"/>
      <c r="Q12"/>
      <c r="R12"/>
      <c r="S12"/>
      <c r="T12"/>
      <c r="U12"/>
      <c r="V12"/>
    </row>
    <row r="13" spans="1:22" x14ac:dyDescent="0.25">
      <c r="E13" s="4">
        <f>[2]transit_hub!A13</f>
        <v>376</v>
      </c>
      <c r="F13" s="4">
        <f>[2]transit_hub!B13</f>
        <v>5</v>
      </c>
      <c r="G13" s="2">
        <f>[2]transit_hub!C13</f>
        <v>4327.8173630000001</v>
      </c>
      <c r="I13" s="4">
        <f>Table_socioeca8.sandag.org_abm2_trh[[#This Row],[scenario_id]]</f>
        <v>376</v>
      </c>
      <c r="J13" s="4">
        <f>Table_socioeca8.sandag.org_abm2_trh[[#This Row],[Hubid]]</f>
        <v>5</v>
      </c>
      <c r="K13" s="2">
        <f>Table_socioeca8.sandag.org_abm2_trh[[#This Row],[total_boardings]]</f>
        <v>4327.8173630000001</v>
      </c>
      <c r="M13"/>
      <c r="N13"/>
      <c r="O13"/>
      <c r="P13"/>
      <c r="Q13"/>
      <c r="R13"/>
      <c r="S13"/>
      <c r="T13"/>
      <c r="U13"/>
      <c r="V13"/>
    </row>
    <row r="14" spans="1:22" x14ac:dyDescent="0.25">
      <c r="E14" s="4">
        <f>[2]transit_hub!A14</f>
        <v>376</v>
      </c>
      <c r="F14" s="4">
        <f>[2]transit_hub!B14</f>
        <v>9</v>
      </c>
      <c r="G14" s="2">
        <f>[2]transit_hub!C14</f>
        <v>6620.5007699999996</v>
      </c>
      <c r="I14" s="4">
        <f>Table_socioeca8.sandag.org_abm2_trh[[#This Row],[scenario_id]]</f>
        <v>376</v>
      </c>
      <c r="J14" s="4">
        <f>Table_socioeca8.sandag.org_abm2_trh[[#This Row],[Hubid]]</f>
        <v>9</v>
      </c>
      <c r="K14" s="2">
        <f>Table_socioeca8.sandag.org_abm2_trh[[#This Row],[total_boardings]]</f>
        <v>6620.5007699999996</v>
      </c>
      <c r="M14"/>
      <c r="N14"/>
      <c r="O14"/>
      <c r="P14"/>
      <c r="Q14"/>
      <c r="R14"/>
      <c r="S14"/>
      <c r="T14"/>
      <c r="U14"/>
      <c r="V14"/>
    </row>
    <row r="15" spans="1:22" x14ac:dyDescent="0.25">
      <c r="E15" s="4">
        <f>[2]transit_hub!A15</f>
        <v>376</v>
      </c>
      <c r="F15" s="4">
        <f>[2]transit_hub!B15</f>
        <v>16</v>
      </c>
      <c r="G15" s="2">
        <f>[2]transit_hub!C15</f>
        <v>5010.9243290000004</v>
      </c>
      <c r="I15" s="4">
        <f>Table_socioeca8.sandag.org_abm2_trh[[#This Row],[scenario_id]]</f>
        <v>376</v>
      </c>
      <c r="J15" s="4">
        <f>Table_socioeca8.sandag.org_abm2_trh[[#This Row],[Hubid]]</f>
        <v>16</v>
      </c>
      <c r="K15" s="2">
        <f>Table_socioeca8.sandag.org_abm2_trh[[#This Row],[total_boardings]]</f>
        <v>5010.9243290000004</v>
      </c>
      <c r="M15"/>
      <c r="N15"/>
      <c r="O15"/>
      <c r="P15"/>
      <c r="Q15"/>
      <c r="R15"/>
      <c r="S15"/>
      <c r="T15"/>
      <c r="U15"/>
      <c r="V15"/>
    </row>
    <row r="16" spans="1:22" x14ac:dyDescent="0.25">
      <c r="E16" s="4">
        <f>[2]transit_hub!A16</f>
        <v>376</v>
      </c>
      <c r="F16" s="4">
        <f>[2]transit_hub!B16</f>
        <v>22</v>
      </c>
      <c r="G16" s="2">
        <f>[2]transit_hub!C16</f>
        <v>554.71641999999997</v>
      </c>
      <c r="I16" s="4">
        <f>Table_socioeca8.sandag.org_abm2_trh[[#This Row],[scenario_id]]</f>
        <v>376</v>
      </c>
      <c r="J16" s="4">
        <f>Table_socioeca8.sandag.org_abm2_trh[[#This Row],[Hubid]]</f>
        <v>22</v>
      </c>
      <c r="K16" s="2">
        <f>Table_socioeca8.sandag.org_abm2_trh[[#This Row],[total_boardings]]</f>
        <v>554.71641999999997</v>
      </c>
      <c r="M16"/>
      <c r="N16"/>
      <c r="O16"/>
      <c r="P16"/>
      <c r="Q16"/>
      <c r="R16"/>
      <c r="S16"/>
      <c r="T16"/>
      <c r="U16"/>
      <c r="V16"/>
    </row>
    <row r="17" spans="5:22" x14ac:dyDescent="0.25">
      <c r="E17" s="4">
        <f>[2]transit_hub!A17</f>
        <v>376</v>
      </c>
      <c r="F17" s="4">
        <f>[2]transit_hub!B17</f>
        <v>12</v>
      </c>
      <c r="G17" s="2">
        <f>[2]transit_hub!C17</f>
        <v>4456.4469509999999</v>
      </c>
      <c r="I17" s="4">
        <f>Table_socioeca8.sandag.org_abm2_trh[[#This Row],[scenario_id]]</f>
        <v>376</v>
      </c>
      <c r="J17" s="4">
        <f>Table_socioeca8.sandag.org_abm2_trh[[#This Row],[Hubid]]</f>
        <v>12</v>
      </c>
      <c r="K17" s="2">
        <f>Table_socioeca8.sandag.org_abm2_trh[[#This Row],[total_boardings]]</f>
        <v>4456.4469509999999</v>
      </c>
      <c r="M17"/>
      <c r="N17"/>
      <c r="O17"/>
      <c r="P17"/>
      <c r="Q17"/>
      <c r="R17"/>
      <c r="S17"/>
      <c r="T17"/>
      <c r="U17"/>
      <c r="V17"/>
    </row>
    <row r="18" spans="5:22" x14ac:dyDescent="0.25">
      <c r="E18" s="4">
        <f>[2]transit_hub!A18</f>
        <v>376</v>
      </c>
      <c r="F18" s="4">
        <f>[2]transit_hub!B18</f>
        <v>29</v>
      </c>
      <c r="G18" s="2">
        <f>[2]transit_hub!C18</f>
        <v>285.04271199999999</v>
      </c>
      <c r="I18" s="4">
        <f>Table_socioeca8.sandag.org_abm2_trh[[#This Row],[scenario_id]]</f>
        <v>376</v>
      </c>
      <c r="J18" s="4">
        <f>Table_socioeca8.sandag.org_abm2_trh[[#This Row],[Hubid]]</f>
        <v>29</v>
      </c>
      <c r="K18" s="2">
        <f>Table_socioeca8.sandag.org_abm2_trh[[#This Row],[total_boardings]]</f>
        <v>285.04271199999999</v>
      </c>
      <c r="M18"/>
      <c r="N18"/>
      <c r="O18"/>
      <c r="P18"/>
      <c r="Q18"/>
      <c r="R18"/>
      <c r="S18"/>
      <c r="T18"/>
      <c r="U18"/>
      <c r="V18"/>
    </row>
    <row r="19" spans="5:22" x14ac:dyDescent="0.25">
      <c r="E19" s="4">
        <f>[2]transit_hub!A19</f>
        <v>376</v>
      </c>
      <c r="F19" s="4">
        <f>[2]transit_hub!B19</f>
        <v>2</v>
      </c>
      <c r="G19" s="2">
        <f>[2]transit_hub!C19</f>
        <v>8389.1568480000005</v>
      </c>
      <c r="I19" s="4">
        <f>Table_socioeca8.sandag.org_abm2_trh[[#This Row],[scenario_id]]</f>
        <v>376</v>
      </c>
      <c r="J19" s="4">
        <f>Table_socioeca8.sandag.org_abm2_trh[[#This Row],[Hubid]]</f>
        <v>2</v>
      </c>
      <c r="K19" s="2">
        <f>Table_socioeca8.sandag.org_abm2_trh[[#This Row],[total_boardings]]</f>
        <v>8389.1568480000005</v>
      </c>
      <c r="M19"/>
      <c r="N19"/>
      <c r="O19"/>
      <c r="P19"/>
      <c r="Q19"/>
      <c r="R19"/>
      <c r="S19"/>
      <c r="T19"/>
      <c r="U19"/>
      <c r="V19"/>
    </row>
    <row r="20" spans="5:22" x14ac:dyDescent="0.25">
      <c r="E20" s="4">
        <f>[2]transit_hub!A20</f>
        <v>376</v>
      </c>
      <c r="F20" s="4">
        <f>[2]transit_hub!B20</f>
        <v>27</v>
      </c>
      <c r="G20" s="2">
        <f>[2]transit_hub!C20</f>
        <v>911.61962900000003</v>
      </c>
      <c r="I20" s="4">
        <f>Table_socioeca8.sandag.org_abm2_trh[[#This Row],[scenario_id]]</f>
        <v>376</v>
      </c>
      <c r="J20" s="4">
        <f>Table_socioeca8.sandag.org_abm2_trh[[#This Row],[Hubid]]</f>
        <v>27</v>
      </c>
      <c r="K20" s="2">
        <f>Table_socioeca8.sandag.org_abm2_trh[[#This Row],[total_boardings]]</f>
        <v>911.61962900000003</v>
      </c>
      <c r="M20"/>
      <c r="N20"/>
      <c r="O20"/>
      <c r="P20"/>
      <c r="Q20"/>
      <c r="R20"/>
      <c r="S20"/>
      <c r="T20"/>
      <c r="U20"/>
      <c r="V20"/>
    </row>
    <row r="21" spans="5:22" x14ac:dyDescent="0.25">
      <c r="E21" s="4">
        <f>[2]transit_hub!A21</f>
        <v>376</v>
      </c>
      <c r="F21" s="4">
        <f>[2]transit_hub!B21</f>
        <v>8</v>
      </c>
      <c r="G21" s="2">
        <f>[2]transit_hub!C21</f>
        <v>3582.6720129999999</v>
      </c>
      <c r="I21" s="4">
        <f>Table_socioeca8.sandag.org_abm2_trh[[#This Row],[scenario_id]]</f>
        <v>376</v>
      </c>
      <c r="J21" s="4">
        <f>Table_socioeca8.sandag.org_abm2_trh[[#This Row],[Hubid]]</f>
        <v>8</v>
      </c>
      <c r="K21" s="2">
        <f>Table_socioeca8.sandag.org_abm2_trh[[#This Row],[total_boardings]]</f>
        <v>3582.6720129999999</v>
      </c>
      <c r="M21"/>
      <c r="N21"/>
      <c r="O21"/>
      <c r="P21"/>
      <c r="Q21"/>
      <c r="R21"/>
      <c r="S21"/>
      <c r="T21"/>
      <c r="U21"/>
      <c r="V21"/>
    </row>
    <row r="22" spans="5:22" x14ac:dyDescent="0.25">
      <c r="E22" s="4">
        <f>[2]transit_hub!A22</f>
        <v>376</v>
      </c>
      <c r="F22" s="4">
        <f>[2]transit_hub!B22</f>
        <v>25</v>
      </c>
      <c r="G22" s="2">
        <f>[2]transit_hub!C22</f>
        <v>1308.6089549999999</v>
      </c>
      <c r="I22" s="4">
        <f>Table_socioeca8.sandag.org_abm2_trh[[#This Row],[scenario_id]]</f>
        <v>376</v>
      </c>
      <c r="J22" s="4">
        <f>Table_socioeca8.sandag.org_abm2_trh[[#This Row],[Hubid]]</f>
        <v>25</v>
      </c>
      <c r="K22" s="2">
        <f>Table_socioeca8.sandag.org_abm2_trh[[#This Row],[total_boardings]]</f>
        <v>1308.6089549999999</v>
      </c>
      <c r="M22"/>
      <c r="N22"/>
      <c r="O22"/>
      <c r="P22"/>
      <c r="Q22"/>
      <c r="R22"/>
      <c r="S22"/>
      <c r="T22"/>
      <c r="U22"/>
      <c r="V22"/>
    </row>
    <row r="23" spans="5:22" x14ac:dyDescent="0.25">
      <c r="E23" s="4">
        <f>[2]transit_hub!A23</f>
        <v>376</v>
      </c>
      <c r="F23" s="4">
        <f>[2]transit_hub!B23</f>
        <v>17</v>
      </c>
      <c r="G23" s="2">
        <f>[2]transit_hub!C23</f>
        <v>67</v>
      </c>
      <c r="I23" s="4">
        <f>Table_socioeca8.sandag.org_abm2_trh[[#This Row],[scenario_id]]</f>
        <v>376</v>
      </c>
      <c r="J23" s="4">
        <f>Table_socioeca8.sandag.org_abm2_trh[[#This Row],[Hubid]]</f>
        <v>17</v>
      </c>
      <c r="K23" s="2">
        <f>Table_socioeca8.sandag.org_abm2_trh[[#This Row],[total_boardings]]</f>
        <v>67</v>
      </c>
      <c r="M23"/>
      <c r="N23"/>
      <c r="O23"/>
      <c r="P23"/>
      <c r="Q23"/>
      <c r="R23"/>
      <c r="S23"/>
      <c r="T23"/>
      <c r="U23"/>
      <c r="V23"/>
    </row>
    <row r="24" spans="5:22" x14ac:dyDescent="0.25">
      <c r="E24" s="4">
        <f>[2]transit_hub!A24</f>
        <v>376</v>
      </c>
      <c r="F24" s="4">
        <f>[2]transit_hub!B24</f>
        <v>6</v>
      </c>
      <c r="G24" s="2">
        <f>[2]transit_hub!C24</f>
        <v>5355.3511120000003</v>
      </c>
      <c r="I24" s="4">
        <f>Table_socioeca8.sandag.org_abm2_trh[[#This Row],[scenario_id]]</f>
        <v>376</v>
      </c>
      <c r="J24" s="4">
        <f>Table_socioeca8.sandag.org_abm2_trh[[#This Row],[Hubid]]</f>
        <v>6</v>
      </c>
      <c r="K24" s="2">
        <f>Table_socioeca8.sandag.org_abm2_trh[[#This Row],[total_boardings]]</f>
        <v>5355.3511120000003</v>
      </c>
      <c r="M24"/>
      <c r="N24"/>
      <c r="O24"/>
      <c r="P24"/>
      <c r="Q24"/>
      <c r="R24"/>
      <c r="S24"/>
      <c r="T24"/>
      <c r="U24"/>
      <c r="V24"/>
    </row>
    <row r="25" spans="5:22" x14ac:dyDescent="0.25">
      <c r="E25" s="4">
        <f>[2]transit_hub!A25</f>
        <v>376</v>
      </c>
      <c r="F25" s="4">
        <f>[2]transit_hub!B25</f>
        <v>21</v>
      </c>
      <c r="G25" s="2">
        <f>[2]transit_hub!C25</f>
        <v>1862.7914060000001</v>
      </c>
      <c r="I25" s="4">
        <f>Table_socioeca8.sandag.org_abm2_trh[[#This Row],[scenario_id]]</f>
        <v>376</v>
      </c>
      <c r="J25" s="4">
        <f>Table_socioeca8.sandag.org_abm2_trh[[#This Row],[Hubid]]</f>
        <v>21</v>
      </c>
      <c r="K25" s="2">
        <f>Table_socioeca8.sandag.org_abm2_trh[[#This Row],[total_boardings]]</f>
        <v>1862.7914060000001</v>
      </c>
      <c r="M25"/>
      <c r="N25"/>
      <c r="O25"/>
      <c r="P25"/>
      <c r="Q25"/>
      <c r="R25"/>
      <c r="S25"/>
      <c r="T25"/>
      <c r="U25"/>
      <c r="V25"/>
    </row>
    <row r="26" spans="5:22" x14ac:dyDescent="0.25">
      <c r="E26" s="4">
        <f>[2]transit_hub!A26</f>
        <v>376</v>
      </c>
      <c r="F26" s="4">
        <f>[2]transit_hub!B26</f>
        <v>28</v>
      </c>
      <c r="G26" s="2">
        <f>[2]transit_hub!C26</f>
        <v>400.08003100000002</v>
      </c>
      <c r="I26" s="4">
        <f>Table_socioeca8.sandag.org_abm2_trh[[#This Row],[scenario_id]]</f>
        <v>376</v>
      </c>
      <c r="J26" s="4">
        <f>Table_socioeca8.sandag.org_abm2_trh[[#This Row],[Hubid]]</f>
        <v>28</v>
      </c>
      <c r="K26" s="2">
        <f>Table_socioeca8.sandag.org_abm2_trh[[#This Row],[total_boardings]]</f>
        <v>400.08003100000002</v>
      </c>
      <c r="M26"/>
      <c r="N26"/>
      <c r="O26"/>
      <c r="P26"/>
      <c r="Q26"/>
      <c r="R26"/>
      <c r="S26"/>
      <c r="T26"/>
      <c r="U26"/>
      <c r="V26"/>
    </row>
    <row r="27" spans="5:22" x14ac:dyDescent="0.25">
      <c r="E27" s="4">
        <f>[2]transit_hub!A27</f>
        <v>376</v>
      </c>
      <c r="F27" s="4">
        <f>[2]transit_hub!B27</f>
        <v>14</v>
      </c>
      <c r="G27" s="2">
        <f>[2]transit_hub!C27</f>
        <v>4290.3804879999998</v>
      </c>
      <c r="I27" s="4">
        <f>Table_socioeca8.sandag.org_abm2_trh[[#This Row],[scenario_id]]</f>
        <v>376</v>
      </c>
      <c r="J27" s="4">
        <f>Table_socioeca8.sandag.org_abm2_trh[[#This Row],[Hubid]]</f>
        <v>14</v>
      </c>
      <c r="K27" s="2">
        <f>Table_socioeca8.sandag.org_abm2_trh[[#This Row],[total_boardings]]</f>
        <v>4290.3804879999998</v>
      </c>
      <c r="M27"/>
      <c r="N27"/>
      <c r="O27"/>
      <c r="P27"/>
      <c r="Q27"/>
      <c r="R27"/>
      <c r="S27"/>
      <c r="T27"/>
      <c r="U27"/>
      <c r="V27"/>
    </row>
    <row r="28" spans="5:22" x14ac:dyDescent="0.25">
      <c r="E28" s="4">
        <f>[2]transit_hub!A28</f>
        <v>376</v>
      </c>
      <c r="F28" s="4">
        <f>[2]transit_hub!B28</f>
        <v>10</v>
      </c>
      <c r="G28" s="2">
        <f>[2]transit_hub!C28</f>
        <v>10173.496080000001</v>
      </c>
      <c r="I28" s="4">
        <f>Table_socioeca8.sandag.org_abm2_trh[[#This Row],[scenario_id]]</f>
        <v>376</v>
      </c>
      <c r="J28" s="4">
        <f>Table_socioeca8.sandag.org_abm2_trh[[#This Row],[Hubid]]</f>
        <v>10</v>
      </c>
      <c r="K28" s="2">
        <f>Table_socioeca8.sandag.org_abm2_trh[[#This Row],[total_boardings]]</f>
        <v>10173.496080000001</v>
      </c>
      <c r="M28"/>
      <c r="N28"/>
      <c r="O28"/>
      <c r="P28"/>
      <c r="Q28"/>
      <c r="R28"/>
      <c r="S28"/>
      <c r="T28"/>
      <c r="U28"/>
      <c r="V28"/>
    </row>
    <row r="29" spans="5:22" x14ac:dyDescent="0.25">
      <c r="E29" s="4">
        <f>[2]transit_hub!A29</f>
        <v>376</v>
      </c>
      <c r="F29" s="4">
        <f>[2]transit_hub!B29</f>
        <v>20</v>
      </c>
      <c r="G29" s="2">
        <f>[2]transit_hub!C29</f>
        <v>1847.5870749999999</v>
      </c>
      <c r="I29" s="4">
        <f>Table_socioeca8.sandag.org_abm2_trh[[#This Row],[scenario_id]]</f>
        <v>376</v>
      </c>
      <c r="J29" s="4">
        <f>Table_socioeca8.sandag.org_abm2_trh[[#This Row],[Hubid]]</f>
        <v>20</v>
      </c>
      <c r="K29" s="2">
        <f>Table_socioeca8.sandag.org_abm2_trh[[#This Row],[total_boardings]]</f>
        <v>1847.5870749999999</v>
      </c>
      <c r="M29"/>
      <c r="N29"/>
      <c r="O29"/>
      <c r="P29"/>
      <c r="Q29"/>
      <c r="R29"/>
      <c r="S29"/>
      <c r="T29"/>
      <c r="U29"/>
      <c r="V29"/>
    </row>
    <row r="30" spans="5:22" x14ac:dyDescent="0.25">
      <c r="E30" s="4">
        <f>[2]transit_hub!A30</f>
        <v>376</v>
      </c>
      <c r="F30" s="4">
        <f>[2]transit_hub!B30</f>
        <v>7</v>
      </c>
      <c r="G30" s="2">
        <f>[2]transit_hub!C30</f>
        <v>6309.9335849999998</v>
      </c>
      <c r="I30" s="4">
        <f>Table_socioeca8.sandag.org_abm2_trh[[#This Row],[scenario_id]]</f>
        <v>376</v>
      </c>
      <c r="J30" s="4">
        <f>Table_socioeca8.sandag.org_abm2_trh[[#This Row],[Hubid]]</f>
        <v>7</v>
      </c>
      <c r="K30" s="2">
        <f>Table_socioeca8.sandag.org_abm2_trh[[#This Row],[total_boardings]]</f>
        <v>6309.9335849999998</v>
      </c>
      <c r="M30"/>
      <c r="N30"/>
      <c r="O30"/>
      <c r="P30"/>
      <c r="Q30"/>
      <c r="R30"/>
      <c r="S30"/>
      <c r="T30"/>
      <c r="U30"/>
      <c r="V30"/>
    </row>
    <row r="31" spans="5:22" x14ac:dyDescent="0.25">
      <c r="M31"/>
      <c r="N31"/>
      <c r="O31"/>
      <c r="P31"/>
      <c r="Q31"/>
      <c r="R31"/>
      <c r="S31"/>
      <c r="T31"/>
      <c r="U31"/>
      <c r="V31"/>
    </row>
    <row r="32" spans="5:22" x14ac:dyDescent="0.25">
      <c r="M32"/>
      <c r="N32"/>
      <c r="O32"/>
      <c r="P32"/>
      <c r="Q32"/>
      <c r="R32"/>
      <c r="S32"/>
      <c r="T32"/>
      <c r="U32"/>
      <c r="V32"/>
    </row>
    <row r="33" spans="13:22" x14ac:dyDescent="0.25">
      <c r="M33"/>
      <c r="N33"/>
      <c r="O33"/>
      <c r="P33"/>
      <c r="Q33"/>
      <c r="R33"/>
      <c r="S33"/>
      <c r="T33"/>
      <c r="U33"/>
      <c r="V33"/>
    </row>
    <row r="34" spans="13:22" x14ac:dyDescent="0.25">
      <c r="M34"/>
      <c r="N34"/>
      <c r="O34"/>
      <c r="P34"/>
      <c r="Q34"/>
      <c r="R34"/>
      <c r="S34"/>
      <c r="T34"/>
      <c r="U34"/>
      <c r="V34"/>
    </row>
    <row r="35" spans="13:22" x14ac:dyDescent="0.25">
      <c r="M35"/>
      <c r="N35"/>
      <c r="O35"/>
      <c r="P35"/>
      <c r="Q35"/>
      <c r="R35"/>
      <c r="S35"/>
      <c r="T35"/>
      <c r="U35"/>
      <c r="V35"/>
    </row>
    <row r="36" spans="13:22" x14ac:dyDescent="0.25">
      <c r="M36"/>
      <c r="N36"/>
      <c r="O36"/>
      <c r="P36"/>
      <c r="Q36"/>
      <c r="R36"/>
      <c r="S36"/>
      <c r="T36"/>
      <c r="U36"/>
      <c r="V36"/>
    </row>
    <row r="37" spans="13:22" x14ac:dyDescent="0.25">
      <c r="M37"/>
      <c r="N37"/>
      <c r="O37"/>
      <c r="P37"/>
      <c r="Q37"/>
      <c r="R37"/>
      <c r="S37"/>
      <c r="T37"/>
      <c r="U37"/>
      <c r="V37"/>
    </row>
    <row r="38" spans="13:22" x14ac:dyDescent="0.25">
      <c r="M38"/>
      <c r="N38"/>
      <c r="O38"/>
      <c r="P38"/>
      <c r="Q38"/>
      <c r="R38"/>
      <c r="S38"/>
      <c r="T38"/>
      <c r="U38"/>
      <c r="V38"/>
    </row>
    <row r="39" spans="13:22" x14ac:dyDescent="0.25">
      <c r="M39"/>
      <c r="N39"/>
      <c r="O39"/>
      <c r="P39"/>
      <c r="Q39"/>
      <c r="R39"/>
      <c r="S39"/>
      <c r="T39"/>
      <c r="U39"/>
      <c r="V39"/>
    </row>
    <row r="40" spans="13:22" x14ac:dyDescent="0.25">
      <c r="M40"/>
      <c r="N40"/>
      <c r="O40"/>
      <c r="P40"/>
      <c r="Q40"/>
      <c r="R40"/>
      <c r="S40"/>
      <c r="T40"/>
      <c r="U40"/>
      <c r="V40"/>
    </row>
    <row r="41" spans="13:22" x14ac:dyDescent="0.25">
      <c r="M41"/>
      <c r="N41"/>
      <c r="O41"/>
      <c r="P41"/>
      <c r="Q41"/>
      <c r="R41"/>
      <c r="S41"/>
      <c r="T41"/>
      <c r="U41"/>
      <c r="V41"/>
    </row>
    <row r="42" spans="13:22" x14ac:dyDescent="0.25">
      <c r="M42"/>
      <c r="N42"/>
      <c r="O42"/>
      <c r="P42"/>
      <c r="Q42"/>
      <c r="R42"/>
      <c r="S42"/>
      <c r="T42"/>
      <c r="U42"/>
      <c r="V42"/>
    </row>
    <row r="43" spans="13:22" x14ac:dyDescent="0.25">
      <c r="M43"/>
      <c r="N43"/>
      <c r="O43"/>
      <c r="P43"/>
      <c r="Q43"/>
      <c r="R43"/>
      <c r="S43"/>
      <c r="T43"/>
      <c r="U43"/>
      <c r="V43"/>
    </row>
    <row r="44" spans="13:22" x14ac:dyDescent="0.25">
      <c r="M44"/>
      <c r="N44"/>
      <c r="O44"/>
      <c r="P44"/>
      <c r="Q44"/>
      <c r="R44"/>
      <c r="S44"/>
      <c r="T44"/>
      <c r="U44"/>
      <c r="V44"/>
    </row>
    <row r="45" spans="13:22" x14ac:dyDescent="0.25">
      <c r="M45"/>
      <c r="N45"/>
      <c r="O45"/>
      <c r="P45"/>
      <c r="Q45"/>
      <c r="R45"/>
      <c r="S45"/>
      <c r="T45"/>
      <c r="U45"/>
      <c r="V45"/>
    </row>
    <row r="46" spans="13:22" x14ac:dyDescent="0.25">
      <c r="M46"/>
      <c r="N46"/>
      <c r="O46"/>
      <c r="P46"/>
      <c r="Q46"/>
      <c r="R46"/>
      <c r="S46"/>
      <c r="T46"/>
      <c r="U46"/>
      <c r="V46"/>
    </row>
    <row r="47" spans="13:22" x14ac:dyDescent="0.25">
      <c r="M47"/>
      <c r="N47"/>
      <c r="O47"/>
      <c r="P47"/>
      <c r="Q47"/>
      <c r="R47"/>
      <c r="S47"/>
      <c r="T47"/>
      <c r="U47"/>
      <c r="V47"/>
    </row>
    <row r="48" spans="13:22" x14ac:dyDescent="0.25">
      <c r="M48"/>
      <c r="N48"/>
      <c r="O48"/>
      <c r="P48"/>
      <c r="Q48"/>
      <c r="R48"/>
      <c r="S48"/>
      <c r="T48"/>
      <c r="U48"/>
      <c r="V48"/>
    </row>
    <row r="49" spans="13:22" x14ac:dyDescent="0.25">
      <c r="M49"/>
      <c r="N49"/>
      <c r="O49"/>
      <c r="P49"/>
      <c r="Q49"/>
      <c r="R49"/>
      <c r="S49"/>
      <c r="T49"/>
      <c r="U49"/>
      <c r="V49"/>
    </row>
    <row r="50" spans="13:22" x14ac:dyDescent="0.25">
      <c r="M50"/>
      <c r="N50"/>
      <c r="O50"/>
      <c r="P50"/>
      <c r="Q50"/>
      <c r="R50"/>
      <c r="S50"/>
      <c r="T50"/>
      <c r="U50"/>
      <c r="V50"/>
    </row>
    <row r="51" spans="13:22" x14ac:dyDescent="0.25">
      <c r="M51"/>
      <c r="N51"/>
      <c r="O51"/>
      <c r="P51"/>
      <c r="Q51"/>
      <c r="R51"/>
      <c r="S51"/>
      <c r="T51"/>
      <c r="U51"/>
      <c r="V51"/>
    </row>
    <row r="52" spans="13:22" x14ac:dyDescent="0.25">
      <c r="M52"/>
      <c r="N52"/>
      <c r="O52"/>
      <c r="P52"/>
      <c r="Q52"/>
      <c r="R52"/>
      <c r="S52"/>
      <c r="T52"/>
      <c r="U52"/>
      <c r="V52"/>
    </row>
    <row r="53" spans="13:22" x14ac:dyDescent="0.25">
      <c r="M53"/>
      <c r="N53"/>
      <c r="O53"/>
      <c r="P53"/>
      <c r="Q53"/>
      <c r="R53"/>
      <c r="S53"/>
      <c r="T53"/>
      <c r="U53"/>
      <c r="V53"/>
    </row>
    <row r="54" spans="13:22" x14ac:dyDescent="0.25">
      <c r="M54"/>
      <c r="N54"/>
      <c r="O54"/>
      <c r="P54"/>
      <c r="Q54"/>
      <c r="R54"/>
      <c r="S54"/>
      <c r="T54"/>
      <c r="U54"/>
      <c r="V54"/>
    </row>
    <row r="55" spans="13:22" x14ac:dyDescent="0.25">
      <c r="M55"/>
      <c r="N55"/>
      <c r="O55"/>
      <c r="P55"/>
      <c r="Q55"/>
      <c r="R55"/>
      <c r="S55"/>
      <c r="T55"/>
      <c r="U55"/>
      <c r="V55"/>
    </row>
    <row r="56" spans="13:22" x14ac:dyDescent="0.25">
      <c r="M56"/>
      <c r="N56"/>
      <c r="O56"/>
      <c r="P56"/>
      <c r="Q56"/>
      <c r="R56"/>
      <c r="S56"/>
      <c r="T56"/>
      <c r="U56"/>
      <c r="V56"/>
    </row>
    <row r="57" spans="13:22" x14ac:dyDescent="0.25">
      <c r="M57"/>
      <c r="N57"/>
      <c r="O57"/>
      <c r="P57"/>
      <c r="Q57"/>
      <c r="R57"/>
      <c r="S57"/>
      <c r="T57"/>
      <c r="U57"/>
      <c r="V57"/>
    </row>
    <row r="58" spans="13:22" x14ac:dyDescent="0.25">
      <c r="M58"/>
      <c r="N58"/>
      <c r="O58"/>
      <c r="P58"/>
      <c r="Q58"/>
      <c r="R58"/>
      <c r="S58"/>
      <c r="T58"/>
      <c r="U58"/>
      <c r="V58"/>
    </row>
    <row r="59" spans="13:22" x14ac:dyDescent="0.25">
      <c r="M59"/>
      <c r="N59"/>
      <c r="O59"/>
      <c r="P59"/>
      <c r="Q59"/>
      <c r="R59"/>
      <c r="S59"/>
      <c r="T59"/>
      <c r="U59"/>
      <c r="V59"/>
    </row>
    <row r="60" spans="13:22" x14ac:dyDescent="0.25">
      <c r="M60"/>
      <c r="N60"/>
      <c r="O60"/>
      <c r="P60"/>
      <c r="Q60"/>
      <c r="R60"/>
      <c r="S60"/>
      <c r="T60"/>
      <c r="U60"/>
      <c r="V60"/>
    </row>
    <row r="61" spans="13:22" x14ac:dyDescent="0.25">
      <c r="M61"/>
      <c r="N61"/>
      <c r="O61"/>
      <c r="P61"/>
      <c r="Q61"/>
      <c r="R61"/>
      <c r="S61"/>
      <c r="T61"/>
      <c r="U61"/>
      <c r="V61"/>
    </row>
    <row r="62" spans="13:22" x14ac:dyDescent="0.25">
      <c r="M62"/>
      <c r="N62"/>
      <c r="O62"/>
      <c r="P62"/>
      <c r="Q62"/>
      <c r="R62"/>
      <c r="S62"/>
      <c r="T62"/>
      <c r="U62"/>
      <c r="V62"/>
    </row>
    <row r="63" spans="13:22" x14ac:dyDescent="0.25">
      <c r="M63"/>
      <c r="N63"/>
      <c r="O63"/>
      <c r="P63"/>
      <c r="Q63"/>
      <c r="R63"/>
      <c r="S63"/>
      <c r="T63"/>
      <c r="U63"/>
      <c r="V63"/>
    </row>
    <row r="64" spans="13:22" x14ac:dyDescent="0.25">
      <c r="M64"/>
      <c r="N64"/>
      <c r="O64"/>
      <c r="P64"/>
      <c r="Q64"/>
      <c r="R64"/>
      <c r="S64"/>
      <c r="T64"/>
      <c r="U64"/>
      <c r="V64"/>
    </row>
    <row r="65" spans="13:22" x14ac:dyDescent="0.25">
      <c r="M65"/>
      <c r="N65"/>
      <c r="O65"/>
      <c r="P65"/>
      <c r="Q65"/>
      <c r="R65"/>
      <c r="S65"/>
      <c r="T65"/>
      <c r="U65"/>
      <c r="V65"/>
    </row>
    <row r="66" spans="13:22" x14ac:dyDescent="0.25">
      <c r="M66"/>
      <c r="N66"/>
      <c r="O66"/>
      <c r="P66"/>
      <c r="Q66"/>
      <c r="R66"/>
      <c r="S66"/>
      <c r="T66"/>
      <c r="U66"/>
      <c r="V66"/>
    </row>
    <row r="67" spans="13:22" x14ac:dyDescent="0.25">
      <c r="M67"/>
      <c r="N67"/>
      <c r="O67"/>
      <c r="P67"/>
      <c r="Q67"/>
      <c r="R67"/>
      <c r="S67"/>
      <c r="T67"/>
      <c r="U67"/>
      <c r="V67"/>
    </row>
    <row r="68" spans="13:22" x14ac:dyDescent="0.25">
      <c r="M68"/>
      <c r="N68"/>
      <c r="O68"/>
      <c r="P68"/>
      <c r="Q68"/>
      <c r="R68"/>
      <c r="S68"/>
      <c r="T68"/>
      <c r="U68"/>
      <c r="V68"/>
    </row>
    <row r="69" spans="13:22" x14ac:dyDescent="0.25">
      <c r="M69"/>
      <c r="N69"/>
      <c r="O69"/>
      <c r="P69"/>
      <c r="Q69"/>
      <c r="R69"/>
      <c r="S69"/>
      <c r="T69"/>
      <c r="U69"/>
      <c r="V69"/>
    </row>
    <row r="70" spans="13:22" x14ac:dyDescent="0.25">
      <c r="M70"/>
      <c r="N70"/>
      <c r="O70"/>
      <c r="P70"/>
      <c r="Q70"/>
      <c r="R70"/>
      <c r="S70"/>
      <c r="T70"/>
      <c r="U70"/>
      <c r="V70"/>
    </row>
    <row r="71" spans="13:22" x14ac:dyDescent="0.25">
      <c r="M71"/>
      <c r="N71"/>
      <c r="O71"/>
      <c r="P71"/>
      <c r="Q71"/>
      <c r="R71"/>
      <c r="S71"/>
      <c r="T71"/>
      <c r="U71"/>
      <c r="V71"/>
    </row>
    <row r="72" spans="13:22" x14ac:dyDescent="0.25">
      <c r="M72"/>
      <c r="N72"/>
      <c r="O72"/>
      <c r="P72"/>
      <c r="Q72"/>
      <c r="R72"/>
      <c r="S72"/>
      <c r="T72"/>
      <c r="U72"/>
      <c r="V72"/>
    </row>
    <row r="73" spans="13:22" x14ac:dyDescent="0.25">
      <c r="M73"/>
      <c r="N73"/>
      <c r="O73"/>
      <c r="P73"/>
      <c r="Q73"/>
      <c r="R73"/>
      <c r="S73"/>
      <c r="T73"/>
      <c r="U73"/>
      <c r="V73"/>
    </row>
    <row r="74" spans="13:22" x14ac:dyDescent="0.25">
      <c r="M74"/>
      <c r="N74"/>
      <c r="O74"/>
      <c r="P74"/>
      <c r="Q74"/>
      <c r="R74"/>
      <c r="S74"/>
      <c r="T74"/>
      <c r="U74"/>
      <c r="V74"/>
    </row>
    <row r="75" spans="13:22" x14ac:dyDescent="0.25">
      <c r="M75"/>
      <c r="N75"/>
      <c r="O75"/>
      <c r="P75"/>
      <c r="Q75"/>
      <c r="R75"/>
      <c r="S75"/>
      <c r="T75"/>
      <c r="U75"/>
      <c r="V75"/>
    </row>
    <row r="76" spans="13:22" x14ac:dyDescent="0.25">
      <c r="M76"/>
      <c r="N76"/>
      <c r="O76"/>
      <c r="P76"/>
      <c r="Q76"/>
      <c r="R76"/>
      <c r="S76"/>
      <c r="T76"/>
      <c r="U76"/>
      <c r="V76"/>
    </row>
    <row r="77" spans="13:22" x14ac:dyDescent="0.25">
      <c r="M77"/>
      <c r="N77"/>
      <c r="O77"/>
      <c r="P77"/>
      <c r="Q77"/>
      <c r="R77"/>
      <c r="S77"/>
      <c r="T77"/>
      <c r="U77"/>
      <c r="V77"/>
    </row>
    <row r="78" spans="13:22" x14ac:dyDescent="0.25">
      <c r="M78"/>
      <c r="N78"/>
      <c r="O78"/>
      <c r="P78"/>
      <c r="Q78"/>
      <c r="R78"/>
      <c r="S78"/>
      <c r="T78"/>
      <c r="U78"/>
      <c r="V78"/>
    </row>
    <row r="79" spans="13:22" x14ac:dyDescent="0.25">
      <c r="M79"/>
      <c r="N79"/>
      <c r="O79"/>
      <c r="P79"/>
      <c r="Q79"/>
      <c r="R79"/>
      <c r="S79"/>
      <c r="T79"/>
      <c r="U79"/>
      <c r="V79"/>
    </row>
    <row r="80" spans="13:22" x14ac:dyDescent="0.25">
      <c r="M80"/>
      <c r="N80"/>
      <c r="O80"/>
      <c r="P80"/>
      <c r="Q80"/>
      <c r="R80"/>
      <c r="S80"/>
      <c r="T80"/>
      <c r="U80"/>
      <c r="V80"/>
    </row>
    <row r="81" spans="13:22" x14ac:dyDescent="0.25">
      <c r="M81"/>
      <c r="N81"/>
      <c r="O81"/>
      <c r="P81"/>
      <c r="Q81"/>
      <c r="R81"/>
      <c r="S81"/>
      <c r="T81"/>
      <c r="U81"/>
      <c r="V81"/>
    </row>
    <row r="82" spans="13:22" x14ac:dyDescent="0.25">
      <c r="M82"/>
      <c r="N82"/>
      <c r="O82"/>
      <c r="P82"/>
      <c r="Q82"/>
      <c r="R82"/>
      <c r="S82"/>
      <c r="T82"/>
      <c r="U82"/>
      <c r="V82"/>
    </row>
    <row r="83" spans="13:22" x14ac:dyDescent="0.25">
      <c r="M83"/>
      <c r="N83"/>
      <c r="O83"/>
      <c r="P83"/>
      <c r="Q83"/>
      <c r="R83"/>
      <c r="S83"/>
      <c r="T83"/>
      <c r="U83"/>
      <c r="V83"/>
    </row>
    <row r="84" spans="13:22" x14ac:dyDescent="0.25">
      <c r="M84"/>
      <c r="N84"/>
      <c r="O84"/>
      <c r="P84"/>
      <c r="Q84"/>
      <c r="R84"/>
      <c r="S84"/>
      <c r="T84"/>
      <c r="U84"/>
      <c r="V84"/>
    </row>
    <row r="85" spans="13:22" x14ac:dyDescent="0.25">
      <c r="M85"/>
      <c r="N85"/>
      <c r="O85"/>
      <c r="P85"/>
      <c r="Q85"/>
      <c r="R85"/>
      <c r="S85"/>
      <c r="T85"/>
      <c r="U85"/>
      <c r="V85"/>
    </row>
    <row r="86" spans="13:22" x14ac:dyDescent="0.25">
      <c r="M86"/>
      <c r="N86"/>
      <c r="O86"/>
      <c r="P86"/>
      <c r="Q86"/>
      <c r="R86"/>
      <c r="S86"/>
      <c r="T86"/>
      <c r="U86"/>
      <c r="V86"/>
    </row>
    <row r="87" spans="13:22" x14ac:dyDescent="0.25">
      <c r="M87"/>
      <c r="N87"/>
      <c r="O87"/>
      <c r="P87"/>
      <c r="Q87"/>
      <c r="R87"/>
      <c r="S87"/>
      <c r="T87"/>
      <c r="U87"/>
      <c r="V87"/>
    </row>
    <row r="88" spans="13:22" x14ac:dyDescent="0.25">
      <c r="M88"/>
      <c r="N88"/>
      <c r="O88"/>
      <c r="P88"/>
      <c r="Q88"/>
      <c r="R88"/>
      <c r="S88"/>
      <c r="T88"/>
      <c r="U88"/>
      <c r="V88"/>
    </row>
    <row r="89" spans="13:22" x14ac:dyDescent="0.25">
      <c r="M89"/>
      <c r="N89"/>
      <c r="O89"/>
      <c r="P89"/>
      <c r="Q89"/>
      <c r="R89"/>
      <c r="S89"/>
      <c r="T89"/>
      <c r="U89"/>
      <c r="V89"/>
    </row>
    <row r="90" spans="13:22" x14ac:dyDescent="0.25">
      <c r="M90"/>
      <c r="N90"/>
      <c r="O90"/>
      <c r="P90"/>
      <c r="Q90"/>
      <c r="R90"/>
      <c r="S90"/>
      <c r="T90"/>
      <c r="U90"/>
      <c r="V90"/>
    </row>
    <row r="91" spans="13:22" x14ac:dyDescent="0.25">
      <c r="M91"/>
      <c r="N91"/>
      <c r="O91"/>
      <c r="P91"/>
      <c r="Q91"/>
      <c r="R91"/>
      <c r="S91"/>
      <c r="T91"/>
      <c r="U91"/>
      <c r="V91"/>
    </row>
    <row r="92" spans="13:22" x14ac:dyDescent="0.25">
      <c r="M92"/>
      <c r="N92"/>
      <c r="O92"/>
      <c r="P92"/>
      <c r="Q92"/>
      <c r="R92"/>
      <c r="S92"/>
      <c r="T92"/>
      <c r="U92"/>
      <c r="V92"/>
    </row>
    <row r="93" spans="13:22" x14ac:dyDescent="0.25">
      <c r="M93"/>
      <c r="N93"/>
      <c r="O93"/>
      <c r="P93"/>
      <c r="Q93"/>
      <c r="R93"/>
      <c r="S93"/>
      <c r="T93"/>
      <c r="U93"/>
      <c r="V93"/>
    </row>
    <row r="94" spans="13:22" x14ac:dyDescent="0.25">
      <c r="M94"/>
      <c r="N94"/>
      <c r="O94"/>
      <c r="P94"/>
      <c r="Q94"/>
      <c r="R94"/>
      <c r="S94"/>
      <c r="T94"/>
      <c r="U94"/>
      <c r="V94"/>
    </row>
    <row r="95" spans="13:22" x14ac:dyDescent="0.25">
      <c r="M95"/>
      <c r="N95"/>
      <c r="O95"/>
      <c r="P95"/>
      <c r="Q95"/>
      <c r="R95"/>
      <c r="S95"/>
      <c r="T95"/>
      <c r="U95"/>
      <c r="V95"/>
    </row>
    <row r="96" spans="13:22" x14ac:dyDescent="0.25">
      <c r="M96"/>
      <c r="N96"/>
      <c r="O96"/>
      <c r="P96"/>
      <c r="Q96"/>
      <c r="R96"/>
      <c r="S96"/>
      <c r="T96"/>
      <c r="U96"/>
      <c r="V96"/>
    </row>
    <row r="97" spans="13:22" x14ac:dyDescent="0.25">
      <c r="M97"/>
      <c r="N97"/>
      <c r="O97"/>
      <c r="P97"/>
      <c r="Q97"/>
      <c r="R97"/>
      <c r="S97"/>
      <c r="T97"/>
      <c r="U97"/>
      <c r="V97"/>
    </row>
    <row r="98" spans="13:22" x14ac:dyDescent="0.25">
      <c r="M98"/>
      <c r="N98"/>
      <c r="O98"/>
      <c r="P98"/>
      <c r="Q98"/>
      <c r="R98"/>
      <c r="S98"/>
      <c r="T98"/>
      <c r="U98"/>
      <c r="V98"/>
    </row>
    <row r="99" spans="13:22" x14ac:dyDescent="0.25">
      <c r="M99"/>
      <c r="N99"/>
      <c r="O99"/>
      <c r="P99"/>
      <c r="Q99"/>
      <c r="R99"/>
      <c r="S99"/>
      <c r="T99"/>
      <c r="U99"/>
      <c r="V99"/>
    </row>
    <row r="100" spans="13:22" x14ac:dyDescent="0.25">
      <c r="M100"/>
      <c r="N100"/>
      <c r="O100"/>
      <c r="P100"/>
      <c r="Q100"/>
      <c r="R100"/>
      <c r="S100"/>
      <c r="T100"/>
      <c r="U100"/>
      <c r="V100"/>
    </row>
    <row r="101" spans="13:22" x14ac:dyDescent="0.25">
      <c r="M101"/>
      <c r="N101"/>
      <c r="O101"/>
      <c r="P101"/>
      <c r="Q101"/>
      <c r="R101"/>
      <c r="S101"/>
      <c r="T101"/>
      <c r="U101"/>
      <c r="V101"/>
    </row>
    <row r="102" spans="13:22" x14ac:dyDescent="0.25">
      <c r="M102"/>
      <c r="N102"/>
      <c r="O102"/>
      <c r="P102"/>
      <c r="Q102"/>
      <c r="R102"/>
      <c r="S102"/>
      <c r="T102"/>
      <c r="U102"/>
      <c r="V102"/>
    </row>
    <row r="103" spans="13:22" x14ac:dyDescent="0.25">
      <c r="M103"/>
      <c r="N103"/>
      <c r="O103"/>
      <c r="P103"/>
      <c r="Q103"/>
      <c r="R103"/>
      <c r="S103"/>
      <c r="T103"/>
      <c r="U103"/>
      <c r="V103"/>
    </row>
    <row r="104" spans="13:22" x14ac:dyDescent="0.25">
      <c r="M104"/>
      <c r="N104"/>
      <c r="O104"/>
      <c r="P104"/>
      <c r="Q104"/>
      <c r="R104"/>
      <c r="S104"/>
      <c r="T104"/>
      <c r="U104"/>
      <c r="V104"/>
    </row>
    <row r="105" spans="13:22" x14ac:dyDescent="0.25">
      <c r="M105"/>
      <c r="N105"/>
      <c r="O105"/>
      <c r="P105"/>
      <c r="Q105"/>
      <c r="R105"/>
      <c r="S105"/>
      <c r="T105"/>
      <c r="U105"/>
      <c r="V105"/>
    </row>
    <row r="106" spans="13:22" x14ac:dyDescent="0.25">
      <c r="M106"/>
      <c r="N106"/>
      <c r="O106"/>
      <c r="P106"/>
      <c r="Q106"/>
      <c r="R106"/>
      <c r="S106"/>
      <c r="T106"/>
      <c r="U106"/>
      <c r="V106"/>
    </row>
    <row r="107" spans="13:22" x14ac:dyDescent="0.25">
      <c r="M107"/>
      <c r="N107"/>
      <c r="O107"/>
      <c r="P107"/>
      <c r="Q107"/>
      <c r="R107"/>
      <c r="S107"/>
      <c r="T107"/>
      <c r="U107"/>
      <c r="V107"/>
    </row>
    <row r="108" spans="13:22" x14ac:dyDescent="0.25">
      <c r="M108"/>
      <c r="N108"/>
      <c r="O108"/>
      <c r="P108"/>
      <c r="Q108"/>
      <c r="R108"/>
      <c r="S108"/>
      <c r="T108"/>
      <c r="U108"/>
      <c r="V108"/>
    </row>
    <row r="109" spans="13:22" x14ac:dyDescent="0.25">
      <c r="M109"/>
      <c r="N109"/>
      <c r="O109"/>
      <c r="P109"/>
      <c r="Q109"/>
      <c r="R109"/>
      <c r="S109"/>
      <c r="T109"/>
      <c r="U109"/>
      <c r="V109"/>
    </row>
    <row r="110" spans="13:22" x14ac:dyDescent="0.25">
      <c r="M110"/>
      <c r="N110"/>
      <c r="O110"/>
      <c r="P110"/>
      <c r="Q110"/>
      <c r="R110"/>
      <c r="S110"/>
      <c r="T110"/>
      <c r="U110"/>
      <c r="V110"/>
    </row>
    <row r="111" spans="13:22" x14ac:dyDescent="0.25">
      <c r="M111"/>
      <c r="N111"/>
      <c r="O111"/>
      <c r="P111"/>
      <c r="Q111"/>
      <c r="R111"/>
      <c r="S111"/>
      <c r="T111"/>
      <c r="U111"/>
      <c r="V111"/>
    </row>
    <row r="112" spans="13:22" x14ac:dyDescent="0.25">
      <c r="M112"/>
      <c r="N112"/>
      <c r="O112"/>
      <c r="P112"/>
      <c r="Q112"/>
      <c r="R112"/>
      <c r="S112"/>
      <c r="T112"/>
      <c r="U112"/>
      <c r="V112"/>
    </row>
    <row r="113" spans="13:22" x14ac:dyDescent="0.25">
      <c r="M113"/>
      <c r="N113"/>
      <c r="O113"/>
      <c r="P113"/>
      <c r="Q113"/>
      <c r="R113"/>
      <c r="S113"/>
      <c r="T113"/>
      <c r="U113"/>
      <c r="V113"/>
    </row>
    <row r="114" spans="13:22" x14ac:dyDescent="0.25">
      <c r="M114"/>
      <c r="N114"/>
      <c r="O114"/>
      <c r="P114"/>
      <c r="Q114"/>
      <c r="R114"/>
      <c r="S114"/>
      <c r="T114"/>
      <c r="U114"/>
      <c r="V114"/>
    </row>
    <row r="115" spans="13:22" x14ac:dyDescent="0.25">
      <c r="M115"/>
      <c r="N115"/>
      <c r="O115"/>
      <c r="P115"/>
      <c r="Q115"/>
      <c r="R115"/>
      <c r="S115"/>
      <c r="T115"/>
      <c r="U115"/>
      <c r="V115"/>
    </row>
    <row r="116" spans="13:22" x14ac:dyDescent="0.25">
      <c r="M116"/>
      <c r="N116"/>
      <c r="O116"/>
      <c r="P116"/>
      <c r="Q116"/>
      <c r="R116"/>
      <c r="S116"/>
      <c r="T116"/>
      <c r="U116"/>
      <c r="V116"/>
    </row>
    <row r="117" spans="13:22" x14ac:dyDescent="0.25">
      <c r="M117"/>
      <c r="N117"/>
      <c r="O117"/>
      <c r="P117"/>
      <c r="Q117"/>
      <c r="R117"/>
      <c r="S117"/>
      <c r="T117"/>
      <c r="U117"/>
      <c r="V117"/>
    </row>
    <row r="118" spans="13:22" x14ac:dyDescent="0.25">
      <c r="M118"/>
      <c r="N118"/>
      <c r="O118"/>
      <c r="P118"/>
      <c r="Q118"/>
      <c r="R118"/>
      <c r="S118"/>
      <c r="T118"/>
      <c r="U118"/>
      <c r="V118"/>
    </row>
    <row r="119" spans="13:22" x14ac:dyDescent="0.25">
      <c r="M119"/>
      <c r="N119"/>
      <c r="O119"/>
      <c r="P119"/>
      <c r="Q119"/>
      <c r="R119"/>
      <c r="S119"/>
      <c r="T119"/>
      <c r="U119"/>
      <c r="V119"/>
    </row>
    <row r="120" spans="13:22" x14ac:dyDescent="0.25">
      <c r="M120"/>
      <c r="N120"/>
      <c r="O120"/>
      <c r="P120"/>
      <c r="Q120"/>
      <c r="R120"/>
      <c r="S120"/>
      <c r="T120"/>
      <c r="U120"/>
      <c r="V120"/>
    </row>
    <row r="121" spans="13:22" x14ac:dyDescent="0.25">
      <c r="M121"/>
      <c r="N121"/>
      <c r="O121"/>
      <c r="P121"/>
      <c r="Q121"/>
      <c r="R121"/>
      <c r="S121"/>
      <c r="T121"/>
      <c r="U121"/>
      <c r="V121"/>
    </row>
    <row r="122" spans="13:22" x14ac:dyDescent="0.25">
      <c r="M122"/>
      <c r="N122"/>
      <c r="O122"/>
      <c r="P122"/>
      <c r="Q122"/>
      <c r="R122"/>
      <c r="S122"/>
      <c r="T122"/>
      <c r="U122"/>
      <c r="V122"/>
    </row>
    <row r="123" spans="13:22" x14ac:dyDescent="0.25">
      <c r="M123"/>
      <c r="N123"/>
      <c r="O123"/>
      <c r="P123"/>
      <c r="Q123"/>
      <c r="R123"/>
      <c r="S123"/>
      <c r="T123"/>
      <c r="U123"/>
      <c r="V123"/>
    </row>
    <row r="124" spans="13:22" x14ac:dyDescent="0.25">
      <c r="M124"/>
      <c r="N124"/>
      <c r="O124"/>
      <c r="P124"/>
      <c r="Q124"/>
      <c r="R124"/>
      <c r="S124"/>
      <c r="T124"/>
      <c r="U124"/>
      <c r="V124"/>
    </row>
    <row r="125" spans="13:22" x14ac:dyDescent="0.25">
      <c r="M125"/>
      <c r="N125"/>
      <c r="O125"/>
      <c r="P125"/>
      <c r="Q125"/>
      <c r="R125"/>
      <c r="S125"/>
      <c r="T125"/>
      <c r="U125"/>
      <c r="V125"/>
    </row>
    <row r="126" spans="13:22" x14ac:dyDescent="0.25">
      <c r="M126"/>
      <c r="N126"/>
      <c r="O126"/>
      <c r="P126"/>
      <c r="Q126"/>
      <c r="R126"/>
      <c r="S126"/>
      <c r="T126"/>
      <c r="U126"/>
      <c r="V126"/>
    </row>
    <row r="127" spans="13:22" x14ac:dyDescent="0.25">
      <c r="M127"/>
      <c r="N127"/>
      <c r="O127"/>
      <c r="P127"/>
      <c r="Q127"/>
      <c r="R127"/>
      <c r="S127"/>
      <c r="T127"/>
      <c r="U127"/>
      <c r="V127"/>
    </row>
    <row r="128" spans="13:22" x14ac:dyDescent="0.25">
      <c r="M128"/>
      <c r="N128"/>
      <c r="O128"/>
      <c r="P128"/>
      <c r="Q128"/>
      <c r="R128"/>
      <c r="S128"/>
      <c r="T128"/>
      <c r="U128"/>
      <c r="V128"/>
    </row>
    <row r="129" spans="13:22" x14ac:dyDescent="0.25">
      <c r="M129"/>
      <c r="N129"/>
      <c r="O129"/>
      <c r="P129"/>
      <c r="Q129"/>
      <c r="R129"/>
      <c r="S129"/>
      <c r="T129"/>
      <c r="U129"/>
      <c r="V129"/>
    </row>
    <row r="130" spans="13:22" x14ac:dyDescent="0.25">
      <c r="M130"/>
      <c r="N130"/>
      <c r="O130"/>
      <c r="P130"/>
      <c r="Q130"/>
      <c r="R130"/>
      <c r="S130"/>
      <c r="T130"/>
      <c r="U130"/>
      <c r="V130"/>
    </row>
    <row r="131" spans="13:22" x14ac:dyDescent="0.25">
      <c r="M131"/>
      <c r="N131"/>
      <c r="O131"/>
      <c r="P131"/>
      <c r="Q131"/>
      <c r="R131"/>
      <c r="S131"/>
      <c r="T131"/>
      <c r="U131"/>
      <c r="V131"/>
    </row>
    <row r="132" spans="13:22" x14ac:dyDescent="0.25">
      <c r="M132"/>
      <c r="N132"/>
      <c r="O132"/>
      <c r="P132"/>
      <c r="Q132"/>
      <c r="R132"/>
      <c r="S132"/>
      <c r="T132"/>
      <c r="U132"/>
      <c r="V132"/>
    </row>
    <row r="133" spans="13:22" x14ac:dyDescent="0.25">
      <c r="M133"/>
      <c r="N133"/>
      <c r="O133"/>
      <c r="P133"/>
      <c r="Q133"/>
      <c r="R133"/>
      <c r="S133"/>
      <c r="T133"/>
      <c r="U133"/>
      <c r="V133"/>
    </row>
    <row r="134" spans="13:22" x14ac:dyDescent="0.25">
      <c r="M134"/>
      <c r="N134"/>
      <c r="O134"/>
      <c r="P134"/>
      <c r="Q134"/>
      <c r="R134"/>
      <c r="S134"/>
      <c r="T134"/>
      <c r="U134"/>
      <c r="V134"/>
    </row>
    <row r="135" spans="13:22" x14ac:dyDescent="0.25">
      <c r="M135"/>
      <c r="N135"/>
      <c r="O135"/>
      <c r="P135"/>
      <c r="Q135"/>
      <c r="R135"/>
      <c r="S135"/>
      <c r="T135"/>
      <c r="U135"/>
      <c r="V135"/>
    </row>
    <row r="136" spans="13:22" x14ac:dyDescent="0.25">
      <c r="M136"/>
      <c r="N136"/>
      <c r="O136"/>
      <c r="P136"/>
      <c r="Q136"/>
      <c r="R136"/>
      <c r="S136"/>
      <c r="T136"/>
      <c r="U136"/>
      <c r="V136"/>
    </row>
    <row r="137" spans="13:22" x14ac:dyDescent="0.25">
      <c r="M137"/>
      <c r="N137"/>
      <c r="O137"/>
      <c r="P137"/>
      <c r="Q137"/>
      <c r="R137"/>
      <c r="S137"/>
      <c r="T137"/>
      <c r="U137"/>
      <c r="V137"/>
    </row>
    <row r="138" spans="13:22" x14ac:dyDescent="0.25">
      <c r="M138"/>
      <c r="N138"/>
      <c r="O138"/>
      <c r="P138"/>
      <c r="Q138"/>
      <c r="R138"/>
      <c r="S138"/>
      <c r="T138"/>
      <c r="U138"/>
      <c r="V13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1:Z38"/>
  <sheetViews>
    <sheetView showGridLines="0" tabSelected="1" zoomScaleNormal="100" workbookViewId="0">
      <selection activeCell="G9" sqref="G9"/>
    </sheetView>
  </sheetViews>
  <sheetFormatPr defaultRowHeight="15" x14ac:dyDescent="0.25"/>
  <cols>
    <col min="2" max="2" width="29" bestFit="1" customWidth="1"/>
    <col min="3" max="3" width="29" style="4" customWidth="1"/>
    <col min="4" max="4" width="20.42578125" style="8" hidden="1" customWidth="1"/>
    <col min="5" max="5" width="17" style="2" customWidth="1"/>
    <col min="6" max="6" width="13.5703125" style="7" customWidth="1"/>
  </cols>
  <sheetData>
    <row r="1" spans="1:26" x14ac:dyDescent="0.25">
      <c r="A1" t="s">
        <v>4</v>
      </c>
      <c r="B1" t="s">
        <v>5</v>
      </c>
      <c r="C1" s="4" t="s">
        <v>44</v>
      </c>
      <c r="D1" s="8" t="s">
        <v>37</v>
      </c>
      <c r="E1" s="2" t="s">
        <v>35</v>
      </c>
      <c r="F1" s="7" t="s">
        <v>36</v>
      </c>
      <c r="Y1" s="8">
        <v>0</v>
      </c>
      <c r="Z1" s="8">
        <f>Y1</f>
        <v>0</v>
      </c>
    </row>
    <row r="2" spans="1:26" x14ac:dyDescent="0.25">
      <c r="A2">
        <v>1</v>
      </c>
      <c r="B2" t="s">
        <v>6</v>
      </c>
      <c r="C2" s="16">
        <v>20269.599999999999</v>
      </c>
      <c r="D2" s="8">
        <v>18382</v>
      </c>
      <c r="E2" s="2">
        <f>VLOOKUP(A2,md[[Hubid]:[total_boardings]],2,FALSE)</f>
        <v>10308.012563</v>
      </c>
      <c r="F2" s="7">
        <f>E2/C2-1</f>
        <v>-0.49145456432292689</v>
      </c>
      <c r="Y2" s="12">
        <f>ROUND(MAX(MAX(E2:E30),MAX(D2:D30)),-4)</f>
        <v>20000</v>
      </c>
      <c r="Z2" s="8">
        <f>Y2</f>
        <v>20000</v>
      </c>
    </row>
    <row r="3" spans="1:26" x14ac:dyDescent="0.25">
      <c r="A3">
        <v>2</v>
      </c>
      <c r="B3" t="s">
        <v>8</v>
      </c>
      <c r="C3" s="16">
        <v>12891</v>
      </c>
      <c r="D3" s="8">
        <v>11604</v>
      </c>
      <c r="E3" s="2">
        <f>VLOOKUP(A3,md[[Hubid]:[total_boardings]],2,FALSE)</f>
        <v>8389.1568480000005</v>
      </c>
      <c r="F3" s="7">
        <f t="shared" ref="F3:F31" si="0">E3/C3-1</f>
        <v>-0.34922373376774485</v>
      </c>
    </row>
    <row r="4" spans="1:26" x14ac:dyDescent="0.25">
      <c r="A4">
        <v>3</v>
      </c>
      <c r="B4" t="s">
        <v>9</v>
      </c>
      <c r="C4" s="16">
        <v>11624.17</v>
      </c>
      <c r="D4" s="8">
        <v>10778</v>
      </c>
      <c r="E4" s="2">
        <f>VLOOKUP(A4,md[[Hubid]:[total_boardings]],2,FALSE)</f>
        <v>13323.61139</v>
      </c>
      <c r="F4" s="7">
        <f t="shared" si="0"/>
        <v>0.14619894495693031</v>
      </c>
    </row>
    <row r="5" spans="1:26" x14ac:dyDescent="0.25">
      <c r="A5">
        <v>4</v>
      </c>
      <c r="B5" t="s">
        <v>10</v>
      </c>
      <c r="C5" s="16">
        <v>10913.8</v>
      </c>
      <c r="D5" s="8">
        <v>9905</v>
      </c>
      <c r="E5" s="2">
        <f>VLOOKUP(A5,md[[Hubid]:[total_boardings]],2,FALSE)</f>
        <v>10582.548205999999</v>
      </c>
      <c r="F5" s="7">
        <f t="shared" si="0"/>
        <v>-3.0351645989481146E-2</v>
      </c>
    </row>
    <row r="6" spans="1:26" x14ac:dyDescent="0.25">
      <c r="A6">
        <v>5</v>
      </c>
      <c r="B6" t="s">
        <v>11</v>
      </c>
      <c r="C6" s="16">
        <v>6882.71</v>
      </c>
      <c r="D6" s="8">
        <v>7672</v>
      </c>
      <c r="E6" s="2">
        <f>VLOOKUP(A6,md[[Hubid]:[total_boardings]],2,FALSE)</f>
        <v>4327.8173630000001</v>
      </c>
      <c r="F6" s="7">
        <f t="shared" si="0"/>
        <v>-0.37120445827297677</v>
      </c>
    </row>
    <row r="7" spans="1:26" x14ac:dyDescent="0.25">
      <c r="A7">
        <v>6</v>
      </c>
      <c r="B7" t="s">
        <v>12</v>
      </c>
      <c r="C7" s="16">
        <v>6633.05</v>
      </c>
      <c r="D7" s="8">
        <v>6084</v>
      </c>
      <c r="E7" s="2">
        <f>VLOOKUP(A7,md[[Hubid]:[total_boardings]],2,FALSE)</f>
        <v>5355.3511120000003</v>
      </c>
      <c r="F7" s="7">
        <f t="shared" si="0"/>
        <v>-0.19262615056422006</v>
      </c>
    </row>
    <row r="8" spans="1:26" x14ac:dyDescent="0.25">
      <c r="A8">
        <v>7</v>
      </c>
      <c r="B8" t="s">
        <v>13</v>
      </c>
      <c r="C8" s="16">
        <v>6291.71</v>
      </c>
      <c r="D8" s="8">
        <v>5775</v>
      </c>
      <c r="E8" s="2">
        <f>VLOOKUP(A8,md[[Hubid]:[total_boardings]],2,FALSE)</f>
        <v>6309.9335849999998</v>
      </c>
      <c r="F8" s="7">
        <f t="shared" si="0"/>
        <v>2.8964438920420221E-3</v>
      </c>
    </row>
    <row r="9" spans="1:26" x14ac:dyDescent="0.25">
      <c r="A9">
        <v>8</v>
      </c>
      <c r="B9" t="s">
        <v>14</v>
      </c>
      <c r="C9" s="16">
        <v>6468.54</v>
      </c>
      <c r="D9" s="8">
        <v>5673</v>
      </c>
      <c r="E9" s="2">
        <f>VLOOKUP(A9,md[[Hubid]:[total_boardings]],2,FALSE)</f>
        <v>3582.6720129999999</v>
      </c>
      <c r="F9" s="7">
        <f t="shared" si="0"/>
        <v>-0.44613900308261212</v>
      </c>
    </row>
    <row r="10" spans="1:26" x14ac:dyDescent="0.25">
      <c r="A10">
        <v>9</v>
      </c>
      <c r="B10" t="s">
        <v>15</v>
      </c>
      <c r="C10" s="16">
        <v>5244.04</v>
      </c>
      <c r="D10" s="8">
        <v>5623</v>
      </c>
      <c r="E10" s="2">
        <f>VLOOKUP(A10,md[[Hubid]:[total_boardings]],2,FALSE)</f>
        <v>6620.5007699999996</v>
      </c>
      <c r="F10" s="7">
        <f t="shared" si="0"/>
        <v>0.26248098221981531</v>
      </c>
    </row>
    <row r="11" spans="1:26" x14ac:dyDescent="0.25">
      <c r="A11">
        <v>10</v>
      </c>
      <c r="B11" t="s">
        <v>16</v>
      </c>
      <c r="C11" s="16">
        <v>5311.36</v>
      </c>
      <c r="D11" s="8">
        <v>4977</v>
      </c>
      <c r="E11" s="2">
        <f>VLOOKUP(A11,md[[Hubid]:[total_boardings]],2,FALSE)</f>
        <v>10173.496080000001</v>
      </c>
      <c r="F11" s="7">
        <f t="shared" si="0"/>
        <v>0.91542205386191133</v>
      </c>
    </row>
    <row r="12" spans="1:26" x14ac:dyDescent="0.25">
      <c r="A12">
        <v>11</v>
      </c>
      <c r="B12" t="s">
        <v>17</v>
      </c>
      <c r="C12" s="16">
        <v>5491.59</v>
      </c>
      <c r="D12" s="8">
        <v>4941</v>
      </c>
      <c r="E12" s="2">
        <f>VLOOKUP(A12,md[[Hubid]:[total_boardings]],2,FALSE)</f>
        <v>6598.7692639999996</v>
      </c>
      <c r="F12" s="7">
        <f t="shared" si="0"/>
        <v>0.20161360625975333</v>
      </c>
    </row>
    <row r="13" spans="1:26" x14ac:dyDescent="0.25">
      <c r="A13">
        <v>12</v>
      </c>
      <c r="B13" t="s">
        <v>18</v>
      </c>
      <c r="C13" s="16">
        <v>3460.63</v>
      </c>
      <c r="D13" s="8">
        <v>3997</v>
      </c>
      <c r="E13" s="2">
        <f>VLOOKUP(A13,md[[Hubid]:[total_boardings]],2,FALSE)</f>
        <v>4456.4469509999999</v>
      </c>
      <c r="F13" s="7">
        <f t="shared" si="0"/>
        <v>0.28775597246744078</v>
      </c>
    </row>
    <row r="14" spans="1:26" x14ac:dyDescent="0.25">
      <c r="A14">
        <v>13</v>
      </c>
      <c r="B14" t="s">
        <v>19</v>
      </c>
      <c r="C14" s="16">
        <v>3389.41</v>
      </c>
      <c r="D14" s="8">
        <v>3245</v>
      </c>
      <c r="E14" s="2">
        <f>VLOOKUP(A14,md[[Hubid]:[total_boardings]],2,FALSE)</f>
        <v>3808.4430440000001</v>
      </c>
      <c r="F14" s="7">
        <f t="shared" si="0"/>
        <v>0.12363008429195643</v>
      </c>
    </row>
    <row r="15" spans="1:26" x14ac:dyDescent="0.25">
      <c r="A15">
        <v>14</v>
      </c>
      <c r="B15" t="s">
        <v>20</v>
      </c>
      <c r="C15" s="16">
        <v>3442.72</v>
      </c>
      <c r="D15" s="8">
        <v>3201</v>
      </c>
      <c r="E15" s="2">
        <f>VLOOKUP(A15,md[[Hubid]:[total_boardings]],2,FALSE)</f>
        <v>4290.3804879999998</v>
      </c>
      <c r="F15" s="7">
        <f t="shared" si="0"/>
        <v>0.24621824836176054</v>
      </c>
    </row>
    <row r="16" spans="1:26" x14ac:dyDescent="0.25">
      <c r="A16">
        <v>15</v>
      </c>
      <c r="B16" t="s">
        <v>21</v>
      </c>
      <c r="C16" s="16">
        <v>3046.06</v>
      </c>
      <c r="D16" s="8">
        <v>2756</v>
      </c>
      <c r="E16" s="2">
        <f>VLOOKUP(A16,md[[Hubid]:[total_boardings]],2,FALSE)</f>
        <v>3848.6063920000001</v>
      </c>
      <c r="F16" s="7">
        <f t="shared" si="0"/>
        <v>0.26347031640873797</v>
      </c>
    </row>
    <row r="17" spans="1:6" x14ac:dyDescent="0.25">
      <c r="A17">
        <v>16</v>
      </c>
      <c r="B17" t="s">
        <v>22</v>
      </c>
      <c r="C17" s="16">
        <v>1059.6400000000001</v>
      </c>
      <c r="D17" s="8">
        <v>1791</v>
      </c>
      <c r="E17" s="2">
        <f>VLOOKUP(A17,md[[Hubid]:[total_boardings]],2,FALSE)</f>
        <v>5010.9243290000004</v>
      </c>
      <c r="F17" s="7">
        <f t="shared" si="0"/>
        <v>3.7288931420104943</v>
      </c>
    </row>
    <row r="18" spans="1:6" x14ac:dyDescent="0.25">
      <c r="A18">
        <v>17</v>
      </c>
      <c r="B18" t="s">
        <v>23</v>
      </c>
      <c r="C18" s="16">
        <v>33</v>
      </c>
      <c r="D18" s="8">
        <v>1692</v>
      </c>
      <c r="E18" s="2">
        <f>VLOOKUP(A18,md[[Hubid]:[total_boardings]],2,FALSE)</f>
        <v>67</v>
      </c>
      <c r="F18" s="7">
        <f t="shared" si="0"/>
        <v>1.0303030303030303</v>
      </c>
    </row>
    <row r="19" spans="1:6" x14ac:dyDescent="0.25">
      <c r="A19">
        <v>18</v>
      </c>
      <c r="B19" t="s">
        <v>24</v>
      </c>
      <c r="C19" s="16">
        <v>1667.83</v>
      </c>
      <c r="D19" s="8">
        <v>1647</v>
      </c>
      <c r="E19" s="2">
        <f>VLOOKUP(A19,md[[Hubid]:[total_boardings]],2,FALSE)</f>
        <v>3058.6549220000002</v>
      </c>
      <c r="F19" s="7">
        <f t="shared" si="0"/>
        <v>0.83391288200835834</v>
      </c>
    </row>
    <row r="20" spans="1:6" x14ac:dyDescent="0.25">
      <c r="A20">
        <v>19</v>
      </c>
      <c r="B20" t="s">
        <v>25</v>
      </c>
      <c r="C20" s="16">
        <v>1927.39</v>
      </c>
      <c r="D20" s="8">
        <v>1609</v>
      </c>
      <c r="E20" s="2">
        <f>VLOOKUP(A20,md[[Hubid]:[total_boardings]],2,FALSE)</f>
        <v>2486.2499979999998</v>
      </c>
      <c r="F20" s="7">
        <f t="shared" si="0"/>
        <v>0.28995688366132422</v>
      </c>
    </row>
    <row r="21" spans="1:6" x14ac:dyDescent="0.25">
      <c r="A21">
        <v>20</v>
      </c>
      <c r="B21" t="s">
        <v>26</v>
      </c>
      <c r="C21" s="16">
        <v>1480.31</v>
      </c>
      <c r="D21" s="8">
        <v>1432</v>
      </c>
      <c r="E21" s="2">
        <f>VLOOKUP(A21,md[[Hubid]:[total_boardings]],2,FALSE)</f>
        <v>1847.5870749999999</v>
      </c>
      <c r="F21" s="7">
        <f t="shared" si="0"/>
        <v>0.24810821719774911</v>
      </c>
    </row>
    <row r="22" spans="1:6" x14ac:dyDescent="0.25">
      <c r="A22">
        <v>21</v>
      </c>
      <c r="B22" t="s">
        <v>27</v>
      </c>
      <c r="C22" s="16">
        <v>1677.61</v>
      </c>
      <c r="D22" s="8">
        <v>1358</v>
      </c>
      <c r="E22" s="2">
        <f>VLOOKUP(A22,md[[Hubid]:[total_boardings]],2,FALSE)</f>
        <v>1862.7914060000001</v>
      </c>
      <c r="F22" s="7">
        <f t="shared" si="0"/>
        <v>0.11038406184989369</v>
      </c>
    </row>
    <row r="23" spans="1:6" x14ac:dyDescent="0.25">
      <c r="A23">
        <v>22</v>
      </c>
      <c r="B23" t="s">
        <v>28</v>
      </c>
      <c r="C23" s="16">
        <v>1399.58</v>
      </c>
      <c r="D23" s="8">
        <v>1294</v>
      </c>
      <c r="E23" s="2">
        <f>VLOOKUP(A23,md[[Hubid]:[total_boardings]],2,FALSE)</f>
        <v>554.71641999999997</v>
      </c>
      <c r="F23" s="7">
        <f t="shared" si="0"/>
        <v>-0.60365508223895747</v>
      </c>
    </row>
    <row r="24" spans="1:6" x14ac:dyDescent="0.25">
      <c r="A24">
        <v>23</v>
      </c>
      <c r="B24" t="s">
        <v>29</v>
      </c>
      <c r="C24" s="16">
        <v>1119.3399999999999</v>
      </c>
      <c r="D24" s="8">
        <v>1024</v>
      </c>
      <c r="E24" s="2">
        <f>VLOOKUP(A24,md[[Hubid]:[total_boardings]],2,FALSE)</f>
        <v>2468.3512489999998</v>
      </c>
      <c r="F24" s="7">
        <f t="shared" si="0"/>
        <v>1.2051845274894135</v>
      </c>
    </row>
    <row r="25" spans="1:6" x14ac:dyDescent="0.25">
      <c r="A25">
        <v>24</v>
      </c>
      <c r="B25" t="s">
        <v>30</v>
      </c>
      <c r="C25" s="16">
        <v>1053</v>
      </c>
      <c r="D25" s="8">
        <v>981</v>
      </c>
      <c r="E25" s="2">
        <f>VLOOKUP(A25,md[[Hubid]:[total_boardings]],2,FALSE)</f>
        <v>996.33166800000004</v>
      </c>
      <c r="F25" s="7">
        <f t="shared" si="0"/>
        <v>-5.3816079772079695E-2</v>
      </c>
    </row>
    <row r="26" spans="1:6" x14ac:dyDescent="0.25">
      <c r="A26">
        <v>25</v>
      </c>
      <c r="B26" t="s">
        <v>31</v>
      </c>
      <c r="C26" s="16">
        <v>226.55</v>
      </c>
      <c r="D26" s="8">
        <v>717</v>
      </c>
      <c r="E26" s="2">
        <f>VLOOKUP(A26,md[[Hubid]:[total_boardings]],2,FALSE)</f>
        <v>1308.6089549999999</v>
      </c>
      <c r="F26" s="7">
        <f t="shared" si="0"/>
        <v>4.7762478702273219</v>
      </c>
    </row>
    <row r="27" spans="1:6" x14ac:dyDescent="0.25">
      <c r="A27">
        <v>26</v>
      </c>
      <c r="B27" t="s">
        <v>32</v>
      </c>
      <c r="C27" s="16">
        <v>651.34</v>
      </c>
      <c r="D27" s="8">
        <v>569</v>
      </c>
      <c r="E27" s="2">
        <f>VLOOKUP(A27,md[[Hubid]:[total_boardings]],2,FALSE)</f>
        <v>61</v>
      </c>
      <c r="F27" s="7">
        <f t="shared" si="0"/>
        <v>-0.90634691558940028</v>
      </c>
    </row>
    <row r="28" spans="1:6" x14ac:dyDescent="0.25">
      <c r="A28">
        <v>27</v>
      </c>
      <c r="B28" t="s">
        <v>7</v>
      </c>
      <c r="C28" s="16">
        <v>585.4</v>
      </c>
      <c r="D28" s="8">
        <v>479</v>
      </c>
      <c r="E28" s="2">
        <f>VLOOKUP(A28,md[[Hubid]:[total_boardings]],2,FALSE)</f>
        <v>911.61962900000003</v>
      </c>
      <c r="F28" s="7">
        <f t="shared" si="0"/>
        <v>0.55725935941236782</v>
      </c>
    </row>
    <row r="29" spans="1:6" x14ac:dyDescent="0.25">
      <c r="A29">
        <v>28</v>
      </c>
      <c r="B29" t="s">
        <v>33</v>
      </c>
      <c r="C29" s="16">
        <v>462.13</v>
      </c>
      <c r="D29" s="8">
        <v>438</v>
      </c>
      <c r="E29" s="2">
        <f>VLOOKUP(A29,md[[Hubid]:[total_boardings]],2,FALSE)</f>
        <v>400.08003100000002</v>
      </c>
      <c r="F29" s="7">
        <f t="shared" si="0"/>
        <v>-0.13426951074373006</v>
      </c>
    </row>
    <row r="30" spans="1:6" x14ac:dyDescent="0.25">
      <c r="A30">
        <v>29</v>
      </c>
      <c r="B30" t="s">
        <v>34</v>
      </c>
      <c r="C30" s="16">
        <v>238.44</v>
      </c>
      <c r="D30" s="8">
        <v>224</v>
      </c>
      <c r="E30" s="2">
        <f>VLOOKUP(A30,md[[Hubid]:[total_boardings]],2,FALSE)</f>
        <v>285.04271199999999</v>
      </c>
      <c r="F30" s="7">
        <f t="shared" si="0"/>
        <v>0.19544838114410323</v>
      </c>
    </row>
    <row r="31" spans="1:6" x14ac:dyDescent="0.25">
      <c r="A31" s="9"/>
      <c r="B31" s="9" t="s">
        <v>38</v>
      </c>
      <c r="C31" s="10">
        <f>SUM(C2:C30)</f>
        <v>124941.94999999998</v>
      </c>
      <c r="D31" s="17">
        <f>SUM(D2:D30)</f>
        <v>119868</v>
      </c>
      <c r="E31" s="10">
        <f>SUM(E2:E30)</f>
        <v>123294.70446300002</v>
      </c>
      <c r="F31" s="11">
        <f t="shared" si="0"/>
        <v>-1.3184086985996046E-2</v>
      </c>
    </row>
    <row r="35" spans="2:6" x14ac:dyDescent="0.25">
      <c r="B35" s="1" t="s">
        <v>39</v>
      </c>
      <c r="C35" s="1"/>
      <c r="D35" s="18" t="s">
        <v>43</v>
      </c>
      <c r="E35" s="14"/>
      <c r="F35" s="15"/>
    </row>
    <row r="36" spans="2:6" x14ac:dyDescent="0.25">
      <c r="B36" s="1"/>
      <c r="C36" s="1"/>
      <c r="D36" s="18" t="s">
        <v>40</v>
      </c>
      <c r="E36" s="14"/>
      <c r="F36" s="15"/>
    </row>
    <row r="37" spans="2:6" x14ac:dyDescent="0.25">
      <c r="B37" s="1"/>
      <c r="C37" s="1"/>
      <c r="D37" s="18" t="s">
        <v>41</v>
      </c>
      <c r="E37" s="14"/>
      <c r="F37" s="15"/>
    </row>
    <row r="38" spans="2:6" x14ac:dyDescent="0.25">
      <c r="B38" s="1"/>
      <c r="C38" s="1"/>
      <c r="D38" s="18" t="s">
        <v>42</v>
      </c>
      <c r="E38" s="14"/>
      <c r="F38" s="15"/>
    </row>
  </sheetData>
  <conditionalFormatting sqref="F1:F31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Boardings_by_Hub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dcterms:created xsi:type="dcterms:W3CDTF">2017-07-04T05:48:34Z</dcterms:created>
  <dcterms:modified xsi:type="dcterms:W3CDTF">2020-10-22T19:27:51Z</dcterms:modified>
</cp:coreProperties>
</file>