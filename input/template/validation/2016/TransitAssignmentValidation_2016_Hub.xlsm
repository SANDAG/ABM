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T:\ABM\release\ABM\version_14_1_1\template\validation\2016\"/>
    </mc:Choice>
  </mc:AlternateContent>
  <xr:revisionPtr revIDLastSave="0" documentId="13_ncr:1_{B21DDE6E-BE49-4F8E-9B85-408CFEFC1EB4}" xr6:coauthVersionLast="41" xr6:coauthVersionMax="41" xr10:uidLastSave="{00000000-0000-0000-0000-000000000000}"/>
  <bookViews>
    <workbookView xWindow="-120" yWindow="-120" windowWidth="29040" windowHeight="17640" tabRatio="732" activeTab="1" xr2:uid="{00000000-000D-0000-FFFF-FFFF00000000}"/>
  </bookViews>
  <sheets>
    <sheet name="readme" sheetId="3" r:id="rId1"/>
    <sheet name="Boardings_by_Hub" sheetId="14" r:id="rId2"/>
  </sheets>
  <externalReferences>
    <externalReference r:id="rId3"/>
    <externalReference r:id="rId4"/>
  </externalReferences>
  <definedNames>
    <definedName name="count_a">INDEX([1]!class[#Data],1114,10):INDEX([1]!class[#Data],1885,10)</definedName>
    <definedName name="count_c">INDEX([1]!class[#Data],1886,10):INDEX([1]!class[#Data],2661,10)</definedName>
    <definedName name="count_f">INDEX([1]!class[#Data],1,10):INDEX([1]!class[#Data],670,10)</definedName>
    <definedName name="count_r">INDEX([1]!class[#Data],671,10):INDEX([1]!class[#Data],1113,10)</definedName>
    <definedName name="flow_a">INDEX([1]!class[#Data],1114,11):INDEX([1]!class[#Data],1885,11)</definedName>
    <definedName name="flow_c">INDEX([1]!class[#Data],1886,11):INDEX([1]!class[#Data],2661,11)</definedName>
    <definedName name="flow_f">INDEX([1]!class[#Data],1,11):INDEX([1]!class[#Data],670,11)</definedName>
    <definedName name="flow_r">INDEX([1]!class[#Data],671,11):INDEX([1]!class[#Data],1113,11)</definedName>
    <definedName name="socioeca8.sandag.org_abm2_trh" localSheetId="0" hidden="1">readme!$E$1:$G$30</definedName>
    <definedName name="sql2014a8.sandag.org_ws_Transit2015table" localSheetId="0" hidden="1">readme!$I$1:$K$30</definedName>
    <definedName name="x2_a">INDEX([1]!class[#Data],1114,14):INDEX([1]!class[#Data],1885,14)</definedName>
    <definedName name="x2_c">INDEX([1]!class[#Data],1886,14):INDEX([1]!class[#Data],2661,14)</definedName>
    <definedName name="x2_f">INDEX([1]!class[#Data],1,14):INDEX([1]!class[#Data],670,14)</definedName>
    <definedName name="x2_r">INDEX([1]!class[#Data],671,14):INDEX([1]!class[#Data],1113,14)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" i="14" l="1"/>
  <c r="F3" i="14"/>
  <c r="F4" i="14"/>
  <c r="F5" i="14"/>
  <c r="F6" i="14"/>
  <c r="F7" i="14"/>
  <c r="F8" i="14"/>
  <c r="F9" i="14"/>
  <c r="F10" i="14"/>
  <c r="F11" i="14"/>
  <c r="F12" i="14"/>
  <c r="F13" i="14"/>
  <c r="F14" i="14"/>
  <c r="F15" i="14"/>
  <c r="F16" i="14"/>
  <c r="F17" i="14"/>
  <c r="F18" i="14"/>
  <c r="F19" i="14"/>
  <c r="F20" i="14"/>
  <c r="F21" i="14"/>
  <c r="F22" i="14"/>
  <c r="F23" i="14"/>
  <c r="F24" i="14"/>
  <c r="F25" i="14"/>
  <c r="F26" i="14"/>
  <c r="F27" i="14"/>
  <c r="F28" i="14"/>
  <c r="F29" i="14"/>
  <c r="F30" i="14"/>
  <c r="F31" i="14"/>
  <c r="C31" i="14" l="1"/>
  <c r="G30" i="3" l="1"/>
  <c r="F30" i="3"/>
  <c r="E30" i="3"/>
  <c r="G29" i="3"/>
  <c r="F29" i="3"/>
  <c r="E29" i="3"/>
  <c r="G28" i="3"/>
  <c r="F28" i="3"/>
  <c r="E28" i="3"/>
  <c r="G27" i="3"/>
  <c r="F27" i="3"/>
  <c r="E27" i="3"/>
  <c r="G26" i="3"/>
  <c r="F26" i="3"/>
  <c r="E26" i="3"/>
  <c r="G25" i="3"/>
  <c r="F25" i="3"/>
  <c r="E25" i="3"/>
  <c r="G24" i="3"/>
  <c r="F24" i="3"/>
  <c r="E24" i="3"/>
  <c r="G23" i="3"/>
  <c r="F23" i="3"/>
  <c r="E23" i="3"/>
  <c r="G22" i="3"/>
  <c r="F22" i="3"/>
  <c r="E22" i="3"/>
  <c r="G21" i="3"/>
  <c r="F21" i="3"/>
  <c r="E21" i="3"/>
  <c r="G20" i="3"/>
  <c r="F20" i="3"/>
  <c r="E20" i="3"/>
  <c r="G19" i="3"/>
  <c r="F19" i="3"/>
  <c r="E19" i="3"/>
  <c r="G18" i="3"/>
  <c r="F18" i="3"/>
  <c r="E18" i="3"/>
  <c r="G17" i="3"/>
  <c r="F17" i="3"/>
  <c r="E17" i="3"/>
  <c r="G16" i="3"/>
  <c r="F16" i="3"/>
  <c r="E16" i="3"/>
  <c r="G15" i="3"/>
  <c r="F15" i="3"/>
  <c r="E15" i="3"/>
  <c r="G14" i="3"/>
  <c r="F14" i="3"/>
  <c r="E14" i="3"/>
  <c r="G13" i="3"/>
  <c r="F13" i="3"/>
  <c r="E13" i="3"/>
  <c r="G12" i="3"/>
  <c r="F12" i="3"/>
  <c r="E12" i="3"/>
  <c r="G11" i="3"/>
  <c r="F11" i="3"/>
  <c r="E11" i="3"/>
  <c r="G10" i="3"/>
  <c r="F10" i="3"/>
  <c r="E10" i="3"/>
  <c r="G9" i="3"/>
  <c r="F9" i="3"/>
  <c r="E9" i="3"/>
  <c r="G8" i="3"/>
  <c r="F8" i="3"/>
  <c r="E8" i="3"/>
  <c r="G7" i="3"/>
  <c r="F7" i="3"/>
  <c r="E7" i="3"/>
  <c r="G6" i="3"/>
  <c r="F6" i="3"/>
  <c r="E6" i="3"/>
  <c r="G5" i="3"/>
  <c r="F5" i="3"/>
  <c r="E5" i="3"/>
  <c r="G4" i="3"/>
  <c r="F4" i="3"/>
  <c r="E4" i="3"/>
  <c r="G3" i="3"/>
  <c r="F3" i="3"/>
  <c r="E3" i="3"/>
  <c r="G2" i="3"/>
  <c r="F2" i="3"/>
  <c r="E2" i="3"/>
  <c r="C2" i="3"/>
  <c r="I3" i="3" l="1"/>
  <c r="J3" i="3"/>
  <c r="K3" i="3"/>
  <c r="I4" i="3"/>
  <c r="J4" i="3"/>
  <c r="K4" i="3"/>
  <c r="I5" i="3"/>
  <c r="J5" i="3"/>
  <c r="K5" i="3"/>
  <c r="I6" i="3"/>
  <c r="J6" i="3"/>
  <c r="K6" i="3"/>
  <c r="I7" i="3"/>
  <c r="J7" i="3"/>
  <c r="K7" i="3"/>
  <c r="I8" i="3"/>
  <c r="J8" i="3"/>
  <c r="K8" i="3"/>
  <c r="I9" i="3"/>
  <c r="J9" i="3"/>
  <c r="K9" i="3"/>
  <c r="I10" i="3"/>
  <c r="J10" i="3"/>
  <c r="K10" i="3"/>
  <c r="I11" i="3"/>
  <c r="J11" i="3"/>
  <c r="K11" i="3"/>
  <c r="I12" i="3"/>
  <c r="J12" i="3"/>
  <c r="K12" i="3"/>
  <c r="I13" i="3"/>
  <c r="J13" i="3"/>
  <c r="K13" i="3"/>
  <c r="I14" i="3"/>
  <c r="J14" i="3"/>
  <c r="K14" i="3"/>
  <c r="I15" i="3"/>
  <c r="J15" i="3"/>
  <c r="K15" i="3"/>
  <c r="I16" i="3"/>
  <c r="J16" i="3"/>
  <c r="K16" i="3"/>
  <c r="I17" i="3"/>
  <c r="J17" i="3"/>
  <c r="K17" i="3"/>
  <c r="I18" i="3"/>
  <c r="J18" i="3"/>
  <c r="K18" i="3"/>
  <c r="I19" i="3"/>
  <c r="J19" i="3"/>
  <c r="K19" i="3"/>
  <c r="I20" i="3"/>
  <c r="J20" i="3"/>
  <c r="K20" i="3"/>
  <c r="I21" i="3"/>
  <c r="J21" i="3"/>
  <c r="K21" i="3"/>
  <c r="I22" i="3"/>
  <c r="J22" i="3"/>
  <c r="K22" i="3"/>
  <c r="I23" i="3"/>
  <c r="J23" i="3"/>
  <c r="K23" i="3"/>
  <c r="I24" i="3"/>
  <c r="J24" i="3"/>
  <c r="K24" i="3"/>
  <c r="I25" i="3"/>
  <c r="J25" i="3"/>
  <c r="K25" i="3"/>
  <c r="I26" i="3"/>
  <c r="J26" i="3"/>
  <c r="K26" i="3"/>
  <c r="I27" i="3"/>
  <c r="J27" i="3"/>
  <c r="K27" i="3"/>
  <c r="I28" i="3"/>
  <c r="J28" i="3"/>
  <c r="K28" i="3"/>
  <c r="I29" i="3"/>
  <c r="J29" i="3"/>
  <c r="K29" i="3"/>
  <c r="I30" i="3"/>
  <c r="J30" i="3"/>
  <c r="K30" i="3"/>
  <c r="K2" i="3"/>
  <c r="J2" i="3"/>
  <c r="I2" i="3"/>
  <c r="Z1" i="14" l="1"/>
  <c r="E3" i="14"/>
  <c r="E4" i="14"/>
  <c r="E5" i="14"/>
  <c r="E6" i="14"/>
  <c r="E7" i="14"/>
  <c r="E8" i="14"/>
  <c r="E9" i="14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5" i="14"/>
  <c r="E26" i="14"/>
  <c r="E27" i="14"/>
  <c r="E28" i="14"/>
  <c r="E29" i="14"/>
  <c r="E30" i="14"/>
  <c r="E2" i="14"/>
  <c r="D31" i="14"/>
  <c r="E31" i="14" l="1"/>
  <c r="Y2" i="14"/>
  <c r="Z2" i="1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abm2_trh_new" type="5" refreshedVersion="6" background="1" saveData="1">
    <dbPr connection="Provider=SQLOLEDB.1;Integrated Security=SSPI;Persist Security Info=True;Initial Catalog=ws;Data Source=sql2014a8.sandag.org;Use Procedure for Prepare=1;Auto Translate=True;Packet Size=4096;Workstation ID=SOONER;Use Encryption for Data=False;Tag with column collation when possible=False" command=" select * from [ws].[validate2].[Transit2016_Hub]('256')"/>
  </connection>
  <connection id="2" xr16:uid="{00000000-0015-0000-FFFF-FFFF01000000}" keepAlive="1" name="myserver3" type="5" refreshedVersion="6" background="1" saveData="1">
    <dbPr connection="Provider=SQLOLEDB.1;Integrated Security=SSPI;Persist Security Info=True;Initial Catalog=ws;Data Source=sql2014a8.sandag.org;Use Procedure for Prepare=1;Auto Translate=True;Packet Size=4096;Workstation ID=SDG77253;Use Encryption for Data=False;Tag with column collation when possible=False" command=" select * from [ws].[dbo].[TransitHub2016]('873')"/>
  </connection>
</connections>
</file>

<file path=xl/sharedStrings.xml><?xml version="1.0" encoding="utf-8"?>
<sst xmlns="http://schemas.openxmlformats.org/spreadsheetml/2006/main" count="51" uniqueCount="45">
  <si>
    <t>Steps to update the validation result:</t>
  </si>
  <si>
    <t>Input Scenario_id in cell $c$2</t>
  </si>
  <si>
    <t>All the rest will be updated automatically.</t>
  </si>
  <si>
    <t>scenario_id</t>
  </si>
  <si>
    <t>Hubid</t>
  </si>
  <si>
    <t>Hub</t>
  </si>
  <si>
    <t>12th/Imperial TC</t>
  </si>
  <si>
    <t>Grossmont Community College</t>
  </si>
  <si>
    <t>Old Town TC</t>
  </si>
  <si>
    <t>San Ysidro Trolley</t>
  </si>
  <si>
    <t>Smart Corner</t>
  </si>
  <si>
    <t>UCSD (Gillman Loop)</t>
  </si>
  <si>
    <t>El Cajon TC</t>
  </si>
  <si>
    <t>Palomar Trolley</t>
  </si>
  <si>
    <t>Euclid TC</t>
  </si>
  <si>
    <t>Escondido TC</t>
  </si>
  <si>
    <t>SDSU</t>
  </si>
  <si>
    <t>Fashion Valley</t>
  </si>
  <si>
    <t>Vista TC</t>
  </si>
  <si>
    <t>Oceanside TC</t>
  </si>
  <si>
    <t>Grossmont TC</t>
  </si>
  <si>
    <t>8th St Trolley</t>
  </si>
  <si>
    <t>Palomar Sprinter</t>
  </si>
  <si>
    <t>San Ysidro West</t>
  </si>
  <si>
    <t>UTC</t>
  </si>
  <si>
    <t>Otay Mesa Border</t>
  </si>
  <si>
    <t>SR15 @ University</t>
  </si>
  <si>
    <t>Southwestern College</t>
  </si>
  <si>
    <t>Barrio Logan Trolley</t>
  </si>
  <si>
    <t>SR15 @ El Cajon Blvd</t>
  </si>
  <si>
    <t>Sorrento Valley Coaster</t>
  </si>
  <si>
    <t>CSU San Marcos</t>
  </si>
  <si>
    <t>Sabre Springs</t>
  </si>
  <si>
    <t>Parkway Plaza</t>
  </si>
  <si>
    <t>Otay Ranch</t>
  </si>
  <si>
    <t>total_boardings</t>
  </si>
  <si>
    <t>Gap</t>
  </si>
  <si>
    <t>Fall 2016 Count</t>
  </si>
  <si>
    <t>total</t>
  </si>
  <si>
    <t>Wu's comments:</t>
  </si>
  <si>
    <t>SY West why 0? Transit lines in 2016 network?</t>
  </si>
  <si>
    <t>SDSU?</t>
  </si>
  <si>
    <t>12th/Imperial TC?</t>
  </si>
  <si>
    <t>A lot better than 13.3.2</t>
  </si>
  <si>
    <t>FY 2016 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</si>
</sst>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9">
    <xf numFmtId="0" fontId="0" fillId="0" borderId="0" xfId="0"/>
    <xf numFmtId="0" fontId="0" fillId="2" borderId="0" xfId="0" applyFill="1"/>
    <xf numFmtId="1" fontId="0" fillId="0" borderId="0" xfId="0" applyNumberFormat="1"/>
    <xf numFmtId="2" fontId="0" fillId="0" borderId="0" xfId="0" applyNumberFormat="1"/>
    <xf numFmtId="0" fontId="0" fillId="0" borderId="0" xfId="0"/>
    <xf numFmtId="0" fontId="0" fillId="0" borderId="0" xfId="0" applyFont="1"/>
    <xf numFmtId="0" fontId="0" fillId="0" borderId="0" xfId="0" applyFill="1"/>
    <xf numFmtId="9" fontId="0" fillId="0" borderId="0" xfId="0" applyNumberFormat="1"/>
    <xf numFmtId="0" fontId="1" fillId="0" borderId="0" xfId="0" applyFont="1"/>
    <xf numFmtId="0" fontId="0" fillId="3" borderId="0" xfId="0" applyFill="1"/>
    <xf numFmtId="1" fontId="0" fillId="3" borderId="0" xfId="0" applyNumberFormat="1" applyFill="1"/>
    <xf numFmtId="9" fontId="0" fillId="3" borderId="0" xfId="0" applyNumberFormat="1" applyFill="1"/>
    <xf numFmtId="1" fontId="1" fillId="0" borderId="0" xfId="0" applyNumberFormat="1" applyFont="1"/>
    <xf numFmtId="1" fontId="0" fillId="0" borderId="0" xfId="0" applyNumberFormat="1" applyFill="1"/>
    <xf numFmtId="1" fontId="0" fillId="2" borderId="0" xfId="0" applyNumberFormat="1" applyFill="1"/>
    <xf numFmtId="9" fontId="0" fillId="2" borderId="0" xfId="0" applyNumberFormat="1" applyFill="1"/>
    <xf numFmtId="164" fontId="0" fillId="0" borderId="0" xfId="1" applyNumberFormat="1" applyFont="1"/>
    <xf numFmtId="1" fontId="1" fillId="3" borderId="0" xfId="0" applyNumberFormat="1" applyFont="1" applyFill="1"/>
    <xf numFmtId="0" fontId="1" fillId="2" borderId="0" xfId="0" applyFont="1" applyFill="1"/>
  </cellXfs>
  <cellStyles count="2">
    <cellStyle name="Comma" xfId="1" builtinId="3"/>
    <cellStyle name="Normal" xfId="0" builtinId="0"/>
  </cellStyles>
  <dxfs count="8">
    <dxf>
      <font>
        <strike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</dxf>
    <dxf>
      <numFmt numFmtId="1" formatCode="0"/>
    </dxf>
    <dxf>
      <numFmt numFmtId="164" formatCode="_(* #,##0_);_(* \(#,##0\);_(* &quot;-&quot;??_);_(@_)"/>
    </dxf>
    <dxf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1" formatCode="0"/>
    </dxf>
  </dxfs>
  <tableStyles count="0" defaultTableStyle="TableStyleMedium2" defaultPivotStyle="PivotStyleLight16"/>
  <colors>
    <mruColors>
      <color rgb="FFFFCCFF"/>
      <color rgb="FFFFDDFF"/>
      <color rgb="FFFF99FF"/>
      <color rgb="FFCC99FF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Boardings at Hub - 2016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A5D4649-60F1-460C-9A77-6237398BF18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CA5-48DB-A505-67483EA7337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E12EB2A-8A8A-42F1-BAEF-5AA8CA61182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CA5-48DB-A505-67483EA73375}"/>
                </c:ext>
              </c:extLst>
            </c:dLbl>
            <c:dLbl>
              <c:idx val="2"/>
              <c:layout>
                <c:manualLayout>
                  <c:x val="-6.4087526305178721E-2"/>
                  <c:y val="-2.8154851684263484E-2"/>
                </c:manualLayout>
              </c:layout>
              <c:tx>
                <c:rich>
                  <a:bodyPr/>
                  <a:lstStyle/>
                  <a:p>
                    <a:fld id="{4C2149CE-88CA-4A80-9314-55B4E924586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DCA5-48DB-A505-67483EA7337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9AB79E2-64BF-48D9-9748-D57E21F2E77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CA5-48DB-A505-67483EA7337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7DE5CBE-5D7B-4EC5-BE10-E0728ABADD0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CA5-48DB-A505-67483EA7337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5202D56-BF91-4DFC-88BE-815528E7885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CA5-48DB-A505-67483EA7337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5A030C7-1879-4082-8D17-5FCC848EBBE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CA5-48DB-A505-67483EA7337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9A86976-F399-4302-981E-418B63C964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CA5-48DB-A505-67483EA7337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E74CCC1-0E0A-4B76-BF4F-C56691FFE61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CA5-48DB-A505-67483EA7337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0B5AA1B-2DF9-41FB-8A94-B6A1601667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CA5-48DB-A505-67483EA7337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155A74B-AD89-49D0-9FF4-0F8D21EDFD3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CA5-48DB-A505-67483EA7337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9EE4A89-C9BB-498D-B8FB-1D0B5395947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CA5-48DB-A505-67483EA7337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D13FAA8-10F1-42BB-A36E-D3DDC46835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CA5-48DB-A505-67483EA73375}"/>
                </c:ext>
              </c:extLst>
            </c:dLbl>
            <c:dLbl>
              <c:idx val="13"/>
              <c:layout>
                <c:manualLayout>
                  <c:x val="-7.8155519884364286E-3"/>
                  <c:y val="-1.0055304172951232E-2"/>
                </c:manualLayout>
              </c:layout>
              <c:tx>
                <c:rich>
                  <a:bodyPr/>
                  <a:lstStyle/>
                  <a:p>
                    <a:fld id="{2CF065B3-373A-4A72-AC20-18B94F1927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DCA5-48DB-A505-67483EA73375}"/>
                </c:ext>
              </c:extLst>
            </c:dLbl>
            <c:dLbl>
              <c:idx val="14"/>
              <c:layout>
                <c:manualLayout>
                  <c:x val="-5.6271974316742322E-2"/>
                  <c:y val="-3.2176973353443938E-2"/>
                </c:manualLayout>
              </c:layout>
              <c:tx>
                <c:rich>
                  <a:bodyPr/>
                  <a:lstStyle/>
                  <a:p>
                    <a:fld id="{557B8FE6-C0EA-4366-9E61-C727E8F135E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DCA5-48DB-A505-67483EA7337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6CD78F9-7759-4EC6-B478-970A1103C8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CA5-48DB-A505-67483EA7337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337670E-73DB-4D7A-88DC-4A028C13533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CA5-48DB-A505-67483EA7337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9E0C5CE-D045-45C5-AB6C-B6514E3FA3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CA5-48DB-A505-67483EA7337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C5C1741-2E16-446B-80F0-98491F38709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CA5-48DB-A505-67483EA7337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FE3CB55-C4C8-4AB8-B2C6-08AA1AD467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CA5-48DB-A505-67483EA7337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18DC862-1F4E-4989-9FD5-2FBECEBCB8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CA5-48DB-A505-67483EA7337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854DEFA-F3D1-45D4-838F-C9A214BAFF5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CA5-48DB-A505-67483EA7337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1B9AA97-92B4-4F23-9F68-FA74F198E8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CA5-48DB-A505-67483EA7337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26CB990-B0DA-48CC-A6A4-A5E3F37077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CA5-48DB-A505-67483EA7337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4D8FD3A-4F49-4E61-9A7C-6FFF2E25129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CA5-48DB-A505-67483EA7337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C4F157B-E241-40A1-A2BE-206BC659BA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CA5-48DB-A505-67483EA7337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0A893A3-5380-47C6-87FC-27A81B4A3F5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CA5-48DB-A505-67483EA7337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1668CAE-E45A-4B5B-AB76-C5792FE3144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CA5-48DB-A505-67483EA7337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9E4DDC0-302E-4AB4-862B-C75011F7AB9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CA5-48DB-A505-67483EA733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Boardings_by_Hub!$D$2:$D$30</c:f>
            </c:numRef>
          </c:xVal>
          <c:yVal>
            <c:numRef>
              <c:f>Boardings_by_Hub!$E$2:$E$30</c:f>
              <c:numCache>
                <c:formatCode>0</c:formatCode>
                <c:ptCount val="29"/>
                <c:pt idx="0">
                  <c:v>10308.012563</c:v>
                </c:pt>
                <c:pt idx="1">
                  <c:v>8389.1568480000005</c:v>
                </c:pt>
                <c:pt idx="2">
                  <c:v>13323.61139</c:v>
                </c:pt>
                <c:pt idx="3">
                  <c:v>10582.548205999999</c:v>
                </c:pt>
                <c:pt idx="4">
                  <c:v>4327.8173630000001</c:v>
                </c:pt>
                <c:pt idx="5">
                  <c:v>5355.3511120000003</c:v>
                </c:pt>
                <c:pt idx="6">
                  <c:v>6309.9335849999998</c:v>
                </c:pt>
                <c:pt idx="7">
                  <c:v>3582.6720129999999</c:v>
                </c:pt>
                <c:pt idx="8">
                  <c:v>6620.5007699999996</c:v>
                </c:pt>
                <c:pt idx="9">
                  <c:v>10173.496080000001</c:v>
                </c:pt>
                <c:pt idx="10">
                  <c:v>6598.7692639999996</c:v>
                </c:pt>
                <c:pt idx="11">
                  <c:v>4456.4469509999999</c:v>
                </c:pt>
                <c:pt idx="12">
                  <c:v>3808.4430440000001</c:v>
                </c:pt>
                <c:pt idx="13">
                  <c:v>4290.3804879999998</c:v>
                </c:pt>
                <c:pt idx="14">
                  <c:v>3848.6063920000001</c:v>
                </c:pt>
                <c:pt idx="15">
                  <c:v>5010.9243290000004</c:v>
                </c:pt>
                <c:pt idx="16">
                  <c:v>67</c:v>
                </c:pt>
                <c:pt idx="17">
                  <c:v>3058.6549220000002</c:v>
                </c:pt>
                <c:pt idx="18">
                  <c:v>2486.2499979999998</c:v>
                </c:pt>
                <c:pt idx="19">
                  <c:v>1847.5870749999999</c:v>
                </c:pt>
                <c:pt idx="20">
                  <c:v>1862.7914060000001</c:v>
                </c:pt>
                <c:pt idx="21">
                  <c:v>554.71641999999997</c:v>
                </c:pt>
                <c:pt idx="22">
                  <c:v>2468.3512489999998</c:v>
                </c:pt>
                <c:pt idx="23">
                  <c:v>996.33166800000004</c:v>
                </c:pt>
                <c:pt idx="24">
                  <c:v>1308.6089549999999</c:v>
                </c:pt>
                <c:pt idx="25">
                  <c:v>61</c:v>
                </c:pt>
                <c:pt idx="26">
                  <c:v>911.61962900000003</c:v>
                </c:pt>
                <c:pt idx="27">
                  <c:v>400.08003100000002</c:v>
                </c:pt>
                <c:pt idx="28">
                  <c:v>285.04271199999999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Boardings_by_Hub!$B$2:$B$30</c15:f>
                <c15:dlblRangeCache>
                  <c:ptCount val="29"/>
                  <c:pt idx="0">
                    <c:v>12th/Imperial TC</c:v>
                  </c:pt>
                  <c:pt idx="1">
                    <c:v>Old Town TC</c:v>
                  </c:pt>
                  <c:pt idx="2">
                    <c:v>San Ysidro Trolley</c:v>
                  </c:pt>
                  <c:pt idx="3">
                    <c:v>Smart Corner</c:v>
                  </c:pt>
                  <c:pt idx="4">
                    <c:v>UCSD (Gillman Loop)</c:v>
                  </c:pt>
                  <c:pt idx="5">
                    <c:v>El Cajon TC</c:v>
                  </c:pt>
                  <c:pt idx="6">
                    <c:v>Palomar Trolley</c:v>
                  </c:pt>
                  <c:pt idx="7">
                    <c:v>Euclid TC</c:v>
                  </c:pt>
                  <c:pt idx="8">
                    <c:v>Escondido TC</c:v>
                  </c:pt>
                  <c:pt idx="9">
                    <c:v>SDSU</c:v>
                  </c:pt>
                  <c:pt idx="10">
                    <c:v>Fashion Valley</c:v>
                  </c:pt>
                  <c:pt idx="11">
                    <c:v>Vista TC</c:v>
                  </c:pt>
                  <c:pt idx="12">
                    <c:v>Oceanside TC</c:v>
                  </c:pt>
                  <c:pt idx="13">
                    <c:v>Grossmont TC</c:v>
                  </c:pt>
                  <c:pt idx="14">
                    <c:v>8th St Trolley</c:v>
                  </c:pt>
                  <c:pt idx="15">
                    <c:v>Palomar Sprinter</c:v>
                  </c:pt>
                  <c:pt idx="16">
                    <c:v>San Ysidro West</c:v>
                  </c:pt>
                  <c:pt idx="17">
                    <c:v>UTC</c:v>
                  </c:pt>
                  <c:pt idx="18">
                    <c:v>Otay Mesa Border</c:v>
                  </c:pt>
                  <c:pt idx="19">
                    <c:v>SR15 @ University</c:v>
                  </c:pt>
                  <c:pt idx="20">
                    <c:v>Southwestern College</c:v>
                  </c:pt>
                  <c:pt idx="21">
                    <c:v>Barrio Logan Trolley</c:v>
                  </c:pt>
                  <c:pt idx="22">
                    <c:v>SR15 @ El Cajon Blvd</c:v>
                  </c:pt>
                  <c:pt idx="23">
                    <c:v>Sorrento Valley Coaster</c:v>
                  </c:pt>
                  <c:pt idx="24">
                    <c:v>CSU San Marcos</c:v>
                  </c:pt>
                  <c:pt idx="25">
                    <c:v>Sabre Springs</c:v>
                  </c:pt>
                  <c:pt idx="26">
                    <c:v>Grossmont Community College</c:v>
                  </c:pt>
                  <c:pt idx="27">
                    <c:v>Parkway Plaza</c:v>
                  </c:pt>
                  <c:pt idx="28">
                    <c:v>Otay Ranch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DCA5-48DB-A505-67483EA73375}"/>
            </c:ext>
          </c:extLst>
        </c:ser>
        <c:ser>
          <c:idx val="1"/>
          <c:order val="1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3-DCA5-48DB-A505-67483EA73375}"/>
              </c:ext>
            </c:extLst>
          </c:dPt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DCA5-48DB-A505-67483EA73375}"/>
              </c:ext>
            </c:extLst>
          </c:dPt>
          <c:xVal>
            <c:numRef>
              <c:f>Boardings_by_Hub!$Y$1:$Y$2</c:f>
              <c:numCache>
                <c:formatCode>0</c:formatCode>
                <c:ptCount val="2"/>
                <c:pt idx="0" formatCode="General">
                  <c:v>0</c:v>
                </c:pt>
                <c:pt idx="1">
                  <c:v>20000</c:v>
                </c:pt>
              </c:numCache>
            </c:numRef>
          </c:xVal>
          <c:yVal>
            <c:numRef>
              <c:f>Boardings_by_Hub!$Z$1:$Z$2</c:f>
              <c:numCache>
                <c:formatCode>General</c:formatCode>
                <c:ptCount val="2"/>
                <c:pt idx="0">
                  <c:v>0</c:v>
                </c:pt>
                <c:pt idx="1">
                  <c:v>20000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A5-48DB-A505-67483EA73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029000"/>
        <c:axId val="407027688"/>
      </c:scatterChart>
      <c:valAx>
        <c:axId val="407029000"/>
        <c:scaling>
          <c:orientation val="minMax"/>
          <c:max val="2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Observed Boardings at Hub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027688"/>
        <c:crosses val="autoZero"/>
        <c:crossBetween val="midCat"/>
      </c:valAx>
      <c:valAx>
        <c:axId val="407027688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Modeled Boardings</a:t>
                </a:r>
                <a:r>
                  <a:rPr lang="en-US" b="1" baseline="0"/>
                  <a:t> at Hub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02900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8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609599</xdr:colOff>
      <xdr:row>0</xdr:row>
      <xdr:rowOff>38099</xdr:rowOff>
    </xdr:from>
    <xdr:to>
      <xdr:col>22</xdr:col>
      <xdr:colOff>200025</xdr:colOff>
      <xdr:row>33</xdr:row>
      <xdr:rowOff>66674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48A446C-ACB2-45B4-BEC3-6DD2BB1CDC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BM/ABM_FY17/ABM%20Maintenance-2015%20Calibration/working/template/highway_assignment_validation_2015_AllClas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ourc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me"/>
      <sheetName val="flow"/>
      <sheetName val="count_n_flow"/>
      <sheetName val="class"/>
      <sheetName val="volume"/>
      <sheetName val="msa"/>
      <sheetName val="jur"/>
      <sheetName val="chart_all"/>
      <sheetName val="sum_byclass"/>
      <sheetName val="chart_byclass"/>
      <sheetName val="sum_byvolume"/>
      <sheetName val="chart_byvolume"/>
      <sheetName val="Chart_RMSE"/>
      <sheetName val="sum_bymsa"/>
      <sheetName val="chart_bymsa"/>
      <sheetName val="ref"/>
      <sheetName val="ref0"/>
      <sheetName val="highway_assignment_validation_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/>
      <sheetData sheetId="9" refreshError="1"/>
      <sheetData sheetId="10"/>
      <sheetData sheetId="11" refreshError="1"/>
      <sheetData sheetId="12" refreshError="1"/>
      <sheetData sheetId="13"/>
      <sheetData sheetId="14" refreshError="1"/>
      <sheetData sheetId="15"/>
      <sheetData sheetId="16"/>
      <sheetData sheetId="1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flow_raw"/>
      <sheetName val="transit_general"/>
      <sheetName val="transit_hub"/>
      <sheetName val="truck_flow"/>
      <sheetName val="hwy_speed"/>
      <sheetName val="flow_freeway"/>
    </sheetNames>
    <sheetDataSet>
      <sheetData sheetId="0">
        <row r="3">
          <cell r="B3">
            <v>376</v>
          </cell>
        </row>
      </sheetData>
      <sheetData sheetId="1"/>
      <sheetData sheetId="2"/>
      <sheetData sheetId="3">
        <row r="2">
          <cell r="A2">
            <v>376</v>
          </cell>
          <cell r="B2">
            <v>18</v>
          </cell>
          <cell r="C2">
            <v>3058.6549220000002</v>
          </cell>
        </row>
        <row r="3">
          <cell r="A3">
            <v>376</v>
          </cell>
          <cell r="B3">
            <v>19</v>
          </cell>
          <cell r="C3">
            <v>2486.2499979999998</v>
          </cell>
        </row>
        <row r="4">
          <cell r="A4">
            <v>376</v>
          </cell>
          <cell r="B4">
            <v>13</v>
          </cell>
          <cell r="C4">
            <v>3808.4430440000001</v>
          </cell>
        </row>
        <row r="5">
          <cell r="A5">
            <v>376</v>
          </cell>
          <cell r="B5">
            <v>15</v>
          </cell>
          <cell r="C5">
            <v>3848.6063920000001</v>
          </cell>
        </row>
        <row r="6">
          <cell r="A6">
            <v>376</v>
          </cell>
          <cell r="B6">
            <v>24</v>
          </cell>
          <cell r="C6">
            <v>996.33166800000004</v>
          </cell>
        </row>
        <row r="7">
          <cell r="A7">
            <v>376</v>
          </cell>
          <cell r="B7">
            <v>1</v>
          </cell>
          <cell r="C7">
            <v>10308.012563</v>
          </cell>
        </row>
        <row r="8">
          <cell r="A8">
            <v>376</v>
          </cell>
          <cell r="B8">
            <v>11</v>
          </cell>
          <cell r="C8">
            <v>6598.7692639999996</v>
          </cell>
        </row>
        <row r="9">
          <cell r="A9">
            <v>376</v>
          </cell>
          <cell r="B9">
            <v>26</v>
          </cell>
          <cell r="C9">
            <v>61</v>
          </cell>
        </row>
        <row r="10">
          <cell r="A10">
            <v>376</v>
          </cell>
          <cell r="B10">
            <v>4</v>
          </cell>
          <cell r="C10">
            <v>10582.548205999999</v>
          </cell>
        </row>
        <row r="11">
          <cell r="A11">
            <v>376</v>
          </cell>
          <cell r="B11">
            <v>23</v>
          </cell>
          <cell r="C11">
            <v>2468.3512489999998</v>
          </cell>
        </row>
        <row r="12">
          <cell r="A12">
            <v>376</v>
          </cell>
          <cell r="B12">
            <v>3</v>
          </cell>
          <cell r="C12">
            <v>13323.61139</v>
          </cell>
        </row>
        <row r="13">
          <cell r="A13">
            <v>376</v>
          </cell>
          <cell r="B13">
            <v>5</v>
          </cell>
          <cell r="C13">
            <v>4327.8173630000001</v>
          </cell>
        </row>
        <row r="14">
          <cell r="A14">
            <v>376</v>
          </cell>
          <cell r="B14">
            <v>9</v>
          </cell>
          <cell r="C14">
            <v>6620.5007699999996</v>
          </cell>
        </row>
        <row r="15">
          <cell r="A15">
            <v>376</v>
          </cell>
          <cell r="B15">
            <v>16</v>
          </cell>
          <cell r="C15">
            <v>5010.9243290000004</v>
          </cell>
        </row>
        <row r="16">
          <cell r="A16">
            <v>376</v>
          </cell>
          <cell r="B16">
            <v>22</v>
          </cell>
          <cell r="C16">
            <v>554.71641999999997</v>
          </cell>
        </row>
        <row r="17">
          <cell r="A17">
            <v>376</v>
          </cell>
          <cell r="B17">
            <v>12</v>
          </cell>
          <cell r="C17">
            <v>4456.4469509999999</v>
          </cell>
        </row>
        <row r="18">
          <cell r="A18">
            <v>376</v>
          </cell>
          <cell r="B18">
            <v>29</v>
          </cell>
          <cell r="C18">
            <v>285.04271199999999</v>
          </cell>
        </row>
        <row r="19">
          <cell r="A19">
            <v>376</v>
          </cell>
          <cell r="B19">
            <v>2</v>
          </cell>
          <cell r="C19">
            <v>8389.1568480000005</v>
          </cell>
        </row>
        <row r="20">
          <cell r="A20">
            <v>376</v>
          </cell>
          <cell r="B20">
            <v>27</v>
          </cell>
          <cell r="C20">
            <v>911.61962900000003</v>
          </cell>
        </row>
        <row r="21">
          <cell r="A21">
            <v>376</v>
          </cell>
          <cell r="B21">
            <v>8</v>
          </cell>
          <cell r="C21">
            <v>3582.6720129999999</v>
          </cell>
        </row>
        <row r="22">
          <cell r="A22">
            <v>376</v>
          </cell>
          <cell r="B22">
            <v>25</v>
          </cell>
          <cell r="C22">
            <v>1308.6089549999999</v>
          </cell>
        </row>
        <row r="23">
          <cell r="A23">
            <v>376</v>
          </cell>
          <cell r="B23">
            <v>17</v>
          </cell>
          <cell r="C23">
            <v>67</v>
          </cell>
        </row>
        <row r="24">
          <cell r="A24">
            <v>376</v>
          </cell>
          <cell r="B24">
            <v>6</v>
          </cell>
          <cell r="C24">
            <v>5355.3511120000003</v>
          </cell>
        </row>
        <row r="25">
          <cell r="A25">
            <v>376</v>
          </cell>
          <cell r="B25">
            <v>21</v>
          </cell>
          <cell r="C25">
            <v>1862.7914060000001</v>
          </cell>
        </row>
        <row r="26">
          <cell r="A26">
            <v>376</v>
          </cell>
          <cell r="B26">
            <v>28</v>
          </cell>
          <cell r="C26">
            <v>400.08003100000002</v>
          </cell>
        </row>
        <row r="27">
          <cell r="A27">
            <v>376</v>
          </cell>
          <cell r="B27">
            <v>14</v>
          </cell>
          <cell r="C27">
            <v>4290.3804879999998</v>
          </cell>
        </row>
        <row r="28">
          <cell r="A28">
            <v>376</v>
          </cell>
          <cell r="B28">
            <v>10</v>
          </cell>
          <cell r="C28">
            <v>10173.496080000001</v>
          </cell>
        </row>
        <row r="29">
          <cell r="A29">
            <v>376</v>
          </cell>
          <cell r="B29">
            <v>20</v>
          </cell>
          <cell r="C29">
            <v>1847.5870749999999</v>
          </cell>
        </row>
        <row r="30">
          <cell r="A30">
            <v>376</v>
          </cell>
          <cell r="B30">
            <v>7</v>
          </cell>
          <cell r="C30">
            <v>6309.9335849999998</v>
          </cell>
        </row>
      </sheetData>
      <sheetData sheetId="4"/>
      <sheetData sheetId="5"/>
      <sheetData sheetId="6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ql2014a8.sandag.org ws Transit2015table" connectionId="2" xr16:uid="{00000000-0016-0000-0000-000000000000}" autoFormatId="16" applyNumberFormats="0" applyBorderFormats="0" applyFontFormats="0" applyPatternFormats="0" applyAlignmentFormats="0" applyWidthHeightFormats="0">
  <queryTableRefresh nextId="16">
    <queryTableFields count="3">
      <queryTableField id="1" name="scenario_id" tableColumnId="1"/>
      <queryTableField id="14" name="Hubid" tableColumnId="2"/>
      <queryTableField id="15" name="total_boardings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ocioeca8.sandag.org_abm2_trh" connectionId="1" xr16:uid="{00000000-0016-0000-0000-000001000000}" autoFormatId="16" applyNumberFormats="0" applyBorderFormats="0" applyFontFormats="0" applyPatternFormats="0" applyAlignmentFormats="0" applyWidthHeightFormats="0">
  <queryTableRefresh nextId="4">
    <queryTableFields count="3">
      <queryTableField id="1" name="scenario_id" tableColumnId="1"/>
      <queryTableField id="2" name="Hubid" tableColumnId="2"/>
      <queryTableField id="3" name="total_boardings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d" displayName="md" ref="I1:K30" tableType="queryTable" totalsRowShown="0">
  <autoFilter ref="I1:K30" xr:uid="{00000000-0009-0000-0100-000001000000}"/>
  <tableColumns count="3">
    <tableColumn id="1" xr3:uid="{00000000-0010-0000-0000-000001000000}" uniqueName="1" name="scenario_id" queryTableFieldId="1"/>
    <tableColumn id="2" xr3:uid="{00000000-0010-0000-0000-000002000000}" uniqueName="2" name="Hubid" queryTableFieldId="14"/>
    <tableColumn id="3" xr3:uid="{00000000-0010-0000-0000-000003000000}" uniqueName="3" name="total_boardings" queryTableFieldId="15" dataDxfId="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_socioeca8.sandag.org_abm2_trh" displayName="Table_socioeca8.sandag.org_abm2_trh" ref="E1:G30" tableType="queryTable" totalsRowShown="0">
  <autoFilter ref="E1:G30" xr:uid="{00000000-0009-0000-0100-000003000000}"/>
  <tableColumns count="3">
    <tableColumn id="1" xr3:uid="{00000000-0010-0000-0100-000001000000}" uniqueName="1" name="scenario_id" queryTableFieldId="1"/>
    <tableColumn id="2" xr3:uid="{00000000-0010-0000-0100-000002000000}" uniqueName="2" name="Hubid" queryTableFieldId="2"/>
    <tableColumn id="3" xr3:uid="{00000000-0010-0000-0100-000003000000}" uniqueName="3" name="total_boardings" queryTableFieldId="3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2" displayName="Table2" ref="A1:F31" totalsRowShown="0">
  <autoFilter ref="A1:F31" xr:uid="{00000000-0009-0000-0100-000002000000}"/>
  <tableColumns count="6">
    <tableColumn id="1" xr3:uid="{00000000-0010-0000-0200-000001000000}" name="Hubid"/>
    <tableColumn id="2" xr3:uid="{00000000-0010-0000-0200-000002000000}" name="Hub"/>
    <tableColumn id="6" xr3:uid="{7AD85011-4CB2-4603-87DC-97DC64E6AE4F}" name="FY 2016 Count" dataDxfId="2" dataCellStyle="Comma"/>
    <tableColumn id="3" xr3:uid="{00000000-0010-0000-0200-000003000000}" name="Fall 2016 Count" dataDxfId="0"/>
    <tableColumn id="4" xr3:uid="{00000000-0010-0000-0200-000004000000}" name="total_boardings" dataDxfId="1">
      <calculatedColumnFormula>VLOOKUP(A2,md[[Hubid]:[total_boardings]],2,FALSE)</calculatedColumnFormula>
    </tableColumn>
    <tableColumn id="5" xr3:uid="{00000000-0010-0000-0200-000005000000}" name="Gap" dataDxfId="3">
      <calculatedColumnFormula>E2/C2-1</calculatedColumnFormula>
    </tableColumn>
  </tableColumns>
  <tableStyleInfo name="TableStyleLight9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 tint="4.9989318521683403E-2"/>
  </sheetPr>
  <dimension ref="A1:V138"/>
  <sheetViews>
    <sheetView workbookViewId="0">
      <selection activeCell="B37" sqref="B37"/>
    </sheetView>
  </sheetViews>
  <sheetFormatPr defaultRowHeight="15" x14ac:dyDescent="0.25"/>
  <cols>
    <col min="2" max="2" width="104.85546875" bestFit="1" customWidth="1"/>
    <col min="3" max="3" width="11.140625" bestFit="1" customWidth="1"/>
    <col min="4" max="4" width="11.140625" style="4" customWidth="1"/>
    <col min="5" max="5" width="13.42578125" style="4" customWidth="1"/>
    <col min="6" max="6" width="8.5703125" style="4" customWidth="1"/>
    <col min="7" max="7" width="17.28515625" style="2" customWidth="1"/>
    <col min="9" max="9" width="13.42578125" hidden="1" customWidth="1"/>
    <col min="10" max="10" width="8.5703125" style="4" hidden="1" customWidth="1"/>
    <col min="11" max="11" width="17.28515625" style="2" hidden="1" customWidth="1"/>
    <col min="12" max="12" width="8.140625" hidden="1" customWidth="1"/>
    <col min="13" max="13" width="14.42578125" style="3" customWidth="1"/>
    <col min="14" max="15" width="15.42578125" style="3" customWidth="1"/>
    <col min="16" max="16" width="15.140625" style="3" customWidth="1"/>
    <col min="17" max="17" width="14.42578125" style="3" customWidth="1"/>
    <col min="18" max="18" width="20.85546875" style="3" customWidth="1"/>
    <col min="19" max="20" width="21.7109375" style="3" customWidth="1"/>
    <col min="21" max="21" width="21.5703125" style="3" customWidth="1"/>
    <col min="22" max="22" width="20.85546875" style="3" customWidth="1"/>
  </cols>
  <sheetData>
    <row r="1" spans="1:22" x14ac:dyDescent="0.25">
      <c r="A1" s="4" t="s">
        <v>0</v>
      </c>
      <c r="B1" s="4"/>
      <c r="C1" t="s">
        <v>3</v>
      </c>
      <c r="E1" s="4" t="s">
        <v>3</v>
      </c>
      <c r="F1" s="4" t="s">
        <v>4</v>
      </c>
      <c r="G1" s="2" t="s">
        <v>35</v>
      </c>
      <c r="I1" t="s">
        <v>3</v>
      </c>
      <c r="J1" s="4" t="s">
        <v>4</v>
      </c>
      <c r="K1" s="2" t="s">
        <v>35</v>
      </c>
      <c r="M1"/>
      <c r="N1"/>
      <c r="O1"/>
      <c r="P1"/>
      <c r="Q1"/>
      <c r="R1"/>
      <c r="S1"/>
      <c r="T1"/>
      <c r="U1"/>
      <c r="V1"/>
    </row>
    <row r="2" spans="1:22" x14ac:dyDescent="0.25">
      <c r="A2" s="4">
        <v>1</v>
      </c>
      <c r="B2" s="4" t="s">
        <v>1</v>
      </c>
      <c r="C2" s="1">
        <f>[2]Settings!$B$3</f>
        <v>376</v>
      </c>
      <c r="D2" s="6"/>
      <c r="E2" s="6">
        <f>[2]transit_hub!A2</f>
        <v>376</v>
      </c>
      <c r="F2" s="6">
        <f>[2]transit_hub!B2</f>
        <v>18</v>
      </c>
      <c r="G2" s="13">
        <f>[2]transit_hub!C2</f>
        <v>3058.6549220000002</v>
      </c>
      <c r="I2" s="4">
        <f>Table_socioeca8.sandag.org_abm2_trh[[#This Row],[scenario_id]]</f>
        <v>376</v>
      </c>
      <c r="J2" s="4">
        <f>Table_socioeca8.sandag.org_abm2_trh[[#This Row],[Hubid]]</f>
        <v>18</v>
      </c>
      <c r="K2" s="2">
        <f>Table_socioeca8.sandag.org_abm2_trh[[#This Row],[total_boardings]]</f>
        <v>3058.6549220000002</v>
      </c>
      <c r="M2"/>
      <c r="N2"/>
      <c r="O2"/>
      <c r="P2"/>
      <c r="Q2"/>
      <c r="R2"/>
      <c r="S2"/>
      <c r="T2"/>
      <c r="U2"/>
      <c r="V2"/>
    </row>
    <row r="3" spans="1:22" x14ac:dyDescent="0.25">
      <c r="A3" s="4">
        <v>2</v>
      </c>
      <c r="B3" s="4" t="s">
        <v>2</v>
      </c>
      <c r="E3" s="4">
        <f>[2]transit_hub!A3</f>
        <v>376</v>
      </c>
      <c r="F3" s="4">
        <f>[2]transit_hub!B3</f>
        <v>19</v>
      </c>
      <c r="G3" s="2">
        <f>[2]transit_hub!C3</f>
        <v>2486.2499979999998</v>
      </c>
      <c r="I3" s="4">
        <f>Table_socioeca8.sandag.org_abm2_trh[[#This Row],[scenario_id]]</f>
        <v>376</v>
      </c>
      <c r="J3" s="4">
        <f>Table_socioeca8.sandag.org_abm2_trh[[#This Row],[Hubid]]</f>
        <v>19</v>
      </c>
      <c r="K3" s="2">
        <f>Table_socioeca8.sandag.org_abm2_trh[[#This Row],[total_boardings]]</f>
        <v>2486.2499979999998</v>
      </c>
      <c r="M3"/>
      <c r="N3"/>
      <c r="O3"/>
      <c r="P3"/>
      <c r="Q3"/>
      <c r="R3"/>
      <c r="S3"/>
      <c r="T3"/>
      <c r="U3"/>
      <c r="V3"/>
    </row>
    <row r="4" spans="1:22" x14ac:dyDescent="0.25">
      <c r="A4" s="4"/>
      <c r="B4" s="4"/>
      <c r="E4" s="4">
        <f>[2]transit_hub!A4</f>
        <v>376</v>
      </c>
      <c r="F4" s="4">
        <f>[2]transit_hub!B4</f>
        <v>13</v>
      </c>
      <c r="G4" s="2">
        <f>[2]transit_hub!C4</f>
        <v>3808.4430440000001</v>
      </c>
      <c r="I4" s="4">
        <f>Table_socioeca8.sandag.org_abm2_trh[[#This Row],[scenario_id]]</f>
        <v>376</v>
      </c>
      <c r="J4" s="4">
        <f>Table_socioeca8.sandag.org_abm2_trh[[#This Row],[Hubid]]</f>
        <v>13</v>
      </c>
      <c r="K4" s="2">
        <f>Table_socioeca8.sandag.org_abm2_trh[[#This Row],[total_boardings]]</f>
        <v>3808.4430440000001</v>
      </c>
      <c r="M4"/>
      <c r="N4"/>
      <c r="O4"/>
      <c r="P4"/>
      <c r="Q4"/>
      <c r="R4"/>
      <c r="S4"/>
      <c r="T4"/>
      <c r="U4"/>
      <c r="V4"/>
    </row>
    <row r="5" spans="1:22" x14ac:dyDescent="0.25">
      <c r="A5" s="4"/>
      <c r="B5" s="4"/>
      <c r="E5" s="4">
        <f>[2]transit_hub!A5</f>
        <v>376</v>
      </c>
      <c r="F5" s="4">
        <f>[2]transit_hub!B5</f>
        <v>15</v>
      </c>
      <c r="G5" s="2">
        <f>[2]transit_hub!C5</f>
        <v>3848.6063920000001</v>
      </c>
      <c r="I5" s="4">
        <f>Table_socioeca8.sandag.org_abm2_trh[[#This Row],[scenario_id]]</f>
        <v>376</v>
      </c>
      <c r="J5" s="4">
        <f>Table_socioeca8.sandag.org_abm2_trh[[#This Row],[Hubid]]</f>
        <v>15</v>
      </c>
      <c r="K5" s="2">
        <f>Table_socioeca8.sandag.org_abm2_trh[[#This Row],[total_boardings]]</f>
        <v>3848.6063920000001</v>
      </c>
      <c r="M5"/>
      <c r="N5"/>
      <c r="O5"/>
      <c r="P5"/>
      <c r="Q5"/>
      <c r="R5"/>
      <c r="S5"/>
      <c r="T5"/>
      <c r="U5"/>
      <c r="V5"/>
    </row>
    <row r="6" spans="1:22" x14ac:dyDescent="0.25">
      <c r="A6" s="4"/>
      <c r="B6" s="4"/>
      <c r="E6" s="4">
        <f>[2]transit_hub!A6</f>
        <v>376</v>
      </c>
      <c r="F6" s="4">
        <f>[2]transit_hub!B6</f>
        <v>24</v>
      </c>
      <c r="G6" s="2">
        <f>[2]transit_hub!C6</f>
        <v>996.33166800000004</v>
      </c>
      <c r="I6" s="4">
        <f>Table_socioeca8.sandag.org_abm2_trh[[#This Row],[scenario_id]]</f>
        <v>376</v>
      </c>
      <c r="J6" s="4">
        <f>Table_socioeca8.sandag.org_abm2_trh[[#This Row],[Hubid]]</f>
        <v>24</v>
      </c>
      <c r="K6" s="2">
        <f>Table_socioeca8.sandag.org_abm2_trh[[#This Row],[total_boardings]]</f>
        <v>996.33166800000004</v>
      </c>
      <c r="M6"/>
      <c r="N6"/>
      <c r="O6"/>
      <c r="P6"/>
      <c r="Q6"/>
      <c r="R6"/>
      <c r="S6"/>
      <c r="T6"/>
      <c r="U6"/>
      <c r="V6"/>
    </row>
    <row r="7" spans="1:22" x14ac:dyDescent="0.25">
      <c r="A7" s="4"/>
      <c r="B7" s="4"/>
      <c r="E7" s="4">
        <f>[2]transit_hub!A7</f>
        <v>376</v>
      </c>
      <c r="F7" s="4">
        <f>[2]transit_hub!B7</f>
        <v>1</v>
      </c>
      <c r="G7" s="2">
        <f>[2]transit_hub!C7</f>
        <v>10308.012563</v>
      </c>
      <c r="I7" s="4">
        <f>Table_socioeca8.sandag.org_abm2_trh[[#This Row],[scenario_id]]</f>
        <v>376</v>
      </c>
      <c r="J7" s="4">
        <f>Table_socioeca8.sandag.org_abm2_trh[[#This Row],[Hubid]]</f>
        <v>1</v>
      </c>
      <c r="K7" s="2">
        <f>Table_socioeca8.sandag.org_abm2_trh[[#This Row],[total_boardings]]</f>
        <v>10308.012563</v>
      </c>
      <c r="M7"/>
      <c r="N7"/>
      <c r="O7"/>
      <c r="P7"/>
      <c r="Q7"/>
      <c r="R7"/>
      <c r="S7"/>
      <c r="T7"/>
      <c r="U7"/>
      <c r="V7"/>
    </row>
    <row r="8" spans="1:22" x14ac:dyDescent="0.25">
      <c r="A8" s="4"/>
      <c r="B8" s="4"/>
      <c r="E8" s="4">
        <f>[2]transit_hub!A8</f>
        <v>376</v>
      </c>
      <c r="F8" s="4">
        <f>[2]transit_hub!B8</f>
        <v>11</v>
      </c>
      <c r="G8" s="2">
        <f>[2]transit_hub!C8</f>
        <v>6598.7692639999996</v>
      </c>
      <c r="I8" s="4">
        <f>Table_socioeca8.sandag.org_abm2_trh[[#This Row],[scenario_id]]</f>
        <v>376</v>
      </c>
      <c r="J8" s="4">
        <f>Table_socioeca8.sandag.org_abm2_trh[[#This Row],[Hubid]]</f>
        <v>11</v>
      </c>
      <c r="K8" s="2">
        <f>Table_socioeca8.sandag.org_abm2_trh[[#This Row],[total_boardings]]</f>
        <v>6598.7692639999996</v>
      </c>
      <c r="M8"/>
      <c r="N8"/>
      <c r="O8"/>
      <c r="P8"/>
      <c r="Q8"/>
      <c r="R8"/>
      <c r="S8"/>
      <c r="T8"/>
      <c r="U8"/>
      <c r="V8"/>
    </row>
    <row r="9" spans="1:22" x14ac:dyDescent="0.25">
      <c r="A9" s="4"/>
      <c r="B9" s="4"/>
      <c r="E9" s="4">
        <f>[2]transit_hub!A9</f>
        <v>376</v>
      </c>
      <c r="F9" s="4">
        <f>[2]transit_hub!B9</f>
        <v>26</v>
      </c>
      <c r="G9" s="2">
        <f>[2]transit_hub!C9</f>
        <v>61</v>
      </c>
      <c r="I9" s="4">
        <f>Table_socioeca8.sandag.org_abm2_trh[[#This Row],[scenario_id]]</f>
        <v>376</v>
      </c>
      <c r="J9" s="4">
        <f>Table_socioeca8.sandag.org_abm2_trh[[#This Row],[Hubid]]</f>
        <v>26</v>
      </c>
      <c r="K9" s="2">
        <f>Table_socioeca8.sandag.org_abm2_trh[[#This Row],[total_boardings]]</f>
        <v>61</v>
      </c>
      <c r="M9"/>
      <c r="N9"/>
      <c r="O9"/>
      <c r="P9"/>
      <c r="Q9"/>
      <c r="R9"/>
      <c r="S9"/>
      <c r="T9"/>
      <c r="U9"/>
      <c r="V9"/>
    </row>
    <row r="10" spans="1:22" x14ac:dyDescent="0.25">
      <c r="A10" s="5"/>
      <c r="B10" s="4"/>
      <c r="E10" s="4">
        <f>[2]transit_hub!A10</f>
        <v>376</v>
      </c>
      <c r="F10" s="4">
        <f>[2]transit_hub!B10</f>
        <v>4</v>
      </c>
      <c r="G10" s="2">
        <f>[2]transit_hub!C10</f>
        <v>10582.548205999999</v>
      </c>
      <c r="I10" s="4">
        <f>Table_socioeca8.sandag.org_abm2_trh[[#This Row],[scenario_id]]</f>
        <v>376</v>
      </c>
      <c r="J10" s="4">
        <f>Table_socioeca8.sandag.org_abm2_trh[[#This Row],[Hubid]]</f>
        <v>4</v>
      </c>
      <c r="K10" s="2">
        <f>Table_socioeca8.sandag.org_abm2_trh[[#This Row],[total_boardings]]</f>
        <v>10582.548205999999</v>
      </c>
      <c r="M10"/>
      <c r="N10"/>
      <c r="O10"/>
      <c r="P10"/>
      <c r="Q10"/>
      <c r="R10"/>
      <c r="S10"/>
      <c r="T10"/>
      <c r="U10"/>
      <c r="V10"/>
    </row>
    <row r="11" spans="1:22" x14ac:dyDescent="0.25">
      <c r="E11" s="4">
        <f>[2]transit_hub!A11</f>
        <v>376</v>
      </c>
      <c r="F11" s="4">
        <f>[2]transit_hub!B11</f>
        <v>23</v>
      </c>
      <c r="G11" s="2">
        <f>[2]transit_hub!C11</f>
        <v>2468.3512489999998</v>
      </c>
      <c r="I11" s="4">
        <f>Table_socioeca8.sandag.org_abm2_trh[[#This Row],[scenario_id]]</f>
        <v>376</v>
      </c>
      <c r="J11" s="4">
        <f>Table_socioeca8.sandag.org_abm2_trh[[#This Row],[Hubid]]</f>
        <v>23</v>
      </c>
      <c r="K11" s="2">
        <f>Table_socioeca8.sandag.org_abm2_trh[[#This Row],[total_boardings]]</f>
        <v>2468.3512489999998</v>
      </c>
      <c r="M11"/>
      <c r="N11"/>
      <c r="O11"/>
      <c r="P11"/>
      <c r="Q11"/>
      <c r="R11"/>
      <c r="S11"/>
      <c r="T11"/>
      <c r="U11"/>
      <c r="V11"/>
    </row>
    <row r="12" spans="1:22" x14ac:dyDescent="0.25">
      <c r="E12" s="4">
        <f>[2]transit_hub!A12</f>
        <v>376</v>
      </c>
      <c r="F12" s="4">
        <f>[2]transit_hub!B12</f>
        <v>3</v>
      </c>
      <c r="G12" s="2">
        <f>[2]transit_hub!C12</f>
        <v>13323.61139</v>
      </c>
      <c r="I12" s="4">
        <f>Table_socioeca8.sandag.org_abm2_trh[[#This Row],[scenario_id]]</f>
        <v>376</v>
      </c>
      <c r="J12" s="4">
        <f>Table_socioeca8.sandag.org_abm2_trh[[#This Row],[Hubid]]</f>
        <v>3</v>
      </c>
      <c r="K12" s="2">
        <f>Table_socioeca8.sandag.org_abm2_trh[[#This Row],[total_boardings]]</f>
        <v>13323.61139</v>
      </c>
      <c r="M12"/>
      <c r="N12"/>
      <c r="O12"/>
      <c r="P12"/>
      <c r="Q12"/>
      <c r="R12"/>
      <c r="S12"/>
      <c r="T12"/>
      <c r="U12"/>
      <c r="V12"/>
    </row>
    <row r="13" spans="1:22" x14ac:dyDescent="0.25">
      <c r="E13" s="4">
        <f>[2]transit_hub!A13</f>
        <v>376</v>
      </c>
      <c r="F13" s="4">
        <f>[2]transit_hub!B13</f>
        <v>5</v>
      </c>
      <c r="G13" s="2">
        <f>[2]transit_hub!C13</f>
        <v>4327.8173630000001</v>
      </c>
      <c r="I13" s="4">
        <f>Table_socioeca8.sandag.org_abm2_trh[[#This Row],[scenario_id]]</f>
        <v>376</v>
      </c>
      <c r="J13" s="4">
        <f>Table_socioeca8.sandag.org_abm2_trh[[#This Row],[Hubid]]</f>
        <v>5</v>
      </c>
      <c r="K13" s="2">
        <f>Table_socioeca8.sandag.org_abm2_trh[[#This Row],[total_boardings]]</f>
        <v>4327.8173630000001</v>
      </c>
      <c r="M13"/>
      <c r="N13"/>
      <c r="O13"/>
      <c r="P13"/>
      <c r="Q13"/>
      <c r="R13"/>
      <c r="S13"/>
      <c r="T13"/>
      <c r="U13"/>
      <c r="V13"/>
    </row>
    <row r="14" spans="1:22" x14ac:dyDescent="0.25">
      <c r="E14" s="4">
        <f>[2]transit_hub!A14</f>
        <v>376</v>
      </c>
      <c r="F14" s="4">
        <f>[2]transit_hub!B14</f>
        <v>9</v>
      </c>
      <c r="G14" s="2">
        <f>[2]transit_hub!C14</f>
        <v>6620.5007699999996</v>
      </c>
      <c r="I14" s="4">
        <f>Table_socioeca8.sandag.org_abm2_trh[[#This Row],[scenario_id]]</f>
        <v>376</v>
      </c>
      <c r="J14" s="4">
        <f>Table_socioeca8.sandag.org_abm2_trh[[#This Row],[Hubid]]</f>
        <v>9</v>
      </c>
      <c r="K14" s="2">
        <f>Table_socioeca8.sandag.org_abm2_trh[[#This Row],[total_boardings]]</f>
        <v>6620.5007699999996</v>
      </c>
      <c r="M14"/>
      <c r="N14"/>
      <c r="O14"/>
      <c r="P14"/>
      <c r="Q14"/>
      <c r="R14"/>
      <c r="S14"/>
      <c r="T14"/>
      <c r="U14"/>
      <c r="V14"/>
    </row>
    <row r="15" spans="1:22" x14ac:dyDescent="0.25">
      <c r="E15" s="4">
        <f>[2]transit_hub!A15</f>
        <v>376</v>
      </c>
      <c r="F15" s="4">
        <f>[2]transit_hub!B15</f>
        <v>16</v>
      </c>
      <c r="G15" s="2">
        <f>[2]transit_hub!C15</f>
        <v>5010.9243290000004</v>
      </c>
      <c r="I15" s="4">
        <f>Table_socioeca8.sandag.org_abm2_trh[[#This Row],[scenario_id]]</f>
        <v>376</v>
      </c>
      <c r="J15" s="4">
        <f>Table_socioeca8.sandag.org_abm2_trh[[#This Row],[Hubid]]</f>
        <v>16</v>
      </c>
      <c r="K15" s="2">
        <f>Table_socioeca8.sandag.org_abm2_trh[[#This Row],[total_boardings]]</f>
        <v>5010.9243290000004</v>
      </c>
      <c r="M15"/>
      <c r="N15"/>
      <c r="O15"/>
      <c r="P15"/>
      <c r="Q15"/>
      <c r="R15"/>
      <c r="S15"/>
      <c r="T15"/>
      <c r="U15"/>
      <c r="V15"/>
    </row>
    <row r="16" spans="1:22" x14ac:dyDescent="0.25">
      <c r="E16" s="4">
        <f>[2]transit_hub!A16</f>
        <v>376</v>
      </c>
      <c r="F16" s="4">
        <f>[2]transit_hub!B16</f>
        <v>22</v>
      </c>
      <c r="G16" s="2">
        <f>[2]transit_hub!C16</f>
        <v>554.71641999999997</v>
      </c>
      <c r="I16" s="4">
        <f>Table_socioeca8.sandag.org_abm2_trh[[#This Row],[scenario_id]]</f>
        <v>376</v>
      </c>
      <c r="J16" s="4">
        <f>Table_socioeca8.sandag.org_abm2_trh[[#This Row],[Hubid]]</f>
        <v>22</v>
      </c>
      <c r="K16" s="2">
        <f>Table_socioeca8.sandag.org_abm2_trh[[#This Row],[total_boardings]]</f>
        <v>554.71641999999997</v>
      </c>
      <c r="M16"/>
      <c r="N16"/>
      <c r="O16"/>
      <c r="P16"/>
      <c r="Q16"/>
      <c r="R16"/>
      <c r="S16"/>
      <c r="T16"/>
      <c r="U16"/>
      <c r="V16"/>
    </row>
    <row r="17" spans="5:22" x14ac:dyDescent="0.25">
      <c r="E17" s="4">
        <f>[2]transit_hub!A17</f>
        <v>376</v>
      </c>
      <c r="F17" s="4">
        <f>[2]transit_hub!B17</f>
        <v>12</v>
      </c>
      <c r="G17" s="2">
        <f>[2]transit_hub!C17</f>
        <v>4456.4469509999999</v>
      </c>
      <c r="I17" s="4">
        <f>Table_socioeca8.sandag.org_abm2_trh[[#This Row],[scenario_id]]</f>
        <v>376</v>
      </c>
      <c r="J17" s="4">
        <f>Table_socioeca8.sandag.org_abm2_trh[[#This Row],[Hubid]]</f>
        <v>12</v>
      </c>
      <c r="K17" s="2">
        <f>Table_socioeca8.sandag.org_abm2_trh[[#This Row],[total_boardings]]</f>
        <v>4456.4469509999999</v>
      </c>
      <c r="M17"/>
      <c r="N17"/>
      <c r="O17"/>
      <c r="P17"/>
      <c r="Q17"/>
      <c r="R17"/>
      <c r="S17"/>
      <c r="T17"/>
      <c r="U17"/>
      <c r="V17"/>
    </row>
    <row r="18" spans="5:22" x14ac:dyDescent="0.25">
      <c r="E18" s="4">
        <f>[2]transit_hub!A18</f>
        <v>376</v>
      </c>
      <c r="F18" s="4">
        <f>[2]transit_hub!B18</f>
        <v>29</v>
      </c>
      <c r="G18" s="2">
        <f>[2]transit_hub!C18</f>
        <v>285.04271199999999</v>
      </c>
      <c r="I18" s="4">
        <f>Table_socioeca8.sandag.org_abm2_trh[[#This Row],[scenario_id]]</f>
        <v>376</v>
      </c>
      <c r="J18" s="4">
        <f>Table_socioeca8.sandag.org_abm2_trh[[#This Row],[Hubid]]</f>
        <v>29</v>
      </c>
      <c r="K18" s="2">
        <f>Table_socioeca8.sandag.org_abm2_trh[[#This Row],[total_boardings]]</f>
        <v>285.04271199999999</v>
      </c>
      <c r="M18"/>
      <c r="N18"/>
      <c r="O18"/>
      <c r="P18"/>
      <c r="Q18"/>
      <c r="R18"/>
      <c r="S18"/>
      <c r="T18"/>
      <c r="U18"/>
      <c r="V18"/>
    </row>
    <row r="19" spans="5:22" x14ac:dyDescent="0.25">
      <c r="E19" s="4">
        <f>[2]transit_hub!A19</f>
        <v>376</v>
      </c>
      <c r="F19" s="4">
        <f>[2]transit_hub!B19</f>
        <v>2</v>
      </c>
      <c r="G19" s="2">
        <f>[2]transit_hub!C19</f>
        <v>8389.1568480000005</v>
      </c>
      <c r="I19" s="4">
        <f>Table_socioeca8.sandag.org_abm2_trh[[#This Row],[scenario_id]]</f>
        <v>376</v>
      </c>
      <c r="J19" s="4">
        <f>Table_socioeca8.sandag.org_abm2_trh[[#This Row],[Hubid]]</f>
        <v>2</v>
      </c>
      <c r="K19" s="2">
        <f>Table_socioeca8.sandag.org_abm2_trh[[#This Row],[total_boardings]]</f>
        <v>8389.1568480000005</v>
      </c>
      <c r="M19"/>
      <c r="N19"/>
      <c r="O19"/>
      <c r="P19"/>
      <c r="Q19"/>
      <c r="R19"/>
      <c r="S19"/>
      <c r="T19"/>
      <c r="U19"/>
      <c r="V19"/>
    </row>
    <row r="20" spans="5:22" x14ac:dyDescent="0.25">
      <c r="E20" s="4">
        <f>[2]transit_hub!A20</f>
        <v>376</v>
      </c>
      <c r="F20" s="4">
        <f>[2]transit_hub!B20</f>
        <v>27</v>
      </c>
      <c r="G20" s="2">
        <f>[2]transit_hub!C20</f>
        <v>911.61962900000003</v>
      </c>
      <c r="I20" s="4">
        <f>Table_socioeca8.sandag.org_abm2_trh[[#This Row],[scenario_id]]</f>
        <v>376</v>
      </c>
      <c r="J20" s="4">
        <f>Table_socioeca8.sandag.org_abm2_trh[[#This Row],[Hubid]]</f>
        <v>27</v>
      </c>
      <c r="K20" s="2">
        <f>Table_socioeca8.sandag.org_abm2_trh[[#This Row],[total_boardings]]</f>
        <v>911.61962900000003</v>
      </c>
      <c r="M20"/>
      <c r="N20"/>
      <c r="O20"/>
      <c r="P20"/>
      <c r="Q20"/>
      <c r="R20"/>
      <c r="S20"/>
      <c r="T20"/>
      <c r="U20"/>
      <c r="V20"/>
    </row>
    <row r="21" spans="5:22" x14ac:dyDescent="0.25">
      <c r="E21" s="4">
        <f>[2]transit_hub!A21</f>
        <v>376</v>
      </c>
      <c r="F21" s="4">
        <f>[2]transit_hub!B21</f>
        <v>8</v>
      </c>
      <c r="G21" s="2">
        <f>[2]transit_hub!C21</f>
        <v>3582.6720129999999</v>
      </c>
      <c r="I21" s="4">
        <f>Table_socioeca8.sandag.org_abm2_trh[[#This Row],[scenario_id]]</f>
        <v>376</v>
      </c>
      <c r="J21" s="4">
        <f>Table_socioeca8.sandag.org_abm2_trh[[#This Row],[Hubid]]</f>
        <v>8</v>
      </c>
      <c r="K21" s="2">
        <f>Table_socioeca8.sandag.org_abm2_trh[[#This Row],[total_boardings]]</f>
        <v>3582.6720129999999</v>
      </c>
      <c r="M21"/>
      <c r="N21"/>
      <c r="O21"/>
      <c r="P21"/>
      <c r="Q21"/>
      <c r="R21"/>
      <c r="S21"/>
      <c r="T21"/>
      <c r="U21"/>
      <c r="V21"/>
    </row>
    <row r="22" spans="5:22" x14ac:dyDescent="0.25">
      <c r="E22" s="4">
        <f>[2]transit_hub!A22</f>
        <v>376</v>
      </c>
      <c r="F22" s="4">
        <f>[2]transit_hub!B22</f>
        <v>25</v>
      </c>
      <c r="G22" s="2">
        <f>[2]transit_hub!C22</f>
        <v>1308.6089549999999</v>
      </c>
      <c r="I22" s="4">
        <f>Table_socioeca8.sandag.org_abm2_trh[[#This Row],[scenario_id]]</f>
        <v>376</v>
      </c>
      <c r="J22" s="4">
        <f>Table_socioeca8.sandag.org_abm2_trh[[#This Row],[Hubid]]</f>
        <v>25</v>
      </c>
      <c r="K22" s="2">
        <f>Table_socioeca8.sandag.org_abm2_trh[[#This Row],[total_boardings]]</f>
        <v>1308.6089549999999</v>
      </c>
      <c r="M22"/>
      <c r="N22"/>
      <c r="O22"/>
      <c r="P22"/>
      <c r="Q22"/>
      <c r="R22"/>
      <c r="S22"/>
      <c r="T22"/>
      <c r="U22"/>
      <c r="V22"/>
    </row>
    <row r="23" spans="5:22" x14ac:dyDescent="0.25">
      <c r="E23" s="4">
        <f>[2]transit_hub!A23</f>
        <v>376</v>
      </c>
      <c r="F23" s="4">
        <f>[2]transit_hub!B23</f>
        <v>17</v>
      </c>
      <c r="G23" s="2">
        <f>[2]transit_hub!C23</f>
        <v>67</v>
      </c>
      <c r="I23" s="4">
        <f>Table_socioeca8.sandag.org_abm2_trh[[#This Row],[scenario_id]]</f>
        <v>376</v>
      </c>
      <c r="J23" s="4">
        <f>Table_socioeca8.sandag.org_abm2_trh[[#This Row],[Hubid]]</f>
        <v>17</v>
      </c>
      <c r="K23" s="2">
        <f>Table_socioeca8.sandag.org_abm2_trh[[#This Row],[total_boardings]]</f>
        <v>67</v>
      </c>
      <c r="M23"/>
      <c r="N23"/>
      <c r="O23"/>
      <c r="P23"/>
      <c r="Q23"/>
      <c r="R23"/>
      <c r="S23"/>
      <c r="T23"/>
      <c r="U23"/>
      <c r="V23"/>
    </row>
    <row r="24" spans="5:22" x14ac:dyDescent="0.25">
      <c r="E24" s="4">
        <f>[2]transit_hub!A24</f>
        <v>376</v>
      </c>
      <c r="F24" s="4">
        <f>[2]transit_hub!B24</f>
        <v>6</v>
      </c>
      <c r="G24" s="2">
        <f>[2]transit_hub!C24</f>
        <v>5355.3511120000003</v>
      </c>
      <c r="I24" s="4">
        <f>Table_socioeca8.sandag.org_abm2_trh[[#This Row],[scenario_id]]</f>
        <v>376</v>
      </c>
      <c r="J24" s="4">
        <f>Table_socioeca8.sandag.org_abm2_trh[[#This Row],[Hubid]]</f>
        <v>6</v>
      </c>
      <c r="K24" s="2">
        <f>Table_socioeca8.sandag.org_abm2_trh[[#This Row],[total_boardings]]</f>
        <v>5355.3511120000003</v>
      </c>
      <c r="M24"/>
      <c r="N24"/>
      <c r="O24"/>
      <c r="P24"/>
      <c r="Q24"/>
      <c r="R24"/>
      <c r="S24"/>
      <c r="T24"/>
      <c r="U24"/>
      <c r="V24"/>
    </row>
    <row r="25" spans="5:22" x14ac:dyDescent="0.25">
      <c r="E25" s="4">
        <f>[2]transit_hub!A25</f>
        <v>376</v>
      </c>
      <c r="F25" s="4">
        <f>[2]transit_hub!B25</f>
        <v>21</v>
      </c>
      <c r="G25" s="2">
        <f>[2]transit_hub!C25</f>
        <v>1862.7914060000001</v>
      </c>
      <c r="I25" s="4">
        <f>Table_socioeca8.sandag.org_abm2_trh[[#This Row],[scenario_id]]</f>
        <v>376</v>
      </c>
      <c r="J25" s="4">
        <f>Table_socioeca8.sandag.org_abm2_trh[[#This Row],[Hubid]]</f>
        <v>21</v>
      </c>
      <c r="K25" s="2">
        <f>Table_socioeca8.sandag.org_abm2_trh[[#This Row],[total_boardings]]</f>
        <v>1862.7914060000001</v>
      </c>
      <c r="M25"/>
      <c r="N25"/>
      <c r="O25"/>
      <c r="P25"/>
      <c r="Q25"/>
      <c r="R25"/>
      <c r="S25"/>
      <c r="T25"/>
      <c r="U25"/>
      <c r="V25"/>
    </row>
    <row r="26" spans="5:22" x14ac:dyDescent="0.25">
      <c r="E26" s="4">
        <f>[2]transit_hub!A26</f>
        <v>376</v>
      </c>
      <c r="F26" s="4">
        <f>[2]transit_hub!B26</f>
        <v>28</v>
      </c>
      <c r="G26" s="2">
        <f>[2]transit_hub!C26</f>
        <v>400.08003100000002</v>
      </c>
      <c r="I26" s="4">
        <f>Table_socioeca8.sandag.org_abm2_trh[[#This Row],[scenario_id]]</f>
        <v>376</v>
      </c>
      <c r="J26" s="4">
        <f>Table_socioeca8.sandag.org_abm2_trh[[#This Row],[Hubid]]</f>
        <v>28</v>
      </c>
      <c r="K26" s="2">
        <f>Table_socioeca8.sandag.org_abm2_trh[[#This Row],[total_boardings]]</f>
        <v>400.08003100000002</v>
      </c>
      <c r="M26"/>
      <c r="N26"/>
      <c r="O26"/>
      <c r="P26"/>
      <c r="Q26"/>
      <c r="R26"/>
      <c r="S26"/>
      <c r="T26"/>
      <c r="U26"/>
      <c r="V26"/>
    </row>
    <row r="27" spans="5:22" x14ac:dyDescent="0.25">
      <c r="E27" s="4">
        <f>[2]transit_hub!A27</f>
        <v>376</v>
      </c>
      <c r="F27" s="4">
        <f>[2]transit_hub!B27</f>
        <v>14</v>
      </c>
      <c r="G27" s="2">
        <f>[2]transit_hub!C27</f>
        <v>4290.3804879999998</v>
      </c>
      <c r="I27" s="4">
        <f>Table_socioeca8.sandag.org_abm2_trh[[#This Row],[scenario_id]]</f>
        <v>376</v>
      </c>
      <c r="J27" s="4">
        <f>Table_socioeca8.sandag.org_abm2_trh[[#This Row],[Hubid]]</f>
        <v>14</v>
      </c>
      <c r="K27" s="2">
        <f>Table_socioeca8.sandag.org_abm2_trh[[#This Row],[total_boardings]]</f>
        <v>4290.3804879999998</v>
      </c>
      <c r="M27"/>
      <c r="N27"/>
      <c r="O27"/>
      <c r="P27"/>
      <c r="Q27"/>
      <c r="R27"/>
      <c r="S27"/>
      <c r="T27"/>
      <c r="U27"/>
      <c r="V27"/>
    </row>
    <row r="28" spans="5:22" x14ac:dyDescent="0.25">
      <c r="E28" s="4">
        <f>[2]transit_hub!A28</f>
        <v>376</v>
      </c>
      <c r="F28" s="4">
        <f>[2]transit_hub!B28</f>
        <v>10</v>
      </c>
      <c r="G28" s="2">
        <f>[2]transit_hub!C28</f>
        <v>10173.496080000001</v>
      </c>
      <c r="I28" s="4">
        <f>Table_socioeca8.sandag.org_abm2_trh[[#This Row],[scenario_id]]</f>
        <v>376</v>
      </c>
      <c r="J28" s="4">
        <f>Table_socioeca8.sandag.org_abm2_trh[[#This Row],[Hubid]]</f>
        <v>10</v>
      </c>
      <c r="K28" s="2">
        <f>Table_socioeca8.sandag.org_abm2_trh[[#This Row],[total_boardings]]</f>
        <v>10173.496080000001</v>
      </c>
      <c r="M28"/>
      <c r="N28"/>
      <c r="O28"/>
      <c r="P28"/>
      <c r="Q28"/>
      <c r="R28"/>
      <c r="S28"/>
      <c r="T28"/>
      <c r="U28"/>
      <c r="V28"/>
    </row>
    <row r="29" spans="5:22" x14ac:dyDescent="0.25">
      <c r="E29" s="4">
        <f>[2]transit_hub!A29</f>
        <v>376</v>
      </c>
      <c r="F29" s="4">
        <f>[2]transit_hub!B29</f>
        <v>20</v>
      </c>
      <c r="G29" s="2">
        <f>[2]transit_hub!C29</f>
        <v>1847.5870749999999</v>
      </c>
      <c r="I29" s="4">
        <f>Table_socioeca8.sandag.org_abm2_trh[[#This Row],[scenario_id]]</f>
        <v>376</v>
      </c>
      <c r="J29" s="4">
        <f>Table_socioeca8.sandag.org_abm2_trh[[#This Row],[Hubid]]</f>
        <v>20</v>
      </c>
      <c r="K29" s="2">
        <f>Table_socioeca8.sandag.org_abm2_trh[[#This Row],[total_boardings]]</f>
        <v>1847.5870749999999</v>
      </c>
      <c r="M29"/>
      <c r="N29"/>
      <c r="O29"/>
      <c r="P29"/>
      <c r="Q29"/>
      <c r="R29"/>
      <c r="S29"/>
      <c r="T29"/>
      <c r="U29"/>
      <c r="V29"/>
    </row>
    <row r="30" spans="5:22" x14ac:dyDescent="0.25">
      <c r="E30" s="4">
        <f>[2]transit_hub!A30</f>
        <v>376</v>
      </c>
      <c r="F30" s="4">
        <f>[2]transit_hub!B30</f>
        <v>7</v>
      </c>
      <c r="G30" s="2">
        <f>[2]transit_hub!C30</f>
        <v>6309.9335849999998</v>
      </c>
      <c r="I30" s="4">
        <f>Table_socioeca8.sandag.org_abm2_trh[[#This Row],[scenario_id]]</f>
        <v>376</v>
      </c>
      <c r="J30" s="4">
        <f>Table_socioeca8.sandag.org_abm2_trh[[#This Row],[Hubid]]</f>
        <v>7</v>
      </c>
      <c r="K30" s="2">
        <f>Table_socioeca8.sandag.org_abm2_trh[[#This Row],[total_boardings]]</f>
        <v>6309.9335849999998</v>
      </c>
      <c r="M30"/>
      <c r="N30"/>
      <c r="O30"/>
      <c r="P30"/>
      <c r="Q30"/>
      <c r="R30"/>
      <c r="S30"/>
      <c r="T30"/>
      <c r="U30"/>
      <c r="V30"/>
    </row>
    <row r="31" spans="5:22" x14ac:dyDescent="0.25">
      <c r="M31"/>
      <c r="N31"/>
      <c r="O31"/>
      <c r="P31"/>
      <c r="Q31"/>
      <c r="R31"/>
      <c r="S31"/>
      <c r="T31"/>
      <c r="U31"/>
      <c r="V31"/>
    </row>
    <row r="32" spans="5:22" x14ac:dyDescent="0.25">
      <c r="M32"/>
      <c r="N32"/>
      <c r="O32"/>
      <c r="P32"/>
      <c r="Q32"/>
      <c r="R32"/>
      <c r="S32"/>
      <c r="T32"/>
      <c r="U32"/>
      <c r="V32"/>
    </row>
    <row r="33" spans="13:22" x14ac:dyDescent="0.25">
      <c r="M33"/>
      <c r="N33"/>
      <c r="O33"/>
      <c r="P33"/>
      <c r="Q33"/>
      <c r="R33"/>
      <c r="S33"/>
      <c r="T33"/>
      <c r="U33"/>
      <c r="V33"/>
    </row>
    <row r="34" spans="13:22" x14ac:dyDescent="0.25">
      <c r="M34"/>
      <c r="N34"/>
      <c r="O34"/>
      <c r="P34"/>
      <c r="Q34"/>
      <c r="R34"/>
      <c r="S34"/>
      <c r="T34"/>
      <c r="U34"/>
      <c r="V34"/>
    </row>
    <row r="35" spans="13:22" x14ac:dyDescent="0.25">
      <c r="M35"/>
      <c r="N35"/>
      <c r="O35"/>
      <c r="P35"/>
      <c r="Q35"/>
      <c r="R35"/>
      <c r="S35"/>
      <c r="T35"/>
      <c r="U35"/>
      <c r="V35"/>
    </row>
    <row r="36" spans="13:22" x14ac:dyDescent="0.25">
      <c r="M36"/>
      <c r="N36"/>
      <c r="O36"/>
      <c r="P36"/>
      <c r="Q36"/>
      <c r="R36"/>
      <c r="S36"/>
      <c r="T36"/>
      <c r="U36"/>
      <c r="V36"/>
    </row>
    <row r="37" spans="13:22" x14ac:dyDescent="0.25">
      <c r="M37"/>
      <c r="N37"/>
      <c r="O37"/>
      <c r="P37"/>
      <c r="Q37"/>
      <c r="R37"/>
      <c r="S37"/>
      <c r="T37"/>
      <c r="U37"/>
      <c r="V37"/>
    </row>
    <row r="38" spans="13:22" x14ac:dyDescent="0.25">
      <c r="M38"/>
      <c r="N38"/>
      <c r="O38"/>
      <c r="P38"/>
      <c r="Q38"/>
      <c r="R38"/>
      <c r="S38"/>
      <c r="T38"/>
      <c r="U38"/>
      <c r="V38"/>
    </row>
    <row r="39" spans="13:22" x14ac:dyDescent="0.25">
      <c r="M39"/>
      <c r="N39"/>
      <c r="O39"/>
      <c r="P39"/>
      <c r="Q39"/>
      <c r="R39"/>
      <c r="S39"/>
      <c r="T39"/>
      <c r="U39"/>
      <c r="V39"/>
    </row>
    <row r="40" spans="13:22" x14ac:dyDescent="0.25">
      <c r="M40"/>
      <c r="N40"/>
      <c r="O40"/>
      <c r="P40"/>
      <c r="Q40"/>
      <c r="R40"/>
      <c r="S40"/>
      <c r="T40"/>
      <c r="U40"/>
      <c r="V40"/>
    </row>
    <row r="41" spans="13:22" x14ac:dyDescent="0.25">
      <c r="M41"/>
      <c r="N41"/>
      <c r="O41"/>
      <c r="P41"/>
      <c r="Q41"/>
      <c r="R41"/>
      <c r="S41"/>
      <c r="T41"/>
      <c r="U41"/>
      <c r="V41"/>
    </row>
    <row r="42" spans="13:22" x14ac:dyDescent="0.25">
      <c r="M42"/>
      <c r="N42"/>
      <c r="O42"/>
      <c r="P42"/>
      <c r="Q42"/>
      <c r="R42"/>
      <c r="S42"/>
      <c r="T42"/>
      <c r="U42"/>
      <c r="V42"/>
    </row>
    <row r="43" spans="13:22" x14ac:dyDescent="0.25">
      <c r="M43"/>
      <c r="N43"/>
      <c r="O43"/>
      <c r="P43"/>
      <c r="Q43"/>
      <c r="R43"/>
      <c r="S43"/>
      <c r="T43"/>
      <c r="U43"/>
      <c r="V43"/>
    </row>
    <row r="44" spans="13:22" x14ac:dyDescent="0.25">
      <c r="M44"/>
      <c r="N44"/>
      <c r="O44"/>
      <c r="P44"/>
      <c r="Q44"/>
      <c r="R44"/>
      <c r="S44"/>
      <c r="T44"/>
      <c r="U44"/>
      <c r="V44"/>
    </row>
    <row r="45" spans="13:22" x14ac:dyDescent="0.25">
      <c r="M45"/>
      <c r="N45"/>
      <c r="O45"/>
      <c r="P45"/>
      <c r="Q45"/>
      <c r="R45"/>
      <c r="S45"/>
      <c r="T45"/>
      <c r="U45"/>
      <c r="V45"/>
    </row>
    <row r="46" spans="13:22" x14ac:dyDescent="0.25">
      <c r="M46"/>
      <c r="N46"/>
      <c r="O46"/>
      <c r="P46"/>
      <c r="Q46"/>
      <c r="R46"/>
      <c r="S46"/>
      <c r="T46"/>
      <c r="U46"/>
      <c r="V46"/>
    </row>
    <row r="47" spans="13:22" x14ac:dyDescent="0.25">
      <c r="M47"/>
      <c r="N47"/>
      <c r="O47"/>
      <c r="P47"/>
      <c r="Q47"/>
      <c r="R47"/>
      <c r="S47"/>
      <c r="T47"/>
      <c r="U47"/>
      <c r="V47"/>
    </row>
    <row r="48" spans="13:22" x14ac:dyDescent="0.25">
      <c r="M48"/>
      <c r="N48"/>
      <c r="O48"/>
      <c r="P48"/>
      <c r="Q48"/>
      <c r="R48"/>
      <c r="S48"/>
      <c r="T48"/>
      <c r="U48"/>
      <c r="V48"/>
    </row>
    <row r="49" spans="13:22" x14ac:dyDescent="0.25">
      <c r="M49"/>
      <c r="N49"/>
      <c r="O49"/>
      <c r="P49"/>
      <c r="Q49"/>
      <c r="R49"/>
      <c r="S49"/>
      <c r="T49"/>
      <c r="U49"/>
      <c r="V49"/>
    </row>
    <row r="50" spans="13:22" x14ac:dyDescent="0.25">
      <c r="M50"/>
      <c r="N50"/>
      <c r="O50"/>
      <c r="P50"/>
      <c r="Q50"/>
      <c r="R50"/>
      <c r="S50"/>
      <c r="T50"/>
      <c r="U50"/>
      <c r="V50"/>
    </row>
    <row r="51" spans="13:22" x14ac:dyDescent="0.25">
      <c r="M51"/>
      <c r="N51"/>
      <c r="O51"/>
      <c r="P51"/>
      <c r="Q51"/>
      <c r="R51"/>
      <c r="S51"/>
      <c r="T51"/>
      <c r="U51"/>
      <c r="V51"/>
    </row>
    <row r="52" spans="13:22" x14ac:dyDescent="0.25">
      <c r="M52"/>
      <c r="N52"/>
      <c r="O52"/>
      <c r="P52"/>
      <c r="Q52"/>
      <c r="R52"/>
      <c r="S52"/>
      <c r="T52"/>
      <c r="U52"/>
      <c r="V52"/>
    </row>
    <row r="53" spans="13:22" x14ac:dyDescent="0.25">
      <c r="M53"/>
      <c r="N53"/>
      <c r="O53"/>
      <c r="P53"/>
      <c r="Q53"/>
      <c r="R53"/>
      <c r="S53"/>
      <c r="T53"/>
      <c r="U53"/>
      <c r="V53"/>
    </row>
    <row r="54" spans="13:22" x14ac:dyDescent="0.25">
      <c r="M54"/>
      <c r="N54"/>
      <c r="O54"/>
      <c r="P54"/>
      <c r="Q54"/>
      <c r="R54"/>
      <c r="S54"/>
      <c r="T54"/>
      <c r="U54"/>
      <c r="V54"/>
    </row>
    <row r="55" spans="13:22" x14ac:dyDescent="0.25">
      <c r="M55"/>
      <c r="N55"/>
      <c r="O55"/>
      <c r="P55"/>
      <c r="Q55"/>
      <c r="R55"/>
      <c r="S55"/>
      <c r="T55"/>
      <c r="U55"/>
      <c r="V55"/>
    </row>
    <row r="56" spans="13:22" x14ac:dyDescent="0.25">
      <c r="M56"/>
      <c r="N56"/>
      <c r="O56"/>
      <c r="P56"/>
      <c r="Q56"/>
      <c r="R56"/>
      <c r="S56"/>
      <c r="T56"/>
      <c r="U56"/>
      <c r="V56"/>
    </row>
    <row r="57" spans="13:22" x14ac:dyDescent="0.25">
      <c r="M57"/>
      <c r="N57"/>
      <c r="O57"/>
      <c r="P57"/>
      <c r="Q57"/>
      <c r="R57"/>
      <c r="S57"/>
      <c r="T57"/>
      <c r="U57"/>
      <c r="V57"/>
    </row>
    <row r="58" spans="13:22" x14ac:dyDescent="0.25">
      <c r="M58"/>
      <c r="N58"/>
      <c r="O58"/>
      <c r="P58"/>
      <c r="Q58"/>
      <c r="R58"/>
      <c r="S58"/>
      <c r="T58"/>
      <c r="U58"/>
      <c r="V58"/>
    </row>
    <row r="59" spans="13:22" x14ac:dyDescent="0.25">
      <c r="M59"/>
      <c r="N59"/>
      <c r="O59"/>
      <c r="P59"/>
      <c r="Q59"/>
      <c r="R59"/>
      <c r="S59"/>
      <c r="T59"/>
      <c r="U59"/>
      <c r="V59"/>
    </row>
    <row r="60" spans="13:22" x14ac:dyDescent="0.25">
      <c r="M60"/>
      <c r="N60"/>
      <c r="O60"/>
      <c r="P60"/>
      <c r="Q60"/>
      <c r="R60"/>
      <c r="S60"/>
      <c r="T60"/>
      <c r="U60"/>
      <c r="V60"/>
    </row>
    <row r="61" spans="13:22" x14ac:dyDescent="0.25">
      <c r="M61"/>
      <c r="N61"/>
      <c r="O61"/>
      <c r="P61"/>
      <c r="Q61"/>
      <c r="R61"/>
      <c r="S61"/>
      <c r="T61"/>
      <c r="U61"/>
      <c r="V61"/>
    </row>
    <row r="62" spans="13:22" x14ac:dyDescent="0.25">
      <c r="M62"/>
      <c r="N62"/>
      <c r="O62"/>
      <c r="P62"/>
      <c r="Q62"/>
      <c r="R62"/>
      <c r="S62"/>
      <c r="T62"/>
      <c r="U62"/>
      <c r="V62"/>
    </row>
    <row r="63" spans="13:22" x14ac:dyDescent="0.25">
      <c r="M63"/>
      <c r="N63"/>
      <c r="O63"/>
      <c r="P63"/>
      <c r="Q63"/>
      <c r="R63"/>
      <c r="S63"/>
      <c r="T63"/>
      <c r="U63"/>
      <c r="V63"/>
    </row>
    <row r="64" spans="13:22" x14ac:dyDescent="0.25">
      <c r="M64"/>
      <c r="N64"/>
      <c r="O64"/>
      <c r="P64"/>
      <c r="Q64"/>
      <c r="R64"/>
      <c r="S64"/>
      <c r="T64"/>
      <c r="U64"/>
      <c r="V64"/>
    </row>
    <row r="65" spans="13:22" x14ac:dyDescent="0.25">
      <c r="M65"/>
      <c r="N65"/>
      <c r="O65"/>
      <c r="P65"/>
      <c r="Q65"/>
      <c r="R65"/>
      <c r="S65"/>
      <c r="T65"/>
      <c r="U65"/>
      <c r="V65"/>
    </row>
    <row r="66" spans="13:22" x14ac:dyDescent="0.25">
      <c r="M66"/>
      <c r="N66"/>
      <c r="O66"/>
      <c r="P66"/>
      <c r="Q66"/>
      <c r="R66"/>
      <c r="S66"/>
      <c r="T66"/>
      <c r="U66"/>
      <c r="V66"/>
    </row>
    <row r="67" spans="13:22" x14ac:dyDescent="0.25">
      <c r="M67"/>
      <c r="N67"/>
      <c r="O67"/>
      <c r="P67"/>
      <c r="Q67"/>
      <c r="R67"/>
      <c r="S67"/>
      <c r="T67"/>
      <c r="U67"/>
      <c r="V67"/>
    </row>
    <row r="68" spans="13:22" x14ac:dyDescent="0.25">
      <c r="M68"/>
      <c r="N68"/>
      <c r="O68"/>
      <c r="P68"/>
      <c r="Q68"/>
      <c r="R68"/>
      <c r="S68"/>
      <c r="T68"/>
      <c r="U68"/>
      <c r="V68"/>
    </row>
    <row r="69" spans="13:22" x14ac:dyDescent="0.25">
      <c r="M69"/>
      <c r="N69"/>
      <c r="O69"/>
      <c r="P69"/>
      <c r="Q69"/>
      <c r="R69"/>
      <c r="S69"/>
      <c r="T69"/>
      <c r="U69"/>
      <c r="V69"/>
    </row>
    <row r="70" spans="13:22" x14ac:dyDescent="0.25">
      <c r="M70"/>
      <c r="N70"/>
      <c r="O70"/>
      <c r="P70"/>
      <c r="Q70"/>
      <c r="R70"/>
      <c r="S70"/>
      <c r="T70"/>
      <c r="U70"/>
      <c r="V70"/>
    </row>
    <row r="71" spans="13:22" x14ac:dyDescent="0.25">
      <c r="M71"/>
      <c r="N71"/>
      <c r="O71"/>
      <c r="P71"/>
      <c r="Q71"/>
      <c r="R71"/>
      <c r="S71"/>
      <c r="T71"/>
      <c r="U71"/>
      <c r="V71"/>
    </row>
    <row r="72" spans="13:22" x14ac:dyDescent="0.25">
      <c r="M72"/>
      <c r="N72"/>
      <c r="O72"/>
      <c r="P72"/>
      <c r="Q72"/>
      <c r="R72"/>
      <c r="S72"/>
      <c r="T72"/>
      <c r="U72"/>
      <c r="V72"/>
    </row>
    <row r="73" spans="13:22" x14ac:dyDescent="0.25">
      <c r="M73"/>
      <c r="N73"/>
      <c r="O73"/>
      <c r="P73"/>
      <c r="Q73"/>
      <c r="R73"/>
      <c r="S73"/>
      <c r="T73"/>
      <c r="U73"/>
      <c r="V73"/>
    </row>
    <row r="74" spans="13:22" x14ac:dyDescent="0.25">
      <c r="M74"/>
      <c r="N74"/>
      <c r="O74"/>
      <c r="P74"/>
      <c r="Q74"/>
      <c r="R74"/>
      <c r="S74"/>
      <c r="T74"/>
      <c r="U74"/>
      <c r="V74"/>
    </row>
    <row r="75" spans="13:22" x14ac:dyDescent="0.25">
      <c r="M75"/>
      <c r="N75"/>
      <c r="O75"/>
      <c r="P75"/>
      <c r="Q75"/>
      <c r="R75"/>
      <c r="S75"/>
      <c r="T75"/>
      <c r="U75"/>
      <c r="V75"/>
    </row>
    <row r="76" spans="13:22" x14ac:dyDescent="0.25">
      <c r="M76"/>
      <c r="N76"/>
      <c r="O76"/>
      <c r="P76"/>
      <c r="Q76"/>
      <c r="R76"/>
      <c r="S76"/>
      <c r="T76"/>
      <c r="U76"/>
      <c r="V76"/>
    </row>
    <row r="77" spans="13:22" x14ac:dyDescent="0.25">
      <c r="M77"/>
      <c r="N77"/>
      <c r="O77"/>
      <c r="P77"/>
      <c r="Q77"/>
      <c r="R77"/>
      <c r="S77"/>
      <c r="T77"/>
      <c r="U77"/>
      <c r="V77"/>
    </row>
    <row r="78" spans="13:22" x14ac:dyDescent="0.25">
      <c r="M78"/>
      <c r="N78"/>
      <c r="O78"/>
      <c r="P78"/>
      <c r="Q78"/>
      <c r="R78"/>
      <c r="S78"/>
      <c r="T78"/>
      <c r="U78"/>
      <c r="V78"/>
    </row>
    <row r="79" spans="13:22" x14ac:dyDescent="0.25">
      <c r="M79"/>
      <c r="N79"/>
      <c r="O79"/>
      <c r="P79"/>
      <c r="Q79"/>
      <c r="R79"/>
      <c r="S79"/>
      <c r="T79"/>
      <c r="U79"/>
      <c r="V79"/>
    </row>
    <row r="80" spans="13:22" x14ac:dyDescent="0.25">
      <c r="M80"/>
      <c r="N80"/>
      <c r="O80"/>
      <c r="P80"/>
      <c r="Q80"/>
      <c r="R80"/>
      <c r="S80"/>
      <c r="T80"/>
      <c r="U80"/>
      <c r="V80"/>
    </row>
    <row r="81" spans="13:22" x14ac:dyDescent="0.25">
      <c r="M81"/>
      <c r="N81"/>
      <c r="O81"/>
      <c r="P81"/>
      <c r="Q81"/>
      <c r="R81"/>
      <c r="S81"/>
      <c r="T81"/>
      <c r="U81"/>
      <c r="V81"/>
    </row>
    <row r="82" spans="13:22" x14ac:dyDescent="0.25">
      <c r="M82"/>
      <c r="N82"/>
      <c r="O82"/>
      <c r="P82"/>
      <c r="Q82"/>
      <c r="R82"/>
      <c r="S82"/>
      <c r="T82"/>
      <c r="U82"/>
      <c r="V82"/>
    </row>
    <row r="83" spans="13:22" x14ac:dyDescent="0.25">
      <c r="M83"/>
      <c r="N83"/>
      <c r="O83"/>
      <c r="P83"/>
      <c r="Q83"/>
      <c r="R83"/>
      <c r="S83"/>
      <c r="T83"/>
      <c r="U83"/>
      <c r="V83"/>
    </row>
    <row r="84" spans="13:22" x14ac:dyDescent="0.25">
      <c r="M84"/>
      <c r="N84"/>
      <c r="O84"/>
      <c r="P84"/>
      <c r="Q84"/>
      <c r="R84"/>
      <c r="S84"/>
      <c r="T84"/>
      <c r="U84"/>
      <c r="V84"/>
    </row>
    <row r="85" spans="13:22" x14ac:dyDescent="0.25">
      <c r="M85"/>
      <c r="N85"/>
      <c r="O85"/>
      <c r="P85"/>
      <c r="Q85"/>
      <c r="R85"/>
      <c r="S85"/>
      <c r="T85"/>
      <c r="U85"/>
      <c r="V85"/>
    </row>
    <row r="86" spans="13:22" x14ac:dyDescent="0.25">
      <c r="M86"/>
      <c r="N86"/>
      <c r="O86"/>
      <c r="P86"/>
      <c r="Q86"/>
      <c r="R86"/>
      <c r="S86"/>
      <c r="T86"/>
      <c r="U86"/>
      <c r="V86"/>
    </row>
    <row r="87" spans="13:22" x14ac:dyDescent="0.25">
      <c r="M87"/>
      <c r="N87"/>
      <c r="O87"/>
      <c r="P87"/>
      <c r="Q87"/>
      <c r="R87"/>
      <c r="S87"/>
      <c r="T87"/>
      <c r="U87"/>
      <c r="V87"/>
    </row>
    <row r="88" spans="13:22" x14ac:dyDescent="0.25">
      <c r="M88"/>
      <c r="N88"/>
      <c r="O88"/>
      <c r="P88"/>
      <c r="Q88"/>
      <c r="R88"/>
      <c r="S88"/>
      <c r="T88"/>
      <c r="U88"/>
      <c r="V88"/>
    </row>
    <row r="89" spans="13:22" x14ac:dyDescent="0.25">
      <c r="M89"/>
      <c r="N89"/>
      <c r="O89"/>
      <c r="P89"/>
      <c r="Q89"/>
      <c r="R89"/>
      <c r="S89"/>
      <c r="T89"/>
      <c r="U89"/>
      <c r="V89"/>
    </row>
    <row r="90" spans="13:22" x14ac:dyDescent="0.25">
      <c r="M90"/>
      <c r="N90"/>
      <c r="O90"/>
      <c r="P90"/>
      <c r="Q90"/>
      <c r="R90"/>
      <c r="S90"/>
      <c r="T90"/>
      <c r="U90"/>
      <c r="V90"/>
    </row>
    <row r="91" spans="13:22" x14ac:dyDescent="0.25">
      <c r="M91"/>
      <c r="N91"/>
      <c r="O91"/>
      <c r="P91"/>
      <c r="Q91"/>
      <c r="R91"/>
      <c r="S91"/>
      <c r="T91"/>
      <c r="U91"/>
      <c r="V91"/>
    </row>
    <row r="92" spans="13:22" x14ac:dyDescent="0.25">
      <c r="M92"/>
      <c r="N92"/>
      <c r="O92"/>
      <c r="P92"/>
      <c r="Q92"/>
      <c r="R92"/>
      <c r="S92"/>
      <c r="T92"/>
      <c r="U92"/>
      <c r="V92"/>
    </row>
    <row r="93" spans="13:22" x14ac:dyDescent="0.25">
      <c r="M93"/>
      <c r="N93"/>
      <c r="O93"/>
      <c r="P93"/>
      <c r="Q93"/>
      <c r="R93"/>
      <c r="S93"/>
      <c r="T93"/>
      <c r="U93"/>
      <c r="V93"/>
    </row>
    <row r="94" spans="13:22" x14ac:dyDescent="0.25">
      <c r="M94"/>
      <c r="N94"/>
      <c r="O94"/>
      <c r="P94"/>
      <c r="Q94"/>
      <c r="R94"/>
      <c r="S94"/>
      <c r="T94"/>
      <c r="U94"/>
      <c r="V94"/>
    </row>
    <row r="95" spans="13:22" x14ac:dyDescent="0.25">
      <c r="M95"/>
      <c r="N95"/>
      <c r="O95"/>
      <c r="P95"/>
      <c r="Q95"/>
      <c r="R95"/>
      <c r="S95"/>
      <c r="T95"/>
      <c r="U95"/>
      <c r="V95"/>
    </row>
    <row r="96" spans="13:22" x14ac:dyDescent="0.25">
      <c r="M96"/>
      <c r="N96"/>
      <c r="O96"/>
      <c r="P96"/>
      <c r="Q96"/>
      <c r="R96"/>
      <c r="S96"/>
      <c r="T96"/>
      <c r="U96"/>
      <c r="V96"/>
    </row>
    <row r="97" spans="13:22" x14ac:dyDescent="0.25">
      <c r="M97"/>
      <c r="N97"/>
      <c r="O97"/>
      <c r="P97"/>
      <c r="Q97"/>
      <c r="R97"/>
      <c r="S97"/>
      <c r="T97"/>
      <c r="U97"/>
      <c r="V97"/>
    </row>
    <row r="98" spans="13:22" x14ac:dyDescent="0.25">
      <c r="M98"/>
      <c r="N98"/>
      <c r="O98"/>
      <c r="P98"/>
      <c r="Q98"/>
      <c r="R98"/>
      <c r="S98"/>
      <c r="T98"/>
      <c r="U98"/>
      <c r="V98"/>
    </row>
    <row r="99" spans="13:22" x14ac:dyDescent="0.25">
      <c r="M99"/>
      <c r="N99"/>
      <c r="O99"/>
      <c r="P99"/>
      <c r="Q99"/>
      <c r="R99"/>
      <c r="S99"/>
      <c r="T99"/>
      <c r="U99"/>
      <c r="V99"/>
    </row>
    <row r="100" spans="13:22" x14ac:dyDescent="0.25">
      <c r="M100"/>
      <c r="N100"/>
      <c r="O100"/>
      <c r="P100"/>
      <c r="Q100"/>
      <c r="R100"/>
      <c r="S100"/>
      <c r="T100"/>
      <c r="U100"/>
      <c r="V100"/>
    </row>
    <row r="101" spans="13:22" x14ac:dyDescent="0.25">
      <c r="M101"/>
      <c r="N101"/>
      <c r="O101"/>
      <c r="P101"/>
      <c r="Q101"/>
      <c r="R101"/>
      <c r="S101"/>
      <c r="T101"/>
      <c r="U101"/>
      <c r="V101"/>
    </row>
    <row r="102" spans="13:22" x14ac:dyDescent="0.25">
      <c r="M102"/>
      <c r="N102"/>
      <c r="O102"/>
      <c r="P102"/>
      <c r="Q102"/>
      <c r="R102"/>
      <c r="S102"/>
      <c r="T102"/>
      <c r="U102"/>
      <c r="V102"/>
    </row>
    <row r="103" spans="13:22" x14ac:dyDescent="0.25">
      <c r="M103"/>
      <c r="N103"/>
      <c r="O103"/>
      <c r="P103"/>
      <c r="Q103"/>
      <c r="R103"/>
      <c r="S103"/>
      <c r="T103"/>
      <c r="U103"/>
      <c r="V103"/>
    </row>
    <row r="104" spans="13:22" x14ac:dyDescent="0.25">
      <c r="M104"/>
      <c r="N104"/>
      <c r="O104"/>
      <c r="P104"/>
      <c r="Q104"/>
      <c r="R104"/>
      <c r="S104"/>
      <c r="T104"/>
      <c r="U104"/>
      <c r="V104"/>
    </row>
    <row r="105" spans="13:22" x14ac:dyDescent="0.25">
      <c r="M105"/>
      <c r="N105"/>
      <c r="O105"/>
      <c r="P105"/>
      <c r="Q105"/>
      <c r="R105"/>
      <c r="S105"/>
      <c r="T105"/>
      <c r="U105"/>
      <c r="V105"/>
    </row>
    <row r="106" spans="13:22" x14ac:dyDescent="0.25">
      <c r="M106"/>
      <c r="N106"/>
      <c r="O106"/>
      <c r="P106"/>
      <c r="Q106"/>
      <c r="R106"/>
      <c r="S106"/>
      <c r="T106"/>
      <c r="U106"/>
      <c r="V106"/>
    </row>
    <row r="107" spans="13:22" x14ac:dyDescent="0.25">
      <c r="M107"/>
      <c r="N107"/>
      <c r="O107"/>
      <c r="P107"/>
      <c r="Q107"/>
      <c r="R107"/>
      <c r="S107"/>
      <c r="T107"/>
      <c r="U107"/>
      <c r="V107"/>
    </row>
    <row r="108" spans="13:22" x14ac:dyDescent="0.25">
      <c r="M108"/>
      <c r="N108"/>
      <c r="O108"/>
      <c r="P108"/>
      <c r="Q108"/>
      <c r="R108"/>
      <c r="S108"/>
      <c r="T108"/>
      <c r="U108"/>
      <c r="V108"/>
    </row>
    <row r="109" spans="13:22" x14ac:dyDescent="0.25">
      <c r="M109"/>
      <c r="N109"/>
      <c r="O109"/>
      <c r="P109"/>
      <c r="Q109"/>
      <c r="R109"/>
      <c r="S109"/>
      <c r="T109"/>
      <c r="U109"/>
      <c r="V109"/>
    </row>
    <row r="110" spans="13:22" x14ac:dyDescent="0.25">
      <c r="M110"/>
      <c r="N110"/>
      <c r="O110"/>
      <c r="P110"/>
      <c r="Q110"/>
      <c r="R110"/>
      <c r="S110"/>
      <c r="T110"/>
      <c r="U110"/>
      <c r="V110"/>
    </row>
    <row r="111" spans="13:22" x14ac:dyDescent="0.25">
      <c r="M111"/>
      <c r="N111"/>
      <c r="O111"/>
      <c r="P111"/>
      <c r="Q111"/>
      <c r="R111"/>
      <c r="S111"/>
      <c r="T111"/>
      <c r="U111"/>
      <c r="V111"/>
    </row>
    <row r="112" spans="13:22" x14ac:dyDescent="0.25">
      <c r="M112"/>
      <c r="N112"/>
      <c r="O112"/>
      <c r="P112"/>
      <c r="Q112"/>
      <c r="R112"/>
      <c r="S112"/>
      <c r="T112"/>
      <c r="U112"/>
      <c r="V112"/>
    </row>
    <row r="113" spans="13:22" x14ac:dyDescent="0.25">
      <c r="M113"/>
      <c r="N113"/>
      <c r="O113"/>
      <c r="P113"/>
      <c r="Q113"/>
      <c r="R113"/>
      <c r="S113"/>
      <c r="T113"/>
      <c r="U113"/>
      <c r="V113"/>
    </row>
    <row r="114" spans="13:22" x14ac:dyDescent="0.25">
      <c r="M114"/>
      <c r="N114"/>
      <c r="O114"/>
      <c r="P114"/>
      <c r="Q114"/>
      <c r="R114"/>
      <c r="S114"/>
      <c r="T114"/>
      <c r="U114"/>
      <c r="V114"/>
    </row>
    <row r="115" spans="13:22" x14ac:dyDescent="0.25">
      <c r="M115"/>
      <c r="N115"/>
      <c r="O115"/>
      <c r="P115"/>
      <c r="Q115"/>
      <c r="R115"/>
      <c r="S115"/>
      <c r="T115"/>
      <c r="U115"/>
      <c r="V115"/>
    </row>
    <row r="116" spans="13:22" x14ac:dyDescent="0.25">
      <c r="M116"/>
      <c r="N116"/>
      <c r="O116"/>
      <c r="P116"/>
      <c r="Q116"/>
      <c r="R116"/>
      <c r="S116"/>
      <c r="T116"/>
      <c r="U116"/>
      <c r="V116"/>
    </row>
    <row r="117" spans="13:22" x14ac:dyDescent="0.25">
      <c r="M117"/>
      <c r="N117"/>
      <c r="O117"/>
      <c r="P117"/>
      <c r="Q117"/>
      <c r="R117"/>
      <c r="S117"/>
      <c r="T117"/>
      <c r="U117"/>
      <c r="V117"/>
    </row>
    <row r="118" spans="13:22" x14ac:dyDescent="0.25">
      <c r="M118"/>
      <c r="N118"/>
      <c r="O118"/>
      <c r="P118"/>
      <c r="Q118"/>
      <c r="R118"/>
      <c r="S118"/>
      <c r="T118"/>
      <c r="U118"/>
      <c r="V118"/>
    </row>
    <row r="119" spans="13:22" x14ac:dyDescent="0.25">
      <c r="M119"/>
      <c r="N119"/>
      <c r="O119"/>
      <c r="P119"/>
      <c r="Q119"/>
      <c r="R119"/>
      <c r="S119"/>
      <c r="T119"/>
      <c r="U119"/>
      <c r="V119"/>
    </row>
    <row r="120" spans="13:22" x14ac:dyDescent="0.25">
      <c r="M120"/>
      <c r="N120"/>
      <c r="O120"/>
      <c r="P120"/>
      <c r="Q120"/>
      <c r="R120"/>
      <c r="S120"/>
      <c r="T120"/>
      <c r="U120"/>
      <c r="V120"/>
    </row>
    <row r="121" spans="13:22" x14ac:dyDescent="0.25">
      <c r="M121"/>
      <c r="N121"/>
      <c r="O121"/>
      <c r="P121"/>
      <c r="Q121"/>
      <c r="R121"/>
      <c r="S121"/>
      <c r="T121"/>
      <c r="U121"/>
      <c r="V121"/>
    </row>
    <row r="122" spans="13:22" x14ac:dyDescent="0.25">
      <c r="M122"/>
      <c r="N122"/>
      <c r="O122"/>
      <c r="P122"/>
      <c r="Q122"/>
      <c r="R122"/>
      <c r="S122"/>
      <c r="T122"/>
      <c r="U122"/>
      <c r="V122"/>
    </row>
    <row r="123" spans="13:22" x14ac:dyDescent="0.25">
      <c r="M123"/>
      <c r="N123"/>
      <c r="O123"/>
      <c r="P123"/>
      <c r="Q123"/>
      <c r="R123"/>
      <c r="S123"/>
      <c r="T123"/>
      <c r="U123"/>
      <c r="V123"/>
    </row>
    <row r="124" spans="13:22" x14ac:dyDescent="0.25">
      <c r="M124"/>
      <c r="N124"/>
      <c r="O124"/>
      <c r="P124"/>
      <c r="Q124"/>
      <c r="R124"/>
      <c r="S124"/>
      <c r="T124"/>
      <c r="U124"/>
      <c r="V124"/>
    </row>
    <row r="125" spans="13:22" x14ac:dyDescent="0.25">
      <c r="M125"/>
      <c r="N125"/>
      <c r="O125"/>
      <c r="P125"/>
      <c r="Q125"/>
      <c r="R125"/>
      <c r="S125"/>
      <c r="T125"/>
      <c r="U125"/>
      <c r="V125"/>
    </row>
    <row r="126" spans="13:22" x14ac:dyDescent="0.25">
      <c r="M126"/>
      <c r="N126"/>
      <c r="O126"/>
      <c r="P126"/>
      <c r="Q126"/>
      <c r="R126"/>
      <c r="S126"/>
      <c r="T126"/>
      <c r="U126"/>
      <c r="V126"/>
    </row>
    <row r="127" spans="13:22" x14ac:dyDescent="0.25">
      <c r="M127"/>
      <c r="N127"/>
      <c r="O127"/>
      <c r="P127"/>
      <c r="Q127"/>
      <c r="R127"/>
      <c r="S127"/>
      <c r="T127"/>
      <c r="U127"/>
      <c r="V127"/>
    </row>
    <row r="128" spans="13:22" x14ac:dyDescent="0.25">
      <c r="M128"/>
      <c r="N128"/>
      <c r="O128"/>
      <c r="P128"/>
      <c r="Q128"/>
      <c r="R128"/>
      <c r="S128"/>
      <c r="T128"/>
      <c r="U128"/>
      <c r="V128"/>
    </row>
    <row r="129" spans="13:22" x14ac:dyDescent="0.25">
      <c r="M129"/>
      <c r="N129"/>
      <c r="O129"/>
      <c r="P129"/>
      <c r="Q129"/>
      <c r="R129"/>
      <c r="S129"/>
      <c r="T129"/>
      <c r="U129"/>
      <c r="V129"/>
    </row>
    <row r="130" spans="13:22" x14ac:dyDescent="0.25">
      <c r="M130"/>
      <c r="N130"/>
      <c r="O130"/>
      <c r="P130"/>
      <c r="Q130"/>
      <c r="R130"/>
      <c r="S130"/>
      <c r="T130"/>
      <c r="U130"/>
      <c r="V130"/>
    </row>
    <row r="131" spans="13:22" x14ac:dyDescent="0.25">
      <c r="M131"/>
      <c r="N131"/>
      <c r="O131"/>
      <c r="P131"/>
      <c r="Q131"/>
      <c r="R131"/>
      <c r="S131"/>
      <c r="T131"/>
      <c r="U131"/>
      <c r="V131"/>
    </row>
    <row r="132" spans="13:22" x14ac:dyDescent="0.25">
      <c r="M132"/>
      <c r="N132"/>
      <c r="O132"/>
      <c r="P132"/>
      <c r="Q132"/>
      <c r="R132"/>
      <c r="S132"/>
      <c r="T132"/>
      <c r="U132"/>
      <c r="V132"/>
    </row>
    <row r="133" spans="13:22" x14ac:dyDescent="0.25">
      <c r="M133"/>
      <c r="N133"/>
      <c r="O133"/>
      <c r="P133"/>
      <c r="Q133"/>
      <c r="R133"/>
      <c r="S133"/>
      <c r="T133"/>
      <c r="U133"/>
      <c r="V133"/>
    </row>
    <row r="134" spans="13:22" x14ac:dyDescent="0.25">
      <c r="M134"/>
      <c r="N134"/>
      <c r="O134"/>
      <c r="P134"/>
      <c r="Q134"/>
      <c r="R134"/>
      <c r="S134"/>
      <c r="T134"/>
      <c r="U134"/>
      <c r="V134"/>
    </row>
    <row r="135" spans="13:22" x14ac:dyDescent="0.25">
      <c r="M135"/>
      <c r="N135"/>
      <c r="O135"/>
      <c r="P135"/>
      <c r="Q135"/>
      <c r="R135"/>
      <c r="S135"/>
      <c r="T135"/>
      <c r="U135"/>
      <c r="V135"/>
    </row>
    <row r="136" spans="13:22" x14ac:dyDescent="0.25">
      <c r="M136"/>
      <c r="N136"/>
      <c r="O136"/>
      <c r="P136"/>
      <c r="Q136"/>
      <c r="R136"/>
      <c r="S136"/>
      <c r="T136"/>
      <c r="U136"/>
      <c r="V136"/>
    </row>
    <row r="137" spans="13:22" x14ac:dyDescent="0.25">
      <c r="M137"/>
      <c r="N137"/>
      <c r="O137"/>
      <c r="P137"/>
      <c r="Q137"/>
      <c r="R137"/>
      <c r="S137"/>
      <c r="T137"/>
      <c r="U137"/>
      <c r="V137"/>
    </row>
    <row r="138" spans="13:22" x14ac:dyDescent="0.25">
      <c r="M138"/>
      <c r="N138"/>
      <c r="O138"/>
      <c r="P138"/>
      <c r="Q138"/>
      <c r="R138"/>
      <c r="S138"/>
      <c r="T138"/>
      <c r="U138"/>
      <c r="V138"/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theme="4" tint="0.39997558519241921"/>
  </sheetPr>
  <dimension ref="A1:Z38"/>
  <sheetViews>
    <sheetView showGridLines="0" tabSelected="1" zoomScaleNormal="100" workbookViewId="0">
      <selection activeCell="G9" sqref="G9"/>
    </sheetView>
  </sheetViews>
  <sheetFormatPr defaultRowHeight="15" x14ac:dyDescent="0.25"/>
  <cols>
    <col min="2" max="2" width="29" bestFit="1" customWidth="1"/>
    <col min="3" max="3" width="29" style="4" customWidth="1"/>
    <col min="4" max="4" width="20.42578125" style="8" hidden="1" customWidth="1"/>
    <col min="5" max="5" width="17" style="2" customWidth="1"/>
    <col min="6" max="6" width="13.5703125" style="7" customWidth="1"/>
  </cols>
  <sheetData>
    <row r="1" spans="1:26" x14ac:dyDescent="0.25">
      <c r="A1" t="s">
        <v>4</v>
      </c>
      <c r="B1" t="s">
        <v>5</v>
      </c>
      <c r="C1" s="4" t="s">
        <v>44</v>
      </c>
      <c r="D1" s="8" t="s">
        <v>37</v>
      </c>
      <c r="E1" s="2" t="s">
        <v>35</v>
      </c>
      <c r="F1" s="7" t="s">
        <v>36</v>
      </c>
      <c r="Y1" s="8">
        <v>0</v>
      </c>
      <c r="Z1" s="8">
        <f>Y1</f>
        <v>0</v>
      </c>
    </row>
    <row r="2" spans="1:26" x14ac:dyDescent="0.25">
      <c r="A2">
        <v>1</v>
      </c>
      <c r="B2" t="s">
        <v>6</v>
      </c>
      <c r="C2" s="16">
        <v>20269.599999999999</v>
      </c>
      <c r="D2" s="8">
        <v>18382</v>
      </c>
      <c r="E2" s="2">
        <f>VLOOKUP(A2,md[[Hubid]:[total_boardings]],2,FALSE)</f>
        <v>10308.012563</v>
      </c>
      <c r="F2" s="7">
        <f>E2/C2-1</f>
        <v>-0.49145456432292689</v>
      </c>
      <c r="Y2" s="12">
        <f>ROUND(MAX(MAX(E2:E30),MAX(D2:D30)),-4)</f>
        <v>20000</v>
      </c>
      <c r="Z2" s="8">
        <f>Y2</f>
        <v>20000</v>
      </c>
    </row>
    <row r="3" spans="1:26" x14ac:dyDescent="0.25">
      <c r="A3">
        <v>2</v>
      </c>
      <c r="B3" t="s">
        <v>8</v>
      </c>
      <c r="C3" s="16">
        <v>12891</v>
      </c>
      <c r="D3" s="8">
        <v>11604</v>
      </c>
      <c r="E3" s="2">
        <f>VLOOKUP(A3,md[[Hubid]:[total_boardings]],2,FALSE)</f>
        <v>8389.1568480000005</v>
      </c>
      <c r="F3" s="7">
        <f t="shared" ref="F2:F31" si="0">E3/C3-1</f>
        <v>-0.34922373376774485</v>
      </c>
    </row>
    <row r="4" spans="1:26" x14ac:dyDescent="0.25">
      <c r="A4">
        <v>3</v>
      </c>
      <c r="B4" t="s">
        <v>9</v>
      </c>
      <c r="C4" s="16">
        <v>11624.17</v>
      </c>
      <c r="D4" s="8">
        <v>10778</v>
      </c>
      <c r="E4" s="2">
        <f>VLOOKUP(A4,md[[Hubid]:[total_boardings]],2,FALSE)</f>
        <v>13323.61139</v>
      </c>
      <c r="F4" s="7">
        <f t="shared" si="0"/>
        <v>0.14619894495693031</v>
      </c>
    </row>
    <row r="5" spans="1:26" x14ac:dyDescent="0.25">
      <c r="A5">
        <v>4</v>
      </c>
      <c r="B5" t="s">
        <v>10</v>
      </c>
      <c r="C5" s="16">
        <v>10913.8</v>
      </c>
      <c r="D5" s="8">
        <v>9905</v>
      </c>
      <c r="E5" s="2">
        <f>VLOOKUP(A5,md[[Hubid]:[total_boardings]],2,FALSE)</f>
        <v>10582.548205999999</v>
      </c>
      <c r="F5" s="7">
        <f t="shared" si="0"/>
        <v>-3.0351645989481146E-2</v>
      </c>
    </row>
    <row r="6" spans="1:26" x14ac:dyDescent="0.25">
      <c r="A6">
        <v>5</v>
      </c>
      <c r="B6" t="s">
        <v>11</v>
      </c>
      <c r="C6" s="16">
        <v>6882.71</v>
      </c>
      <c r="D6" s="8">
        <v>7672</v>
      </c>
      <c r="E6" s="2">
        <f>VLOOKUP(A6,md[[Hubid]:[total_boardings]],2,FALSE)</f>
        <v>4327.8173630000001</v>
      </c>
      <c r="F6" s="7">
        <f t="shared" si="0"/>
        <v>-0.37120445827297677</v>
      </c>
    </row>
    <row r="7" spans="1:26" x14ac:dyDescent="0.25">
      <c r="A7">
        <v>6</v>
      </c>
      <c r="B7" t="s">
        <v>12</v>
      </c>
      <c r="C7" s="16">
        <v>6633.05</v>
      </c>
      <c r="D7" s="8">
        <v>6084</v>
      </c>
      <c r="E7" s="2">
        <f>VLOOKUP(A7,md[[Hubid]:[total_boardings]],2,FALSE)</f>
        <v>5355.3511120000003</v>
      </c>
      <c r="F7" s="7">
        <f t="shared" si="0"/>
        <v>-0.19262615056422006</v>
      </c>
    </row>
    <row r="8" spans="1:26" x14ac:dyDescent="0.25">
      <c r="A8">
        <v>7</v>
      </c>
      <c r="B8" t="s">
        <v>13</v>
      </c>
      <c r="C8" s="16">
        <v>6291.71</v>
      </c>
      <c r="D8" s="8">
        <v>5775</v>
      </c>
      <c r="E8" s="2">
        <f>VLOOKUP(A8,md[[Hubid]:[total_boardings]],2,FALSE)</f>
        <v>6309.9335849999998</v>
      </c>
      <c r="F8" s="7">
        <f t="shared" si="0"/>
        <v>2.8964438920420221E-3</v>
      </c>
    </row>
    <row r="9" spans="1:26" x14ac:dyDescent="0.25">
      <c r="A9">
        <v>8</v>
      </c>
      <c r="B9" t="s">
        <v>14</v>
      </c>
      <c r="C9" s="16">
        <v>6468.54</v>
      </c>
      <c r="D9" s="8">
        <v>5673</v>
      </c>
      <c r="E9" s="2">
        <f>VLOOKUP(A9,md[[Hubid]:[total_boardings]],2,FALSE)</f>
        <v>3582.6720129999999</v>
      </c>
      <c r="F9" s="7">
        <f t="shared" si="0"/>
        <v>-0.44613900308261212</v>
      </c>
    </row>
    <row r="10" spans="1:26" x14ac:dyDescent="0.25">
      <c r="A10">
        <v>9</v>
      </c>
      <c r="B10" t="s">
        <v>15</v>
      </c>
      <c r="C10" s="16">
        <v>5244.04</v>
      </c>
      <c r="D10" s="8">
        <v>5623</v>
      </c>
      <c r="E10" s="2">
        <f>VLOOKUP(A10,md[[Hubid]:[total_boardings]],2,FALSE)</f>
        <v>6620.5007699999996</v>
      </c>
      <c r="F10" s="7">
        <f t="shared" si="0"/>
        <v>0.26248098221981531</v>
      </c>
    </row>
    <row r="11" spans="1:26" x14ac:dyDescent="0.25">
      <c r="A11">
        <v>10</v>
      </c>
      <c r="B11" t="s">
        <v>16</v>
      </c>
      <c r="C11" s="16">
        <v>5311.36</v>
      </c>
      <c r="D11" s="8">
        <v>4977</v>
      </c>
      <c r="E11" s="2">
        <f>VLOOKUP(A11,md[[Hubid]:[total_boardings]],2,FALSE)</f>
        <v>10173.496080000001</v>
      </c>
      <c r="F11" s="7">
        <f t="shared" si="0"/>
        <v>0.91542205386191133</v>
      </c>
    </row>
    <row r="12" spans="1:26" x14ac:dyDescent="0.25">
      <c r="A12">
        <v>11</v>
      </c>
      <c r="B12" t="s">
        <v>17</v>
      </c>
      <c r="C12" s="16">
        <v>5491.59</v>
      </c>
      <c r="D12" s="8">
        <v>4941</v>
      </c>
      <c r="E12" s="2">
        <f>VLOOKUP(A12,md[[Hubid]:[total_boardings]],2,FALSE)</f>
        <v>6598.7692639999996</v>
      </c>
      <c r="F12" s="7">
        <f t="shared" si="0"/>
        <v>0.20161360625975333</v>
      </c>
    </row>
    <row r="13" spans="1:26" x14ac:dyDescent="0.25">
      <c r="A13">
        <v>12</v>
      </c>
      <c r="B13" t="s">
        <v>18</v>
      </c>
      <c r="C13" s="16">
        <v>3460.63</v>
      </c>
      <c r="D13" s="8">
        <v>3997</v>
      </c>
      <c r="E13" s="2">
        <f>VLOOKUP(A13,md[[Hubid]:[total_boardings]],2,FALSE)</f>
        <v>4456.4469509999999</v>
      </c>
      <c r="F13" s="7">
        <f t="shared" si="0"/>
        <v>0.28775597246744078</v>
      </c>
    </row>
    <row r="14" spans="1:26" x14ac:dyDescent="0.25">
      <c r="A14">
        <v>13</v>
      </c>
      <c r="B14" t="s">
        <v>19</v>
      </c>
      <c r="C14" s="16">
        <v>3389.41</v>
      </c>
      <c r="D14" s="8">
        <v>3245</v>
      </c>
      <c r="E14" s="2">
        <f>VLOOKUP(A14,md[[Hubid]:[total_boardings]],2,FALSE)</f>
        <v>3808.4430440000001</v>
      </c>
      <c r="F14" s="7">
        <f t="shared" si="0"/>
        <v>0.12363008429195643</v>
      </c>
    </row>
    <row r="15" spans="1:26" x14ac:dyDescent="0.25">
      <c r="A15">
        <v>14</v>
      </c>
      <c r="B15" t="s">
        <v>20</v>
      </c>
      <c r="C15" s="16">
        <v>3442.72</v>
      </c>
      <c r="D15" s="8">
        <v>3201</v>
      </c>
      <c r="E15" s="2">
        <f>VLOOKUP(A15,md[[Hubid]:[total_boardings]],2,FALSE)</f>
        <v>4290.3804879999998</v>
      </c>
      <c r="F15" s="7">
        <f t="shared" si="0"/>
        <v>0.24621824836176054</v>
      </c>
    </row>
    <row r="16" spans="1:26" x14ac:dyDescent="0.25">
      <c r="A16">
        <v>15</v>
      </c>
      <c r="B16" t="s">
        <v>21</v>
      </c>
      <c r="C16" s="16">
        <v>3046.06</v>
      </c>
      <c r="D16" s="8">
        <v>2756</v>
      </c>
      <c r="E16" s="2">
        <f>VLOOKUP(A16,md[[Hubid]:[total_boardings]],2,FALSE)</f>
        <v>3848.6063920000001</v>
      </c>
      <c r="F16" s="7">
        <f t="shared" si="0"/>
        <v>0.26347031640873797</v>
      </c>
    </row>
    <row r="17" spans="1:6" x14ac:dyDescent="0.25">
      <c r="A17">
        <v>16</v>
      </c>
      <c r="B17" t="s">
        <v>22</v>
      </c>
      <c r="C17" s="16">
        <v>1059.6400000000001</v>
      </c>
      <c r="D17" s="8">
        <v>1791</v>
      </c>
      <c r="E17" s="2">
        <f>VLOOKUP(A17,md[[Hubid]:[total_boardings]],2,FALSE)</f>
        <v>5010.9243290000004</v>
      </c>
      <c r="F17" s="7">
        <f t="shared" si="0"/>
        <v>3.7288931420104943</v>
      </c>
    </row>
    <row r="18" spans="1:6" x14ac:dyDescent="0.25">
      <c r="A18">
        <v>17</v>
      </c>
      <c r="B18" t="s">
        <v>23</v>
      </c>
      <c r="C18" s="16">
        <v>33</v>
      </c>
      <c r="D18" s="8">
        <v>1692</v>
      </c>
      <c r="E18" s="2">
        <f>VLOOKUP(A18,md[[Hubid]:[total_boardings]],2,FALSE)</f>
        <v>67</v>
      </c>
      <c r="F18" s="7">
        <f t="shared" si="0"/>
        <v>1.0303030303030303</v>
      </c>
    </row>
    <row r="19" spans="1:6" x14ac:dyDescent="0.25">
      <c r="A19">
        <v>18</v>
      </c>
      <c r="B19" t="s">
        <v>24</v>
      </c>
      <c r="C19" s="16">
        <v>1667.83</v>
      </c>
      <c r="D19" s="8">
        <v>1647</v>
      </c>
      <c r="E19" s="2">
        <f>VLOOKUP(A19,md[[Hubid]:[total_boardings]],2,FALSE)</f>
        <v>3058.6549220000002</v>
      </c>
      <c r="F19" s="7">
        <f t="shared" si="0"/>
        <v>0.83391288200835834</v>
      </c>
    </row>
    <row r="20" spans="1:6" x14ac:dyDescent="0.25">
      <c r="A20">
        <v>19</v>
      </c>
      <c r="B20" t="s">
        <v>25</v>
      </c>
      <c r="C20" s="16">
        <v>1927.39</v>
      </c>
      <c r="D20" s="8">
        <v>1609</v>
      </c>
      <c r="E20" s="2">
        <f>VLOOKUP(A20,md[[Hubid]:[total_boardings]],2,FALSE)</f>
        <v>2486.2499979999998</v>
      </c>
      <c r="F20" s="7">
        <f t="shared" si="0"/>
        <v>0.28995688366132422</v>
      </c>
    </row>
    <row r="21" spans="1:6" x14ac:dyDescent="0.25">
      <c r="A21">
        <v>20</v>
      </c>
      <c r="B21" t="s">
        <v>26</v>
      </c>
      <c r="C21" s="16">
        <v>1480.31</v>
      </c>
      <c r="D21" s="8">
        <v>1432</v>
      </c>
      <c r="E21" s="2">
        <f>VLOOKUP(A21,md[[Hubid]:[total_boardings]],2,FALSE)</f>
        <v>1847.5870749999999</v>
      </c>
      <c r="F21" s="7">
        <f t="shared" si="0"/>
        <v>0.24810821719774911</v>
      </c>
    </row>
    <row r="22" spans="1:6" x14ac:dyDescent="0.25">
      <c r="A22">
        <v>21</v>
      </c>
      <c r="B22" t="s">
        <v>27</v>
      </c>
      <c r="C22" s="16">
        <v>1677.61</v>
      </c>
      <c r="D22" s="8">
        <v>1358</v>
      </c>
      <c r="E22" s="2">
        <f>VLOOKUP(A22,md[[Hubid]:[total_boardings]],2,FALSE)</f>
        <v>1862.7914060000001</v>
      </c>
      <c r="F22" s="7">
        <f t="shared" si="0"/>
        <v>0.11038406184989369</v>
      </c>
    </row>
    <row r="23" spans="1:6" x14ac:dyDescent="0.25">
      <c r="A23">
        <v>22</v>
      </c>
      <c r="B23" t="s">
        <v>28</v>
      </c>
      <c r="C23" s="16">
        <v>1399.58</v>
      </c>
      <c r="D23" s="8">
        <v>1294</v>
      </c>
      <c r="E23" s="2">
        <f>VLOOKUP(A23,md[[Hubid]:[total_boardings]],2,FALSE)</f>
        <v>554.71641999999997</v>
      </c>
      <c r="F23" s="7">
        <f t="shared" si="0"/>
        <v>-0.60365508223895747</v>
      </c>
    </row>
    <row r="24" spans="1:6" x14ac:dyDescent="0.25">
      <c r="A24">
        <v>23</v>
      </c>
      <c r="B24" t="s">
        <v>29</v>
      </c>
      <c r="C24" s="16">
        <v>1119.3399999999999</v>
      </c>
      <c r="D24" s="8">
        <v>1024</v>
      </c>
      <c r="E24" s="2">
        <f>VLOOKUP(A24,md[[Hubid]:[total_boardings]],2,FALSE)</f>
        <v>2468.3512489999998</v>
      </c>
      <c r="F24" s="7">
        <f t="shared" si="0"/>
        <v>1.2051845274894135</v>
      </c>
    </row>
    <row r="25" spans="1:6" x14ac:dyDescent="0.25">
      <c r="A25">
        <v>24</v>
      </c>
      <c r="B25" t="s">
        <v>30</v>
      </c>
      <c r="C25" s="16">
        <v>1053</v>
      </c>
      <c r="D25" s="8">
        <v>981</v>
      </c>
      <c r="E25" s="2">
        <f>VLOOKUP(A25,md[[Hubid]:[total_boardings]],2,FALSE)</f>
        <v>996.33166800000004</v>
      </c>
      <c r="F25" s="7">
        <f t="shared" si="0"/>
        <v>-5.3816079772079695E-2</v>
      </c>
    </row>
    <row r="26" spans="1:6" x14ac:dyDescent="0.25">
      <c r="A26">
        <v>25</v>
      </c>
      <c r="B26" t="s">
        <v>31</v>
      </c>
      <c r="C26" s="16">
        <v>226.55</v>
      </c>
      <c r="D26" s="8">
        <v>717</v>
      </c>
      <c r="E26" s="2">
        <f>VLOOKUP(A26,md[[Hubid]:[total_boardings]],2,FALSE)</f>
        <v>1308.6089549999999</v>
      </c>
      <c r="F26" s="7">
        <f t="shared" si="0"/>
        <v>4.7762478702273219</v>
      </c>
    </row>
    <row r="27" spans="1:6" x14ac:dyDescent="0.25">
      <c r="A27">
        <v>26</v>
      </c>
      <c r="B27" t="s">
        <v>32</v>
      </c>
      <c r="C27" s="16">
        <v>651.34</v>
      </c>
      <c r="D27" s="8">
        <v>569</v>
      </c>
      <c r="E27" s="2">
        <f>VLOOKUP(A27,md[[Hubid]:[total_boardings]],2,FALSE)</f>
        <v>61</v>
      </c>
      <c r="F27" s="7">
        <f t="shared" si="0"/>
        <v>-0.90634691558940028</v>
      </c>
    </row>
    <row r="28" spans="1:6" x14ac:dyDescent="0.25">
      <c r="A28">
        <v>27</v>
      </c>
      <c r="B28" t="s">
        <v>7</v>
      </c>
      <c r="C28" s="16">
        <v>585.4</v>
      </c>
      <c r="D28" s="8">
        <v>479</v>
      </c>
      <c r="E28" s="2">
        <f>VLOOKUP(A28,md[[Hubid]:[total_boardings]],2,FALSE)</f>
        <v>911.61962900000003</v>
      </c>
      <c r="F28" s="7">
        <f t="shared" si="0"/>
        <v>0.55725935941236782</v>
      </c>
    </row>
    <row r="29" spans="1:6" x14ac:dyDescent="0.25">
      <c r="A29">
        <v>28</v>
      </c>
      <c r="B29" t="s">
        <v>33</v>
      </c>
      <c r="C29" s="16">
        <v>462.13</v>
      </c>
      <c r="D29" s="8">
        <v>438</v>
      </c>
      <c r="E29" s="2">
        <f>VLOOKUP(A29,md[[Hubid]:[total_boardings]],2,FALSE)</f>
        <v>400.08003100000002</v>
      </c>
      <c r="F29" s="7">
        <f t="shared" si="0"/>
        <v>-0.13426951074373006</v>
      </c>
    </row>
    <row r="30" spans="1:6" x14ac:dyDescent="0.25">
      <c r="A30">
        <v>29</v>
      </c>
      <c r="B30" t="s">
        <v>34</v>
      </c>
      <c r="C30" s="16">
        <v>238.44</v>
      </c>
      <c r="D30" s="8">
        <v>224</v>
      </c>
      <c r="E30" s="2">
        <f>VLOOKUP(A30,md[[Hubid]:[total_boardings]],2,FALSE)</f>
        <v>285.04271199999999</v>
      </c>
      <c r="F30" s="7">
        <f t="shared" si="0"/>
        <v>0.19544838114410323</v>
      </c>
    </row>
    <row r="31" spans="1:6" x14ac:dyDescent="0.25">
      <c r="A31" s="9"/>
      <c r="B31" s="9" t="s">
        <v>38</v>
      </c>
      <c r="C31" s="10">
        <f>SUM(C2:C30)</f>
        <v>124941.94999999998</v>
      </c>
      <c r="D31" s="17">
        <f>SUM(D2:D30)</f>
        <v>119868</v>
      </c>
      <c r="E31" s="10">
        <f>SUM(E2:E30)</f>
        <v>123294.70446300002</v>
      </c>
      <c r="F31" s="11">
        <f t="shared" si="0"/>
        <v>-1.3184086985996046E-2</v>
      </c>
    </row>
    <row r="35" spans="2:6" x14ac:dyDescent="0.25">
      <c r="B35" s="1" t="s">
        <v>39</v>
      </c>
      <c r="C35" s="1"/>
      <c r="D35" s="18" t="s">
        <v>43</v>
      </c>
      <c r="E35" s="14"/>
      <c r="F35" s="15"/>
    </row>
    <row r="36" spans="2:6" x14ac:dyDescent="0.25">
      <c r="B36" s="1"/>
      <c r="C36" s="1"/>
      <c r="D36" s="18" t="s">
        <v>40</v>
      </c>
      <c r="E36" s="14"/>
      <c r="F36" s="15"/>
    </row>
    <row r="37" spans="2:6" x14ac:dyDescent="0.25">
      <c r="B37" s="1"/>
      <c r="C37" s="1"/>
      <c r="D37" s="18" t="s">
        <v>41</v>
      </c>
      <c r="E37" s="14"/>
      <c r="F37" s="15"/>
    </row>
    <row r="38" spans="2:6" x14ac:dyDescent="0.25">
      <c r="B38" s="1"/>
      <c r="C38" s="1"/>
      <c r="D38" s="18" t="s">
        <v>42</v>
      </c>
      <c r="E38" s="14"/>
      <c r="F38" s="15"/>
    </row>
  </sheetData>
  <conditionalFormatting sqref="F1:F31">
    <cfRule type="cellIs" dxfId="5" priority="1" operator="lessThan">
      <formula>-0.3</formula>
    </cfRule>
    <cfRule type="cellIs" dxfId="4" priority="2" operator="greaterThan">
      <formula>0.3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08F1CE0-4BB0-4D88-AA07-50900F42C17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readme</vt:lpstr>
      <vt:lpstr>Boardings_by_Hub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yun</dc:creator>
  <cp:lastModifiedBy>yun</cp:lastModifiedBy>
  <dcterms:created xsi:type="dcterms:W3CDTF">2017-07-04T05:48:34Z</dcterms:created>
  <dcterms:modified xsi:type="dcterms:W3CDTF">2019-09-26T15:24:06Z</dcterms:modified>
</cp:coreProperties>
</file>