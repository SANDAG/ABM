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T:\projects\sr14\version_14_1_x\abm_runs\2016\analysis\validation\"/>
    </mc:Choice>
  </mc:AlternateContent>
  <bookViews>
    <workbookView xWindow="0" yWindow="0" windowWidth="28800" windowHeight="14100" tabRatio="732"/>
  </bookViews>
  <sheets>
    <sheet name="readme" sheetId="3" r:id="rId1"/>
    <sheet name="observed" sheetId="13" r:id="rId2"/>
    <sheet name="sum_by_mode" sheetId="5" r:id="rId3"/>
    <sheet name="chart_by_mode" sheetId="12" r:id="rId4"/>
    <sheet name="sum_boarding_by_line" sheetId="8" r:id="rId5"/>
    <sheet name="chart_boarding_by_line" sheetId="10" r:id="rId6"/>
    <sheet name="sum_passenger_mile_line" sheetId="9" r:id="rId7"/>
    <sheet name="chart_passenger_mile_line" sheetId="11" r:id="rId8"/>
    <sheet name="abm2_mode" sheetId="16" state="hidden" r:id="rId9"/>
    <sheet name="bd" sheetId="4" r:id="rId10"/>
    <sheet name="pm" sheetId="7" r:id="rId11"/>
    <sheet name="ref" sheetId="6" state="hidden" r:id="rId12"/>
  </sheets>
  <externalReferences>
    <externalReference r:id="rId13"/>
    <externalReference r:id="rId14"/>
  </externalReferences>
  <definedNames>
    <definedName name="count_a" localSheetId="6">INDEX([1]!class[#Data],1114,10):INDEX([1]!class[#Data],1885,10)</definedName>
    <definedName name="count_a">INDEX([1]!class[#Data],1114,10):INDEX([1]!class[#Data],1885,10)</definedName>
    <definedName name="count_c" localSheetId="6">INDEX([1]!class[#Data],1886,10):INDEX([1]!class[#Data],2661,10)</definedName>
    <definedName name="count_c">INDEX([1]!class[#Data],1886,10):INDEX([1]!class[#Data],2661,10)</definedName>
    <definedName name="count_f" localSheetId="6">INDEX([1]!class[#Data],1,10):INDEX([1]!class[#Data],670,10)</definedName>
    <definedName name="count_f">INDEX([1]!class[#Data],1,10):INDEX([1]!class[#Data],670,10)</definedName>
    <definedName name="count_r" localSheetId="6">INDEX([1]!class[#Data],671,10):INDEX([1]!class[#Data],1113,10)</definedName>
    <definedName name="count_r">INDEX([1]!class[#Data],671,10):INDEX([1]!class[#Data],1113,10)</definedName>
    <definedName name="flow_a" localSheetId="6">INDEX([1]!class[#Data],1114,11):INDEX([1]!class[#Data],1885,11)</definedName>
    <definedName name="flow_a">INDEX([1]!class[#Data],1114,11):INDEX([1]!class[#Data],1885,11)</definedName>
    <definedName name="flow_c" localSheetId="6">INDEX([1]!class[#Data],1886,11):INDEX([1]!class[#Data],2661,11)</definedName>
    <definedName name="flow_c">INDEX([1]!class[#Data],1886,11):INDEX([1]!class[#Data],2661,11)</definedName>
    <definedName name="flow_f" localSheetId="6">INDEX([1]!class[#Data],1,11):INDEX([1]!class[#Data],670,11)</definedName>
    <definedName name="flow_f">INDEX([1]!class[#Data],1,11):INDEX([1]!class[#Data],670,11)</definedName>
    <definedName name="flow_r" localSheetId="6">INDEX([1]!class[#Data],671,11):INDEX([1]!class[#Data],1113,11)</definedName>
    <definedName name="flow_r">INDEX([1]!class[#Data],671,11):INDEX([1]!class[#Data],1113,11)</definedName>
    <definedName name="socioeca8.sandag.org_abm2_trb" localSheetId="0" hidden="1">readme!$E$1:$Q$139</definedName>
    <definedName name="sql2014a8.sandag.org_ws_Transit2015table" localSheetId="0" hidden="1">readme!$S$1:$AD$139</definedName>
    <definedName name="x2_a" localSheetId="6">INDEX([1]!class[#Data],1114,14):INDEX([1]!class[#Data],1885,14)</definedName>
    <definedName name="x2_a">INDEX([1]!class[#Data],1114,14):INDEX([1]!class[#Data],1885,14)</definedName>
    <definedName name="x2_c" localSheetId="6">INDEX([1]!class[#Data],1886,14):INDEX([1]!class[#Data],2661,14)</definedName>
    <definedName name="x2_c">INDEX([1]!class[#Data],1886,14):INDEX([1]!class[#Data],2661,14)</definedName>
    <definedName name="x2_f" localSheetId="6">INDEX([1]!class[#Data],1,14):INDEX([1]!class[#Data],670,14)</definedName>
    <definedName name="x2_f">INDEX([1]!class[#Data],1,14):INDEX([1]!class[#Data],670,14)</definedName>
    <definedName name="x2_r" localSheetId="6">INDEX([1]!class[#Data],671,14):INDEX([1]!class[#Data],1113,14)</definedName>
    <definedName name="x2_r">INDEX([1]!class[#Data],671,14):INDEX([1]!class[#Data],1113,14)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2" i="3" l="1"/>
  <c r="C2" i="3" l="1"/>
  <c r="E2" i="3" s="1"/>
  <c r="E3" i="3" s="1"/>
  <c r="E4" i="3" s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E46" i="3" s="1"/>
  <c r="E47" i="3" s="1"/>
  <c r="E48" i="3" s="1"/>
  <c r="E49" i="3" s="1"/>
  <c r="E50" i="3" s="1"/>
  <c r="E51" i="3" s="1"/>
  <c r="E52" i="3" s="1"/>
  <c r="E53" i="3" s="1"/>
  <c r="E54" i="3" s="1"/>
  <c r="E55" i="3" s="1"/>
  <c r="E56" i="3" s="1"/>
  <c r="E57" i="3" s="1"/>
  <c r="E58" i="3" s="1"/>
  <c r="E59" i="3" s="1"/>
  <c r="E60" i="3" s="1"/>
  <c r="E61" i="3" s="1"/>
  <c r="E62" i="3" s="1"/>
  <c r="E63" i="3" s="1"/>
  <c r="E64" i="3" s="1"/>
  <c r="E65" i="3" s="1"/>
  <c r="E66" i="3" s="1"/>
  <c r="E67" i="3" s="1"/>
  <c r="E68" i="3" s="1"/>
  <c r="E69" i="3" s="1"/>
  <c r="E70" i="3" s="1"/>
  <c r="E71" i="3" s="1"/>
  <c r="E72" i="3" s="1"/>
  <c r="E73" i="3" s="1"/>
  <c r="E74" i="3" s="1"/>
  <c r="E75" i="3" s="1"/>
  <c r="E76" i="3" s="1"/>
  <c r="E77" i="3" s="1"/>
  <c r="E78" i="3" s="1"/>
  <c r="E79" i="3" s="1"/>
  <c r="E80" i="3" s="1"/>
  <c r="E81" i="3" s="1"/>
  <c r="E82" i="3" s="1"/>
  <c r="E83" i="3" s="1"/>
  <c r="E84" i="3" s="1"/>
  <c r="E85" i="3" s="1"/>
  <c r="E86" i="3" s="1"/>
  <c r="E87" i="3" s="1"/>
  <c r="E88" i="3" s="1"/>
  <c r="E89" i="3" s="1"/>
  <c r="E90" i="3" s="1"/>
  <c r="E91" i="3" s="1"/>
  <c r="E92" i="3" s="1"/>
  <c r="E93" i="3" s="1"/>
  <c r="E94" i="3" s="1"/>
  <c r="E95" i="3" s="1"/>
  <c r="E96" i="3" s="1"/>
  <c r="E97" i="3" s="1"/>
  <c r="E98" i="3" s="1"/>
  <c r="E99" i="3" s="1"/>
  <c r="E100" i="3" s="1"/>
  <c r="E101" i="3" s="1"/>
  <c r="E102" i="3" s="1"/>
  <c r="E103" i="3" s="1"/>
  <c r="E104" i="3" s="1"/>
  <c r="E105" i="3" s="1"/>
  <c r="E106" i="3" s="1"/>
  <c r="E107" i="3" s="1"/>
  <c r="E108" i="3" s="1"/>
  <c r="E109" i="3" s="1"/>
  <c r="E110" i="3" s="1"/>
  <c r="E111" i="3" s="1"/>
  <c r="E112" i="3" s="1"/>
  <c r="E113" i="3" s="1"/>
  <c r="E114" i="3" s="1"/>
  <c r="E115" i="3" s="1"/>
  <c r="E116" i="3" s="1"/>
  <c r="E117" i="3" s="1"/>
  <c r="E118" i="3" s="1"/>
  <c r="E119" i="3" s="1"/>
  <c r="E120" i="3" s="1"/>
  <c r="E121" i="3" s="1"/>
  <c r="E122" i="3" s="1"/>
  <c r="E123" i="3" s="1"/>
  <c r="E124" i="3" s="1"/>
  <c r="E125" i="3" s="1"/>
  <c r="E126" i="3" s="1"/>
  <c r="E127" i="3" s="1"/>
  <c r="E128" i="3" s="1"/>
  <c r="E129" i="3" s="1"/>
  <c r="E130" i="3" s="1"/>
  <c r="E131" i="3" s="1"/>
  <c r="E132" i="3" s="1"/>
  <c r="E133" i="3" s="1"/>
  <c r="E134" i="3" s="1"/>
  <c r="E135" i="3" s="1"/>
  <c r="E136" i="3" s="1"/>
  <c r="E137" i="3" s="1"/>
  <c r="E138" i="3" s="1"/>
  <c r="E139" i="3" s="1"/>
  <c r="G3" i="3" l="1"/>
  <c r="H3" i="3"/>
  <c r="I3" i="3"/>
  <c r="J3" i="3"/>
  <c r="K3" i="3"/>
  <c r="L3" i="3"/>
  <c r="M3" i="3"/>
  <c r="N3" i="3"/>
  <c r="O3" i="3"/>
  <c r="P3" i="3"/>
  <c r="Q3" i="3"/>
  <c r="G4" i="3"/>
  <c r="H4" i="3"/>
  <c r="I4" i="3"/>
  <c r="J4" i="3"/>
  <c r="K4" i="3"/>
  <c r="L4" i="3"/>
  <c r="M4" i="3"/>
  <c r="N4" i="3"/>
  <c r="O4" i="3"/>
  <c r="P4" i="3"/>
  <c r="Q4" i="3"/>
  <c r="G5" i="3"/>
  <c r="H5" i="3"/>
  <c r="I5" i="3"/>
  <c r="J5" i="3"/>
  <c r="K5" i="3"/>
  <c r="L5" i="3"/>
  <c r="M5" i="3"/>
  <c r="N5" i="3"/>
  <c r="O5" i="3"/>
  <c r="P5" i="3"/>
  <c r="Q5" i="3"/>
  <c r="G6" i="3"/>
  <c r="H6" i="3"/>
  <c r="I6" i="3"/>
  <c r="J6" i="3"/>
  <c r="K6" i="3"/>
  <c r="L6" i="3"/>
  <c r="M6" i="3"/>
  <c r="N6" i="3"/>
  <c r="O6" i="3"/>
  <c r="P6" i="3"/>
  <c r="Q6" i="3"/>
  <c r="G7" i="3"/>
  <c r="H7" i="3"/>
  <c r="I7" i="3"/>
  <c r="J7" i="3"/>
  <c r="K7" i="3"/>
  <c r="L7" i="3"/>
  <c r="M7" i="3"/>
  <c r="N7" i="3"/>
  <c r="O7" i="3"/>
  <c r="P7" i="3"/>
  <c r="Q7" i="3"/>
  <c r="G8" i="3"/>
  <c r="H8" i="3"/>
  <c r="I8" i="3"/>
  <c r="J8" i="3"/>
  <c r="K8" i="3"/>
  <c r="L8" i="3"/>
  <c r="M8" i="3"/>
  <c r="N8" i="3"/>
  <c r="O8" i="3"/>
  <c r="P8" i="3"/>
  <c r="Q8" i="3"/>
  <c r="G9" i="3"/>
  <c r="H9" i="3"/>
  <c r="I9" i="3"/>
  <c r="J9" i="3"/>
  <c r="K9" i="3"/>
  <c r="L9" i="3"/>
  <c r="M9" i="3"/>
  <c r="N9" i="3"/>
  <c r="O9" i="3"/>
  <c r="P9" i="3"/>
  <c r="Q9" i="3"/>
  <c r="G10" i="3"/>
  <c r="H10" i="3"/>
  <c r="I10" i="3"/>
  <c r="J10" i="3"/>
  <c r="K10" i="3"/>
  <c r="L10" i="3"/>
  <c r="M10" i="3"/>
  <c r="N10" i="3"/>
  <c r="O10" i="3"/>
  <c r="P10" i="3"/>
  <c r="Q10" i="3"/>
  <c r="G11" i="3"/>
  <c r="H11" i="3"/>
  <c r="I11" i="3"/>
  <c r="J11" i="3"/>
  <c r="K11" i="3"/>
  <c r="L11" i="3"/>
  <c r="M11" i="3"/>
  <c r="N11" i="3"/>
  <c r="O11" i="3"/>
  <c r="P11" i="3"/>
  <c r="Q11" i="3"/>
  <c r="G12" i="3"/>
  <c r="H12" i="3"/>
  <c r="I12" i="3"/>
  <c r="J12" i="3"/>
  <c r="K12" i="3"/>
  <c r="L12" i="3"/>
  <c r="M12" i="3"/>
  <c r="N12" i="3"/>
  <c r="O12" i="3"/>
  <c r="P12" i="3"/>
  <c r="Q12" i="3"/>
  <c r="G13" i="3"/>
  <c r="H13" i="3"/>
  <c r="I13" i="3"/>
  <c r="J13" i="3"/>
  <c r="K13" i="3"/>
  <c r="L13" i="3"/>
  <c r="M13" i="3"/>
  <c r="N13" i="3"/>
  <c r="O13" i="3"/>
  <c r="P13" i="3"/>
  <c r="Q13" i="3"/>
  <c r="G14" i="3"/>
  <c r="H14" i="3"/>
  <c r="I14" i="3"/>
  <c r="J14" i="3"/>
  <c r="K14" i="3"/>
  <c r="L14" i="3"/>
  <c r="M14" i="3"/>
  <c r="N14" i="3"/>
  <c r="O14" i="3"/>
  <c r="P14" i="3"/>
  <c r="Q14" i="3"/>
  <c r="G15" i="3"/>
  <c r="H15" i="3"/>
  <c r="I15" i="3"/>
  <c r="J15" i="3"/>
  <c r="K15" i="3"/>
  <c r="L15" i="3"/>
  <c r="M15" i="3"/>
  <c r="N15" i="3"/>
  <c r="O15" i="3"/>
  <c r="P15" i="3"/>
  <c r="Q15" i="3"/>
  <c r="G16" i="3"/>
  <c r="H16" i="3"/>
  <c r="I16" i="3"/>
  <c r="J16" i="3"/>
  <c r="K16" i="3"/>
  <c r="L16" i="3"/>
  <c r="M16" i="3"/>
  <c r="N16" i="3"/>
  <c r="O16" i="3"/>
  <c r="P16" i="3"/>
  <c r="Q16" i="3"/>
  <c r="G17" i="3"/>
  <c r="H17" i="3"/>
  <c r="I17" i="3"/>
  <c r="J17" i="3"/>
  <c r="K17" i="3"/>
  <c r="L17" i="3"/>
  <c r="M17" i="3"/>
  <c r="N17" i="3"/>
  <c r="O17" i="3"/>
  <c r="P17" i="3"/>
  <c r="Q17" i="3"/>
  <c r="G18" i="3"/>
  <c r="H18" i="3"/>
  <c r="I18" i="3"/>
  <c r="J18" i="3"/>
  <c r="K18" i="3"/>
  <c r="L18" i="3"/>
  <c r="M18" i="3"/>
  <c r="N18" i="3"/>
  <c r="O18" i="3"/>
  <c r="P18" i="3"/>
  <c r="Q18" i="3"/>
  <c r="G19" i="3"/>
  <c r="H19" i="3"/>
  <c r="I19" i="3"/>
  <c r="J19" i="3"/>
  <c r="K19" i="3"/>
  <c r="L19" i="3"/>
  <c r="M19" i="3"/>
  <c r="N19" i="3"/>
  <c r="O19" i="3"/>
  <c r="P19" i="3"/>
  <c r="Q19" i="3"/>
  <c r="G20" i="3"/>
  <c r="H20" i="3"/>
  <c r="I20" i="3"/>
  <c r="J20" i="3"/>
  <c r="K20" i="3"/>
  <c r="L20" i="3"/>
  <c r="M20" i="3"/>
  <c r="N20" i="3"/>
  <c r="O20" i="3"/>
  <c r="P20" i="3"/>
  <c r="Q20" i="3"/>
  <c r="G21" i="3"/>
  <c r="H21" i="3"/>
  <c r="I21" i="3"/>
  <c r="J21" i="3"/>
  <c r="K21" i="3"/>
  <c r="L21" i="3"/>
  <c r="M21" i="3"/>
  <c r="N21" i="3"/>
  <c r="O21" i="3"/>
  <c r="P21" i="3"/>
  <c r="Q21" i="3"/>
  <c r="G22" i="3"/>
  <c r="H22" i="3"/>
  <c r="I22" i="3"/>
  <c r="J22" i="3"/>
  <c r="K22" i="3"/>
  <c r="L22" i="3"/>
  <c r="M22" i="3"/>
  <c r="N22" i="3"/>
  <c r="O22" i="3"/>
  <c r="P22" i="3"/>
  <c r="Q22" i="3"/>
  <c r="G23" i="3"/>
  <c r="H23" i="3"/>
  <c r="I23" i="3"/>
  <c r="J23" i="3"/>
  <c r="K23" i="3"/>
  <c r="L23" i="3"/>
  <c r="M23" i="3"/>
  <c r="N23" i="3"/>
  <c r="O23" i="3"/>
  <c r="P23" i="3"/>
  <c r="Q23" i="3"/>
  <c r="G24" i="3"/>
  <c r="H24" i="3"/>
  <c r="I24" i="3"/>
  <c r="J24" i="3"/>
  <c r="K24" i="3"/>
  <c r="L24" i="3"/>
  <c r="M24" i="3"/>
  <c r="N24" i="3"/>
  <c r="O24" i="3"/>
  <c r="P24" i="3"/>
  <c r="Q24" i="3"/>
  <c r="G25" i="3"/>
  <c r="H25" i="3"/>
  <c r="I25" i="3"/>
  <c r="J25" i="3"/>
  <c r="K25" i="3"/>
  <c r="L25" i="3"/>
  <c r="M25" i="3"/>
  <c r="N25" i="3"/>
  <c r="O25" i="3"/>
  <c r="P25" i="3"/>
  <c r="Q25" i="3"/>
  <c r="G26" i="3"/>
  <c r="H26" i="3"/>
  <c r="I26" i="3"/>
  <c r="J26" i="3"/>
  <c r="K26" i="3"/>
  <c r="L26" i="3"/>
  <c r="M26" i="3"/>
  <c r="N26" i="3"/>
  <c r="O26" i="3"/>
  <c r="P26" i="3"/>
  <c r="Q26" i="3"/>
  <c r="G27" i="3"/>
  <c r="H27" i="3"/>
  <c r="I27" i="3"/>
  <c r="J27" i="3"/>
  <c r="K27" i="3"/>
  <c r="L27" i="3"/>
  <c r="M27" i="3"/>
  <c r="N27" i="3"/>
  <c r="O27" i="3"/>
  <c r="P27" i="3"/>
  <c r="Q27" i="3"/>
  <c r="G28" i="3"/>
  <c r="H28" i="3"/>
  <c r="I28" i="3"/>
  <c r="J28" i="3"/>
  <c r="K28" i="3"/>
  <c r="L28" i="3"/>
  <c r="M28" i="3"/>
  <c r="N28" i="3"/>
  <c r="O28" i="3"/>
  <c r="P28" i="3"/>
  <c r="Q28" i="3"/>
  <c r="G29" i="3"/>
  <c r="H29" i="3"/>
  <c r="I29" i="3"/>
  <c r="J29" i="3"/>
  <c r="K29" i="3"/>
  <c r="L29" i="3"/>
  <c r="M29" i="3"/>
  <c r="N29" i="3"/>
  <c r="O29" i="3"/>
  <c r="P29" i="3"/>
  <c r="Q29" i="3"/>
  <c r="G30" i="3"/>
  <c r="H30" i="3"/>
  <c r="I30" i="3"/>
  <c r="J30" i="3"/>
  <c r="K30" i="3"/>
  <c r="L30" i="3"/>
  <c r="M30" i="3"/>
  <c r="N30" i="3"/>
  <c r="O30" i="3"/>
  <c r="P30" i="3"/>
  <c r="Q30" i="3"/>
  <c r="G31" i="3"/>
  <c r="H31" i="3"/>
  <c r="I31" i="3"/>
  <c r="J31" i="3"/>
  <c r="K31" i="3"/>
  <c r="L31" i="3"/>
  <c r="M31" i="3"/>
  <c r="N31" i="3"/>
  <c r="O31" i="3"/>
  <c r="P31" i="3"/>
  <c r="Q31" i="3"/>
  <c r="G32" i="3"/>
  <c r="H32" i="3"/>
  <c r="I32" i="3"/>
  <c r="J32" i="3"/>
  <c r="K32" i="3"/>
  <c r="L32" i="3"/>
  <c r="M32" i="3"/>
  <c r="N32" i="3"/>
  <c r="O32" i="3"/>
  <c r="P32" i="3"/>
  <c r="Q32" i="3"/>
  <c r="G33" i="3"/>
  <c r="H33" i="3"/>
  <c r="I33" i="3"/>
  <c r="J33" i="3"/>
  <c r="K33" i="3"/>
  <c r="L33" i="3"/>
  <c r="M33" i="3"/>
  <c r="N33" i="3"/>
  <c r="O33" i="3"/>
  <c r="P33" i="3"/>
  <c r="Q33" i="3"/>
  <c r="G34" i="3"/>
  <c r="H34" i="3"/>
  <c r="I34" i="3"/>
  <c r="J34" i="3"/>
  <c r="K34" i="3"/>
  <c r="L34" i="3"/>
  <c r="M34" i="3"/>
  <c r="N34" i="3"/>
  <c r="O34" i="3"/>
  <c r="P34" i="3"/>
  <c r="Q34" i="3"/>
  <c r="G35" i="3"/>
  <c r="H35" i="3"/>
  <c r="I35" i="3"/>
  <c r="J35" i="3"/>
  <c r="K35" i="3"/>
  <c r="L35" i="3"/>
  <c r="M35" i="3"/>
  <c r="N35" i="3"/>
  <c r="O35" i="3"/>
  <c r="P35" i="3"/>
  <c r="Q35" i="3"/>
  <c r="G36" i="3"/>
  <c r="H36" i="3"/>
  <c r="I36" i="3"/>
  <c r="J36" i="3"/>
  <c r="K36" i="3"/>
  <c r="L36" i="3"/>
  <c r="M36" i="3"/>
  <c r="N36" i="3"/>
  <c r="O36" i="3"/>
  <c r="P36" i="3"/>
  <c r="Q36" i="3"/>
  <c r="G37" i="3"/>
  <c r="H37" i="3"/>
  <c r="I37" i="3"/>
  <c r="J37" i="3"/>
  <c r="K37" i="3"/>
  <c r="L37" i="3"/>
  <c r="M37" i="3"/>
  <c r="N37" i="3"/>
  <c r="O37" i="3"/>
  <c r="P37" i="3"/>
  <c r="Q37" i="3"/>
  <c r="G38" i="3"/>
  <c r="H38" i="3"/>
  <c r="I38" i="3"/>
  <c r="J38" i="3"/>
  <c r="K38" i="3"/>
  <c r="L38" i="3"/>
  <c r="M38" i="3"/>
  <c r="N38" i="3"/>
  <c r="O38" i="3"/>
  <c r="P38" i="3"/>
  <c r="Q38" i="3"/>
  <c r="G39" i="3"/>
  <c r="H39" i="3"/>
  <c r="I39" i="3"/>
  <c r="J39" i="3"/>
  <c r="K39" i="3"/>
  <c r="L39" i="3"/>
  <c r="M39" i="3"/>
  <c r="N39" i="3"/>
  <c r="O39" i="3"/>
  <c r="P39" i="3"/>
  <c r="Q39" i="3"/>
  <c r="G40" i="3"/>
  <c r="H40" i="3"/>
  <c r="I40" i="3"/>
  <c r="J40" i="3"/>
  <c r="K40" i="3"/>
  <c r="L40" i="3"/>
  <c r="M40" i="3"/>
  <c r="N40" i="3"/>
  <c r="O40" i="3"/>
  <c r="P40" i="3"/>
  <c r="Q40" i="3"/>
  <c r="G41" i="3"/>
  <c r="H41" i="3"/>
  <c r="I41" i="3"/>
  <c r="J41" i="3"/>
  <c r="K41" i="3"/>
  <c r="L41" i="3"/>
  <c r="M41" i="3"/>
  <c r="N41" i="3"/>
  <c r="O41" i="3"/>
  <c r="P41" i="3"/>
  <c r="Q41" i="3"/>
  <c r="G42" i="3"/>
  <c r="H42" i="3"/>
  <c r="I42" i="3"/>
  <c r="J42" i="3"/>
  <c r="K42" i="3"/>
  <c r="L42" i="3"/>
  <c r="M42" i="3"/>
  <c r="N42" i="3"/>
  <c r="O42" i="3"/>
  <c r="P42" i="3"/>
  <c r="Q42" i="3"/>
  <c r="G43" i="3"/>
  <c r="H43" i="3"/>
  <c r="I43" i="3"/>
  <c r="J43" i="3"/>
  <c r="K43" i="3"/>
  <c r="L43" i="3"/>
  <c r="M43" i="3"/>
  <c r="N43" i="3"/>
  <c r="O43" i="3"/>
  <c r="P43" i="3"/>
  <c r="Q43" i="3"/>
  <c r="G44" i="3"/>
  <c r="H44" i="3"/>
  <c r="I44" i="3"/>
  <c r="J44" i="3"/>
  <c r="K44" i="3"/>
  <c r="L44" i="3"/>
  <c r="M44" i="3"/>
  <c r="N44" i="3"/>
  <c r="O44" i="3"/>
  <c r="P44" i="3"/>
  <c r="Q44" i="3"/>
  <c r="G45" i="3"/>
  <c r="H45" i="3"/>
  <c r="I45" i="3"/>
  <c r="J45" i="3"/>
  <c r="K45" i="3"/>
  <c r="L45" i="3"/>
  <c r="M45" i="3"/>
  <c r="N45" i="3"/>
  <c r="O45" i="3"/>
  <c r="P45" i="3"/>
  <c r="Q45" i="3"/>
  <c r="G46" i="3"/>
  <c r="H46" i="3"/>
  <c r="I46" i="3"/>
  <c r="J46" i="3"/>
  <c r="K46" i="3"/>
  <c r="L46" i="3"/>
  <c r="M46" i="3"/>
  <c r="N46" i="3"/>
  <c r="O46" i="3"/>
  <c r="P46" i="3"/>
  <c r="Q46" i="3"/>
  <c r="G47" i="3"/>
  <c r="H47" i="3"/>
  <c r="I47" i="3"/>
  <c r="J47" i="3"/>
  <c r="K47" i="3"/>
  <c r="L47" i="3"/>
  <c r="M47" i="3"/>
  <c r="N47" i="3"/>
  <c r="O47" i="3"/>
  <c r="P47" i="3"/>
  <c r="Q47" i="3"/>
  <c r="G48" i="3"/>
  <c r="H48" i="3"/>
  <c r="I48" i="3"/>
  <c r="J48" i="3"/>
  <c r="K48" i="3"/>
  <c r="L48" i="3"/>
  <c r="M48" i="3"/>
  <c r="N48" i="3"/>
  <c r="O48" i="3"/>
  <c r="P48" i="3"/>
  <c r="Q48" i="3"/>
  <c r="G49" i="3"/>
  <c r="H49" i="3"/>
  <c r="I49" i="3"/>
  <c r="J49" i="3"/>
  <c r="K49" i="3"/>
  <c r="L49" i="3"/>
  <c r="M49" i="3"/>
  <c r="N49" i="3"/>
  <c r="O49" i="3"/>
  <c r="P49" i="3"/>
  <c r="Q49" i="3"/>
  <c r="G50" i="3"/>
  <c r="H50" i="3"/>
  <c r="I50" i="3"/>
  <c r="J50" i="3"/>
  <c r="K50" i="3"/>
  <c r="L50" i="3"/>
  <c r="M50" i="3"/>
  <c r="N50" i="3"/>
  <c r="O50" i="3"/>
  <c r="P50" i="3"/>
  <c r="Q50" i="3"/>
  <c r="G51" i="3"/>
  <c r="H51" i="3"/>
  <c r="I51" i="3"/>
  <c r="J51" i="3"/>
  <c r="K51" i="3"/>
  <c r="L51" i="3"/>
  <c r="M51" i="3"/>
  <c r="N51" i="3"/>
  <c r="O51" i="3"/>
  <c r="P51" i="3"/>
  <c r="Q51" i="3"/>
  <c r="G52" i="3"/>
  <c r="H52" i="3"/>
  <c r="I52" i="3"/>
  <c r="J52" i="3"/>
  <c r="K52" i="3"/>
  <c r="L52" i="3"/>
  <c r="M52" i="3"/>
  <c r="N52" i="3"/>
  <c r="O52" i="3"/>
  <c r="P52" i="3"/>
  <c r="Q52" i="3"/>
  <c r="G53" i="3"/>
  <c r="H53" i="3"/>
  <c r="I53" i="3"/>
  <c r="J53" i="3"/>
  <c r="K53" i="3"/>
  <c r="L53" i="3"/>
  <c r="M53" i="3"/>
  <c r="N53" i="3"/>
  <c r="O53" i="3"/>
  <c r="P53" i="3"/>
  <c r="Q53" i="3"/>
  <c r="G54" i="3"/>
  <c r="H54" i="3"/>
  <c r="I54" i="3"/>
  <c r="J54" i="3"/>
  <c r="K54" i="3"/>
  <c r="L54" i="3"/>
  <c r="M54" i="3"/>
  <c r="N54" i="3"/>
  <c r="O54" i="3"/>
  <c r="P54" i="3"/>
  <c r="Q54" i="3"/>
  <c r="G55" i="3"/>
  <c r="H55" i="3"/>
  <c r="I55" i="3"/>
  <c r="J55" i="3"/>
  <c r="K55" i="3"/>
  <c r="L55" i="3"/>
  <c r="M55" i="3"/>
  <c r="N55" i="3"/>
  <c r="O55" i="3"/>
  <c r="P55" i="3"/>
  <c r="Q55" i="3"/>
  <c r="G56" i="3"/>
  <c r="H56" i="3"/>
  <c r="I56" i="3"/>
  <c r="J56" i="3"/>
  <c r="K56" i="3"/>
  <c r="L56" i="3"/>
  <c r="M56" i="3"/>
  <c r="N56" i="3"/>
  <c r="O56" i="3"/>
  <c r="P56" i="3"/>
  <c r="Q56" i="3"/>
  <c r="G57" i="3"/>
  <c r="H57" i="3"/>
  <c r="I57" i="3"/>
  <c r="J57" i="3"/>
  <c r="K57" i="3"/>
  <c r="L57" i="3"/>
  <c r="M57" i="3"/>
  <c r="N57" i="3"/>
  <c r="O57" i="3"/>
  <c r="P57" i="3"/>
  <c r="Q57" i="3"/>
  <c r="G58" i="3"/>
  <c r="H58" i="3"/>
  <c r="I58" i="3"/>
  <c r="J58" i="3"/>
  <c r="K58" i="3"/>
  <c r="L58" i="3"/>
  <c r="M58" i="3"/>
  <c r="N58" i="3"/>
  <c r="O58" i="3"/>
  <c r="P58" i="3"/>
  <c r="Q58" i="3"/>
  <c r="G59" i="3"/>
  <c r="H59" i="3"/>
  <c r="I59" i="3"/>
  <c r="J59" i="3"/>
  <c r="K59" i="3"/>
  <c r="L59" i="3"/>
  <c r="M59" i="3"/>
  <c r="N59" i="3"/>
  <c r="O59" i="3"/>
  <c r="P59" i="3"/>
  <c r="Q59" i="3"/>
  <c r="G60" i="3"/>
  <c r="H60" i="3"/>
  <c r="I60" i="3"/>
  <c r="J60" i="3"/>
  <c r="K60" i="3"/>
  <c r="L60" i="3"/>
  <c r="M60" i="3"/>
  <c r="N60" i="3"/>
  <c r="O60" i="3"/>
  <c r="P60" i="3"/>
  <c r="Q60" i="3"/>
  <c r="G61" i="3"/>
  <c r="H61" i="3"/>
  <c r="I61" i="3"/>
  <c r="J61" i="3"/>
  <c r="K61" i="3"/>
  <c r="L61" i="3"/>
  <c r="M61" i="3"/>
  <c r="N61" i="3"/>
  <c r="O61" i="3"/>
  <c r="P61" i="3"/>
  <c r="Q61" i="3"/>
  <c r="G62" i="3"/>
  <c r="H62" i="3"/>
  <c r="I62" i="3"/>
  <c r="J62" i="3"/>
  <c r="K62" i="3"/>
  <c r="L62" i="3"/>
  <c r="M62" i="3"/>
  <c r="N62" i="3"/>
  <c r="O62" i="3"/>
  <c r="P62" i="3"/>
  <c r="Q62" i="3"/>
  <c r="G63" i="3"/>
  <c r="H63" i="3"/>
  <c r="I63" i="3"/>
  <c r="J63" i="3"/>
  <c r="K63" i="3"/>
  <c r="L63" i="3"/>
  <c r="M63" i="3"/>
  <c r="N63" i="3"/>
  <c r="O63" i="3"/>
  <c r="P63" i="3"/>
  <c r="Q63" i="3"/>
  <c r="G64" i="3"/>
  <c r="H64" i="3"/>
  <c r="I64" i="3"/>
  <c r="J64" i="3"/>
  <c r="K64" i="3"/>
  <c r="L64" i="3"/>
  <c r="M64" i="3"/>
  <c r="N64" i="3"/>
  <c r="O64" i="3"/>
  <c r="P64" i="3"/>
  <c r="Q64" i="3"/>
  <c r="G65" i="3"/>
  <c r="H65" i="3"/>
  <c r="I65" i="3"/>
  <c r="J65" i="3"/>
  <c r="K65" i="3"/>
  <c r="L65" i="3"/>
  <c r="M65" i="3"/>
  <c r="N65" i="3"/>
  <c r="O65" i="3"/>
  <c r="P65" i="3"/>
  <c r="Q65" i="3"/>
  <c r="G66" i="3"/>
  <c r="H66" i="3"/>
  <c r="I66" i="3"/>
  <c r="J66" i="3"/>
  <c r="K66" i="3"/>
  <c r="L66" i="3"/>
  <c r="M66" i="3"/>
  <c r="N66" i="3"/>
  <c r="O66" i="3"/>
  <c r="P66" i="3"/>
  <c r="Q66" i="3"/>
  <c r="G67" i="3"/>
  <c r="H67" i="3"/>
  <c r="I67" i="3"/>
  <c r="J67" i="3"/>
  <c r="K67" i="3"/>
  <c r="L67" i="3"/>
  <c r="M67" i="3"/>
  <c r="N67" i="3"/>
  <c r="O67" i="3"/>
  <c r="P67" i="3"/>
  <c r="Q67" i="3"/>
  <c r="G68" i="3"/>
  <c r="H68" i="3"/>
  <c r="I68" i="3"/>
  <c r="J68" i="3"/>
  <c r="K68" i="3"/>
  <c r="L68" i="3"/>
  <c r="M68" i="3"/>
  <c r="N68" i="3"/>
  <c r="O68" i="3"/>
  <c r="P68" i="3"/>
  <c r="Q68" i="3"/>
  <c r="G69" i="3"/>
  <c r="H69" i="3"/>
  <c r="I69" i="3"/>
  <c r="J69" i="3"/>
  <c r="K69" i="3"/>
  <c r="L69" i="3"/>
  <c r="M69" i="3"/>
  <c r="N69" i="3"/>
  <c r="O69" i="3"/>
  <c r="P69" i="3"/>
  <c r="Q69" i="3"/>
  <c r="G70" i="3"/>
  <c r="H70" i="3"/>
  <c r="I70" i="3"/>
  <c r="J70" i="3"/>
  <c r="K70" i="3"/>
  <c r="L70" i="3"/>
  <c r="M70" i="3"/>
  <c r="N70" i="3"/>
  <c r="O70" i="3"/>
  <c r="P70" i="3"/>
  <c r="Q70" i="3"/>
  <c r="G71" i="3"/>
  <c r="H71" i="3"/>
  <c r="I71" i="3"/>
  <c r="J71" i="3"/>
  <c r="K71" i="3"/>
  <c r="L71" i="3"/>
  <c r="M71" i="3"/>
  <c r="N71" i="3"/>
  <c r="O71" i="3"/>
  <c r="P71" i="3"/>
  <c r="Q71" i="3"/>
  <c r="G72" i="3"/>
  <c r="H72" i="3"/>
  <c r="I72" i="3"/>
  <c r="J72" i="3"/>
  <c r="K72" i="3"/>
  <c r="L72" i="3"/>
  <c r="M72" i="3"/>
  <c r="N72" i="3"/>
  <c r="O72" i="3"/>
  <c r="P72" i="3"/>
  <c r="Q72" i="3"/>
  <c r="G73" i="3"/>
  <c r="H73" i="3"/>
  <c r="I73" i="3"/>
  <c r="J73" i="3"/>
  <c r="K73" i="3"/>
  <c r="L73" i="3"/>
  <c r="M73" i="3"/>
  <c r="N73" i="3"/>
  <c r="O73" i="3"/>
  <c r="P73" i="3"/>
  <c r="Q73" i="3"/>
  <c r="G74" i="3"/>
  <c r="H74" i="3"/>
  <c r="I74" i="3"/>
  <c r="J74" i="3"/>
  <c r="K74" i="3"/>
  <c r="L74" i="3"/>
  <c r="M74" i="3"/>
  <c r="N74" i="3"/>
  <c r="O74" i="3"/>
  <c r="P74" i="3"/>
  <c r="Q74" i="3"/>
  <c r="G75" i="3"/>
  <c r="H75" i="3"/>
  <c r="I75" i="3"/>
  <c r="J75" i="3"/>
  <c r="K75" i="3"/>
  <c r="L75" i="3"/>
  <c r="M75" i="3"/>
  <c r="N75" i="3"/>
  <c r="O75" i="3"/>
  <c r="P75" i="3"/>
  <c r="Q75" i="3"/>
  <c r="G76" i="3"/>
  <c r="H76" i="3"/>
  <c r="I76" i="3"/>
  <c r="J76" i="3"/>
  <c r="K76" i="3"/>
  <c r="L76" i="3"/>
  <c r="M76" i="3"/>
  <c r="N76" i="3"/>
  <c r="O76" i="3"/>
  <c r="P76" i="3"/>
  <c r="Q76" i="3"/>
  <c r="G77" i="3"/>
  <c r="H77" i="3"/>
  <c r="I77" i="3"/>
  <c r="J77" i="3"/>
  <c r="K77" i="3"/>
  <c r="L77" i="3"/>
  <c r="M77" i="3"/>
  <c r="N77" i="3"/>
  <c r="O77" i="3"/>
  <c r="P77" i="3"/>
  <c r="Q77" i="3"/>
  <c r="G78" i="3"/>
  <c r="H78" i="3"/>
  <c r="I78" i="3"/>
  <c r="J78" i="3"/>
  <c r="K78" i="3"/>
  <c r="L78" i="3"/>
  <c r="M78" i="3"/>
  <c r="N78" i="3"/>
  <c r="O78" i="3"/>
  <c r="P78" i="3"/>
  <c r="Q78" i="3"/>
  <c r="G79" i="3"/>
  <c r="H79" i="3"/>
  <c r="I79" i="3"/>
  <c r="J79" i="3"/>
  <c r="K79" i="3"/>
  <c r="L79" i="3"/>
  <c r="M79" i="3"/>
  <c r="N79" i="3"/>
  <c r="O79" i="3"/>
  <c r="P79" i="3"/>
  <c r="Q79" i="3"/>
  <c r="G80" i="3"/>
  <c r="H80" i="3"/>
  <c r="I80" i="3"/>
  <c r="J80" i="3"/>
  <c r="K80" i="3"/>
  <c r="L80" i="3"/>
  <c r="M80" i="3"/>
  <c r="N80" i="3"/>
  <c r="O80" i="3"/>
  <c r="P80" i="3"/>
  <c r="Q80" i="3"/>
  <c r="G81" i="3"/>
  <c r="H81" i="3"/>
  <c r="I81" i="3"/>
  <c r="J81" i="3"/>
  <c r="K81" i="3"/>
  <c r="L81" i="3"/>
  <c r="M81" i="3"/>
  <c r="N81" i="3"/>
  <c r="O81" i="3"/>
  <c r="P81" i="3"/>
  <c r="Q81" i="3"/>
  <c r="G82" i="3"/>
  <c r="H82" i="3"/>
  <c r="I82" i="3"/>
  <c r="J82" i="3"/>
  <c r="K82" i="3"/>
  <c r="L82" i="3"/>
  <c r="M82" i="3"/>
  <c r="N82" i="3"/>
  <c r="O82" i="3"/>
  <c r="P82" i="3"/>
  <c r="Q82" i="3"/>
  <c r="G83" i="3"/>
  <c r="H83" i="3"/>
  <c r="I83" i="3"/>
  <c r="J83" i="3"/>
  <c r="K83" i="3"/>
  <c r="L83" i="3"/>
  <c r="M83" i="3"/>
  <c r="N83" i="3"/>
  <c r="O83" i="3"/>
  <c r="P83" i="3"/>
  <c r="Q83" i="3"/>
  <c r="G84" i="3"/>
  <c r="H84" i="3"/>
  <c r="I84" i="3"/>
  <c r="J84" i="3"/>
  <c r="K84" i="3"/>
  <c r="L84" i="3"/>
  <c r="M84" i="3"/>
  <c r="N84" i="3"/>
  <c r="O84" i="3"/>
  <c r="P84" i="3"/>
  <c r="Q84" i="3"/>
  <c r="G85" i="3"/>
  <c r="H85" i="3"/>
  <c r="I85" i="3"/>
  <c r="J85" i="3"/>
  <c r="K85" i="3"/>
  <c r="L85" i="3"/>
  <c r="M85" i="3"/>
  <c r="N85" i="3"/>
  <c r="O85" i="3"/>
  <c r="P85" i="3"/>
  <c r="Q85" i="3"/>
  <c r="G86" i="3"/>
  <c r="H86" i="3"/>
  <c r="I86" i="3"/>
  <c r="J86" i="3"/>
  <c r="K86" i="3"/>
  <c r="L86" i="3"/>
  <c r="M86" i="3"/>
  <c r="N86" i="3"/>
  <c r="O86" i="3"/>
  <c r="P86" i="3"/>
  <c r="Q86" i="3"/>
  <c r="G87" i="3"/>
  <c r="H87" i="3"/>
  <c r="I87" i="3"/>
  <c r="J87" i="3"/>
  <c r="K87" i="3"/>
  <c r="L87" i="3"/>
  <c r="M87" i="3"/>
  <c r="N87" i="3"/>
  <c r="O87" i="3"/>
  <c r="P87" i="3"/>
  <c r="Q87" i="3"/>
  <c r="G88" i="3"/>
  <c r="H88" i="3"/>
  <c r="I88" i="3"/>
  <c r="J88" i="3"/>
  <c r="K88" i="3"/>
  <c r="L88" i="3"/>
  <c r="M88" i="3"/>
  <c r="N88" i="3"/>
  <c r="O88" i="3"/>
  <c r="P88" i="3"/>
  <c r="Q88" i="3"/>
  <c r="G89" i="3"/>
  <c r="H89" i="3"/>
  <c r="I89" i="3"/>
  <c r="J89" i="3"/>
  <c r="K89" i="3"/>
  <c r="L89" i="3"/>
  <c r="M89" i="3"/>
  <c r="N89" i="3"/>
  <c r="O89" i="3"/>
  <c r="P89" i="3"/>
  <c r="Q89" i="3"/>
  <c r="G90" i="3"/>
  <c r="H90" i="3"/>
  <c r="I90" i="3"/>
  <c r="J90" i="3"/>
  <c r="K90" i="3"/>
  <c r="L90" i="3"/>
  <c r="M90" i="3"/>
  <c r="N90" i="3"/>
  <c r="O90" i="3"/>
  <c r="P90" i="3"/>
  <c r="Q90" i="3"/>
  <c r="G91" i="3"/>
  <c r="H91" i="3"/>
  <c r="I91" i="3"/>
  <c r="J91" i="3"/>
  <c r="K91" i="3"/>
  <c r="L91" i="3"/>
  <c r="M91" i="3"/>
  <c r="N91" i="3"/>
  <c r="O91" i="3"/>
  <c r="P91" i="3"/>
  <c r="Q91" i="3"/>
  <c r="G92" i="3"/>
  <c r="H92" i="3"/>
  <c r="I92" i="3"/>
  <c r="J92" i="3"/>
  <c r="K92" i="3"/>
  <c r="L92" i="3"/>
  <c r="M92" i="3"/>
  <c r="N92" i="3"/>
  <c r="O92" i="3"/>
  <c r="P92" i="3"/>
  <c r="Q92" i="3"/>
  <c r="G93" i="3"/>
  <c r="H93" i="3"/>
  <c r="I93" i="3"/>
  <c r="J93" i="3"/>
  <c r="K93" i="3"/>
  <c r="L93" i="3"/>
  <c r="M93" i="3"/>
  <c r="N93" i="3"/>
  <c r="O93" i="3"/>
  <c r="P93" i="3"/>
  <c r="Q93" i="3"/>
  <c r="G94" i="3"/>
  <c r="H94" i="3"/>
  <c r="I94" i="3"/>
  <c r="J94" i="3"/>
  <c r="K94" i="3"/>
  <c r="L94" i="3"/>
  <c r="M94" i="3"/>
  <c r="N94" i="3"/>
  <c r="O94" i="3"/>
  <c r="P94" i="3"/>
  <c r="Q94" i="3"/>
  <c r="G95" i="3"/>
  <c r="H95" i="3"/>
  <c r="I95" i="3"/>
  <c r="J95" i="3"/>
  <c r="K95" i="3"/>
  <c r="L95" i="3"/>
  <c r="M95" i="3"/>
  <c r="N95" i="3"/>
  <c r="O95" i="3"/>
  <c r="P95" i="3"/>
  <c r="Q95" i="3"/>
  <c r="G96" i="3"/>
  <c r="H96" i="3"/>
  <c r="I96" i="3"/>
  <c r="J96" i="3"/>
  <c r="K96" i="3"/>
  <c r="L96" i="3"/>
  <c r="M96" i="3"/>
  <c r="N96" i="3"/>
  <c r="O96" i="3"/>
  <c r="P96" i="3"/>
  <c r="Q96" i="3"/>
  <c r="G97" i="3"/>
  <c r="H97" i="3"/>
  <c r="I97" i="3"/>
  <c r="J97" i="3"/>
  <c r="K97" i="3"/>
  <c r="L97" i="3"/>
  <c r="M97" i="3"/>
  <c r="N97" i="3"/>
  <c r="O97" i="3"/>
  <c r="P97" i="3"/>
  <c r="Q97" i="3"/>
  <c r="G98" i="3"/>
  <c r="H98" i="3"/>
  <c r="I98" i="3"/>
  <c r="J98" i="3"/>
  <c r="K98" i="3"/>
  <c r="L98" i="3"/>
  <c r="M98" i="3"/>
  <c r="N98" i="3"/>
  <c r="O98" i="3"/>
  <c r="P98" i="3"/>
  <c r="Q98" i="3"/>
  <c r="G99" i="3"/>
  <c r="H99" i="3"/>
  <c r="I99" i="3"/>
  <c r="J99" i="3"/>
  <c r="K99" i="3"/>
  <c r="L99" i="3"/>
  <c r="M99" i="3"/>
  <c r="N99" i="3"/>
  <c r="O99" i="3"/>
  <c r="P99" i="3"/>
  <c r="Q99" i="3"/>
  <c r="G100" i="3"/>
  <c r="H100" i="3"/>
  <c r="I100" i="3"/>
  <c r="J100" i="3"/>
  <c r="K100" i="3"/>
  <c r="L100" i="3"/>
  <c r="M100" i="3"/>
  <c r="N100" i="3"/>
  <c r="O100" i="3"/>
  <c r="P100" i="3"/>
  <c r="Q100" i="3"/>
  <c r="G101" i="3"/>
  <c r="H101" i="3"/>
  <c r="I101" i="3"/>
  <c r="J101" i="3"/>
  <c r="K101" i="3"/>
  <c r="L101" i="3"/>
  <c r="M101" i="3"/>
  <c r="N101" i="3"/>
  <c r="O101" i="3"/>
  <c r="P101" i="3"/>
  <c r="Q101" i="3"/>
  <c r="G102" i="3"/>
  <c r="H102" i="3"/>
  <c r="I102" i="3"/>
  <c r="J102" i="3"/>
  <c r="K102" i="3"/>
  <c r="L102" i="3"/>
  <c r="M102" i="3"/>
  <c r="N102" i="3"/>
  <c r="O102" i="3"/>
  <c r="P102" i="3"/>
  <c r="Q102" i="3"/>
  <c r="G103" i="3"/>
  <c r="H103" i="3"/>
  <c r="I103" i="3"/>
  <c r="J103" i="3"/>
  <c r="K103" i="3"/>
  <c r="L103" i="3"/>
  <c r="M103" i="3"/>
  <c r="N103" i="3"/>
  <c r="O103" i="3"/>
  <c r="P103" i="3"/>
  <c r="Q103" i="3"/>
  <c r="G104" i="3"/>
  <c r="H104" i="3"/>
  <c r="I104" i="3"/>
  <c r="J104" i="3"/>
  <c r="K104" i="3"/>
  <c r="L104" i="3"/>
  <c r="M104" i="3"/>
  <c r="N104" i="3"/>
  <c r="O104" i="3"/>
  <c r="P104" i="3"/>
  <c r="Q104" i="3"/>
  <c r="G105" i="3"/>
  <c r="H105" i="3"/>
  <c r="I105" i="3"/>
  <c r="J105" i="3"/>
  <c r="K105" i="3"/>
  <c r="L105" i="3"/>
  <c r="M105" i="3"/>
  <c r="N105" i="3"/>
  <c r="O105" i="3"/>
  <c r="P105" i="3"/>
  <c r="Q105" i="3"/>
  <c r="G106" i="3"/>
  <c r="H106" i="3"/>
  <c r="I106" i="3"/>
  <c r="J106" i="3"/>
  <c r="K106" i="3"/>
  <c r="L106" i="3"/>
  <c r="M106" i="3"/>
  <c r="N106" i="3"/>
  <c r="O106" i="3"/>
  <c r="P106" i="3"/>
  <c r="Q106" i="3"/>
  <c r="G107" i="3"/>
  <c r="H107" i="3"/>
  <c r="I107" i="3"/>
  <c r="J107" i="3"/>
  <c r="K107" i="3"/>
  <c r="L107" i="3"/>
  <c r="M107" i="3"/>
  <c r="N107" i="3"/>
  <c r="O107" i="3"/>
  <c r="P107" i="3"/>
  <c r="Q107" i="3"/>
  <c r="G108" i="3"/>
  <c r="H108" i="3"/>
  <c r="I108" i="3"/>
  <c r="J108" i="3"/>
  <c r="K108" i="3"/>
  <c r="L108" i="3"/>
  <c r="M108" i="3"/>
  <c r="N108" i="3"/>
  <c r="O108" i="3"/>
  <c r="P108" i="3"/>
  <c r="Q108" i="3"/>
  <c r="G109" i="3"/>
  <c r="H109" i="3"/>
  <c r="I109" i="3"/>
  <c r="J109" i="3"/>
  <c r="K109" i="3"/>
  <c r="L109" i="3"/>
  <c r="M109" i="3"/>
  <c r="N109" i="3"/>
  <c r="O109" i="3"/>
  <c r="P109" i="3"/>
  <c r="Q109" i="3"/>
  <c r="G110" i="3"/>
  <c r="H110" i="3"/>
  <c r="I110" i="3"/>
  <c r="J110" i="3"/>
  <c r="K110" i="3"/>
  <c r="L110" i="3"/>
  <c r="M110" i="3"/>
  <c r="N110" i="3"/>
  <c r="O110" i="3"/>
  <c r="P110" i="3"/>
  <c r="Q110" i="3"/>
  <c r="G111" i="3"/>
  <c r="H111" i="3"/>
  <c r="I111" i="3"/>
  <c r="J111" i="3"/>
  <c r="K111" i="3"/>
  <c r="L111" i="3"/>
  <c r="M111" i="3"/>
  <c r="N111" i="3"/>
  <c r="O111" i="3"/>
  <c r="P111" i="3"/>
  <c r="Q111" i="3"/>
  <c r="G112" i="3"/>
  <c r="H112" i="3"/>
  <c r="I112" i="3"/>
  <c r="J112" i="3"/>
  <c r="K112" i="3"/>
  <c r="L112" i="3"/>
  <c r="M112" i="3"/>
  <c r="N112" i="3"/>
  <c r="O112" i="3"/>
  <c r="P112" i="3"/>
  <c r="Q112" i="3"/>
  <c r="G113" i="3"/>
  <c r="H113" i="3"/>
  <c r="I113" i="3"/>
  <c r="J113" i="3"/>
  <c r="K113" i="3"/>
  <c r="L113" i="3"/>
  <c r="M113" i="3"/>
  <c r="N113" i="3"/>
  <c r="O113" i="3"/>
  <c r="P113" i="3"/>
  <c r="Q113" i="3"/>
  <c r="G114" i="3"/>
  <c r="H114" i="3"/>
  <c r="I114" i="3"/>
  <c r="J114" i="3"/>
  <c r="K114" i="3"/>
  <c r="L114" i="3"/>
  <c r="M114" i="3"/>
  <c r="N114" i="3"/>
  <c r="O114" i="3"/>
  <c r="P114" i="3"/>
  <c r="Q114" i="3"/>
  <c r="G115" i="3"/>
  <c r="H115" i="3"/>
  <c r="I115" i="3"/>
  <c r="J115" i="3"/>
  <c r="K115" i="3"/>
  <c r="L115" i="3"/>
  <c r="M115" i="3"/>
  <c r="N115" i="3"/>
  <c r="O115" i="3"/>
  <c r="P115" i="3"/>
  <c r="Q115" i="3"/>
  <c r="G116" i="3"/>
  <c r="H116" i="3"/>
  <c r="I116" i="3"/>
  <c r="J116" i="3"/>
  <c r="K116" i="3"/>
  <c r="L116" i="3"/>
  <c r="M116" i="3"/>
  <c r="N116" i="3"/>
  <c r="O116" i="3"/>
  <c r="P116" i="3"/>
  <c r="Q116" i="3"/>
  <c r="G117" i="3"/>
  <c r="H117" i="3"/>
  <c r="I117" i="3"/>
  <c r="J117" i="3"/>
  <c r="K117" i="3"/>
  <c r="L117" i="3"/>
  <c r="M117" i="3"/>
  <c r="N117" i="3"/>
  <c r="O117" i="3"/>
  <c r="P117" i="3"/>
  <c r="Q117" i="3"/>
  <c r="G118" i="3"/>
  <c r="H118" i="3"/>
  <c r="I118" i="3"/>
  <c r="J118" i="3"/>
  <c r="K118" i="3"/>
  <c r="L118" i="3"/>
  <c r="M118" i="3"/>
  <c r="N118" i="3"/>
  <c r="O118" i="3"/>
  <c r="P118" i="3"/>
  <c r="Q118" i="3"/>
  <c r="G119" i="3"/>
  <c r="H119" i="3"/>
  <c r="I119" i="3"/>
  <c r="J119" i="3"/>
  <c r="K119" i="3"/>
  <c r="L119" i="3"/>
  <c r="M119" i="3"/>
  <c r="N119" i="3"/>
  <c r="O119" i="3"/>
  <c r="P119" i="3"/>
  <c r="Q119" i="3"/>
  <c r="G120" i="3"/>
  <c r="H120" i="3"/>
  <c r="I120" i="3"/>
  <c r="J120" i="3"/>
  <c r="K120" i="3"/>
  <c r="L120" i="3"/>
  <c r="M120" i="3"/>
  <c r="N120" i="3"/>
  <c r="O120" i="3"/>
  <c r="P120" i="3"/>
  <c r="Q120" i="3"/>
  <c r="G121" i="3"/>
  <c r="H121" i="3"/>
  <c r="I121" i="3"/>
  <c r="J121" i="3"/>
  <c r="K121" i="3"/>
  <c r="L121" i="3"/>
  <c r="M121" i="3"/>
  <c r="N121" i="3"/>
  <c r="O121" i="3"/>
  <c r="P121" i="3"/>
  <c r="Q121" i="3"/>
  <c r="G122" i="3"/>
  <c r="H122" i="3"/>
  <c r="I122" i="3"/>
  <c r="J122" i="3"/>
  <c r="K122" i="3"/>
  <c r="L122" i="3"/>
  <c r="M122" i="3"/>
  <c r="N122" i="3"/>
  <c r="O122" i="3"/>
  <c r="P122" i="3"/>
  <c r="Q122" i="3"/>
  <c r="G123" i="3"/>
  <c r="H123" i="3"/>
  <c r="I123" i="3"/>
  <c r="J123" i="3"/>
  <c r="K123" i="3"/>
  <c r="L123" i="3"/>
  <c r="M123" i="3"/>
  <c r="N123" i="3"/>
  <c r="O123" i="3"/>
  <c r="P123" i="3"/>
  <c r="Q123" i="3"/>
  <c r="G124" i="3"/>
  <c r="H124" i="3"/>
  <c r="I124" i="3"/>
  <c r="J124" i="3"/>
  <c r="K124" i="3"/>
  <c r="L124" i="3"/>
  <c r="M124" i="3"/>
  <c r="N124" i="3"/>
  <c r="O124" i="3"/>
  <c r="P124" i="3"/>
  <c r="Q124" i="3"/>
  <c r="G125" i="3"/>
  <c r="H125" i="3"/>
  <c r="I125" i="3"/>
  <c r="J125" i="3"/>
  <c r="K125" i="3"/>
  <c r="L125" i="3"/>
  <c r="M125" i="3"/>
  <c r="N125" i="3"/>
  <c r="O125" i="3"/>
  <c r="P125" i="3"/>
  <c r="Q125" i="3"/>
  <c r="G126" i="3"/>
  <c r="H126" i="3"/>
  <c r="I126" i="3"/>
  <c r="J126" i="3"/>
  <c r="K126" i="3"/>
  <c r="L126" i="3"/>
  <c r="M126" i="3"/>
  <c r="N126" i="3"/>
  <c r="O126" i="3"/>
  <c r="P126" i="3"/>
  <c r="Q126" i="3"/>
  <c r="G127" i="3"/>
  <c r="H127" i="3"/>
  <c r="I127" i="3"/>
  <c r="J127" i="3"/>
  <c r="K127" i="3"/>
  <c r="L127" i="3"/>
  <c r="M127" i="3"/>
  <c r="N127" i="3"/>
  <c r="O127" i="3"/>
  <c r="P127" i="3"/>
  <c r="Q127" i="3"/>
  <c r="G128" i="3"/>
  <c r="H128" i="3"/>
  <c r="I128" i="3"/>
  <c r="J128" i="3"/>
  <c r="K128" i="3"/>
  <c r="L128" i="3"/>
  <c r="M128" i="3"/>
  <c r="N128" i="3"/>
  <c r="O128" i="3"/>
  <c r="P128" i="3"/>
  <c r="Q128" i="3"/>
  <c r="G129" i="3"/>
  <c r="H129" i="3"/>
  <c r="I129" i="3"/>
  <c r="J129" i="3"/>
  <c r="K129" i="3"/>
  <c r="L129" i="3"/>
  <c r="M129" i="3"/>
  <c r="N129" i="3"/>
  <c r="O129" i="3"/>
  <c r="P129" i="3"/>
  <c r="Q129" i="3"/>
  <c r="G130" i="3"/>
  <c r="H130" i="3"/>
  <c r="I130" i="3"/>
  <c r="J130" i="3"/>
  <c r="K130" i="3"/>
  <c r="L130" i="3"/>
  <c r="M130" i="3"/>
  <c r="N130" i="3"/>
  <c r="O130" i="3"/>
  <c r="P130" i="3"/>
  <c r="Q130" i="3"/>
  <c r="G131" i="3"/>
  <c r="H131" i="3"/>
  <c r="I131" i="3"/>
  <c r="J131" i="3"/>
  <c r="K131" i="3"/>
  <c r="L131" i="3"/>
  <c r="M131" i="3"/>
  <c r="N131" i="3"/>
  <c r="O131" i="3"/>
  <c r="P131" i="3"/>
  <c r="Q131" i="3"/>
  <c r="G132" i="3"/>
  <c r="H132" i="3"/>
  <c r="I132" i="3"/>
  <c r="J132" i="3"/>
  <c r="K132" i="3"/>
  <c r="L132" i="3"/>
  <c r="M132" i="3"/>
  <c r="N132" i="3"/>
  <c r="O132" i="3"/>
  <c r="P132" i="3"/>
  <c r="Q132" i="3"/>
  <c r="G133" i="3"/>
  <c r="H133" i="3"/>
  <c r="I133" i="3"/>
  <c r="J133" i="3"/>
  <c r="K133" i="3"/>
  <c r="L133" i="3"/>
  <c r="M133" i="3"/>
  <c r="N133" i="3"/>
  <c r="O133" i="3"/>
  <c r="P133" i="3"/>
  <c r="Q133" i="3"/>
  <c r="G134" i="3"/>
  <c r="H134" i="3"/>
  <c r="I134" i="3"/>
  <c r="J134" i="3"/>
  <c r="K134" i="3"/>
  <c r="L134" i="3"/>
  <c r="M134" i="3"/>
  <c r="N134" i="3"/>
  <c r="O134" i="3"/>
  <c r="P134" i="3"/>
  <c r="Q134" i="3"/>
  <c r="G135" i="3"/>
  <c r="H135" i="3"/>
  <c r="I135" i="3"/>
  <c r="J135" i="3"/>
  <c r="K135" i="3"/>
  <c r="L135" i="3"/>
  <c r="M135" i="3"/>
  <c r="N135" i="3"/>
  <c r="O135" i="3"/>
  <c r="P135" i="3"/>
  <c r="Q135" i="3"/>
  <c r="G136" i="3"/>
  <c r="H136" i="3"/>
  <c r="I136" i="3"/>
  <c r="J136" i="3"/>
  <c r="K136" i="3"/>
  <c r="L136" i="3"/>
  <c r="M136" i="3"/>
  <c r="N136" i="3"/>
  <c r="O136" i="3"/>
  <c r="P136" i="3"/>
  <c r="Q136" i="3"/>
  <c r="G137" i="3"/>
  <c r="H137" i="3"/>
  <c r="I137" i="3"/>
  <c r="J137" i="3"/>
  <c r="K137" i="3"/>
  <c r="L137" i="3"/>
  <c r="M137" i="3"/>
  <c r="N137" i="3"/>
  <c r="O137" i="3"/>
  <c r="P137" i="3"/>
  <c r="Q137" i="3"/>
  <c r="G138" i="3"/>
  <c r="H138" i="3"/>
  <c r="I138" i="3"/>
  <c r="J138" i="3"/>
  <c r="K138" i="3"/>
  <c r="L138" i="3"/>
  <c r="M138" i="3"/>
  <c r="N138" i="3"/>
  <c r="O138" i="3"/>
  <c r="P138" i="3"/>
  <c r="Q138" i="3"/>
  <c r="G139" i="3"/>
  <c r="H139" i="3"/>
  <c r="I139" i="3"/>
  <c r="J139" i="3"/>
  <c r="K139" i="3"/>
  <c r="L139" i="3"/>
  <c r="M139" i="3"/>
  <c r="N139" i="3"/>
  <c r="O139" i="3"/>
  <c r="P139" i="3"/>
  <c r="Q139" i="3"/>
  <c r="Q2" i="3"/>
  <c r="P2" i="3"/>
  <c r="O2" i="3"/>
  <c r="N2" i="3"/>
  <c r="M2" i="3"/>
  <c r="L2" i="3"/>
  <c r="K2" i="3"/>
  <c r="J2" i="3"/>
  <c r="I2" i="3"/>
  <c r="H2" i="3"/>
  <c r="I138" i="7" l="1"/>
  <c r="H138" i="7"/>
  <c r="G138" i="7"/>
  <c r="F138" i="7"/>
  <c r="E138" i="7"/>
  <c r="I137" i="7"/>
  <c r="H137" i="7"/>
  <c r="G137" i="7"/>
  <c r="F137" i="7"/>
  <c r="E137" i="7"/>
  <c r="I136" i="7"/>
  <c r="H136" i="7"/>
  <c r="G136" i="7"/>
  <c r="F136" i="7"/>
  <c r="E136" i="7"/>
  <c r="I135" i="7"/>
  <c r="H135" i="7"/>
  <c r="G135" i="7"/>
  <c r="F135" i="7"/>
  <c r="E135" i="7"/>
  <c r="I134" i="7"/>
  <c r="H134" i="7"/>
  <c r="G134" i="7"/>
  <c r="F134" i="7"/>
  <c r="E134" i="7"/>
  <c r="I133" i="7"/>
  <c r="H133" i="7"/>
  <c r="G133" i="7"/>
  <c r="F133" i="7"/>
  <c r="E133" i="7"/>
  <c r="I132" i="7"/>
  <c r="H132" i="7"/>
  <c r="G132" i="7"/>
  <c r="F132" i="7"/>
  <c r="E132" i="7"/>
  <c r="I131" i="7"/>
  <c r="H131" i="7"/>
  <c r="G131" i="7"/>
  <c r="F131" i="7"/>
  <c r="E131" i="7"/>
  <c r="I130" i="7"/>
  <c r="H130" i="7"/>
  <c r="G130" i="7"/>
  <c r="F130" i="7"/>
  <c r="E130" i="7"/>
  <c r="I129" i="7"/>
  <c r="H129" i="7"/>
  <c r="G129" i="7"/>
  <c r="F129" i="7"/>
  <c r="E129" i="7"/>
  <c r="I128" i="7"/>
  <c r="H128" i="7"/>
  <c r="G128" i="7"/>
  <c r="F128" i="7"/>
  <c r="E128" i="7"/>
  <c r="I127" i="7"/>
  <c r="H127" i="7"/>
  <c r="G127" i="7"/>
  <c r="F127" i="7"/>
  <c r="E127" i="7"/>
  <c r="I126" i="7"/>
  <c r="H126" i="7"/>
  <c r="G126" i="7"/>
  <c r="F126" i="7"/>
  <c r="E126" i="7"/>
  <c r="I125" i="7"/>
  <c r="H125" i="7"/>
  <c r="G125" i="7"/>
  <c r="F125" i="7"/>
  <c r="E125" i="7"/>
  <c r="I124" i="7"/>
  <c r="H124" i="7"/>
  <c r="G124" i="7"/>
  <c r="F124" i="7"/>
  <c r="E124" i="7"/>
  <c r="I123" i="7"/>
  <c r="H123" i="7"/>
  <c r="G123" i="7"/>
  <c r="F123" i="7"/>
  <c r="E123" i="7"/>
  <c r="I122" i="7"/>
  <c r="H122" i="7"/>
  <c r="G122" i="7"/>
  <c r="F122" i="7"/>
  <c r="E122" i="7"/>
  <c r="I121" i="7"/>
  <c r="H121" i="7"/>
  <c r="G121" i="7"/>
  <c r="F121" i="7"/>
  <c r="E121" i="7"/>
  <c r="I120" i="7"/>
  <c r="H120" i="7"/>
  <c r="G120" i="7"/>
  <c r="F120" i="7"/>
  <c r="E120" i="7"/>
  <c r="I119" i="7"/>
  <c r="H119" i="7"/>
  <c r="G119" i="7"/>
  <c r="F119" i="7"/>
  <c r="E119" i="7"/>
  <c r="I118" i="7"/>
  <c r="H118" i="7"/>
  <c r="G118" i="7"/>
  <c r="F118" i="7"/>
  <c r="E118" i="7"/>
  <c r="I117" i="7"/>
  <c r="H117" i="7"/>
  <c r="G117" i="7"/>
  <c r="F117" i="7"/>
  <c r="E117" i="7"/>
  <c r="I116" i="7"/>
  <c r="H116" i="7"/>
  <c r="G116" i="7"/>
  <c r="F116" i="7"/>
  <c r="E116" i="7"/>
  <c r="I115" i="7"/>
  <c r="H115" i="7"/>
  <c r="G115" i="7"/>
  <c r="F115" i="7"/>
  <c r="E115" i="7"/>
  <c r="I114" i="7"/>
  <c r="H114" i="7"/>
  <c r="G114" i="7"/>
  <c r="F114" i="7"/>
  <c r="E114" i="7"/>
  <c r="I113" i="7"/>
  <c r="H113" i="7"/>
  <c r="G113" i="7"/>
  <c r="F113" i="7"/>
  <c r="E113" i="7"/>
  <c r="I112" i="7"/>
  <c r="H112" i="7"/>
  <c r="G112" i="7"/>
  <c r="F112" i="7"/>
  <c r="E112" i="7"/>
  <c r="I111" i="7"/>
  <c r="H111" i="7"/>
  <c r="G111" i="7"/>
  <c r="F111" i="7"/>
  <c r="E111" i="7"/>
  <c r="I110" i="7"/>
  <c r="H110" i="7"/>
  <c r="G110" i="7"/>
  <c r="F110" i="7"/>
  <c r="E110" i="7"/>
  <c r="I109" i="7"/>
  <c r="H109" i="7"/>
  <c r="G109" i="7"/>
  <c r="F109" i="7"/>
  <c r="E109" i="7"/>
  <c r="I108" i="7"/>
  <c r="H108" i="7"/>
  <c r="G108" i="7"/>
  <c r="F108" i="7"/>
  <c r="E108" i="7"/>
  <c r="I107" i="7"/>
  <c r="H107" i="7"/>
  <c r="G107" i="7"/>
  <c r="F107" i="7"/>
  <c r="E107" i="7"/>
  <c r="I106" i="7"/>
  <c r="H106" i="7"/>
  <c r="G106" i="7"/>
  <c r="F106" i="7"/>
  <c r="E106" i="7"/>
  <c r="I105" i="7"/>
  <c r="H105" i="7"/>
  <c r="G105" i="7"/>
  <c r="F105" i="7"/>
  <c r="E105" i="7"/>
  <c r="I104" i="7"/>
  <c r="H104" i="7"/>
  <c r="G104" i="7"/>
  <c r="F104" i="7"/>
  <c r="E104" i="7"/>
  <c r="I103" i="7"/>
  <c r="H103" i="7"/>
  <c r="G103" i="7"/>
  <c r="F103" i="7"/>
  <c r="E103" i="7"/>
  <c r="I102" i="7"/>
  <c r="H102" i="7"/>
  <c r="G102" i="7"/>
  <c r="F102" i="7"/>
  <c r="E102" i="7"/>
  <c r="I101" i="7"/>
  <c r="H101" i="7"/>
  <c r="G101" i="7"/>
  <c r="F101" i="7"/>
  <c r="E101" i="7"/>
  <c r="I100" i="7"/>
  <c r="H100" i="7"/>
  <c r="G100" i="7"/>
  <c r="F100" i="7"/>
  <c r="E100" i="7"/>
  <c r="I99" i="7"/>
  <c r="H99" i="7"/>
  <c r="G99" i="7"/>
  <c r="F99" i="7"/>
  <c r="E99" i="7"/>
  <c r="I98" i="7"/>
  <c r="H98" i="7"/>
  <c r="G98" i="7"/>
  <c r="F98" i="7"/>
  <c r="E98" i="7"/>
  <c r="I97" i="7"/>
  <c r="H97" i="7"/>
  <c r="G97" i="7"/>
  <c r="F97" i="7"/>
  <c r="E97" i="7"/>
  <c r="I96" i="7"/>
  <c r="H96" i="7"/>
  <c r="G96" i="7"/>
  <c r="F96" i="7"/>
  <c r="E96" i="7"/>
  <c r="I95" i="7"/>
  <c r="H95" i="7"/>
  <c r="G95" i="7"/>
  <c r="F95" i="7"/>
  <c r="E95" i="7"/>
  <c r="I94" i="7"/>
  <c r="H94" i="7"/>
  <c r="G94" i="7"/>
  <c r="F94" i="7"/>
  <c r="E94" i="7"/>
  <c r="I93" i="7"/>
  <c r="H93" i="7"/>
  <c r="G93" i="7"/>
  <c r="F93" i="7"/>
  <c r="E93" i="7"/>
  <c r="I91" i="7"/>
  <c r="H91" i="7"/>
  <c r="G91" i="7"/>
  <c r="F91" i="7"/>
  <c r="E91" i="7"/>
  <c r="I90" i="7"/>
  <c r="H90" i="7"/>
  <c r="G90" i="7"/>
  <c r="F90" i="7"/>
  <c r="E90" i="7"/>
  <c r="I89" i="7"/>
  <c r="H89" i="7"/>
  <c r="G89" i="7"/>
  <c r="F89" i="7"/>
  <c r="E89" i="7"/>
  <c r="I88" i="7"/>
  <c r="H88" i="7"/>
  <c r="G88" i="7"/>
  <c r="F88" i="7"/>
  <c r="E88" i="7"/>
  <c r="I87" i="7"/>
  <c r="H87" i="7"/>
  <c r="G87" i="7"/>
  <c r="F87" i="7"/>
  <c r="E87" i="7"/>
  <c r="I86" i="7"/>
  <c r="H86" i="7"/>
  <c r="G86" i="7"/>
  <c r="F86" i="7"/>
  <c r="E86" i="7"/>
  <c r="I85" i="7"/>
  <c r="H85" i="7"/>
  <c r="G85" i="7"/>
  <c r="F85" i="7"/>
  <c r="E85" i="7"/>
  <c r="I84" i="7"/>
  <c r="H84" i="7"/>
  <c r="G84" i="7"/>
  <c r="F84" i="7"/>
  <c r="E84" i="7"/>
  <c r="I83" i="7"/>
  <c r="H83" i="7"/>
  <c r="G83" i="7"/>
  <c r="F83" i="7"/>
  <c r="E83" i="7"/>
  <c r="I82" i="7"/>
  <c r="H82" i="7"/>
  <c r="G82" i="7"/>
  <c r="F82" i="7"/>
  <c r="E82" i="7"/>
  <c r="I81" i="7"/>
  <c r="H81" i="7"/>
  <c r="G81" i="7"/>
  <c r="F81" i="7"/>
  <c r="E81" i="7"/>
  <c r="I80" i="7"/>
  <c r="H80" i="7"/>
  <c r="G80" i="7"/>
  <c r="F80" i="7"/>
  <c r="E80" i="7"/>
  <c r="I79" i="7"/>
  <c r="H79" i="7"/>
  <c r="G79" i="7"/>
  <c r="F79" i="7"/>
  <c r="E79" i="7"/>
  <c r="I78" i="7"/>
  <c r="H78" i="7"/>
  <c r="G78" i="7"/>
  <c r="F78" i="7"/>
  <c r="E78" i="7"/>
  <c r="I77" i="7"/>
  <c r="H77" i="7"/>
  <c r="G77" i="7"/>
  <c r="F77" i="7"/>
  <c r="E77" i="7"/>
  <c r="I76" i="7"/>
  <c r="H76" i="7"/>
  <c r="G76" i="7"/>
  <c r="F76" i="7"/>
  <c r="E76" i="7"/>
  <c r="I75" i="7"/>
  <c r="H75" i="7"/>
  <c r="G75" i="7"/>
  <c r="F75" i="7"/>
  <c r="E75" i="7"/>
  <c r="I74" i="7"/>
  <c r="H74" i="7"/>
  <c r="G74" i="7"/>
  <c r="F74" i="7"/>
  <c r="E74" i="7"/>
  <c r="I73" i="7"/>
  <c r="H73" i="7"/>
  <c r="G73" i="7"/>
  <c r="F73" i="7"/>
  <c r="E73" i="7"/>
  <c r="I72" i="7"/>
  <c r="H72" i="7"/>
  <c r="G72" i="7"/>
  <c r="F72" i="7"/>
  <c r="E72" i="7"/>
  <c r="I71" i="7"/>
  <c r="H71" i="7"/>
  <c r="G71" i="7"/>
  <c r="F71" i="7"/>
  <c r="E71" i="7"/>
  <c r="I70" i="7"/>
  <c r="H70" i="7"/>
  <c r="G70" i="7"/>
  <c r="F70" i="7"/>
  <c r="E70" i="7"/>
  <c r="I69" i="7"/>
  <c r="H69" i="7"/>
  <c r="G69" i="7"/>
  <c r="F69" i="7"/>
  <c r="E69" i="7"/>
  <c r="I68" i="7"/>
  <c r="H68" i="7"/>
  <c r="G68" i="7"/>
  <c r="F68" i="7"/>
  <c r="E68" i="7"/>
  <c r="I67" i="7"/>
  <c r="H67" i="7"/>
  <c r="G67" i="7"/>
  <c r="F67" i="7"/>
  <c r="E67" i="7"/>
  <c r="I66" i="7"/>
  <c r="H66" i="7"/>
  <c r="G66" i="7"/>
  <c r="F66" i="7"/>
  <c r="E66" i="7"/>
  <c r="I65" i="7"/>
  <c r="H65" i="7"/>
  <c r="G65" i="7"/>
  <c r="F65" i="7"/>
  <c r="E65" i="7"/>
  <c r="I64" i="7"/>
  <c r="H64" i="7"/>
  <c r="G64" i="7"/>
  <c r="F64" i="7"/>
  <c r="E64" i="7"/>
  <c r="I63" i="7"/>
  <c r="H63" i="7"/>
  <c r="G63" i="7"/>
  <c r="F63" i="7"/>
  <c r="E63" i="7"/>
  <c r="I62" i="7"/>
  <c r="H62" i="7"/>
  <c r="G62" i="7"/>
  <c r="F62" i="7"/>
  <c r="E62" i="7"/>
  <c r="I61" i="7"/>
  <c r="H61" i="7"/>
  <c r="G61" i="7"/>
  <c r="F61" i="7"/>
  <c r="E61" i="7"/>
  <c r="I60" i="7"/>
  <c r="H60" i="7"/>
  <c r="G60" i="7"/>
  <c r="F60" i="7"/>
  <c r="E60" i="7"/>
  <c r="I59" i="7"/>
  <c r="H59" i="7"/>
  <c r="G59" i="7"/>
  <c r="F59" i="7"/>
  <c r="E59" i="7"/>
  <c r="I58" i="7"/>
  <c r="H58" i="7"/>
  <c r="G58" i="7"/>
  <c r="F58" i="7"/>
  <c r="E58" i="7"/>
  <c r="I57" i="7"/>
  <c r="H57" i="7"/>
  <c r="G57" i="7"/>
  <c r="F57" i="7"/>
  <c r="E57" i="7"/>
  <c r="I56" i="7"/>
  <c r="H56" i="7"/>
  <c r="G56" i="7"/>
  <c r="F56" i="7"/>
  <c r="E56" i="7"/>
  <c r="I55" i="7"/>
  <c r="H55" i="7"/>
  <c r="G55" i="7"/>
  <c r="F55" i="7"/>
  <c r="E55" i="7"/>
  <c r="I54" i="7"/>
  <c r="H54" i="7"/>
  <c r="G54" i="7"/>
  <c r="F54" i="7"/>
  <c r="E54" i="7"/>
  <c r="I53" i="7"/>
  <c r="H53" i="7"/>
  <c r="G53" i="7"/>
  <c r="F53" i="7"/>
  <c r="E53" i="7"/>
  <c r="I52" i="7"/>
  <c r="H52" i="7"/>
  <c r="G52" i="7"/>
  <c r="F52" i="7"/>
  <c r="E52" i="7"/>
  <c r="I51" i="7"/>
  <c r="H51" i="7"/>
  <c r="G51" i="7"/>
  <c r="F51" i="7"/>
  <c r="E51" i="7"/>
  <c r="I50" i="7"/>
  <c r="H50" i="7"/>
  <c r="G50" i="7"/>
  <c r="F50" i="7"/>
  <c r="E50" i="7"/>
  <c r="I49" i="7"/>
  <c r="H49" i="7"/>
  <c r="G49" i="7"/>
  <c r="F49" i="7"/>
  <c r="E49" i="7"/>
  <c r="I48" i="7"/>
  <c r="H48" i="7"/>
  <c r="G48" i="7"/>
  <c r="F48" i="7"/>
  <c r="E48" i="7"/>
  <c r="I47" i="7"/>
  <c r="H47" i="7"/>
  <c r="G47" i="7"/>
  <c r="F47" i="7"/>
  <c r="E47" i="7"/>
  <c r="I46" i="7"/>
  <c r="H46" i="7"/>
  <c r="G46" i="7"/>
  <c r="F46" i="7"/>
  <c r="E46" i="7"/>
  <c r="I45" i="7"/>
  <c r="H45" i="7"/>
  <c r="G45" i="7"/>
  <c r="F45" i="7"/>
  <c r="E45" i="7"/>
  <c r="I44" i="7"/>
  <c r="H44" i="7"/>
  <c r="G44" i="7"/>
  <c r="F44" i="7"/>
  <c r="E44" i="7"/>
  <c r="I43" i="7"/>
  <c r="H43" i="7"/>
  <c r="G43" i="7"/>
  <c r="F43" i="7"/>
  <c r="E43" i="7"/>
  <c r="I42" i="7"/>
  <c r="H42" i="7"/>
  <c r="G42" i="7"/>
  <c r="F42" i="7"/>
  <c r="E42" i="7"/>
  <c r="I41" i="7"/>
  <c r="H41" i="7"/>
  <c r="G41" i="7"/>
  <c r="F41" i="7"/>
  <c r="E41" i="7"/>
  <c r="I40" i="7"/>
  <c r="H40" i="7"/>
  <c r="G40" i="7"/>
  <c r="F40" i="7"/>
  <c r="E40" i="7"/>
  <c r="I39" i="7"/>
  <c r="H39" i="7"/>
  <c r="G39" i="7"/>
  <c r="F39" i="7"/>
  <c r="E39" i="7"/>
  <c r="I38" i="7"/>
  <c r="H38" i="7"/>
  <c r="G38" i="7"/>
  <c r="F38" i="7"/>
  <c r="E38" i="7"/>
  <c r="I37" i="7"/>
  <c r="H37" i="7"/>
  <c r="G37" i="7"/>
  <c r="F37" i="7"/>
  <c r="E37" i="7"/>
  <c r="I36" i="7"/>
  <c r="H36" i="7"/>
  <c r="G36" i="7"/>
  <c r="F36" i="7"/>
  <c r="E36" i="7"/>
  <c r="I35" i="7"/>
  <c r="H35" i="7"/>
  <c r="G35" i="7"/>
  <c r="F35" i="7"/>
  <c r="E35" i="7"/>
  <c r="I34" i="7"/>
  <c r="H34" i="7"/>
  <c r="G34" i="7"/>
  <c r="F34" i="7"/>
  <c r="E34" i="7"/>
  <c r="I33" i="7"/>
  <c r="H33" i="7"/>
  <c r="G33" i="7"/>
  <c r="F33" i="7"/>
  <c r="E33" i="7"/>
  <c r="I32" i="7"/>
  <c r="H32" i="7"/>
  <c r="G32" i="7"/>
  <c r="F32" i="7"/>
  <c r="E32" i="7"/>
  <c r="I31" i="7"/>
  <c r="H31" i="7"/>
  <c r="G31" i="7"/>
  <c r="F31" i="7"/>
  <c r="E31" i="7"/>
  <c r="I30" i="7"/>
  <c r="H30" i="7"/>
  <c r="G30" i="7"/>
  <c r="F30" i="7"/>
  <c r="E30" i="7"/>
  <c r="I29" i="7"/>
  <c r="H29" i="7"/>
  <c r="G29" i="7"/>
  <c r="F29" i="7"/>
  <c r="E29" i="7"/>
  <c r="I28" i="7"/>
  <c r="H28" i="7"/>
  <c r="G28" i="7"/>
  <c r="F28" i="7"/>
  <c r="E28" i="7"/>
  <c r="I27" i="7"/>
  <c r="H27" i="7"/>
  <c r="G27" i="7"/>
  <c r="F27" i="7"/>
  <c r="E27" i="7"/>
  <c r="I26" i="7"/>
  <c r="H26" i="7"/>
  <c r="G26" i="7"/>
  <c r="F26" i="7"/>
  <c r="E26" i="7"/>
  <c r="I25" i="7"/>
  <c r="H25" i="7"/>
  <c r="G25" i="7"/>
  <c r="F25" i="7"/>
  <c r="E25" i="7"/>
  <c r="I24" i="7"/>
  <c r="H24" i="7"/>
  <c r="G24" i="7"/>
  <c r="F24" i="7"/>
  <c r="E24" i="7"/>
  <c r="I23" i="7"/>
  <c r="H23" i="7"/>
  <c r="G23" i="7"/>
  <c r="F23" i="7"/>
  <c r="E23" i="7"/>
  <c r="I22" i="7"/>
  <c r="H22" i="7"/>
  <c r="G22" i="7"/>
  <c r="F22" i="7"/>
  <c r="E22" i="7"/>
  <c r="I21" i="7"/>
  <c r="H21" i="7"/>
  <c r="G21" i="7"/>
  <c r="F21" i="7"/>
  <c r="E21" i="7"/>
  <c r="I20" i="7"/>
  <c r="H20" i="7"/>
  <c r="G20" i="7"/>
  <c r="F20" i="7"/>
  <c r="E20" i="7"/>
  <c r="I19" i="7"/>
  <c r="H19" i="7"/>
  <c r="G19" i="7"/>
  <c r="F19" i="7"/>
  <c r="E19" i="7"/>
  <c r="I18" i="7"/>
  <c r="H18" i="7"/>
  <c r="G18" i="7"/>
  <c r="F18" i="7"/>
  <c r="E18" i="7"/>
  <c r="I17" i="7"/>
  <c r="H17" i="7"/>
  <c r="G17" i="7"/>
  <c r="F17" i="7"/>
  <c r="E17" i="7"/>
  <c r="I16" i="7"/>
  <c r="H16" i="7"/>
  <c r="G16" i="7"/>
  <c r="F16" i="7"/>
  <c r="E16" i="7"/>
  <c r="I14" i="7"/>
  <c r="H14" i="7"/>
  <c r="G14" i="7"/>
  <c r="F14" i="7"/>
  <c r="E14" i="7"/>
  <c r="I13" i="7"/>
  <c r="H13" i="7"/>
  <c r="G13" i="7"/>
  <c r="F13" i="7"/>
  <c r="E13" i="7"/>
  <c r="I12" i="7"/>
  <c r="H12" i="7"/>
  <c r="G12" i="7"/>
  <c r="F12" i="7"/>
  <c r="E12" i="7"/>
  <c r="I11" i="7"/>
  <c r="H11" i="7"/>
  <c r="G11" i="7"/>
  <c r="F11" i="7"/>
  <c r="E11" i="7"/>
  <c r="I10" i="7"/>
  <c r="H10" i="7"/>
  <c r="G10" i="7"/>
  <c r="F10" i="7"/>
  <c r="E10" i="7"/>
  <c r="I9" i="7"/>
  <c r="H9" i="7"/>
  <c r="G9" i="7"/>
  <c r="F9" i="7"/>
  <c r="E9" i="7"/>
  <c r="I8" i="7"/>
  <c r="H8" i="7"/>
  <c r="G8" i="7"/>
  <c r="F8" i="7"/>
  <c r="E8" i="7"/>
  <c r="I7" i="7"/>
  <c r="H7" i="7"/>
  <c r="G7" i="7"/>
  <c r="F7" i="7"/>
  <c r="E7" i="7"/>
  <c r="I6" i="7"/>
  <c r="H6" i="7"/>
  <c r="G6" i="7"/>
  <c r="F6" i="7"/>
  <c r="E6" i="7"/>
  <c r="I5" i="7"/>
  <c r="H5" i="7"/>
  <c r="G5" i="7"/>
  <c r="F5" i="7"/>
  <c r="E5" i="7"/>
  <c r="I4" i="7"/>
  <c r="H4" i="7"/>
  <c r="G4" i="7"/>
  <c r="F4" i="7"/>
  <c r="E4" i="7"/>
  <c r="I3" i="7"/>
  <c r="H3" i="7"/>
  <c r="G3" i="7"/>
  <c r="F3" i="7"/>
  <c r="E3" i="7"/>
  <c r="I2" i="7"/>
  <c r="H2" i="7"/>
  <c r="G2" i="7"/>
  <c r="F2" i="7"/>
  <c r="E2" i="7"/>
  <c r="J2" i="7" l="1"/>
  <c r="J15" i="7"/>
  <c r="U139" i="3"/>
  <c r="V139" i="3"/>
  <c r="W139" i="3"/>
  <c r="X139" i="3"/>
  <c r="Y139" i="3"/>
  <c r="Z139" i="3"/>
  <c r="AA139" i="3"/>
  <c r="AB139" i="3"/>
  <c r="AC139" i="3"/>
  <c r="AD139" i="3"/>
  <c r="AE139" i="3"/>
  <c r="T139" i="3"/>
  <c r="S139" i="3"/>
  <c r="T2" i="3"/>
  <c r="AE2" i="3"/>
  <c r="AE3" i="3"/>
  <c r="AE4" i="3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111" i="3"/>
  <c r="AE112" i="3"/>
  <c r="AE113" i="3"/>
  <c r="AE114" i="3"/>
  <c r="AE115" i="3"/>
  <c r="AE116" i="3"/>
  <c r="AE117" i="3"/>
  <c r="AE118" i="3"/>
  <c r="AE119" i="3"/>
  <c r="AE120" i="3"/>
  <c r="AE121" i="3"/>
  <c r="AE122" i="3"/>
  <c r="AE123" i="3"/>
  <c r="AE124" i="3"/>
  <c r="AE125" i="3"/>
  <c r="AE126" i="3"/>
  <c r="AE127" i="3"/>
  <c r="AE128" i="3"/>
  <c r="AE129" i="3"/>
  <c r="AE130" i="3"/>
  <c r="AE131" i="3"/>
  <c r="AE132" i="3"/>
  <c r="AE133" i="3"/>
  <c r="AE134" i="3"/>
  <c r="AE135" i="3"/>
  <c r="AE136" i="3"/>
  <c r="AE137" i="3"/>
  <c r="AE138" i="3"/>
  <c r="U2" i="3"/>
  <c r="I138" i="4" l="1"/>
  <c r="H138" i="4"/>
  <c r="G138" i="4"/>
  <c r="F138" i="4"/>
  <c r="E138" i="4"/>
  <c r="I137" i="4"/>
  <c r="H137" i="4"/>
  <c r="G137" i="4"/>
  <c r="F137" i="4"/>
  <c r="E137" i="4"/>
  <c r="I136" i="4"/>
  <c r="H136" i="4"/>
  <c r="G136" i="4"/>
  <c r="F136" i="4"/>
  <c r="E136" i="4"/>
  <c r="I135" i="4"/>
  <c r="H135" i="4"/>
  <c r="G135" i="4"/>
  <c r="F135" i="4"/>
  <c r="E135" i="4"/>
  <c r="I134" i="4"/>
  <c r="H134" i="4"/>
  <c r="G134" i="4"/>
  <c r="F134" i="4"/>
  <c r="E134" i="4"/>
  <c r="I133" i="4"/>
  <c r="H133" i="4"/>
  <c r="G133" i="4"/>
  <c r="F133" i="4"/>
  <c r="E133" i="4"/>
  <c r="I132" i="4"/>
  <c r="H132" i="4"/>
  <c r="G132" i="4"/>
  <c r="F132" i="4"/>
  <c r="E132" i="4"/>
  <c r="I131" i="4"/>
  <c r="H131" i="4"/>
  <c r="G131" i="4"/>
  <c r="F131" i="4"/>
  <c r="E131" i="4"/>
  <c r="I130" i="4"/>
  <c r="H130" i="4"/>
  <c r="G130" i="4"/>
  <c r="F130" i="4"/>
  <c r="E130" i="4"/>
  <c r="I129" i="4"/>
  <c r="H129" i="4"/>
  <c r="G129" i="4"/>
  <c r="F129" i="4"/>
  <c r="E129" i="4"/>
  <c r="I128" i="4"/>
  <c r="H128" i="4"/>
  <c r="G128" i="4"/>
  <c r="F128" i="4"/>
  <c r="E128" i="4"/>
  <c r="I127" i="4"/>
  <c r="H127" i="4"/>
  <c r="G127" i="4"/>
  <c r="F127" i="4"/>
  <c r="E127" i="4"/>
  <c r="I126" i="4"/>
  <c r="H126" i="4"/>
  <c r="G126" i="4"/>
  <c r="F126" i="4"/>
  <c r="E126" i="4"/>
  <c r="I125" i="4"/>
  <c r="H125" i="4"/>
  <c r="G125" i="4"/>
  <c r="F125" i="4"/>
  <c r="E125" i="4"/>
  <c r="I124" i="4"/>
  <c r="H124" i="4"/>
  <c r="G124" i="4"/>
  <c r="F124" i="4"/>
  <c r="E124" i="4"/>
  <c r="I123" i="4"/>
  <c r="H123" i="4"/>
  <c r="G123" i="4"/>
  <c r="F123" i="4"/>
  <c r="E123" i="4"/>
  <c r="I122" i="4"/>
  <c r="H122" i="4"/>
  <c r="G122" i="4"/>
  <c r="F122" i="4"/>
  <c r="E122" i="4"/>
  <c r="I121" i="4"/>
  <c r="H121" i="4"/>
  <c r="G121" i="4"/>
  <c r="F121" i="4"/>
  <c r="E121" i="4"/>
  <c r="I120" i="4"/>
  <c r="H120" i="4"/>
  <c r="G120" i="4"/>
  <c r="F120" i="4"/>
  <c r="E120" i="4"/>
  <c r="I119" i="4"/>
  <c r="H119" i="4"/>
  <c r="G119" i="4"/>
  <c r="F119" i="4"/>
  <c r="E119" i="4"/>
  <c r="I118" i="4"/>
  <c r="H118" i="4"/>
  <c r="G118" i="4"/>
  <c r="F118" i="4"/>
  <c r="E118" i="4"/>
  <c r="I117" i="4"/>
  <c r="H117" i="4"/>
  <c r="G117" i="4"/>
  <c r="F117" i="4"/>
  <c r="E117" i="4"/>
  <c r="I116" i="4"/>
  <c r="H116" i="4"/>
  <c r="G116" i="4"/>
  <c r="F116" i="4"/>
  <c r="E116" i="4"/>
  <c r="I115" i="4"/>
  <c r="H115" i="4"/>
  <c r="G115" i="4"/>
  <c r="F115" i="4"/>
  <c r="E115" i="4"/>
  <c r="I114" i="4"/>
  <c r="H114" i="4"/>
  <c r="G114" i="4"/>
  <c r="F114" i="4"/>
  <c r="E114" i="4"/>
  <c r="I113" i="4"/>
  <c r="H113" i="4"/>
  <c r="G113" i="4"/>
  <c r="F113" i="4"/>
  <c r="E113" i="4"/>
  <c r="I112" i="4"/>
  <c r="H112" i="4"/>
  <c r="G112" i="4"/>
  <c r="F112" i="4"/>
  <c r="E112" i="4"/>
  <c r="I111" i="4"/>
  <c r="H111" i="4"/>
  <c r="G111" i="4"/>
  <c r="F111" i="4"/>
  <c r="E111" i="4"/>
  <c r="I110" i="4"/>
  <c r="H110" i="4"/>
  <c r="G110" i="4"/>
  <c r="F110" i="4"/>
  <c r="E110" i="4"/>
  <c r="I109" i="4"/>
  <c r="H109" i="4"/>
  <c r="G109" i="4"/>
  <c r="F109" i="4"/>
  <c r="E109" i="4"/>
  <c r="I108" i="4"/>
  <c r="H108" i="4"/>
  <c r="G108" i="4"/>
  <c r="F108" i="4"/>
  <c r="E108" i="4"/>
  <c r="I107" i="4"/>
  <c r="H107" i="4"/>
  <c r="G107" i="4"/>
  <c r="F107" i="4"/>
  <c r="E107" i="4"/>
  <c r="I106" i="4"/>
  <c r="H106" i="4"/>
  <c r="G106" i="4"/>
  <c r="F106" i="4"/>
  <c r="E106" i="4"/>
  <c r="I105" i="4"/>
  <c r="H105" i="4"/>
  <c r="G105" i="4"/>
  <c r="F105" i="4"/>
  <c r="E105" i="4"/>
  <c r="I104" i="4"/>
  <c r="H104" i="4"/>
  <c r="G104" i="4"/>
  <c r="F104" i="4"/>
  <c r="E104" i="4"/>
  <c r="I103" i="4"/>
  <c r="H103" i="4"/>
  <c r="G103" i="4"/>
  <c r="F103" i="4"/>
  <c r="E103" i="4"/>
  <c r="I102" i="4"/>
  <c r="H102" i="4"/>
  <c r="G102" i="4"/>
  <c r="F102" i="4"/>
  <c r="E102" i="4"/>
  <c r="I101" i="4"/>
  <c r="H101" i="4"/>
  <c r="G101" i="4"/>
  <c r="F101" i="4"/>
  <c r="E101" i="4"/>
  <c r="I100" i="4"/>
  <c r="H100" i="4"/>
  <c r="G100" i="4"/>
  <c r="F100" i="4"/>
  <c r="E100" i="4"/>
  <c r="I99" i="4"/>
  <c r="H99" i="4"/>
  <c r="G99" i="4"/>
  <c r="F99" i="4"/>
  <c r="E99" i="4"/>
  <c r="I98" i="4"/>
  <c r="H98" i="4"/>
  <c r="G98" i="4"/>
  <c r="F98" i="4"/>
  <c r="E98" i="4"/>
  <c r="I97" i="4"/>
  <c r="H97" i="4"/>
  <c r="G97" i="4"/>
  <c r="F97" i="4"/>
  <c r="E97" i="4"/>
  <c r="I96" i="4"/>
  <c r="H96" i="4"/>
  <c r="G96" i="4"/>
  <c r="F96" i="4"/>
  <c r="E96" i="4"/>
  <c r="I95" i="4"/>
  <c r="H95" i="4"/>
  <c r="G95" i="4"/>
  <c r="F95" i="4"/>
  <c r="E95" i="4"/>
  <c r="I94" i="4"/>
  <c r="H94" i="4"/>
  <c r="G94" i="4"/>
  <c r="F94" i="4"/>
  <c r="E94" i="4"/>
  <c r="I93" i="4"/>
  <c r="H93" i="4"/>
  <c r="G93" i="4"/>
  <c r="F93" i="4"/>
  <c r="E93" i="4"/>
  <c r="I91" i="4"/>
  <c r="H91" i="4"/>
  <c r="G91" i="4"/>
  <c r="F91" i="4"/>
  <c r="E91" i="4"/>
  <c r="I90" i="4"/>
  <c r="H90" i="4"/>
  <c r="G90" i="4"/>
  <c r="F90" i="4"/>
  <c r="E90" i="4"/>
  <c r="I89" i="4"/>
  <c r="H89" i="4"/>
  <c r="G89" i="4"/>
  <c r="F89" i="4"/>
  <c r="E89" i="4"/>
  <c r="I88" i="4"/>
  <c r="H88" i="4"/>
  <c r="G88" i="4"/>
  <c r="F88" i="4"/>
  <c r="E88" i="4"/>
  <c r="I87" i="4"/>
  <c r="H87" i="4"/>
  <c r="G87" i="4"/>
  <c r="F87" i="4"/>
  <c r="E87" i="4"/>
  <c r="I86" i="4"/>
  <c r="H86" i="4"/>
  <c r="G86" i="4"/>
  <c r="F86" i="4"/>
  <c r="E86" i="4"/>
  <c r="I85" i="4"/>
  <c r="H85" i="4"/>
  <c r="G85" i="4"/>
  <c r="F85" i="4"/>
  <c r="E85" i="4"/>
  <c r="I84" i="4"/>
  <c r="H84" i="4"/>
  <c r="G84" i="4"/>
  <c r="F84" i="4"/>
  <c r="E84" i="4"/>
  <c r="I83" i="4"/>
  <c r="H83" i="4"/>
  <c r="G83" i="4"/>
  <c r="F83" i="4"/>
  <c r="E83" i="4"/>
  <c r="I82" i="4"/>
  <c r="H82" i="4"/>
  <c r="G82" i="4"/>
  <c r="F82" i="4"/>
  <c r="E82" i="4"/>
  <c r="I81" i="4"/>
  <c r="H81" i="4"/>
  <c r="G81" i="4"/>
  <c r="F81" i="4"/>
  <c r="E81" i="4"/>
  <c r="I80" i="4"/>
  <c r="H80" i="4"/>
  <c r="G80" i="4"/>
  <c r="F80" i="4"/>
  <c r="E80" i="4"/>
  <c r="I79" i="4"/>
  <c r="H79" i="4"/>
  <c r="G79" i="4"/>
  <c r="F79" i="4"/>
  <c r="E79" i="4"/>
  <c r="I78" i="4"/>
  <c r="H78" i="4"/>
  <c r="G78" i="4"/>
  <c r="F78" i="4"/>
  <c r="E78" i="4"/>
  <c r="I77" i="4"/>
  <c r="H77" i="4"/>
  <c r="G77" i="4"/>
  <c r="F77" i="4"/>
  <c r="E77" i="4"/>
  <c r="I76" i="4"/>
  <c r="H76" i="4"/>
  <c r="G76" i="4"/>
  <c r="F76" i="4"/>
  <c r="E76" i="4"/>
  <c r="I75" i="4"/>
  <c r="H75" i="4"/>
  <c r="G75" i="4"/>
  <c r="F75" i="4"/>
  <c r="E75" i="4"/>
  <c r="I74" i="4"/>
  <c r="H74" i="4"/>
  <c r="G74" i="4"/>
  <c r="F74" i="4"/>
  <c r="E74" i="4"/>
  <c r="I73" i="4"/>
  <c r="H73" i="4"/>
  <c r="G73" i="4"/>
  <c r="F73" i="4"/>
  <c r="E73" i="4"/>
  <c r="I72" i="4"/>
  <c r="H72" i="4"/>
  <c r="G72" i="4"/>
  <c r="F72" i="4"/>
  <c r="E72" i="4"/>
  <c r="I71" i="4"/>
  <c r="H71" i="4"/>
  <c r="G71" i="4"/>
  <c r="F71" i="4"/>
  <c r="E71" i="4"/>
  <c r="I70" i="4"/>
  <c r="H70" i="4"/>
  <c r="G70" i="4"/>
  <c r="F70" i="4"/>
  <c r="E70" i="4"/>
  <c r="I69" i="4"/>
  <c r="H69" i="4"/>
  <c r="G69" i="4"/>
  <c r="F69" i="4"/>
  <c r="E69" i="4"/>
  <c r="I68" i="4"/>
  <c r="H68" i="4"/>
  <c r="G68" i="4"/>
  <c r="F68" i="4"/>
  <c r="E68" i="4"/>
  <c r="I67" i="4"/>
  <c r="H67" i="4"/>
  <c r="G67" i="4"/>
  <c r="F67" i="4"/>
  <c r="E67" i="4"/>
  <c r="I66" i="4"/>
  <c r="H66" i="4"/>
  <c r="G66" i="4"/>
  <c r="F66" i="4"/>
  <c r="E66" i="4"/>
  <c r="I65" i="4"/>
  <c r="H65" i="4"/>
  <c r="G65" i="4"/>
  <c r="F65" i="4"/>
  <c r="E65" i="4"/>
  <c r="I64" i="4"/>
  <c r="H64" i="4"/>
  <c r="G64" i="4"/>
  <c r="F64" i="4"/>
  <c r="E64" i="4"/>
  <c r="I63" i="4"/>
  <c r="H63" i="4"/>
  <c r="G63" i="4"/>
  <c r="F63" i="4"/>
  <c r="E63" i="4"/>
  <c r="I62" i="4"/>
  <c r="H62" i="4"/>
  <c r="G62" i="4"/>
  <c r="F62" i="4"/>
  <c r="E62" i="4"/>
  <c r="I61" i="4"/>
  <c r="H61" i="4"/>
  <c r="G61" i="4"/>
  <c r="F61" i="4"/>
  <c r="E61" i="4"/>
  <c r="I60" i="4"/>
  <c r="H60" i="4"/>
  <c r="G60" i="4"/>
  <c r="F60" i="4"/>
  <c r="E60" i="4"/>
  <c r="I59" i="4"/>
  <c r="H59" i="4"/>
  <c r="G59" i="4"/>
  <c r="F59" i="4"/>
  <c r="E59" i="4"/>
  <c r="I58" i="4"/>
  <c r="H58" i="4"/>
  <c r="G58" i="4"/>
  <c r="F58" i="4"/>
  <c r="E58" i="4"/>
  <c r="I57" i="4"/>
  <c r="H57" i="4"/>
  <c r="G57" i="4"/>
  <c r="F57" i="4"/>
  <c r="E57" i="4"/>
  <c r="I56" i="4"/>
  <c r="H56" i="4"/>
  <c r="G56" i="4"/>
  <c r="F56" i="4"/>
  <c r="E56" i="4"/>
  <c r="I55" i="4"/>
  <c r="H55" i="4"/>
  <c r="G55" i="4"/>
  <c r="F55" i="4"/>
  <c r="E55" i="4"/>
  <c r="I54" i="4"/>
  <c r="H54" i="4"/>
  <c r="G54" i="4"/>
  <c r="F54" i="4"/>
  <c r="E54" i="4"/>
  <c r="I53" i="4"/>
  <c r="H53" i="4"/>
  <c r="G53" i="4"/>
  <c r="F53" i="4"/>
  <c r="E53" i="4"/>
  <c r="I52" i="4"/>
  <c r="H52" i="4"/>
  <c r="G52" i="4"/>
  <c r="F52" i="4"/>
  <c r="E52" i="4"/>
  <c r="I51" i="4"/>
  <c r="H51" i="4"/>
  <c r="G51" i="4"/>
  <c r="F51" i="4"/>
  <c r="E51" i="4"/>
  <c r="I50" i="4"/>
  <c r="H50" i="4"/>
  <c r="G50" i="4"/>
  <c r="F50" i="4"/>
  <c r="E50" i="4"/>
  <c r="I49" i="4"/>
  <c r="H49" i="4"/>
  <c r="G49" i="4"/>
  <c r="F49" i="4"/>
  <c r="E49" i="4"/>
  <c r="I48" i="4"/>
  <c r="H48" i="4"/>
  <c r="G48" i="4"/>
  <c r="F48" i="4"/>
  <c r="E48" i="4"/>
  <c r="I47" i="4"/>
  <c r="H47" i="4"/>
  <c r="G47" i="4"/>
  <c r="F47" i="4"/>
  <c r="E47" i="4"/>
  <c r="I46" i="4"/>
  <c r="H46" i="4"/>
  <c r="G46" i="4"/>
  <c r="F46" i="4"/>
  <c r="E46" i="4"/>
  <c r="I45" i="4"/>
  <c r="H45" i="4"/>
  <c r="G45" i="4"/>
  <c r="F45" i="4"/>
  <c r="E45" i="4"/>
  <c r="I44" i="4"/>
  <c r="H44" i="4"/>
  <c r="G44" i="4"/>
  <c r="F44" i="4"/>
  <c r="E44" i="4"/>
  <c r="I43" i="4"/>
  <c r="H43" i="4"/>
  <c r="G43" i="4"/>
  <c r="F43" i="4"/>
  <c r="E43" i="4"/>
  <c r="I42" i="4"/>
  <c r="H42" i="4"/>
  <c r="G42" i="4"/>
  <c r="F42" i="4"/>
  <c r="E42" i="4"/>
  <c r="I41" i="4"/>
  <c r="H41" i="4"/>
  <c r="G41" i="4"/>
  <c r="F41" i="4"/>
  <c r="E41" i="4"/>
  <c r="I40" i="4"/>
  <c r="H40" i="4"/>
  <c r="G40" i="4"/>
  <c r="F40" i="4"/>
  <c r="E40" i="4"/>
  <c r="I39" i="4"/>
  <c r="H39" i="4"/>
  <c r="G39" i="4"/>
  <c r="F39" i="4"/>
  <c r="E39" i="4"/>
  <c r="I38" i="4"/>
  <c r="H38" i="4"/>
  <c r="G38" i="4"/>
  <c r="F38" i="4"/>
  <c r="E38" i="4"/>
  <c r="I37" i="4"/>
  <c r="H37" i="4"/>
  <c r="G37" i="4"/>
  <c r="F37" i="4"/>
  <c r="E37" i="4"/>
  <c r="I36" i="4"/>
  <c r="H36" i="4"/>
  <c r="G36" i="4"/>
  <c r="F36" i="4"/>
  <c r="E36" i="4"/>
  <c r="I35" i="4"/>
  <c r="H35" i="4"/>
  <c r="G35" i="4"/>
  <c r="F35" i="4"/>
  <c r="E35" i="4"/>
  <c r="I34" i="4"/>
  <c r="H34" i="4"/>
  <c r="G34" i="4"/>
  <c r="F34" i="4"/>
  <c r="E34" i="4"/>
  <c r="I33" i="4"/>
  <c r="H33" i="4"/>
  <c r="G33" i="4"/>
  <c r="F33" i="4"/>
  <c r="E33" i="4"/>
  <c r="I32" i="4"/>
  <c r="H32" i="4"/>
  <c r="G32" i="4"/>
  <c r="F32" i="4"/>
  <c r="E32" i="4"/>
  <c r="I31" i="4"/>
  <c r="H31" i="4"/>
  <c r="G31" i="4"/>
  <c r="F31" i="4"/>
  <c r="E31" i="4"/>
  <c r="I30" i="4"/>
  <c r="H30" i="4"/>
  <c r="G30" i="4"/>
  <c r="F30" i="4"/>
  <c r="E30" i="4"/>
  <c r="I29" i="4"/>
  <c r="H29" i="4"/>
  <c r="G29" i="4"/>
  <c r="F29" i="4"/>
  <c r="E29" i="4"/>
  <c r="I28" i="4"/>
  <c r="H28" i="4"/>
  <c r="G28" i="4"/>
  <c r="F28" i="4"/>
  <c r="E28" i="4"/>
  <c r="I27" i="4"/>
  <c r="H27" i="4"/>
  <c r="G27" i="4"/>
  <c r="F27" i="4"/>
  <c r="E27" i="4"/>
  <c r="I26" i="4"/>
  <c r="H26" i="4"/>
  <c r="G26" i="4"/>
  <c r="F26" i="4"/>
  <c r="E26" i="4"/>
  <c r="I25" i="4"/>
  <c r="H25" i="4"/>
  <c r="G25" i="4"/>
  <c r="F25" i="4"/>
  <c r="E25" i="4"/>
  <c r="I24" i="4"/>
  <c r="H24" i="4"/>
  <c r="G24" i="4"/>
  <c r="F24" i="4"/>
  <c r="E24" i="4"/>
  <c r="I23" i="4"/>
  <c r="H23" i="4"/>
  <c r="G23" i="4"/>
  <c r="F23" i="4"/>
  <c r="E23" i="4"/>
  <c r="I22" i="4"/>
  <c r="H22" i="4"/>
  <c r="G22" i="4"/>
  <c r="F22" i="4"/>
  <c r="E22" i="4"/>
  <c r="I21" i="4"/>
  <c r="H21" i="4"/>
  <c r="G21" i="4"/>
  <c r="F21" i="4"/>
  <c r="E21" i="4"/>
  <c r="I20" i="4"/>
  <c r="H20" i="4"/>
  <c r="G20" i="4"/>
  <c r="F20" i="4"/>
  <c r="E20" i="4"/>
  <c r="I19" i="4"/>
  <c r="H19" i="4"/>
  <c r="G19" i="4"/>
  <c r="F19" i="4"/>
  <c r="E19" i="4"/>
  <c r="I18" i="4"/>
  <c r="H18" i="4"/>
  <c r="G18" i="4"/>
  <c r="F18" i="4"/>
  <c r="E18" i="4"/>
  <c r="I17" i="4"/>
  <c r="H17" i="4"/>
  <c r="G17" i="4"/>
  <c r="F17" i="4"/>
  <c r="E17" i="4"/>
  <c r="I16" i="4"/>
  <c r="H16" i="4"/>
  <c r="G16" i="4"/>
  <c r="F16" i="4"/>
  <c r="E16" i="4"/>
  <c r="I14" i="4"/>
  <c r="H14" i="4"/>
  <c r="G14" i="4"/>
  <c r="F14" i="4"/>
  <c r="E14" i="4"/>
  <c r="I13" i="4"/>
  <c r="H13" i="4"/>
  <c r="G13" i="4"/>
  <c r="F13" i="4"/>
  <c r="E13" i="4"/>
  <c r="I12" i="4"/>
  <c r="H12" i="4"/>
  <c r="G12" i="4"/>
  <c r="F12" i="4"/>
  <c r="E12" i="4"/>
  <c r="I11" i="4"/>
  <c r="H11" i="4"/>
  <c r="G11" i="4"/>
  <c r="F11" i="4"/>
  <c r="E11" i="4"/>
  <c r="I10" i="4"/>
  <c r="H10" i="4"/>
  <c r="G10" i="4"/>
  <c r="F10" i="4"/>
  <c r="E10" i="4"/>
  <c r="I9" i="4"/>
  <c r="H9" i="4"/>
  <c r="G9" i="4"/>
  <c r="F9" i="4"/>
  <c r="E9" i="4"/>
  <c r="I8" i="4"/>
  <c r="H8" i="4"/>
  <c r="G8" i="4"/>
  <c r="F8" i="4"/>
  <c r="E8" i="4"/>
  <c r="I7" i="4"/>
  <c r="H7" i="4"/>
  <c r="G7" i="4"/>
  <c r="F7" i="4"/>
  <c r="E7" i="4"/>
  <c r="I6" i="4"/>
  <c r="H6" i="4"/>
  <c r="G6" i="4"/>
  <c r="F6" i="4"/>
  <c r="E6" i="4"/>
  <c r="I5" i="4"/>
  <c r="H5" i="4"/>
  <c r="G5" i="4"/>
  <c r="F5" i="4"/>
  <c r="E5" i="4"/>
  <c r="I4" i="4"/>
  <c r="H4" i="4"/>
  <c r="G4" i="4"/>
  <c r="F4" i="4"/>
  <c r="E4" i="4"/>
  <c r="I3" i="4"/>
  <c r="H3" i="4"/>
  <c r="G3" i="4"/>
  <c r="F3" i="4"/>
  <c r="E3" i="4"/>
  <c r="I2" i="4"/>
  <c r="H2" i="4"/>
  <c r="G2" i="4"/>
  <c r="F2" i="4"/>
  <c r="E2" i="4"/>
  <c r="D138" i="13"/>
  <c r="D137" i="13"/>
  <c r="D136" i="13"/>
  <c r="D135" i="13"/>
  <c r="D134" i="13"/>
  <c r="D133" i="13"/>
  <c r="D132" i="13"/>
  <c r="D131" i="13"/>
  <c r="D130" i="13"/>
  <c r="D129" i="13"/>
  <c r="D128" i="13"/>
  <c r="D127" i="13"/>
  <c r="D126" i="13"/>
  <c r="D125" i="13"/>
  <c r="D124" i="13"/>
  <c r="D123" i="13"/>
  <c r="D122" i="13"/>
  <c r="D121" i="13"/>
  <c r="D120" i="13"/>
  <c r="D119" i="13"/>
  <c r="D118" i="13"/>
  <c r="D117" i="13"/>
  <c r="D116" i="13"/>
  <c r="D115" i="13"/>
  <c r="D114" i="13"/>
  <c r="D113" i="13"/>
  <c r="D112" i="13"/>
  <c r="D111" i="13"/>
  <c r="D110" i="13"/>
  <c r="D109" i="13"/>
  <c r="D108" i="13"/>
  <c r="D107" i="13"/>
  <c r="D106" i="13"/>
  <c r="D105" i="13"/>
  <c r="D104" i="13"/>
  <c r="D103" i="13"/>
  <c r="D102" i="13"/>
  <c r="D101" i="13"/>
  <c r="D100" i="13"/>
  <c r="D99" i="13"/>
  <c r="D98" i="13"/>
  <c r="D97" i="13"/>
  <c r="D96" i="13"/>
  <c r="D95" i="13"/>
  <c r="D94" i="13"/>
  <c r="D93" i="13"/>
  <c r="D92" i="13"/>
  <c r="D91" i="13"/>
  <c r="D90" i="13"/>
  <c r="D89" i="13"/>
  <c r="D88" i="13"/>
  <c r="D87" i="13"/>
  <c r="D86" i="13"/>
  <c r="D85" i="13"/>
  <c r="D84" i="13"/>
  <c r="D83" i="13"/>
  <c r="D82" i="13"/>
  <c r="D81" i="13"/>
  <c r="D80" i="13"/>
  <c r="D79" i="13"/>
  <c r="D78" i="13"/>
  <c r="D77" i="13"/>
  <c r="D76" i="13"/>
  <c r="D75" i="13"/>
  <c r="D74" i="13"/>
  <c r="D73" i="13"/>
  <c r="D72" i="13"/>
  <c r="D71" i="13"/>
  <c r="D70" i="13"/>
  <c r="D69" i="13"/>
  <c r="D68" i="13"/>
  <c r="D67" i="13"/>
  <c r="D66" i="13"/>
  <c r="D65" i="13"/>
  <c r="D64" i="13"/>
  <c r="D63" i="13"/>
  <c r="D62" i="13"/>
  <c r="D61" i="13"/>
  <c r="D60" i="13"/>
  <c r="D59" i="13"/>
  <c r="D58" i="13"/>
  <c r="D57" i="13"/>
  <c r="D56" i="13"/>
  <c r="D55" i="13"/>
  <c r="D54" i="13"/>
  <c r="D53" i="13"/>
  <c r="D52" i="13"/>
  <c r="D51" i="13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D33" i="13"/>
  <c r="D32" i="13"/>
  <c r="D31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D7" i="13"/>
  <c r="D6" i="13"/>
  <c r="D5" i="13"/>
  <c r="D4" i="13"/>
  <c r="D3" i="13"/>
  <c r="D2" i="13"/>
  <c r="N25" i="13"/>
  <c r="M25" i="13"/>
  <c r="L25" i="13"/>
  <c r="K25" i="13"/>
  <c r="J25" i="13"/>
  <c r="I25" i="13"/>
  <c r="H25" i="13"/>
  <c r="G25" i="13"/>
  <c r="F25" i="13"/>
  <c r="E25" i="13"/>
  <c r="E92" i="13"/>
  <c r="N92" i="13"/>
  <c r="M92" i="13"/>
  <c r="L92" i="13"/>
  <c r="K92" i="13"/>
  <c r="J92" i="13"/>
  <c r="I92" i="13"/>
  <c r="H92" i="13"/>
  <c r="G92" i="13"/>
  <c r="F92" i="13"/>
  <c r="J15" i="4" l="1"/>
  <c r="S3" i="3"/>
  <c r="T3" i="3"/>
  <c r="U3" i="3"/>
  <c r="V3" i="3"/>
  <c r="W3" i="3"/>
  <c r="X3" i="3"/>
  <c r="Y3" i="3"/>
  <c r="Z3" i="3"/>
  <c r="AA3" i="3"/>
  <c r="AB3" i="3"/>
  <c r="AC3" i="3"/>
  <c r="AD3" i="3"/>
  <c r="S4" i="3"/>
  <c r="T4" i="3"/>
  <c r="U4" i="3"/>
  <c r="V4" i="3"/>
  <c r="W4" i="3"/>
  <c r="X4" i="3"/>
  <c r="Y4" i="3"/>
  <c r="Z4" i="3"/>
  <c r="AA4" i="3"/>
  <c r="AB4" i="3"/>
  <c r="AC4" i="3"/>
  <c r="AD4" i="3"/>
  <c r="S5" i="3"/>
  <c r="T5" i="3"/>
  <c r="U5" i="3"/>
  <c r="V5" i="3"/>
  <c r="W5" i="3"/>
  <c r="X5" i="3"/>
  <c r="Y5" i="3"/>
  <c r="Z5" i="3"/>
  <c r="AA5" i="3"/>
  <c r="AB5" i="3"/>
  <c r="AC5" i="3"/>
  <c r="AD5" i="3"/>
  <c r="S6" i="3"/>
  <c r="T6" i="3"/>
  <c r="U6" i="3"/>
  <c r="V6" i="3"/>
  <c r="W6" i="3"/>
  <c r="X6" i="3"/>
  <c r="Y6" i="3"/>
  <c r="Z6" i="3"/>
  <c r="AA6" i="3"/>
  <c r="AB6" i="3"/>
  <c r="AC6" i="3"/>
  <c r="AD6" i="3"/>
  <c r="S7" i="3"/>
  <c r="T7" i="3"/>
  <c r="U7" i="3"/>
  <c r="V7" i="3"/>
  <c r="W7" i="3"/>
  <c r="X7" i="3"/>
  <c r="Y7" i="3"/>
  <c r="Z7" i="3"/>
  <c r="AA7" i="3"/>
  <c r="AB7" i="3"/>
  <c r="AC7" i="3"/>
  <c r="AD7" i="3"/>
  <c r="S8" i="3"/>
  <c r="T8" i="3"/>
  <c r="U8" i="3"/>
  <c r="V8" i="3"/>
  <c r="W8" i="3"/>
  <c r="X8" i="3"/>
  <c r="Y8" i="3"/>
  <c r="Z8" i="3"/>
  <c r="AA8" i="3"/>
  <c r="AB8" i="3"/>
  <c r="AC8" i="3"/>
  <c r="AD8" i="3"/>
  <c r="S9" i="3"/>
  <c r="T9" i="3"/>
  <c r="U9" i="3"/>
  <c r="V9" i="3"/>
  <c r="W9" i="3"/>
  <c r="X9" i="3"/>
  <c r="Y9" i="3"/>
  <c r="Z9" i="3"/>
  <c r="AA9" i="3"/>
  <c r="AB9" i="3"/>
  <c r="AC9" i="3"/>
  <c r="AD9" i="3"/>
  <c r="S10" i="3"/>
  <c r="T10" i="3"/>
  <c r="U10" i="3"/>
  <c r="V10" i="3"/>
  <c r="W10" i="3"/>
  <c r="X10" i="3"/>
  <c r="Y10" i="3"/>
  <c r="Z10" i="3"/>
  <c r="AA10" i="3"/>
  <c r="AB10" i="3"/>
  <c r="AC10" i="3"/>
  <c r="AD10" i="3"/>
  <c r="S11" i="3"/>
  <c r="T11" i="3"/>
  <c r="U11" i="3"/>
  <c r="V11" i="3"/>
  <c r="W11" i="3"/>
  <c r="X11" i="3"/>
  <c r="Y11" i="3"/>
  <c r="Z11" i="3"/>
  <c r="AA11" i="3"/>
  <c r="AB11" i="3"/>
  <c r="AC11" i="3"/>
  <c r="AD11" i="3"/>
  <c r="S12" i="3"/>
  <c r="T12" i="3"/>
  <c r="U12" i="3"/>
  <c r="V12" i="3"/>
  <c r="W12" i="3"/>
  <c r="X12" i="3"/>
  <c r="Y12" i="3"/>
  <c r="Z12" i="3"/>
  <c r="AA12" i="3"/>
  <c r="AB12" i="3"/>
  <c r="AC12" i="3"/>
  <c r="AD12" i="3"/>
  <c r="S13" i="3"/>
  <c r="T13" i="3"/>
  <c r="U13" i="3"/>
  <c r="V13" i="3"/>
  <c r="W13" i="3"/>
  <c r="X13" i="3"/>
  <c r="Y13" i="3"/>
  <c r="Z13" i="3"/>
  <c r="AA13" i="3"/>
  <c r="AB13" i="3"/>
  <c r="AC13" i="3"/>
  <c r="AD13" i="3"/>
  <c r="S14" i="3"/>
  <c r="T14" i="3"/>
  <c r="U14" i="3"/>
  <c r="V14" i="3"/>
  <c r="W14" i="3"/>
  <c r="X14" i="3"/>
  <c r="Y14" i="3"/>
  <c r="Z14" i="3"/>
  <c r="AA14" i="3"/>
  <c r="AB14" i="3"/>
  <c r="AC14" i="3"/>
  <c r="AD14" i="3"/>
  <c r="S15" i="3"/>
  <c r="T15" i="3"/>
  <c r="U15" i="3"/>
  <c r="V15" i="3"/>
  <c r="W15" i="3"/>
  <c r="X15" i="3"/>
  <c r="Y15" i="3"/>
  <c r="Z15" i="3"/>
  <c r="AA15" i="3"/>
  <c r="AB15" i="3"/>
  <c r="AC15" i="3"/>
  <c r="AD15" i="3"/>
  <c r="S16" i="3"/>
  <c r="T16" i="3"/>
  <c r="U16" i="3"/>
  <c r="V16" i="3"/>
  <c r="W16" i="3"/>
  <c r="X16" i="3"/>
  <c r="Y16" i="3"/>
  <c r="Z16" i="3"/>
  <c r="AA16" i="3"/>
  <c r="AB16" i="3"/>
  <c r="AC16" i="3"/>
  <c r="AD16" i="3"/>
  <c r="S17" i="3"/>
  <c r="T17" i="3"/>
  <c r="U17" i="3"/>
  <c r="V17" i="3"/>
  <c r="W17" i="3"/>
  <c r="X17" i="3"/>
  <c r="Y17" i="3"/>
  <c r="Z17" i="3"/>
  <c r="AA17" i="3"/>
  <c r="AB17" i="3"/>
  <c r="AC17" i="3"/>
  <c r="AD17" i="3"/>
  <c r="S18" i="3"/>
  <c r="T18" i="3"/>
  <c r="U18" i="3"/>
  <c r="V18" i="3"/>
  <c r="W18" i="3"/>
  <c r="X18" i="3"/>
  <c r="Y18" i="3"/>
  <c r="Z18" i="3"/>
  <c r="AA18" i="3"/>
  <c r="AB18" i="3"/>
  <c r="AC18" i="3"/>
  <c r="AD18" i="3"/>
  <c r="S19" i="3"/>
  <c r="T19" i="3"/>
  <c r="U19" i="3"/>
  <c r="V19" i="3"/>
  <c r="W19" i="3"/>
  <c r="X19" i="3"/>
  <c r="Y19" i="3"/>
  <c r="Z19" i="3"/>
  <c r="AA19" i="3"/>
  <c r="AB19" i="3"/>
  <c r="AC19" i="3"/>
  <c r="AD19" i="3"/>
  <c r="S20" i="3"/>
  <c r="T20" i="3"/>
  <c r="U20" i="3"/>
  <c r="V20" i="3"/>
  <c r="W20" i="3"/>
  <c r="X20" i="3"/>
  <c r="Y20" i="3"/>
  <c r="Z20" i="3"/>
  <c r="AA20" i="3"/>
  <c r="AB20" i="3"/>
  <c r="AC20" i="3"/>
  <c r="AD20" i="3"/>
  <c r="S21" i="3"/>
  <c r="T21" i="3"/>
  <c r="U21" i="3"/>
  <c r="V21" i="3"/>
  <c r="W21" i="3"/>
  <c r="X21" i="3"/>
  <c r="Y21" i="3"/>
  <c r="Z21" i="3"/>
  <c r="AA21" i="3"/>
  <c r="AB21" i="3"/>
  <c r="AC21" i="3"/>
  <c r="AD21" i="3"/>
  <c r="S22" i="3"/>
  <c r="T22" i="3"/>
  <c r="U22" i="3"/>
  <c r="V22" i="3"/>
  <c r="W22" i="3"/>
  <c r="X22" i="3"/>
  <c r="Y22" i="3"/>
  <c r="Z22" i="3"/>
  <c r="AA22" i="3"/>
  <c r="AB22" i="3"/>
  <c r="AC22" i="3"/>
  <c r="AD22" i="3"/>
  <c r="S23" i="3"/>
  <c r="T23" i="3"/>
  <c r="U23" i="3"/>
  <c r="V23" i="3"/>
  <c r="W23" i="3"/>
  <c r="X23" i="3"/>
  <c r="Y23" i="3"/>
  <c r="Z23" i="3"/>
  <c r="AA23" i="3"/>
  <c r="AB23" i="3"/>
  <c r="AC23" i="3"/>
  <c r="AD23" i="3"/>
  <c r="S24" i="3"/>
  <c r="T24" i="3"/>
  <c r="U24" i="3"/>
  <c r="V24" i="3"/>
  <c r="W24" i="3"/>
  <c r="X24" i="3"/>
  <c r="Y24" i="3"/>
  <c r="Z24" i="3"/>
  <c r="AA24" i="3"/>
  <c r="AB24" i="3"/>
  <c r="AC24" i="3"/>
  <c r="AD24" i="3"/>
  <c r="S25" i="3"/>
  <c r="T25" i="3"/>
  <c r="U25" i="3"/>
  <c r="V25" i="3"/>
  <c r="W25" i="3"/>
  <c r="X25" i="3"/>
  <c r="Y25" i="3"/>
  <c r="Z25" i="3"/>
  <c r="AA25" i="3"/>
  <c r="AB25" i="3"/>
  <c r="AC25" i="3"/>
  <c r="AD25" i="3"/>
  <c r="S26" i="3"/>
  <c r="T26" i="3"/>
  <c r="U26" i="3"/>
  <c r="V26" i="3"/>
  <c r="W26" i="3"/>
  <c r="X26" i="3"/>
  <c r="Y26" i="3"/>
  <c r="Z26" i="3"/>
  <c r="AA26" i="3"/>
  <c r="AB26" i="3"/>
  <c r="AC26" i="3"/>
  <c r="AD26" i="3"/>
  <c r="S27" i="3"/>
  <c r="T27" i="3"/>
  <c r="U27" i="3"/>
  <c r="V27" i="3"/>
  <c r="W27" i="3"/>
  <c r="X27" i="3"/>
  <c r="Y27" i="3"/>
  <c r="Z27" i="3"/>
  <c r="AA27" i="3"/>
  <c r="AB27" i="3"/>
  <c r="AC27" i="3"/>
  <c r="AD27" i="3"/>
  <c r="S28" i="3"/>
  <c r="T28" i="3"/>
  <c r="U28" i="3"/>
  <c r="V28" i="3"/>
  <c r="W28" i="3"/>
  <c r="X28" i="3"/>
  <c r="Y28" i="3"/>
  <c r="Z28" i="3"/>
  <c r="AA28" i="3"/>
  <c r="AB28" i="3"/>
  <c r="AC28" i="3"/>
  <c r="AD28" i="3"/>
  <c r="S29" i="3"/>
  <c r="T29" i="3"/>
  <c r="U29" i="3"/>
  <c r="V29" i="3"/>
  <c r="W29" i="3"/>
  <c r="X29" i="3"/>
  <c r="Y29" i="3"/>
  <c r="Z29" i="3"/>
  <c r="AA29" i="3"/>
  <c r="AB29" i="3"/>
  <c r="AC29" i="3"/>
  <c r="AD29" i="3"/>
  <c r="S30" i="3"/>
  <c r="T30" i="3"/>
  <c r="U30" i="3"/>
  <c r="V30" i="3"/>
  <c r="W30" i="3"/>
  <c r="X30" i="3"/>
  <c r="Y30" i="3"/>
  <c r="Z30" i="3"/>
  <c r="AA30" i="3"/>
  <c r="AB30" i="3"/>
  <c r="AC30" i="3"/>
  <c r="AD30" i="3"/>
  <c r="S31" i="3"/>
  <c r="T31" i="3"/>
  <c r="U31" i="3"/>
  <c r="V31" i="3"/>
  <c r="W31" i="3"/>
  <c r="X31" i="3"/>
  <c r="Y31" i="3"/>
  <c r="Z31" i="3"/>
  <c r="AA31" i="3"/>
  <c r="AB31" i="3"/>
  <c r="AC31" i="3"/>
  <c r="AD31" i="3"/>
  <c r="S32" i="3"/>
  <c r="T32" i="3"/>
  <c r="U32" i="3"/>
  <c r="V32" i="3"/>
  <c r="W32" i="3"/>
  <c r="X32" i="3"/>
  <c r="Y32" i="3"/>
  <c r="Z32" i="3"/>
  <c r="AA32" i="3"/>
  <c r="AB32" i="3"/>
  <c r="AC32" i="3"/>
  <c r="AD32" i="3"/>
  <c r="S33" i="3"/>
  <c r="T33" i="3"/>
  <c r="U33" i="3"/>
  <c r="V33" i="3"/>
  <c r="W33" i="3"/>
  <c r="X33" i="3"/>
  <c r="Y33" i="3"/>
  <c r="Z33" i="3"/>
  <c r="AA33" i="3"/>
  <c r="AB33" i="3"/>
  <c r="AC33" i="3"/>
  <c r="AD33" i="3"/>
  <c r="S34" i="3"/>
  <c r="T34" i="3"/>
  <c r="U34" i="3"/>
  <c r="V34" i="3"/>
  <c r="W34" i="3"/>
  <c r="X34" i="3"/>
  <c r="Y34" i="3"/>
  <c r="Z34" i="3"/>
  <c r="AA34" i="3"/>
  <c r="AB34" i="3"/>
  <c r="AC34" i="3"/>
  <c r="AD34" i="3"/>
  <c r="S35" i="3"/>
  <c r="T35" i="3"/>
  <c r="U35" i="3"/>
  <c r="V35" i="3"/>
  <c r="W35" i="3"/>
  <c r="X35" i="3"/>
  <c r="Y35" i="3"/>
  <c r="Z35" i="3"/>
  <c r="AA35" i="3"/>
  <c r="AB35" i="3"/>
  <c r="AC35" i="3"/>
  <c r="AD35" i="3"/>
  <c r="S36" i="3"/>
  <c r="T36" i="3"/>
  <c r="U36" i="3"/>
  <c r="V36" i="3"/>
  <c r="W36" i="3"/>
  <c r="X36" i="3"/>
  <c r="Y36" i="3"/>
  <c r="Z36" i="3"/>
  <c r="AA36" i="3"/>
  <c r="AB36" i="3"/>
  <c r="AC36" i="3"/>
  <c r="AD36" i="3"/>
  <c r="S37" i="3"/>
  <c r="T37" i="3"/>
  <c r="U37" i="3"/>
  <c r="V37" i="3"/>
  <c r="W37" i="3"/>
  <c r="X37" i="3"/>
  <c r="Y37" i="3"/>
  <c r="Z37" i="3"/>
  <c r="AA37" i="3"/>
  <c r="AB37" i="3"/>
  <c r="AC37" i="3"/>
  <c r="AD37" i="3"/>
  <c r="S38" i="3"/>
  <c r="T38" i="3"/>
  <c r="U38" i="3"/>
  <c r="V38" i="3"/>
  <c r="W38" i="3"/>
  <c r="X38" i="3"/>
  <c r="Y38" i="3"/>
  <c r="Z38" i="3"/>
  <c r="AA38" i="3"/>
  <c r="AB38" i="3"/>
  <c r="AC38" i="3"/>
  <c r="AD38" i="3"/>
  <c r="S39" i="3"/>
  <c r="T39" i="3"/>
  <c r="U39" i="3"/>
  <c r="V39" i="3"/>
  <c r="W39" i="3"/>
  <c r="X39" i="3"/>
  <c r="Y39" i="3"/>
  <c r="Z39" i="3"/>
  <c r="AA39" i="3"/>
  <c r="AB39" i="3"/>
  <c r="AC39" i="3"/>
  <c r="AD39" i="3"/>
  <c r="S40" i="3"/>
  <c r="T40" i="3"/>
  <c r="U40" i="3"/>
  <c r="V40" i="3"/>
  <c r="W40" i="3"/>
  <c r="X40" i="3"/>
  <c r="Y40" i="3"/>
  <c r="Z40" i="3"/>
  <c r="AA40" i="3"/>
  <c r="AB40" i="3"/>
  <c r="AC40" i="3"/>
  <c r="AD40" i="3"/>
  <c r="S41" i="3"/>
  <c r="T41" i="3"/>
  <c r="U41" i="3"/>
  <c r="V41" i="3"/>
  <c r="W41" i="3"/>
  <c r="X41" i="3"/>
  <c r="Y41" i="3"/>
  <c r="Z41" i="3"/>
  <c r="AA41" i="3"/>
  <c r="AB41" i="3"/>
  <c r="AC41" i="3"/>
  <c r="AD41" i="3"/>
  <c r="S42" i="3"/>
  <c r="T42" i="3"/>
  <c r="U42" i="3"/>
  <c r="V42" i="3"/>
  <c r="W42" i="3"/>
  <c r="X42" i="3"/>
  <c r="Y42" i="3"/>
  <c r="Z42" i="3"/>
  <c r="AA42" i="3"/>
  <c r="AB42" i="3"/>
  <c r="AC42" i="3"/>
  <c r="AD42" i="3"/>
  <c r="S43" i="3"/>
  <c r="T43" i="3"/>
  <c r="U43" i="3"/>
  <c r="V43" i="3"/>
  <c r="W43" i="3"/>
  <c r="X43" i="3"/>
  <c r="Y43" i="3"/>
  <c r="Z43" i="3"/>
  <c r="AA43" i="3"/>
  <c r="AB43" i="3"/>
  <c r="AC43" i="3"/>
  <c r="AD43" i="3"/>
  <c r="S44" i="3"/>
  <c r="T44" i="3"/>
  <c r="U44" i="3"/>
  <c r="V44" i="3"/>
  <c r="W44" i="3"/>
  <c r="X44" i="3"/>
  <c r="Y44" i="3"/>
  <c r="Z44" i="3"/>
  <c r="AA44" i="3"/>
  <c r="AB44" i="3"/>
  <c r="AC44" i="3"/>
  <c r="AD44" i="3"/>
  <c r="S45" i="3"/>
  <c r="T45" i="3"/>
  <c r="U45" i="3"/>
  <c r="V45" i="3"/>
  <c r="W45" i="3"/>
  <c r="X45" i="3"/>
  <c r="Y45" i="3"/>
  <c r="Z45" i="3"/>
  <c r="AA45" i="3"/>
  <c r="AB45" i="3"/>
  <c r="AC45" i="3"/>
  <c r="AD45" i="3"/>
  <c r="S46" i="3"/>
  <c r="T46" i="3"/>
  <c r="U46" i="3"/>
  <c r="V46" i="3"/>
  <c r="W46" i="3"/>
  <c r="X46" i="3"/>
  <c r="Y46" i="3"/>
  <c r="Z46" i="3"/>
  <c r="AA46" i="3"/>
  <c r="AB46" i="3"/>
  <c r="AC46" i="3"/>
  <c r="AD46" i="3"/>
  <c r="S47" i="3"/>
  <c r="T47" i="3"/>
  <c r="U47" i="3"/>
  <c r="V47" i="3"/>
  <c r="W47" i="3"/>
  <c r="X47" i="3"/>
  <c r="Y47" i="3"/>
  <c r="Z47" i="3"/>
  <c r="AA47" i="3"/>
  <c r="AB47" i="3"/>
  <c r="AC47" i="3"/>
  <c r="AD47" i="3"/>
  <c r="S48" i="3"/>
  <c r="T48" i="3"/>
  <c r="U48" i="3"/>
  <c r="V48" i="3"/>
  <c r="W48" i="3"/>
  <c r="X48" i="3"/>
  <c r="Y48" i="3"/>
  <c r="Z48" i="3"/>
  <c r="AA48" i="3"/>
  <c r="AB48" i="3"/>
  <c r="AC48" i="3"/>
  <c r="AD48" i="3"/>
  <c r="S49" i="3"/>
  <c r="T49" i="3"/>
  <c r="U49" i="3"/>
  <c r="V49" i="3"/>
  <c r="W49" i="3"/>
  <c r="X49" i="3"/>
  <c r="Y49" i="3"/>
  <c r="Z49" i="3"/>
  <c r="AA49" i="3"/>
  <c r="AB49" i="3"/>
  <c r="AC49" i="3"/>
  <c r="AD49" i="3"/>
  <c r="S50" i="3"/>
  <c r="T50" i="3"/>
  <c r="U50" i="3"/>
  <c r="V50" i="3"/>
  <c r="W50" i="3"/>
  <c r="X50" i="3"/>
  <c r="Y50" i="3"/>
  <c r="Z50" i="3"/>
  <c r="AA50" i="3"/>
  <c r="AB50" i="3"/>
  <c r="AC50" i="3"/>
  <c r="AD50" i="3"/>
  <c r="S51" i="3"/>
  <c r="T51" i="3"/>
  <c r="U51" i="3"/>
  <c r="V51" i="3"/>
  <c r="W51" i="3"/>
  <c r="X51" i="3"/>
  <c r="Y51" i="3"/>
  <c r="Z51" i="3"/>
  <c r="AA51" i="3"/>
  <c r="AB51" i="3"/>
  <c r="AC51" i="3"/>
  <c r="AD51" i="3"/>
  <c r="S52" i="3"/>
  <c r="T52" i="3"/>
  <c r="U52" i="3"/>
  <c r="V52" i="3"/>
  <c r="W52" i="3"/>
  <c r="X52" i="3"/>
  <c r="Y52" i="3"/>
  <c r="Z52" i="3"/>
  <c r="AA52" i="3"/>
  <c r="AB52" i="3"/>
  <c r="AC52" i="3"/>
  <c r="AD52" i="3"/>
  <c r="S53" i="3"/>
  <c r="T53" i="3"/>
  <c r="U53" i="3"/>
  <c r="V53" i="3"/>
  <c r="W53" i="3"/>
  <c r="X53" i="3"/>
  <c r="Y53" i="3"/>
  <c r="Z53" i="3"/>
  <c r="AA53" i="3"/>
  <c r="AB53" i="3"/>
  <c r="AC53" i="3"/>
  <c r="AD53" i="3"/>
  <c r="S54" i="3"/>
  <c r="T54" i="3"/>
  <c r="U54" i="3"/>
  <c r="V54" i="3"/>
  <c r="W54" i="3"/>
  <c r="X54" i="3"/>
  <c r="Y54" i="3"/>
  <c r="Z54" i="3"/>
  <c r="AA54" i="3"/>
  <c r="AB54" i="3"/>
  <c r="AC54" i="3"/>
  <c r="AD54" i="3"/>
  <c r="S55" i="3"/>
  <c r="T55" i="3"/>
  <c r="U55" i="3"/>
  <c r="V55" i="3"/>
  <c r="W55" i="3"/>
  <c r="X55" i="3"/>
  <c r="Y55" i="3"/>
  <c r="Z55" i="3"/>
  <c r="AA55" i="3"/>
  <c r="AB55" i="3"/>
  <c r="AC55" i="3"/>
  <c r="AD55" i="3"/>
  <c r="S56" i="3"/>
  <c r="T56" i="3"/>
  <c r="U56" i="3"/>
  <c r="V56" i="3"/>
  <c r="W56" i="3"/>
  <c r="X56" i="3"/>
  <c r="Y56" i="3"/>
  <c r="Z56" i="3"/>
  <c r="AA56" i="3"/>
  <c r="AB56" i="3"/>
  <c r="AC56" i="3"/>
  <c r="AD56" i="3"/>
  <c r="S57" i="3"/>
  <c r="T57" i="3"/>
  <c r="U57" i="3"/>
  <c r="V57" i="3"/>
  <c r="W57" i="3"/>
  <c r="X57" i="3"/>
  <c r="Y57" i="3"/>
  <c r="Z57" i="3"/>
  <c r="AA57" i="3"/>
  <c r="AB57" i="3"/>
  <c r="AC57" i="3"/>
  <c r="AD57" i="3"/>
  <c r="S58" i="3"/>
  <c r="T58" i="3"/>
  <c r="U58" i="3"/>
  <c r="V58" i="3"/>
  <c r="W58" i="3"/>
  <c r="X58" i="3"/>
  <c r="Y58" i="3"/>
  <c r="Z58" i="3"/>
  <c r="AA58" i="3"/>
  <c r="AB58" i="3"/>
  <c r="AC58" i="3"/>
  <c r="AD58" i="3"/>
  <c r="S59" i="3"/>
  <c r="T59" i="3"/>
  <c r="U59" i="3"/>
  <c r="V59" i="3"/>
  <c r="W59" i="3"/>
  <c r="X59" i="3"/>
  <c r="Y59" i="3"/>
  <c r="Z59" i="3"/>
  <c r="AA59" i="3"/>
  <c r="AB59" i="3"/>
  <c r="AC59" i="3"/>
  <c r="AD59" i="3"/>
  <c r="S60" i="3"/>
  <c r="T60" i="3"/>
  <c r="U60" i="3"/>
  <c r="V60" i="3"/>
  <c r="W60" i="3"/>
  <c r="X60" i="3"/>
  <c r="Y60" i="3"/>
  <c r="Z60" i="3"/>
  <c r="AA60" i="3"/>
  <c r="AB60" i="3"/>
  <c r="AC60" i="3"/>
  <c r="AD60" i="3"/>
  <c r="S61" i="3"/>
  <c r="T61" i="3"/>
  <c r="U61" i="3"/>
  <c r="V61" i="3"/>
  <c r="W61" i="3"/>
  <c r="X61" i="3"/>
  <c r="Y61" i="3"/>
  <c r="Z61" i="3"/>
  <c r="AA61" i="3"/>
  <c r="AB61" i="3"/>
  <c r="AC61" i="3"/>
  <c r="AD61" i="3"/>
  <c r="S62" i="3"/>
  <c r="T62" i="3"/>
  <c r="U62" i="3"/>
  <c r="V62" i="3"/>
  <c r="W62" i="3"/>
  <c r="X62" i="3"/>
  <c r="Y62" i="3"/>
  <c r="Z62" i="3"/>
  <c r="AA62" i="3"/>
  <c r="AB62" i="3"/>
  <c r="AC62" i="3"/>
  <c r="AD62" i="3"/>
  <c r="S63" i="3"/>
  <c r="T63" i="3"/>
  <c r="U63" i="3"/>
  <c r="V63" i="3"/>
  <c r="W63" i="3"/>
  <c r="X63" i="3"/>
  <c r="Y63" i="3"/>
  <c r="Z63" i="3"/>
  <c r="AA63" i="3"/>
  <c r="AB63" i="3"/>
  <c r="AC63" i="3"/>
  <c r="AD63" i="3"/>
  <c r="S64" i="3"/>
  <c r="T64" i="3"/>
  <c r="U64" i="3"/>
  <c r="V64" i="3"/>
  <c r="W64" i="3"/>
  <c r="X64" i="3"/>
  <c r="Y64" i="3"/>
  <c r="Z64" i="3"/>
  <c r="AA64" i="3"/>
  <c r="AB64" i="3"/>
  <c r="AC64" i="3"/>
  <c r="AD64" i="3"/>
  <c r="S65" i="3"/>
  <c r="T65" i="3"/>
  <c r="U65" i="3"/>
  <c r="V65" i="3"/>
  <c r="W65" i="3"/>
  <c r="X65" i="3"/>
  <c r="Y65" i="3"/>
  <c r="Z65" i="3"/>
  <c r="AA65" i="3"/>
  <c r="AB65" i="3"/>
  <c r="AC65" i="3"/>
  <c r="AD65" i="3"/>
  <c r="S66" i="3"/>
  <c r="T66" i="3"/>
  <c r="U66" i="3"/>
  <c r="V66" i="3"/>
  <c r="W66" i="3"/>
  <c r="X66" i="3"/>
  <c r="Y66" i="3"/>
  <c r="Z66" i="3"/>
  <c r="AA66" i="3"/>
  <c r="AB66" i="3"/>
  <c r="AC66" i="3"/>
  <c r="AD66" i="3"/>
  <c r="S67" i="3"/>
  <c r="T67" i="3"/>
  <c r="U67" i="3"/>
  <c r="V67" i="3"/>
  <c r="W67" i="3"/>
  <c r="X67" i="3"/>
  <c r="Y67" i="3"/>
  <c r="Z67" i="3"/>
  <c r="AA67" i="3"/>
  <c r="AB67" i="3"/>
  <c r="AC67" i="3"/>
  <c r="AD67" i="3"/>
  <c r="S68" i="3"/>
  <c r="T68" i="3"/>
  <c r="U68" i="3"/>
  <c r="V68" i="3"/>
  <c r="W68" i="3"/>
  <c r="X68" i="3"/>
  <c r="Y68" i="3"/>
  <c r="Z68" i="3"/>
  <c r="AA68" i="3"/>
  <c r="AB68" i="3"/>
  <c r="AC68" i="3"/>
  <c r="AD68" i="3"/>
  <c r="S69" i="3"/>
  <c r="T69" i="3"/>
  <c r="U69" i="3"/>
  <c r="V69" i="3"/>
  <c r="W69" i="3"/>
  <c r="X69" i="3"/>
  <c r="Y69" i="3"/>
  <c r="Z69" i="3"/>
  <c r="AA69" i="3"/>
  <c r="AB69" i="3"/>
  <c r="AC69" i="3"/>
  <c r="AD69" i="3"/>
  <c r="S70" i="3"/>
  <c r="T70" i="3"/>
  <c r="U70" i="3"/>
  <c r="V70" i="3"/>
  <c r="W70" i="3"/>
  <c r="X70" i="3"/>
  <c r="Y70" i="3"/>
  <c r="Z70" i="3"/>
  <c r="AA70" i="3"/>
  <c r="AB70" i="3"/>
  <c r="AC70" i="3"/>
  <c r="AD70" i="3"/>
  <c r="S71" i="3"/>
  <c r="T71" i="3"/>
  <c r="U71" i="3"/>
  <c r="V71" i="3"/>
  <c r="W71" i="3"/>
  <c r="X71" i="3"/>
  <c r="Y71" i="3"/>
  <c r="Z71" i="3"/>
  <c r="AA71" i="3"/>
  <c r="AB71" i="3"/>
  <c r="AC71" i="3"/>
  <c r="AD71" i="3"/>
  <c r="S72" i="3"/>
  <c r="T72" i="3"/>
  <c r="U72" i="3"/>
  <c r="V72" i="3"/>
  <c r="W72" i="3"/>
  <c r="X72" i="3"/>
  <c r="Y72" i="3"/>
  <c r="Z72" i="3"/>
  <c r="AA72" i="3"/>
  <c r="AB72" i="3"/>
  <c r="AC72" i="3"/>
  <c r="AD72" i="3"/>
  <c r="S73" i="3"/>
  <c r="T73" i="3"/>
  <c r="U73" i="3"/>
  <c r="V73" i="3"/>
  <c r="W73" i="3"/>
  <c r="X73" i="3"/>
  <c r="Y73" i="3"/>
  <c r="Z73" i="3"/>
  <c r="AA73" i="3"/>
  <c r="AB73" i="3"/>
  <c r="AC73" i="3"/>
  <c r="AD73" i="3"/>
  <c r="S74" i="3"/>
  <c r="T74" i="3"/>
  <c r="U74" i="3"/>
  <c r="V74" i="3"/>
  <c r="W74" i="3"/>
  <c r="X74" i="3"/>
  <c r="Y74" i="3"/>
  <c r="Z74" i="3"/>
  <c r="AA74" i="3"/>
  <c r="AB74" i="3"/>
  <c r="AC74" i="3"/>
  <c r="AD74" i="3"/>
  <c r="S75" i="3"/>
  <c r="T75" i="3"/>
  <c r="U75" i="3"/>
  <c r="V75" i="3"/>
  <c r="W75" i="3"/>
  <c r="X75" i="3"/>
  <c r="Y75" i="3"/>
  <c r="Z75" i="3"/>
  <c r="AA75" i="3"/>
  <c r="AB75" i="3"/>
  <c r="AC75" i="3"/>
  <c r="AD75" i="3"/>
  <c r="S76" i="3"/>
  <c r="T76" i="3"/>
  <c r="U76" i="3"/>
  <c r="V76" i="3"/>
  <c r="W76" i="3"/>
  <c r="X76" i="3"/>
  <c r="Y76" i="3"/>
  <c r="Z76" i="3"/>
  <c r="AA76" i="3"/>
  <c r="AB76" i="3"/>
  <c r="AC76" i="3"/>
  <c r="AD76" i="3"/>
  <c r="S77" i="3"/>
  <c r="T77" i="3"/>
  <c r="U77" i="3"/>
  <c r="V77" i="3"/>
  <c r="W77" i="3"/>
  <c r="X77" i="3"/>
  <c r="Y77" i="3"/>
  <c r="Z77" i="3"/>
  <c r="AA77" i="3"/>
  <c r="AB77" i="3"/>
  <c r="AC77" i="3"/>
  <c r="AD77" i="3"/>
  <c r="S78" i="3"/>
  <c r="T78" i="3"/>
  <c r="U78" i="3"/>
  <c r="V78" i="3"/>
  <c r="W78" i="3"/>
  <c r="X78" i="3"/>
  <c r="Y78" i="3"/>
  <c r="Z78" i="3"/>
  <c r="AA78" i="3"/>
  <c r="AB78" i="3"/>
  <c r="AC78" i="3"/>
  <c r="AD78" i="3"/>
  <c r="S79" i="3"/>
  <c r="T79" i="3"/>
  <c r="U79" i="3"/>
  <c r="V79" i="3"/>
  <c r="W79" i="3"/>
  <c r="X79" i="3"/>
  <c r="Y79" i="3"/>
  <c r="Z79" i="3"/>
  <c r="AA79" i="3"/>
  <c r="AB79" i="3"/>
  <c r="AC79" i="3"/>
  <c r="AD79" i="3"/>
  <c r="S80" i="3"/>
  <c r="T80" i="3"/>
  <c r="U80" i="3"/>
  <c r="V80" i="3"/>
  <c r="W80" i="3"/>
  <c r="X80" i="3"/>
  <c r="Y80" i="3"/>
  <c r="Z80" i="3"/>
  <c r="AA80" i="3"/>
  <c r="AB80" i="3"/>
  <c r="AC80" i="3"/>
  <c r="AD80" i="3"/>
  <c r="S81" i="3"/>
  <c r="T81" i="3"/>
  <c r="U81" i="3"/>
  <c r="V81" i="3"/>
  <c r="W81" i="3"/>
  <c r="X81" i="3"/>
  <c r="Y81" i="3"/>
  <c r="Z81" i="3"/>
  <c r="AA81" i="3"/>
  <c r="AB81" i="3"/>
  <c r="AC81" i="3"/>
  <c r="AD81" i="3"/>
  <c r="S82" i="3"/>
  <c r="T82" i="3"/>
  <c r="U82" i="3"/>
  <c r="V82" i="3"/>
  <c r="W82" i="3"/>
  <c r="X82" i="3"/>
  <c r="Y82" i="3"/>
  <c r="Z82" i="3"/>
  <c r="AA82" i="3"/>
  <c r="AB82" i="3"/>
  <c r="AC82" i="3"/>
  <c r="AD82" i="3"/>
  <c r="S83" i="3"/>
  <c r="T83" i="3"/>
  <c r="U83" i="3"/>
  <c r="V83" i="3"/>
  <c r="W83" i="3"/>
  <c r="X83" i="3"/>
  <c r="Y83" i="3"/>
  <c r="Z83" i="3"/>
  <c r="AA83" i="3"/>
  <c r="AB83" i="3"/>
  <c r="AC83" i="3"/>
  <c r="AD83" i="3"/>
  <c r="S84" i="3"/>
  <c r="T84" i="3"/>
  <c r="U84" i="3"/>
  <c r="V84" i="3"/>
  <c r="W84" i="3"/>
  <c r="X84" i="3"/>
  <c r="Y84" i="3"/>
  <c r="Z84" i="3"/>
  <c r="AA84" i="3"/>
  <c r="AB84" i="3"/>
  <c r="AC84" i="3"/>
  <c r="AD84" i="3"/>
  <c r="S85" i="3"/>
  <c r="T85" i="3"/>
  <c r="U85" i="3"/>
  <c r="V85" i="3"/>
  <c r="W85" i="3"/>
  <c r="X85" i="3"/>
  <c r="Y85" i="3"/>
  <c r="Z85" i="3"/>
  <c r="AA85" i="3"/>
  <c r="AB85" i="3"/>
  <c r="AC85" i="3"/>
  <c r="AD85" i="3"/>
  <c r="S86" i="3"/>
  <c r="T86" i="3"/>
  <c r="U86" i="3"/>
  <c r="V86" i="3"/>
  <c r="W86" i="3"/>
  <c r="X86" i="3"/>
  <c r="Y86" i="3"/>
  <c r="Z86" i="3"/>
  <c r="AA86" i="3"/>
  <c r="AB86" i="3"/>
  <c r="AC86" i="3"/>
  <c r="AD86" i="3"/>
  <c r="S87" i="3"/>
  <c r="T87" i="3"/>
  <c r="U87" i="3"/>
  <c r="V87" i="3"/>
  <c r="W87" i="3"/>
  <c r="X87" i="3"/>
  <c r="Y87" i="3"/>
  <c r="Z87" i="3"/>
  <c r="AA87" i="3"/>
  <c r="AB87" i="3"/>
  <c r="AC87" i="3"/>
  <c r="AD87" i="3"/>
  <c r="S88" i="3"/>
  <c r="T88" i="3"/>
  <c r="U88" i="3"/>
  <c r="V88" i="3"/>
  <c r="W88" i="3"/>
  <c r="X88" i="3"/>
  <c r="Y88" i="3"/>
  <c r="Z88" i="3"/>
  <c r="AA88" i="3"/>
  <c r="AB88" i="3"/>
  <c r="AC88" i="3"/>
  <c r="AD88" i="3"/>
  <c r="S89" i="3"/>
  <c r="T89" i="3"/>
  <c r="U89" i="3"/>
  <c r="V89" i="3"/>
  <c r="W89" i="3"/>
  <c r="X89" i="3"/>
  <c r="Y89" i="3"/>
  <c r="Z89" i="3"/>
  <c r="AA89" i="3"/>
  <c r="AB89" i="3"/>
  <c r="AC89" i="3"/>
  <c r="AD89" i="3"/>
  <c r="S90" i="3"/>
  <c r="T90" i="3"/>
  <c r="U90" i="3"/>
  <c r="V90" i="3"/>
  <c r="W90" i="3"/>
  <c r="X90" i="3"/>
  <c r="Y90" i="3"/>
  <c r="Z90" i="3"/>
  <c r="AA90" i="3"/>
  <c r="AB90" i="3"/>
  <c r="AC90" i="3"/>
  <c r="AD90" i="3"/>
  <c r="S91" i="3"/>
  <c r="T91" i="3"/>
  <c r="U91" i="3"/>
  <c r="V91" i="3"/>
  <c r="W91" i="3"/>
  <c r="X91" i="3"/>
  <c r="Y91" i="3"/>
  <c r="Z91" i="3"/>
  <c r="AA91" i="3"/>
  <c r="AB91" i="3"/>
  <c r="AC91" i="3"/>
  <c r="AD91" i="3"/>
  <c r="S92" i="3"/>
  <c r="T92" i="3"/>
  <c r="U92" i="3"/>
  <c r="V92" i="3"/>
  <c r="W92" i="3"/>
  <c r="X92" i="3"/>
  <c r="Y92" i="3"/>
  <c r="Z92" i="3"/>
  <c r="AA92" i="3"/>
  <c r="AB92" i="3"/>
  <c r="AC92" i="3"/>
  <c r="AD92" i="3"/>
  <c r="S93" i="3"/>
  <c r="T93" i="3"/>
  <c r="U93" i="3"/>
  <c r="V93" i="3"/>
  <c r="W93" i="3"/>
  <c r="X93" i="3"/>
  <c r="Y93" i="3"/>
  <c r="Z93" i="3"/>
  <c r="AA93" i="3"/>
  <c r="AB93" i="3"/>
  <c r="AC93" i="3"/>
  <c r="AD93" i="3"/>
  <c r="S94" i="3"/>
  <c r="T94" i="3"/>
  <c r="U94" i="3"/>
  <c r="V94" i="3"/>
  <c r="W94" i="3"/>
  <c r="X94" i="3"/>
  <c r="Y94" i="3"/>
  <c r="Z94" i="3"/>
  <c r="AA94" i="3"/>
  <c r="AB94" i="3"/>
  <c r="AC94" i="3"/>
  <c r="AD94" i="3"/>
  <c r="S95" i="3"/>
  <c r="T95" i="3"/>
  <c r="U95" i="3"/>
  <c r="V95" i="3"/>
  <c r="W95" i="3"/>
  <c r="X95" i="3"/>
  <c r="Y95" i="3"/>
  <c r="Z95" i="3"/>
  <c r="AA95" i="3"/>
  <c r="AB95" i="3"/>
  <c r="AC95" i="3"/>
  <c r="AD95" i="3"/>
  <c r="S96" i="3"/>
  <c r="T96" i="3"/>
  <c r="U96" i="3"/>
  <c r="V96" i="3"/>
  <c r="W96" i="3"/>
  <c r="X96" i="3"/>
  <c r="Y96" i="3"/>
  <c r="Z96" i="3"/>
  <c r="AA96" i="3"/>
  <c r="AB96" i="3"/>
  <c r="AC96" i="3"/>
  <c r="AD96" i="3"/>
  <c r="S97" i="3"/>
  <c r="T97" i="3"/>
  <c r="U97" i="3"/>
  <c r="V97" i="3"/>
  <c r="W97" i="3"/>
  <c r="X97" i="3"/>
  <c r="Y97" i="3"/>
  <c r="Z97" i="3"/>
  <c r="AA97" i="3"/>
  <c r="AB97" i="3"/>
  <c r="AC97" i="3"/>
  <c r="AD97" i="3"/>
  <c r="S98" i="3"/>
  <c r="T98" i="3"/>
  <c r="U98" i="3"/>
  <c r="V98" i="3"/>
  <c r="W98" i="3"/>
  <c r="X98" i="3"/>
  <c r="Y98" i="3"/>
  <c r="Z98" i="3"/>
  <c r="AA98" i="3"/>
  <c r="AB98" i="3"/>
  <c r="AC98" i="3"/>
  <c r="AD98" i="3"/>
  <c r="S99" i="3"/>
  <c r="T99" i="3"/>
  <c r="U99" i="3"/>
  <c r="V99" i="3"/>
  <c r="W99" i="3"/>
  <c r="X99" i="3"/>
  <c r="Y99" i="3"/>
  <c r="Z99" i="3"/>
  <c r="AA99" i="3"/>
  <c r="AB99" i="3"/>
  <c r="AC99" i="3"/>
  <c r="AD99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S127" i="3"/>
  <c r="T127" i="3"/>
  <c r="U127" i="3"/>
  <c r="V127" i="3"/>
  <c r="W127" i="3"/>
  <c r="X127" i="3"/>
  <c r="Y127" i="3"/>
  <c r="Z127" i="3"/>
  <c r="AA127" i="3"/>
  <c r="AB127" i="3"/>
  <c r="AC127" i="3"/>
  <c r="AD127" i="3"/>
  <c r="S128" i="3"/>
  <c r="T128" i="3"/>
  <c r="U128" i="3"/>
  <c r="V128" i="3"/>
  <c r="W128" i="3"/>
  <c r="X128" i="3"/>
  <c r="Y128" i="3"/>
  <c r="Z128" i="3"/>
  <c r="AA128" i="3"/>
  <c r="AB128" i="3"/>
  <c r="AC128" i="3"/>
  <c r="AD128" i="3"/>
  <c r="S129" i="3"/>
  <c r="T129" i="3"/>
  <c r="U129" i="3"/>
  <c r="V129" i="3"/>
  <c r="W129" i="3"/>
  <c r="X129" i="3"/>
  <c r="Y129" i="3"/>
  <c r="Z129" i="3"/>
  <c r="AA129" i="3"/>
  <c r="AB129" i="3"/>
  <c r="AC129" i="3"/>
  <c r="AD129" i="3"/>
  <c r="S130" i="3"/>
  <c r="T130" i="3"/>
  <c r="U130" i="3"/>
  <c r="V130" i="3"/>
  <c r="W130" i="3"/>
  <c r="X130" i="3"/>
  <c r="Y130" i="3"/>
  <c r="Z130" i="3"/>
  <c r="AA130" i="3"/>
  <c r="AB130" i="3"/>
  <c r="AC130" i="3"/>
  <c r="AD130" i="3"/>
  <c r="S131" i="3"/>
  <c r="T131" i="3"/>
  <c r="U131" i="3"/>
  <c r="V131" i="3"/>
  <c r="W131" i="3"/>
  <c r="X131" i="3"/>
  <c r="Y131" i="3"/>
  <c r="Z131" i="3"/>
  <c r="AA131" i="3"/>
  <c r="AB131" i="3"/>
  <c r="AC131" i="3"/>
  <c r="AD131" i="3"/>
  <c r="S132" i="3"/>
  <c r="T132" i="3"/>
  <c r="U132" i="3"/>
  <c r="V132" i="3"/>
  <c r="W132" i="3"/>
  <c r="X132" i="3"/>
  <c r="Y132" i="3"/>
  <c r="Z132" i="3"/>
  <c r="AA132" i="3"/>
  <c r="AB132" i="3"/>
  <c r="AC132" i="3"/>
  <c r="AD132" i="3"/>
  <c r="S133" i="3"/>
  <c r="T133" i="3"/>
  <c r="U133" i="3"/>
  <c r="V133" i="3"/>
  <c r="W133" i="3"/>
  <c r="X133" i="3"/>
  <c r="Y133" i="3"/>
  <c r="Z133" i="3"/>
  <c r="AA133" i="3"/>
  <c r="AB133" i="3"/>
  <c r="AC133" i="3"/>
  <c r="AD133" i="3"/>
  <c r="S134" i="3"/>
  <c r="T134" i="3"/>
  <c r="U134" i="3"/>
  <c r="V134" i="3"/>
  <c r="W134" i="3"/>
  <c r="X134" i="3"/>
  <c r="Y134" i="3"/>
  <c r="Z134" i="3"/>
  <c r="AA134" i="3"/>
  <c r="AB134" i="3"/>
  <c r="AC134" i="3"/>
  <c r="AD134" i="3"/>
  <c r="S135" i="3"/>
  <c r="T135" i="3"/>
  <c r="U135" i="3"/>
  <c r="V135" i="3"/>
  <c r="W135" i="3"/>
  <c r="X135" i="3"/>
  <c r="Y135" i="3"/>
  <c r="Z135" i="3"/>
  <c r="AA135" i="3"/>
  <c r="AB135" i="3"/>
  <c r="AC135" i="3"/>
  <c r="AD135" i="3"/>
  <c r="S136" i="3"/>
  <c r="T136" i="3"/>
  <c r="U136" i="3"/>
  <c r="V136" i="3"/>
  <c r="W136" i="3"/>
  <c r="X136" i="3"/>
  <c r="Y136" i="3"/>
  <c r="Z136" i="3"/>
  <c r="AA136" i="3"/>
  <c r="AB136" i="3"/>
  <c r="AC136" i="3"/>
  <c r="AD136" i="3"/>
  <c r="S137" i="3"/>
  <c r="T137" i="3"/>
  <c r="U137" i="3"/>
  <c r="V137" i="3"/>
  <c r="W137" i="3"/>
  <c r="X137" i="3"/>
  <c r="Y137" i="3"/>
  <c r="Z137" i="3"/>
  <c r="AA137" i="3"/>
  <c r="AB137" i="3"/>
  <c r="AC137" i="3"/>
  <c r="AD137" i="3"/>
  <c r="S138" i="3"/>
  <c r="T138" i="3"/>
  <c r="U138" i="3"/>
  <c r="V138" i="3"/>
  <c r="W138" i="3"/>
  <c r="X138" i="3"/>
  <c r="Y138" i="3"/>
  <c r="Z138" i="3"/>
  <c r="AA138" i="3"/>
  <c r="AB138" i="3"/>
  <c r="AC138" i="3"/>
  <c r="AD138" i="3"/>
  <c r="AD2" i="3"/>
  <c r="AC2" i="3"/>
  <c r="AB2" i="3"/>
  <c r="M92" i="7" l="1"/>
  <c r="K92" i="4"/>
  <c r="L92" i="4"/>
  <c r="M92" i="4"/>
  <c r="L92" i="7"/>
  <c r="K92" i="7"/>
  <c r="O92" i="7"/>
  <c r="N92" i="4"/>
  <c r="N92" i="7"/>
  <c r="O92" i="4"/>
  <c r="M15" i="7"/>
  <c r="N15" i="7"/>
  <c r="O15" i="7"/>
  <c r="K138" i="4"/>
  <c r="L138" i="4"/>
  <c r="K15" i="7"/>
  <c r="N138" i="4"/>
  <c r="O138" i="4"/>
  <c r="K137" i="4"/>
  <c r="L15" i="7"/>
  <c r="M138" i="4"/>
  <c r="N15" i="4"/>
  <c r="O15" i="4"/>
  <c r="K14" i="4"/>
  <c r="K15" i="4"/>
  <c r="L15" i="4"/>
  <c r="M15" i="4"/>
  <c r="AA2" i="3"/>
  <c r="Z2" i="3"/>
  <c r="Y2" i="3"/>
  <c r="X2" i="3"/>
  <c r="W2" i="3"/>
  <c r="V2" i="3"/>
  <c r="S2" i="3"/>
  <c r="P15" i="7" l="1"/>
  <c r="P92" i="4"/>
  <c r="P15" i="4"/>
  <c r="R15" i="4" s="1"/>
  <c r="N10" i="6"/>
  <c r="N7" i="6"/>
  <c r="E21" i="6"/>
  <c r="M8" i="5"/>
  <c r="L8" i="5"/>
  <c r="K8" i="5"/>
  <c r="J8" i="5"/>
  <c r="I8" i="5"/>
  <c r="G8" i="5"/>
  <c r="F8" i="5"/>
  <c r="E8" i="5"/>
  <c r="D8" i="5"/>
  <c r="C8" i="5"/>
  <c r="M7" i="5"/>
  <c r="L7" i="5"/>
  <c r="K7" i="5"/>
  <c r="J7" i="5"/>
  <c r="I7" i="5"/>
  <c r="G7" i="5"/>
  <c r="F7" i="5"/>
  <c r="E7" i="5"/>
  <c r="D7" i="5"/>
  <c r="C7" i="5"/>
  <c r="M6" i="5"/>
  <c r="L6" i="5"/>
  <c r="K6" i="5"/>
  <c r="J6" i="5"/>
  <c r="I6" i="5"/>
  <c r="G6" i="5"/>
  <c r="F6" i="5"/>
  <c r="E6" i="5"/>
  <c r="D6" i="5"/>
  <c r="C6" i="5"/>
  <c r="M5" i="5"/>
  <c r="L5" i="5"/>
  <c r="K5" i="5"/>
  <c r="J5" i="5"/>
  <c r="I5" i="5"/>
  <c r="G5" i="5"/>
  <c r="F5" i="5"/>
  <c r="E5" i="5"/>
  <c r="D5" i="5"/>
  <c r="C5" i="5"/>
  <c r="M4" i="5"/>
  <c r="L4" i="5"/>
  <c r="K4" i="5"/>
  <c r="J4" i="5"/>
  <c r="I4" i="5"/>
  <c r="G4" i="5"/>
  <c r="F4" i="5"/>
  <c r="E4" i="5"/>
  <c r="D4" i="5"/>
  <c r="C4" i="5"/>
  <c r="K137" i="7"/>
  <c r="L137" i="7"/>
  <c r="M137" i="7"/>
  <c r="N137" i="7"/>
  <c r="O137" i="7"/>
  <c r="K138" i="7"/>
  <c r="L138" i="7"/>
  <c r="M138" i="7"/>
  <c r="N138" i="7"/>
  <c r="O138" i="7"/>
  <c r="L137" i="4"/>
  <c r="M137" i="4"/>
  <c r="N137" i="4"/>
  <c r="O137" i="4"/>
  <c r="K2" i="4"/>
  <c r="O2" i="13"/>
  <c r="S138" i="13"/>
  <c r="R138" i="13"/>
  <c r="Q138" i="13"/>
  <c r="P138" i="13"/>
  <c r="O138" i="13"/>
  <c r="R137" i="13"/>
  <c r="P137" i="13"/>
  <c r="R136" i="13"/>
  <c r="P136" i="13"/>
  <c r="R135" i="13"/>
  <c r="P135" i="13"/>
  <c r="R134" i="13"/>
  <c r="Q134" i="13"/>
  <c r="P134" i="13"/>
  <c r="S133" i="13"/>
  <c r="R133" i="13"/>
  <c r="Q133" i="13"/>
  <c r="P133" i="13"/>
  <c r="O133" i="13"/>
  <c r="S132" i="13"/>
  <c r="R132" i="13"/>
  <c r="Q132" i="13"/>
  <c r="P132" i="13"/>
  <c r="O132" i="13"/>
  <c r="S131" i="13"/>
  <c r="R131" i="13"/>
  <c r="Q131" i="13"/>
  <c r="P131" i="13"/>
  <c r="O131" i="13"/>
  <c r="S130" i="13"/>
  <c r="R130" i="13"/>
  <c r="Q130" i="13"/>
  <c r="P130" i="13"/>
  <c r="O130" i="13"/>
  <c r="S129" i="13"/>
  <c r="R129" i="13"/>
  <c r="Q129" i="13"/>
  <c r="P129" i="13"/>
  <c r="O129" i="13"/>
  <c r="S128" i="13"/>
  <c r="R128" i="13"/>
  <c r="Q128" i="13"/>
  <c r="P128" i="13"/>
  <c r="O128" i="13"/>
  <c r="S127" i="13"/>
  <c r="R127" i="13"/>
  <c r="Q127" i="13"/>
  <c r="P127" i="13"/>
  <c r="O127" i="13"/>
  <c r="S126" i="13"/>
  <c r="R126" i="13"/>
  <c r="Q126" i="13"/>
  <c r="P126" i="13"/>
  <c r="O126" i="13"/>
  <c r="S125" i="13"/>
  <c r="R125" i="13"/>
  <c r="Q125" i="13"/>
  <c r="P125" i="13"/>
  <c r="O125" i="13"/>
  <c r="S124" i="13"/>
  <c r="R124" i="13"/>
  <c r="Q124" i="13"/>
  <c r="P124" i="13"/>
  <c r="O124" i="13"/>
  <c r="S123" i="13"/>
  <c r="R123" i="13"/>
  <c r="Q123" i="13"/>
  <c r="P123" i="13"/>
  <c r="O123" i="13"/>
  <c r="S122" i="13"/>
  <c r="R122" i="13"/>
  <c r="Q122" i="13"/>
  <c r="P122" i="13"/>
  <c r="O122" i="13"/>
  <c r="S121" i="13"/>
  <c r="R121" i="13"/>
  <c r="Q121" i="13"/>
  <c r="P121" i="13"/>
  <c r="O121" i="13"/>
  <c r="S120" i="13"/>
  <c r="R120" i="13"/>
  <c r="Q120" i="13"/>
  <c r="P120" i="13"/>
  <c r="O120" i="13"/>
  <c r="S119" i="13"/>
  <c r="R119" i="13"/>
  <c r="Q119" i="13"/>
  <c r="P119" i="13"/>
  <c r="O119" i="13"/>
  <c r="S118" i="13"/>
  <c r="R118" i="13"/>
  <c r="Q118" i="13"/>
  <c r="P118" i="13"/>
  <c r="O118" i="13"/>
  <c r="S117" i="13"/>
  <c r="R117" i="13"/>
  <c r="Q117" i="13"/>
  <c r="P117" i="13"/>
  <c r="O117" i="13"/>
  <c r="S116" i="13"/>
  <c r="R116" i="13"/>
  <c r="Q116" i="13"/>
  <c r="P116" i="13"/>
  <c r="O116" i="13"/>
  <c r="S115" i="13"/>
  <c r="R115" i="13"/>
  <c r="Q115" i="13"/>
  <c r="P115" i="13"/>
  <c r="O115" i="13"/>
  <c r="S114" i="13"/>
  <c r="R114" i="13"/>
  <c r="Q114" i="13"/>
  <c r="P114" i="13"/>
  <c r="O114" i="13"/>
  <c r="S113" i="13"/>
  <c r="R113" i="13"/>
  <c r="Q113" i="13"/>
  <c r="P113" i="13"/>
  <c r="O113" i="13"/>
  <c r="S112" i="13"/>
  <c r="R112" i="13"/>
  <c r="Q112" i="13"/>
  <c r="P112" i="13"/>
  <c r="O112" i="13"/>
  <c r="S111" i="13"/>
  <c r="R111" i="13"/>
  <c r="Q111" i="13"/>
  <c r="P111" i="13"/>
  <c r="O111" i="13"/>
  <c r="R110" i="13"/>
  <c r="Q110" i="13"/>
  <c r="S109" i="13"/>
  <c r="R109" i="13"/>
  <c r="Q109" i="13"/>
  <c r="P109" i="13"/>
  <c r="O109" i="13"/>
  <c r="S108" i="13"/>
  <c r="R108" i="13"/>
  <c r="Q108" i="13"/>
  <c r="P108" i="13"/>
  <c r="S107" i="13"/>
  <c r="R107" i="13"/>
  <c r="Q107" i="13"/>
  <c r="P107" i="13"/>
  <c r="O107" i="13"/>
  <c r="S106" i="13"/>
  <c r="R106" i="13"/>
  <c r="Q106" i="13"/>
  <c r="P106" i="13"/>
  <c r="S105" i="13"/>
  <c r="R105" i="13"/>
  <c r="Q105" i="13"/>
  <c r="P105" i="13"/>
  <c r="O105" i="13"/>
  <c r="S104" i="13"/>
  <c r="R104" i="13"/>
  <c r="Q104" i="13"/>
  <c r="P104" i="13"/>
  <c r="O104" i="13"/>
  <c r="S103" i="13"/>
  <c r="R103" i="13"/>
  <c r="Q103" i="13"/>
  <c r="P103" i="13"/>
  <c r="O103" i="13"/>
  <c r="S102" i="13"/>
  <c r="R102" i="13"/>
  <c r="Q102" i="13"/>
  <c r="P102" i="13"/>
  <c r="O102" i="13"/>
  <c r="S101" i="13"/>
  <c r="R101" i="13"/>
  <c r="Q101" i="13"/>
  <c r="P101" i="13"/>
  <c r="O101" i="13"/>
  <c r="R100" i="13"/>
  <c r="Q100" i="13"/>
  <c r="P100" i="13"/>
  <c r="O100" i="13"/>
  <c r="S99" i="13"/>
  <c r="R99" i="13"/>
  <c r="Q99" i="13"/>
  <c r="P99" i="13"/>
  <c r="O99" i="13"/>
  <c r="R98" i="13"/>
  <c r="Q98" i="13"/>
  <c r="P98" i="13"/>
  <c r="R97" i="13"/>
  <c r="Q97" i="13"/>
  <c r="P97" i="13"/>
  <c r="O97" i="13"/>
  <c r="R96" i="13"/>
  <c r="Q96" i="13"/>
  <c r="P96" i="13"/>
  <c r="S95" i="13"/>
  <c r="R95" i="13"/>
  <c r="Q95" i="13"/>
  <c r="P95" i="13"/>
  <c r="O95" i="13"/>
  <c r="S94" i="13"/>
  <c r="R94" i="13"/>
  <c r="Q94" i="13"/>
  <c r="P94" i="13"/>
  <c r="O94" i="13"/>
  <c r="S93" i="13"/>
  <c r="R93" i="13"/>
  <c r="Q93" i="13"/>
  <c r="P93" i="13"/>
  <c r="O93" i="13"/>
  <c r="S92" i="13"/>
  <c r="R92" i="13"/>
  <c r="Q92" i="13"/>
  <c r="P92" i="13"/>
  <c r="O92" i="13"/>
  <c r="S91" i="13"/>
  <c r="R91" i="13"/>
  <c r="Q91" i="13"/>
  <c r="P91" i="13"/>
  <c r="S90" i="13"/>
  <c r="R90" i="13"/>
  <c r="Q90" i="13"/>
  <c r="P90" i="13"/>
  <c r="S89" i="13"/>
  <c r="R89" i="13"/>
  <c r="Q89" i="13"/>
  <c r="P89" i="13"/>
  <c r="O89" i="13"/>
  <c r="S88" i="13"/>
  <c r="R88" i="13"/>
  <c r="Q88" i="13"/>
  <c r="P88" i="13"/>
  <c r="O88" i="13"/>
  <c r="R87" i="13"/>
  <c r="P87" i="13"/>
  <c r="R86" i="13"/>
  <c r="Q86" i="13"/>
  <c r="P86" i="13"/>
  <c r="R85" i="13"/>
  <c r="Q85" i="13"/>
  <c r="P85" i="13"/>
  <c r="S84" i="13"/>
  <c r="R84" i="13"/>
  <c r="Q84" i="13"/>
  <c r="P84" i="13"/>
  <c r="R83" i="13"/>
  <c r="Q83" i="13"/>
  <c r="P83" i="13"/>
  <c r="O83" i="13"/>
  <c r="S82" i="13"/>
  <c r="R82" i="13"/>
  <c r="Q82" i="13"/>
  <c r="P82" i="13"/>
  <c r="S81" i="13"/>
  <c r="R81" i="13"/>
  <c r="Q81" i="13"/>
  <c r="P81" i="13"/>
  <c r="O81" i="13"/>
  <c r="Q80" i="13"/>
  <c r="P80" i="13"/>
  <c r="O80" i="13"/>
  <c r="S79" i="13"/>
  <c r="R79" i="13"/>
  <c r="Q79" i="13"/>
  <c r="P79" i="13"/>
  <c r="O79" i="13"/>
  <c r="S78" i="13"/>
  <c r="R78" i="13"/>
  <c r="Q78" i="13"/>
  <c r="P78" i="13"/>
  <c r="R77" i="13"/>
  <c r="Q77" i="13"/>
  <c r="P77" i="13"/>
  <c r="S76" i="13"/>
  <c r="R76" i="13"/>
  <c r="Q76" i="13"/>
  <c r="P76" i="13"/>
  <c r="O76" i="13"/>
  <c r="S75" i="13"/>
  <c r="R75" i="13"/>
  <c r="Q75" i="13"/>
  <c r="P75" i="13"/>
  <c r="S74" i="13"/>
  <c r="R74" i="13"/>
  <c r="Q74" i="13"/>
  <c r="P74" i="13"/>
  <c r="O74" i="13"/>
  <c r="S73" i="13"/>
  <c r="R73" i="13"/>
  <c r="Q73" i="13"/>
  <c r="P73" i="13"/>
  <c r="O73" i="13"/>
  <c r="S72" i="13"/>
  <c r="R72" i="13"/>
  <c r="Q72" i="13"/>
  <c r="P72" i="13"/>
  <c r="O72" i="13"/>
  <c r="S71" i="13"/>
  <c r="R71" i="13"/>
  <c r="Q71" i="13"/>
  <c r="P71" i="13"/>
  <c r="O71" i="13"/>
  <c r="S70" i="13"/>
  <c r="R70" i="13"/>
  <c r="Q70" i="13"/>
  <c r="P70" i="13"/>
  <c r="O70" i="13"/>
  <c r="R69" i="13"/>
  <c r="Q69" i="13"/>
  <c r="P69" i="13"/>
  <c r="O69" i="13"/>
  <c r="S68" i="13"/>
  <c r="R68" i="13"/>
  <c r="Q68" i="13"/>
  <c r="P68" i="13"/>
  <c r="O68" i="13"/>
  <c r="S67" i="13"/>
  <c r="R67" i="13"/>
  <c r="Q67" i="13"/>
  <c r="P67" i="13"/>
  <c r="O67" i="13"/>
  <c r="S66" i="13"/>
  <c r="R66" i="13"/>
  <c r="Q66" i="13"/>
  <c r="P66" i="13"/>
  <c r="O66" i="13"/>
  <c r="R65" i="13"/>
  <c r="Q65" i="13"/>
  <c r="P65" i="13"/>
  <c r="O65" i="13"/>
  <c r="S64" i="13"/>
  <c r="R64" i="13"/>
  <c r="Q64" i="13"/>
  <c r="P64" i="13"/>
  <c r="O64" i="13"/>
  <c r="R63" i="13"/>
  <c r="Q63" i="13"/>
  <c r="P63" i="13"/>
  <c r="O63" i="13"/>
  <c r="S62" i="13"/>
  <c r="R62" i="13"/>
  <c r="Q62" i="13"/>
  <c r="P62" i="13"/>
  <c r="O62" i="13"/>
  <c r="S61" i="13"/>
  <c r="R61" i="13"/>
  <c r="Q61" i="13"/>
  <c r="P61" i="13"/>
  <c r="O61" i="13"/>
  <c r="R60" i="13"/>
  <c r="Q60" i="13"/>
  <c r="P60" i="13"/>
  <c r="O60" i="13"/>
  <c r="S59" i="13"/>
  <c r="R59" i="13"/>
  <c r="Q59" i="13"/>
  <c r="P59" i="13"/>
  <c r="O59" i="13"/>
  <c r="S58" i="13"/>
  <c r="R58" i="13"/>
  <c r="Q58" i="13"/>
  <c r="P58" i="13"/>
  <c r="O58" i="13"/>
  <c r="S57" i="13"/>
  <c r="R57" i="13"/>
  <c r="Q57" i="13"/>
  <c r="P57" i="13"/>
  <c r="O57" i="13"/>
  <c r="S56" i="13"/>
  <c r="R56" i="13"/>
  <c r="Q56" i="13"/>
  <c r="P56" i="13"/>
  <c r="O56" i="13"/>
  <c r="S55" i="13"/>
  <c r="R55" i="13"/>
  <c r="Q55" i="13"/>
  <c r="P55" i="13"/>
  <c r="O55" i="13"/>
  <c r="S54" i="13"/>
  <c r="R54" i="13"/>
  <c r="Q54" i="13"/>
  <c r="P54" i="13"/>
  <c r="O54" i="13"/>
  <c r="S53" i="13"/>
  <c r="R53" i="13"/>
  <c r="Q53" i="13"/>
  <c r="P53" i="13"/>
  <c r="O53" i="13"/>
  <c r="S52" i="13"/>
  <c r="R52" i="13"/>
  <c r="Q52" i="13"/>
  <c r="P52" i="13"/>
  <c r="O52" i="13"/>
  <c r="S51" i="13"/>
  <c r="R51" i="13"/>
  <c r="Q51" i="13"/>
  <c r="P51" i="13"/>
  <c r="O51" i="13"/>
  <c r="S50" i="13"/>
  <c r="R50" i="13"/>
  <c r="Q50" i="13"/>
  <c r="P50" i="13"/>
  <c r="O50" i="13"/>
  <c r="S49" i="13"/>
  <c r="R49" i="13"/>
  <c r="Q49" i="13"/>
  <c r="P49" i="13"/>
  <c r="O49" i="13"/>
  <c r="R48" i="13"/>
  <c r="Q48" i="13"/>
  <c r="P48" i="13"/>
  <c r="R47" i="13"/>
  <c r="Q47" i="13"/>
  <c r="P47" i="13"/>
  <c r="S46" i="13"/>
  <c r="R46" i="13"/>
  <c r="Q46" i="13"/>
  <c r="P46" i="13"/>
  <c r="O46" i="13"/>
  <c r="S45" i="13"/>
  <c r="R45" i="13"/>
  <c r="Q45" i="13"/>
  <c r="P45" i="13"/>
  <c r="O45" i="13"/>
  <c r="S44" i="13"/>
  <c r="R44" i="13"/>
  <c r="Q44" i="13"/>
  <c r="P44" i="13"/>
  <c r="O44" i="13"/>
  <c r="S43" i="13"/>
  <c r="R43" i="13"/>
  <c r="Q43" i="13"/>
  <c r="P43" i="13"/>
  <c r="O43" i="13"/>
  <c r="S42" i="13"/>
  <c r="R42" i="13"/>
  <c r="Q42" i="13"/>
  <c r="P42" i="13"/>
  <c r="O42" i="13"/>
  <c r="S41" i="13"/>
  <c r="R41" i="13"/>
  <c r="Q41" i="13"/>
  <c r="P41" i="13"/>
  <c r="O41" i="13"/>
  <c r="S40" i="13"/>
  <c r="R40" i="13"/>
  <c r="Q40" i="13"/>
  <c r="P40" i="13"/>
  <c r="O40" i="13"/>
  <c r="S39" i="13"/>
  <c r="R39" i="13"/>
  <c r="Q39" i="13"/>
  <c r="P39" i="13"/>
  <c r="R38" i="13"/>
  <c r="Q38" i="13"/>
  <c r="P38" i="13"/>
  <c r="R37" i="13"/>
  <c r="Q37" i="13"/>
  <c r="P37" i="13"/>
  <c r="O37" i="13"/>
  <c r="S36" i="13"/>
  <c r="R36" i="13"/>
  <c r="Q36" i="13"/>
  <c r="P36" i="13"/>
  <c r="O36" i="13"/>
  <c r="S35" i="13"/>
  <c r="R35" i="13"/>
  <c r="Q35" i="13"/>
  <c r="P35" i="13"/>
  <c r="O35" i="13"/>
  <c r="S34" i="13"/>
  <c r="R34" i="13"/>
  <c r="Q34" i="13"/>
  <c r="P34" i="13"/>
  <c r="O34" i="13"/>
  <c r="S33" i="13"/>
  <c r="R33" i="13"/>
  <c r="Q33" i="13"/>
  <c r="P33" i="13"/>
  <c r="O33" i="13"/>
  <c r="S32" i="13"/>
  <c r="R32" i="13"/>
  <c r="Q32" i="13"/>
  <c r="P32" i="13"/>
  <c r="O32" i="13"/>
  <c r="S31" i="13"/>
  <c r="R31" i="13"/>
  <c r="Q31" i="13"/>
  <c r="P31" i="13"/>
  <c r="O31" i="13"/>
  <c r="S30" i="13"/>
  <c r="R30" i="13"/>
  <c r="Q30" i="13"/>
  <c r="P30" i="13"/>
  <c r="O30" i="13"/>
  <c r="S29" i="13"/>
  <c r="R29" i="13"/>
  <c r="Q29" i="13"/>
  <c r="P29" i="13"/>
  <c r="O29" i="13"/>
  <c r="S28" i="13"/>
  <c r="R28" i="13"/>
  <c r="Q28" i="13"/>
  <c r="P28" i="13"/>
  <c r="O28" i="13"/>
  <c r="S27" i="13"/>
  <c r="R27" i="13"/>
  <c r="Q27" i="13"/>
  <c r="P27" i="13"/>
  <c r="O27" i="13"/>
  <c r="S26" i="13"/>
  <c r="R26" i="13"/>
  <c r="Q26" i="13"/>
  <c r="P26" i="13"/>
  <c r="O26" i="13"/>
  <c r="S24" i="13"/>
  <c r="R24" i="13"/>
  <c r="Q24" i="13"/>
  <c r="P24" i="13"/>
  <c r="O24" i="13"/>
  <c r="S23" i="13"/>
  <c r="R23" i="13"/>
  <c r="Q23" i="13"/>
  <c r="P23" i="13"/>
  <c r="S22" i="13"/>
  <c r="R22" i="13"/>
  <c r="Q22" i="13"/>
  <c r="P22" i="13"/>
  <c r="O22" i="13"/>
  <c r="R21" i="13"/>
  <c r="P21" i="13"/>
  <c r="R20" i="13"/>
  <c r="Q20" i="13"/>
  <c r="P20" i="13"/>
  <c r="O20" i="13"/>
  <c r="S19" i="13"/>
  <c r="R19" i="13"/>
  <c r="Q19" i="13"/>
  <c r="P19" i="13"/>
  <c r="O19" i="13"/>
  <c r="S18" i="13"/>
  <c r="R18" i="13"/>
  <c r="Q18" i="13"/>
  <c r="P18" i="13"/>
  <c r="O18" i="13"/>
  <c r="S17" i="13"/>
  <c r="R17" i="13"/>
  <c r="Q17" i="13"/>
  <c r="P17" i="13"/>
  <c r="O17" i="13"/>
  <c r="R16" i="13"/>
  <c r="P16" i="13"/>
  <c r="S15" i="13"/>
  <c r="R15" i="13"/>
  <c r="Q15" i="13"/>
  <c r="P15" i="13"/>
  <c r="O15" i="13"/>
  <c r="S14" i="13"/>
  <c r="R14" i="13"/>
  <c r="Q14" i="13"/>
  <c r="P14" i="13"/>
  <c r="O14" i="13"/>
  <c r="S13" i="13"/>
  <c r="R13" i="13"/>
  <c r="Q13" i="13"/>
  <c r="P13" i="13"/>
  <c r="O13" i="13"/>
  <c r="S12" i="13"/>
  <c r="R12" i="13"/>
  <c r="Q12" i="13"/>
  <c r="P12" i="13"/>
  <c r="O12" i="13"/>
  <c r="S11" i="13"/>
  <c r="R11" i="13"/>
  <c r="Q11" i="13"/>
  <c r="P11" i="13"/>
  <c r="O11" i="13"/>
  <c r="R10" i="13"/>
  <c r="Q10" i="13"/>
  <c r="P10" i="13"/>
  <c r="O10" i="13"/>
  <c r="R9" i="13"/>
  <c r="Q9" i="13"/>
  <c r="P9" i="13"/>
  <c r="O9" i="13"/>
  <c r="S8" i="13"/>
  <c r="R8" i="13"/>
  <c r="Q8" i="13"/>
  <c r="P8" i="13"/>
  <c r="O8" i="13"/>
  <c r="S7" i="13"/>
  <c r="R7" i="13"/>
  <c r="Q7" i="13"/>
  <c r="P7" i="13"/>
  <c r="O7" i="13"/>
  <c r="S6" i="13"/>
  <c r="R6" i="13"/>
  <c r="Q6" i="13"/>
  <c r="P6" i="13"/>
  <c r="O6" i="13"/>
  <c r="S5" i="13"/>
  <c r="R5" i="13"/>
  <c r="Q5" i="13"/>
  <c r="P5" i="13"/>
  <c r="O5" i="13"/>
  <c r="S4" i="13"/>
  <c r="R4" i="13"/>
  <c r="Q4" i="13"/>
  <c r="P4" i="13"/>
  <c r="O4" i="13"/>
  <c r="S3" i="13"/>
  <c r="R3" i="13"/>
  <c r="Q3" i="13"/>
  <c r="P3" i="13"/>
  <c r="O3" i="13"/>
  <c r="S2" i="13"/>
  <c r="R2" i="13"/>
  <c r="Q2" i="13"/>
  <c r="P2" i="13"/>
  <c r="R15" i="7" l="1"/>
  <c r="Q15" i="7"/>
  <c r="Q15" i="4"/>
  <c r="J138" i="4"/>
  <c r="J137" i="7"/>
  <c r="J137" i="4"/>
  <c r="J138" i="7"/>
  <c r="O4" i="5"/>
  <c r="C9" i="5"/>
  <c r="P137" i="7"/>
  <c r="P138" i="4"/>
  <c r="P137" i="4"/>
  <c r="C14" i="5"/>
  <c r="C24" i="5" s="1"/>
  <c r="P138" i="7"/>
  <c r="B26" i="6"/>
  <c r="B25" i="6"/>
  <c r="B22" i="6"/>
  <c r="B21" i="6"/>
  <c r="R138" i="4" l="1"/>
  <c r="R137" i="7"/>
  <c r="Q137" i="4"/>
  <c r="C34" i="5"/>
  <c r="Q138" i="4"/>
  <c r="Q137" i="7"/>
  <c r="R138" i="7"/>
  <c r="Q138" i="7"/>
  <c r="R137" i="4"/>
  <c r="N4" i="6"/>
  <c r="O4" i="6" s="1"/>
  <c r="N1" i="6"/>
  <c r="O1" i="6" s="1"/>
  <c r="O136" i="7"/>
  <c r="N136" i="7"/>
  <c r="M136" i="7"/>
  <c r="L136" i="7"/>
  <c r="K136" i="7"/>
  <c r="O135" i="7"/>
  <c r="N135" i="7"/>
  <c r="M135" i="7"/>
  <c r="L135" i="7"/>
  <c r="K135" i="7"/>
  <c r="O134" i="7"/>
  <c r="N134" i="7"/>
  <c r="M134" i="7"/>
  <c r="L134" i="7"/>
  <c r="K134" i="7"/>
  <c r="O133" i="7"/>
  <c r="N133" i="7"/>
  <c r="M133" i="7"/>
  <c r="L133" i="7"/>
  <c r="K133" i="7"/>
  <c r="O132" i="7"/>
  <c r="N132" i="7"/>
  <c r="M132" i="7"/>
  <c r="L132" i="7"/>
  <c r="K132" i="7"/>
  <c r="O131" i="7"/>
  <c r="N131" i="7"/>
  <c r="M131" i="7"/>
  <c r="L131" i="7"/>
  <c r="K131" i="7"/>
  <c r="O130" i="7"/>
  <c r="N130" i="7"/>
  <c r="M130" i="7"/>
  <c r="L130" i="7"/>
  <c r="K130" i="7"/>
  <c r="O129" i="7"/>
  <c r="N129" i="7"/>
  <c r="M129" i="7"/>
  <c r="L129" i="7"/>
  <c r="K129" i="7"/>
  <c r="O128" i="7"/>
  <c r="N128" i="7"/>
  <c r="M128" i="7"/>
  <c r="L128" i="7"/>
  <c r="K128" i="7"/>
  <c r="O127" i="7"/>
  <c r="N127" i="7"/>
  <c r="M127" i="7"/>
  <c r="L127" i="7"/>
  <c r="K127" i="7"/>
  <c r="O126" i="7"/>
  <c r="N126" i="7"/>
  <c r="M126" i="7"/>
  <c r="L126" i="7"/>
  <c r="K126" i="7"/>
  <c r="O125" i="7"/>
  <c r="N125" i="7"/>
  <c r="M125" i="7"/>
  <c r="L125" i="7"/>
  <c r="K125" i="7"/>
  <c r="O124" i="7"/>
  <c r="N124" i="7"/>
  <c r="M124" i="7"/>
  <c r="L124" i="7"/>
  <c r="K124" i="7"/>
  <c r="O123" i="7"/>
  <c r="N123" i="7"/>
  <c r="M123" i="7"/>
  <c r="L123" i="7"/>
  <c r="K123" i="7"/>
  <c r="O122" i="7"/>
  <c r="N122" i="7"/>
  <c r="M122" i="7"/>
  <c r="L122" i="7"/>
  <c r="K122" i="7"/>
  <c r="O121" i="7"/>
  <c r="N121" i="7"/>
  <c r="M121" i="7"/>
  <c r="L121" i="7"/>
  <c r="K121" i="7"/>
  <c r="O120" i="7"/>
  <c r="N120" i="7"/>
  <c r="M120" i="7"/>
  <c r="L120" i="7"/>
  <c r="K120" i="7"/>
  <c r="O119" i="7"/>
  <c r="N119" i="7"/>
  <c r="M119" i="7"/>
  <c r="L119" i="7"/>
  <c r="K119" i="7"/>
  <c r="O118" i="7"/>
  <c r="N118" i="7"/>
  <c r="M118" i="7"/>
  <c r="L118" i="7"/>
  <c r="K118" i="7"/>
  <c r="O117" i="7"/>
  <c r="N117" i="7"/>
  <c r="M117" i="7"/>
  <c r="L117" i="7"/>
  <c r="K117" i="7"/>
  <c r="O116" i="7"/>
  <c r="N116" i="7"/>
  <c r="M116" i="7"/>
  <c r="L116" i="7"/>
  <c r="K116" i="7"/>
  <c r="O115" i="7"/>
  <c r="N115" i="7"/>
  <c r="M115" i="7"/>
  <c r="L115" i="7"/>
  <c r="K115" i="7"/>
  <c r="O114" i="7"/>
  <c r="N114" i="7"/>
  <c r="M114" i="7"/>
  <c r="L114" i="7"/>
  <c r="K114" i="7"/>
  <c r="O113" i="7"/>
  <c r="N113" i="7"/>
  <c r="M113" i="7"/>
  <c r="L113" i="7"/>
  <c r="K113" i="7"/>
  <c r="O112" i="7"/>
  <c r="N112" i="7"/>
  <c r="M112" i="7"/>
  <c r="L112" i="7"/>
  <c r="K112" i="7"/>
  <c r="O111" i="7"/>
  <c r="N111" i="7"/>
  <c r="M111" i="7"/>
  <c r="L111" i="7"/>
  <c r="K111" i="7"/>
  <c r="O110" i="7"/>
  <c r="N110" i="7"/>
  <c r="M110" i="7"/>
  <c r="L110" i="7"/>
  <c r="K110" i="7"/>
  <c r="O109" i="7"/>
  <c r="N109" i="7"/>
  <c r="M109" i="7"/>
  <c r="L109" i="7"/>
  <c r="K109" i="7"/>
  <c r="O108" i="7"/>
  <c r="N108" i="7"/>
  <c r="M108" i="7"/>
  <c r="L108" i="7"/>
  <c r="K108" i="7"/>
  <c r="O107" i="7"/>
  <c r="N107" i="7"/>
  <c r="M107" i="7"/>
  <c r="L107" i="7"/>
  <c r="K107" i="7"/>
  <c r="O106" i="7"/>
  <c r="N106" i="7"/>
  <c r="M106" i="7"/>
  <c r="L106" i="7"/>
  <c r="K106" i="7"/>
  <c r="O105" i="7"/>
  <c r="N105" i="7"/>
  <c r="M105" i="7"/>
  <c r="L105" i="7"/>
  <c r="K105" i="7"/>
  <c r="O104" i="7"/>
  <c r="N104" i="7"/>
  <c r="M104" i="7"/>
  <c r="L104" i="7"/>
  <c r="K104" i="7"/>
  <c r="O103" i="7"/>
  <c r="N103" i="7"/>
  <c r="M103" i="7"/>
  <c r="L103" i="7"/>
  <c r="K103" i="7"/>
  <c r="O102" i="7"/>
  <c r="N102" i="7"/>
  <c r="M102" i="7"/>
  <c r="L102" i="7"/>
  <c r="K102" i="7"/>
  <c r="O101" i="7"/>
  <c r="N101" i="7"/>
  <c r="M101" i="7"/>
  <c r="L101" i="7"/>
  <c r="K101" i="7"/>
  <c r="O100" i="7"/>
  <c r="N100" i="7"/>
  <c r="M100" i="7"/>
  <c r="L100" i="7"/>
  <c r="K100" i="7"/>
  <c r="O99" i="7"/>
  <c r="N99" i="7"/>
  <c r="M99" i="7"/>
  <c r="L99" i="7"/>
  <c r="K99" i="7"/>
  <c r="O98" i="7"/>
  <c r="N98" i="7"/>
  <c r="M98" i="7"/>
  <c r="L98" i="7"/>
  <c r="K98" i="7"/>
  <c r="O97" i="7"/>
  <c r="N97" i="7"/>
  <c r="M97" i="7"/>
  <c r="L97" i="7"/>
  <c r="K97" i="7"/>
  <c r="O96" i="7"/>
  <c r="N96" i="7"/>
  <c r="M96" i="7"/>
  <c r="L96" i="7"/>
  <c r="K96" i="7"/>
  <c r="O95" i="7"/>
  <c r="N95" i="7"/>
  <c r="M95" i="7"/>
  <c r="L95" i="7"/>
  <c r="K95" i="7"/>
  <c r="O94" i="7"/>
  <c r="N94" i="7"/>
  <c r="M94" i="7"/>
  <c r="L94" i="7"/>
  <c r="K94" i="7"/>
  <c r="O93" i="7"/>
  <c r="N93" i="7"/>
  <c r="M93" i="7"/>
  <c r="L93" i="7"/>
  <c r="K93" i="7"/>
  <c r="O91" i="7"/>
  <c r="N91" i="7"/>
  <c r="M91" i="7"/>
  <c r="L91" i="7"/>
  <c r="K91" i="7"/>
  <c r="O90" i="7"/>
  <c r="N90" i="7"/>
  <c r="M90" i="7"/>
  <c r="L90" i="7"/>
  <c r="K90" i="7"/>
  <c r="O89" i="7"/>
  <c r="N89" i="7"/>
  <c r="M89" i="7"/>
  <c r="L89" i="7"/>
  <c r="K89" i="7"/>
  <c r="O88" i="7"/>
  <c r="N88" i="7"/>
  <c r="M88" i="7"/>
  <c r="L88" i="7"/>
  <c r="K88" i="7"/>
  <c r="O87" i="7"/>
  <c r="N87" i="7"/>
  <c r="M87" i="7"/>
  <c r="L87" i="7"/>
  <c r="K87" i="7"/>
  <c r="O86" i="7"/>
  <c r="N86" i="7"/>
  <c r="M86" i="7"/>
  <c r="L86" i="7"/>
  <c r="K86" i="7"/>
  <c r="O85" i="7"/>
  <c r="N85" i="7"/>
  <c r="M85" i="7"/>
  <c r="L85" i="7"/>
  <c r="K85" i="7"/>
  <c r="O84" i="7"/>
  <c r="N84" i="7"/>
  <c r="M84" i="7"/>
  <c r="L84" i="7"/>
  <c r="K84" i="7"/>
  <c r="O83" i="7"/>
  <c r="N83" i="7"/>
  <c r="M83" i="7"/>
  <c r="L83" i="7"/>
  <c r="K83" i="7"/>
  <c r="O82" i="7"/>
  <c r="N82" i="7"/>
  <c r="M82" i="7"/>
  <c r="L82" i="7"/>
  <c r="K82" i="7"/>
  <c r="O81" i="7"/>
  <c r="N81" i="7"/>
  <c r="M81" i="7"/>
  <c r="L81" i="7"/>
  <c r="K81" i="7"/>
  <c r="O80" i="7"/>
  <c r="N80" i="7"/>
  <c r="M80" i="7"/>
  <c r="L80" i="7"/>
  <c r="K80" i="7"/>
  <c r="O79" i="7"/>
  <c r="N79" i="7"/>
  <c r="M79" i="7"/>
  <c r="L79" i="7"/>
  <c r="K79" i="7"/>
  <c r="O78" i="7"/>
  <c r="N78" i="7"/>
  <c r="M78" i="7"/>
  <c r="L78" i="7"/>
  <c r="K78" i="7"/>
  <c r="O77" i="7"/>
  <c r="N77" i="7"/>
  <c r="M77" i="7"/>
  <c r="L77" i="7"/>
  <c r="K77" i="7"/>
  <c r="O76" i="7"/>
  <c r="N76" i="7"/>
  <c r="M76" i="7"/>
  <c r="L76" i="7"/>
  <c r="K76" i="7"/>
  <c r="O75" i="7"/>
  <c r="N75" i="7"/>
  <c r="M75" i="7"/>
  <c r="L75" i="7"/>
  <c r="K75" i="7"/>
  <c r="O74" i="7"/>
  <c r="N74" i="7"/>
  <c r="M74" i="7"/>
  <c r="L74" i="7"/>
  <c r="K74" i="7"/>
  <c r="O73" i="7"/>
  <c r="N73" i="7"/>
  <c r="M73" i="7"/>
  <c r="L73" i="7"/>
  <c r="K73" i="7"/>
  <c r="O72" i="7"/>
  <c r="N72" i="7"/>
  <c r="M72" i="7"/>
  <c r="L72" i="7"/>
  <c r="K72" i="7"/>
  <c r="O71" i="7"/>
  <c r="N71" i="7"/>
  <c r="M71" i="7"/>
  <c r="L71" i="7"/>
  <c r="K71" i="7"/>
  <c r="O70" i="7"/>
  <c r="N70" i="7"/>
  <c r="M70" i="7"/>
  <c r="L70" i="7"/>
  <c r="K70" i="7"/>
  <c r="O69" i="7"/>
  <c r="N69" i="7"/>
  <c r="M69" i="7"/>
  <c r="L69" i="7"/>
  <c r="K69" i="7"/>
  <c r="O68" i="7"/>
  <c r="N68" i="7"/>
  <c r="M68" i="7"/>
  <c r="L68" i="7"/>
  <c r="K68" i="7"/>
  <c r="O67" i="7"/>
  <c r="N67" i="7"/>
  <c r="M67" i="7"/>
  <c r="L67" i="7"/>
  <c r="K67" i="7"/>
  <c r="O66" i="7"/>
  <c r="N66" i="7"/>
  <c r="M66" i="7"/>
  <c r="L66" i="7"/>
  <c r="K66" i="7"/>
  <c r="O65" i="7"/>
  <c r="N65" i="7"/>
  <c r="M65" i="7"/>
  <c r="L65" i="7"/>
  <c r="K65" i="7"/>
  <c r="O64" i="7"/>
  <c r="N64" i="7"/>
  <c r="M64" i="7"/>
  <c r="L64" i="7"/>
  <c r="K64" i="7"/>
  <c r="O63" i="7"/>
  <c r="N63" i="7"/>
  <c r="M63" i="7"/>
  <c r="L63" i="7"/>
  <c r="K63" i="7"/>
  <c r="O62" i="7"/>
  <c r="N62" i="7"/>
  <c r="M62" i="7"/>
  <c r="L62" i="7"/>
  <c r="K62" i="7"/>
  <c r="O61" i="7"/>
  <c r="N61" i="7"/>
  <c r="M61" i="7"/>
  <c r="L61" i="7"/>
  <c r="K61" i="7"/>
  <c r="O60" i="7"/>
  <c r="N60" i="7"/>
  <c r="M60" i="7"/>
  <c r="L60" i="7"/>
  <c r="K60" i="7"/>
  <c r="O59" i="7"/>
  <c r="N59" i="7"/>
  <c r="M59" i="7"/>
  <c r="L59" i="7"/>
  <c r="K59" i="7"/>
  <c r="O58" i="7"/>
  <c r="N58" i="7"/>
  <c r="M58" i="7"/>
  <c r="L58" i="7"/>
  <c r="K58" i="7"/>
  <c r="O57" i="7"/>
  <c r="N57" i="7"/>
  <c r="M57" i="7"/>
  <c r="L57" i="7"/>
  <c r="K57" i="7"/>
  <c r="O56" i="7"/>
  <c r="N56" i="7"/>
  <c r="M56" i="7"/>
  <c r="L56" i="7"/>
  <c r="K56" i="7"/>
  <c r="O55" i="7"/>
  <c r="N55" i="7"/>
  <c r="M55" i="7"/>
  <c r="L55" i="7"/>
  <c r="K55" i="7"/>
  <c r="O54" i="7"/>
  <c r="N54" i="7"/>
  <c r="M54" i="7"/>
  <c r="L54" i="7"/>
  <c r="K54" i="7"/>
  <c r="O53" i="7"/>
  <c r="N53" i="7"/>
  <c r="M53" i="7"/>
  <c r="L53" i="7"/>
  <c r="K53" i="7"/>
  <c r="O52" i="7"/>
  <c r="N52" i="7"/>
  <c r="M52" i="7"/>
  <c r="L52" i="7"/>
  <c r="K52" i="7"/>
  <c r="O51" i="7"/>
  <c r="N51" i="7"/>
  <c r="M51" i="7"/>
  <c r="L51" i="7"/>
  <c r="K51" i="7"/>
  <c r="O50" i="7"/>
  <c r="N50" i="7"/>
  <c r="M50" i="7"/>
  <c r="L50" i="7"/>
  <c r="K50" i="7"/>
  <c r="O49" i="7"/>
  <c r="N49" i="7"/>
  <c r="M49" i="7"/>
  <c r="L49" i="7"/>
  <c r="K49" i="7"/>
  <c r="O48" i="7"/>
  <c r="N48" i="7"/>
  <c r="M48" i="7"/>
  <c r="L48" i="7"/>
  <c r="K48" i="7"/>
  <c r="O47" i="7"/>
  <c r="N47" i="7"/>
  <c r="M47" i="7"/>
  <c r="L47" i="7"/>
  <c r="K47" i="7"/>
  <c r="O46" i="7"/>
  <c r="N46" i="7"/>
  <c r="M46" i="7"/>
  <c r="L46" i="7"/>
  <c r="K46" i="7"/>
  <c r="O45" i="7"/>
  <c r="N45" i="7"/>
  <c r="M45" i="7"/>
  <c r="L45" i="7"/>
  <c r="K45" i="7"/>
  <c r="O44" i="7"/>
  <c r="N44" i="7"/>
  <c r="M44" i="7"/>
  <c r="L44" i="7"/>
  <c r="K44" i="7"/>
  <c r="O43" i="7"/>
  <c r="N43" i="7"/>
  <c r="M43" i="7"/>
  <c r="L43" i="7"/>
  <c r="K43" i="7"/>
  <c r="O42" i="7"/>
  <c r="N42" i="7"/>
  <c r="M42" i="7"/>
  <c r="L42" i="7"/>
  <c r="K42" i="7"/>
  <c r="O41" i="7"/>
  <c r="N41" i="7"/>
  <c r="M41" i="7"/>
  <c r="L41" i="7"/>
  <c r="K41" i="7"/>
  <c r="O40" i="7"/>
  <c r="N40" i="7"/>
  <c r="M40" i="7"/>
  <c r="L40" i="7"/>
  <c r="K40" i="7"/>
  <c r="O39" i="7"/>
  <c r="N39" i="7"/>
  <c r="M39" i="7"/>
  <c r="L39" i="7"/>
  <c r="K39" i="7"/>
  <c r="O38" i="7"/>
  <c r="N38" i="7"/>
  <c r="M38" i="7"/>
  <c r="L38" i="7"/>
  <c r="K38" i="7"/>
  <c r="O37" i="7"/>
  <c r="N37" i="7"/>
  <c r="M37" i="7"/>
  <c r="L37" i="7"/>
  <c r="K37" i="7"/>
  <c r="O36" i="7"/>
  <c r="N36" i="7"/>
  <c r="M36" i="7"/>
  <c r="L36" i="7"/>
  <c r="K36" i="7"/>
  <c r="O35" i="7"/>
  <c r="N35" i="7"/>
  <c r="M35" i="7"/>
  <c r="L35" i="7"/>
  <c r="K35" i="7"/>
  <c r="O34" i="7"/>
  <c r="N34" i="7"/>
  <c r="M34" i="7"/>
  <c r="L34" i="7"/>
  <c r="K34" i="7"/>
  <c r="O33" i="7"/>
  <c r="N33" i="7"/>
  <c r="M33" i="7"/>
  <c r="L33" i="7"/>
  <c r="K33" i="7"/>
  <c r="O32" i="7"/>
  <c r="N32" i="7"/>
  <c r="M32" i="7"/>
  <c r="L32" i="7"/>
  <c r="K32" i="7"/>
  <c r="O31" i="7"/>
  <c r="N31" i="7"/>
  <c r="M31" i="7"/>
  <c r="L31" i="7"/>
  <c r="K31" i="7"/>
  <c r="O30" i="7"/>
  <c r="N30" i="7"/>
  <c r="M30" i="7"/>
  <c r="L30" i="7"/>
  <c r="K30" i="7"/>
  <c r="O29" i="7"/>
  <c r="N29" i="7"/>
  <c r="M29" i="7"/>
  <c r="L29" i="7"/>
  <c r="K29" i="7"/>
  <c r="O28" i="7"/>
  <c r="N28" i="7"/>
  <c r="M28" i="7"/>
  <c r="L28" i="7"/>
  <c r="K28" i="7"/>
  <c r="O27" i="7"/>
  <c r="N27" i="7"/>
  <c r="M27" i="7"/>
  <c r="L27" i="7"/>
  <c r="K27" i="7"/>
  <c r="O26" i="7"/>
  <c r="N26" i="7"/>
  <c r="M26" i="7"/>
  <c r="L26" i="7"/>
  <c r="K26" i="7"/>
  <c r="O25" i="7"/>
  <c r="N25" i="7"/>
  <c r="M25" i="7"/>
  <c r="L25" i="7"/>
  <c r="K25" i="7"/>
  <c r="O24" i="7"/>
  <c r="N24" i="7"/>
  <c r="M24" i="7"/>
  <c r="L24" i="7"/>
  <c r="K24" i="7"/>
  <c r="O23" i="7"/>
  <c r="N23" i="7"/>
  <c r="M23" i="7"/>
  <c r="L23" i="7"/>
  <c r="K23" i="7"/>
  <c r="O22" i="7"/>
  <c r="N22" i="7"/>
  <c r="M22" i="7"/>
  <c r="L22" i="7"/>
  <c r="K22" i="7"/>
  <c r="O21" i="7"/>
  <c r="N21" i="7"/>
  <c r="M21" i="7"/>
  <c r="L21" i="7"/>
  <c r="K21" i="7"/>
  <c r="O20" i="7"/>
  <c r="N20" i="7"/>
  <c r="M20" i="7"/>
  <c r="L20" i="7"/>
  <c r="K20" i="7"/>
  <c r="O19" i="7"/>
  <c r="N19" i="7"/>
  <c r="M19" i="7"/>
  <c r="L19" i="7"/>
  <c r="K19" i="7"/>
  <c r="O18" i="7"/>
  <c r="N18" i="7"/>
  <c r="M18" i="7"/>
  <c r="L18" i="7"/>
  <c r="K18" i="7"/>
  <c r="O17" i="7"/>
  <c r="N17" i="7"/>
  <c r="M17" i="7"/>
  <c r="L17" i="7"/>
  <c r="K17" i="7"/>
  <c r="O16" i="7"/>
  <c r="N16" i="7"/>
  <c r="M16" i="7"/>
  <c r="L16" i="7"/>
  <c r="K16" i="7"/>
  <c r="O14" i="7"/>
  <c r="N14" i="7"/>
  <c r="M14" i="7"/>
  <c r="L14" i="7"/>
  <c r="K14" i="7"/>
  <c r="O13" i="7"/>
  <c r="N13" i="7"/>
  <c r="M13" i="7"/>
  <c r="L13" i="7"/>
  <c r="K13" i="7"/>
  <c r="O12" i="7"/>
  <c r="N12" i="7"/>
  <c r="M12" i="7"/>
  <c r="L12" i="7"/>
  <c r="K12" i="7"/>
  <c r="O11" i="7"/>
  <c r="N11" i="7"/>
  <c r="M11" i="7"/>
  <c r="L11" i="7"/>
  <c r="K11" i="7"/>
  <c r="O10" i="7"/>
  <c r="N10" i="7"/>
  <c r="M10" i="7"/>
  <c r="L10" i="7"/>
  <c r="K10" i="7"/>
  <c r="O9" i="7"/>
  <c r="N9" i="7"/>
  <c r="M9" i="7"/>
  <c r="L9" i="7"/>
  <c r="K9" i="7"/>
  <c r="O8" i="7"/>
  <c r="N8" i="7"/>
  <c r="M8" i="7"/>
  <c r="L8" i="7"/>
  <c r="K8" i="7"/>
  <c r="O7" i="7"/>
  <c r="N7" i="7"/>
  <c r="M7" i="7"/>
  <c r="L7" i="7"/>
  <c r="K7" i="7"/>
  <c r="O6" i="7"/>
  <c r="N6" i="7"/>
  <c r="M6" i="7"/>
  <c r="L6" i="7"/>
  <c r="K6" i="7"/>
  <c r="O5" i="7"/>
  <c r="N5" i="7"/>
  <c r="M5" i="7"/>
  <c r="L5" i="7"/>
  <c r="K5" i="7"/>
  <c r="O4" i="7"/>
  <c r="N4" i="7"/>
  <c r="M4" i="7"/>
  <c r="L4" i="7"/>
  <c r="K4" i="7"/>
  <c r="O3" i="7"/>
  <c r="N3" i="7"/>
  <c r="M3" i="7"/>
  <c r="L3" i="7"/>
  <c r="K3" i="7"/>
  <c r="O2" i="7"/>
  <c r="M14" i="5" s="1"/>
  <c r="N2" i="7"/>
  <c r="L14" i="5" s="1"/>
  <c r="M2" i="7"/>
  <c r="K14" i="5" s="1"/>
  <c r="L2" i="7"/>
  <c r="J14" i="5" s="1"/>
  <c r="K2" i="7"/>
  <c r="I14" i="5" s="1"/>
  <c r="J4" i="6"/>
  <c r="K4" i="6" s="1"/>
  <c r="J1" i="6"/>
  <c r="K1" i="6" s="1"/>
  <c r="O3" i="4"/>
  <c r="O4" i="4"/>
  <c r="O5" i="4"/>
  <c r="O6" i="4"/>
  <c r="O7" i="4"/>
  <c r="O8" i="4"/>
  <c r="O9" i="4"/>
  <c r="O10" i="4"/>
  <c r="O11" i="4"/>
  <c r="O12" i="4"/>
  <c r="O13" i="4"/>
  <c r="O14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2" i="4"/>
  <c r="G14" i="5" s="1"/>
  <c r="N3" i="4"/>
  <c r="N4" i="4"/>
  <c r="N5" i="4"/>
  <c r="N6" i="4"/>
  <c r="N7" i="4"/>
  <c r="N8" i="4"/>
  <c r="N9" i="4"/>
  <c r="N10" i="4"/>
  <c r="N11" i="4"/>
  <c r="N12" i="4"/>
  <c r="N13" i="4"/>
  <c r="N14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2" i="4"/>
  <c r="F14" i="5" s="1"/>
  <c r="M3" i="4"/>
  <c r="M4" i="4"/>
  <c r="M5" i="4"/>
  <c r="M6" i="4"/>
  <c r="M7" i="4"/>
  <c r="M8" i="4"/>
  <c r="M9" i="4"/>
  <c r="M10" i="4"/>
  <c r="M11" i="4"/>
  <c r="M12" i="4"/>
  <c r="M13" i="4"/>
  <c r="M14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2" i="4"/>
  <c r="E14" i="5" s="1"/>
  <c r="L3" i="4"/>
  <c r="L4" i="4"/>
  <c r="L5" i="4"/>
  <c r="L6" i="4"/>
  <c r="L7" i="4"/>
  <c r="L8" i="4"/>
  <c r="L9" i="4"/>
  <c r="L10" i="4"/>
  <c r="L11" i="4"/>
  <c r="L12" i="4"/>
  <c r="L13" i="4"/>
  <c r="L14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2" i="4"/>
  <c r="K3" i="4"/>
  <c r="K4" i="4"/>
  <c r="K5" i="4"/>
  <c r="K6" i="4"/>
  <c r="K7" i="4"/>
  <c r="K8" i="4"/>
  <c r="K9" i="4"/>
  <c r="K10" i="4"/>
  <c r="K11" i="4"/>
  <c r="K12" i="4"/>
  <c r="K13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P98" i="7" l="1"/>
  <c r="N14" i="5"/>
  <c r="D15" i="5"/>
  <c r="D25" i="5" s="1"/>
  <c r="F16" i="5"/>
  <c r="M15" i="5"/>
  <c r="M35" i="5" s="1"/>
  <c r="I16" i="5"/>
  <c r="L17" i="5"/>
  <c r="L27" i="5" s="1"/>
  <c r="K16" i="5"/>
  <c r="D14" i="5"/>
  <c r="H14" i="5" s="1"/>
  <c r="P2" i="4"/>
  <c r="M16" i="5"/>
  <c r="C17" i="5"/>
  <c r="G17" i="5"/>
  <c r="J15" i="5"/>
  <c r="J35" i="5" s="1"/>
  <c r="I17" i="5"/>
  <c r="L18" i="5"/>
  <c r="E18" i="5"/>
  <c r="E38" i="5" s="1"/>
  <c r="M17" i="5"/>
  <c r="M37" i="5" s="1"/>
  <c r="C15" i="5"/>
  <c r="D18" i="5"/>
  <c r="D28" i="5" s="1"/>
  <c r="D16" i="5"/>
  <c r="D26" i="5" s="1"/>
  <c r="F15" i="5"/>
  <c r="F25" i="5" s="1"/>
  <c r="G18" i="5"/>
  <c r="G38" i="5" s="1"/>
  <c r="C16" i="5"/>
  <c r="E15" i="5"/>
  <c r="E35" i="5" s="1"/>
  <c r="F18" i="5"/>
  <c r="F38" i="5" s="1"/>
  <c r="G16" i="5"/>
  <c r="G26" i="5" s="1"/>
  <c r="K15" i="5"/>
  <c r="K25" i="5" s="1"/>
  <c r="J17" i="5"/>
  <c r="M18" i="5"/>
  <c r="M38" i="5" s="1"/>
  <c r="E17" i="5"/>
  <c r="E27" i="5" s="1"/>
  <c r="J16" i="5"/>
  <c r="J36" i="5" s="1"/>
  <c r="E16" i="5"/>
  <c r="E36" i="5" s="1"/>
  <c r="G15" i="5"/>
  <c r="G25" i="5" s="1"/>
  <c r="I18" i="5"/>
  <c r="I38" i="5" s="1"/>
  <c r="D17" i="5"/>
  <c r="D27" i="5" s="1"/>
  <c r="L16" i="5"/>
  <c r="L36" i="5" s="1"/>
  <c r="J18" i="5"/>
  <c r="J38" i="5" s="1"/>
  <c r="C18" i="5"/>
  <c r="I15" i="5"/>
  <c r="K18" i="5"/>
  <c r="K28" i="5" s="1"/>
  <c r="F17" i="5"/>
  <c r="F37" i="5" s="1"/>
  <c r="L15" i="5"/>
  <c r="L35" i="5" s="1"/>
  <c r="K17" i="5"/>
  <c r="G24" i="5"/>
  <c r="O14" i="5"/>
  <c r="J24" i="5"/>
  <c r="P7" i="7"/>
  <c r="P21" i="7"/>
  <c r="P24" i="7"/>
  <c r="P35" i="7"/>
  <c r="P56" i="7"/>
  <c r="P75" i="7"/>
  <c r="P115" i="7"/>
  <c r="Q14" i="5"/>
  <c r="P42" i="7"/>
  <c r="P13" i="7"/>
  <c r="P94" i="7"/>
  <c r="R14" i="5"/>
  <c r="I24" i="5"/>
  <c r="S14" i="5"/>
  <c r="F34" i="5"/>
  <c r="E24" i="5"/>
  <c r="L24" i="5"/>
  <c r="P103" i="7"/>
  <c r="M34" i="5"/>
  <c r="K24" i="5"/>
  <c r="P31" i="7"/>
  <c r="K34" i="5"/>
  <c r="E34" i="5"/>
  <c r="P5" i="5"/>
  <c r="S5" i="5"/>
  <c r="L34" i="5"/>
  <c r="I34" i="5"/>
  <c r="O7" i="5"/>
  <c r="R5" i="5"/>
  <c r="J19" i="7"/>
  <c r="J57" i="7"/>
  <c r="N4" i="5"/>
  <c r="J34" i="5"/>
  <c r="P6" i="5"/>
  <c r="P8" i="5"/>
  <c r="P7" i="5"/>
  <c r="J77" i="7"/>
  <c r="O8" i="5"/>
  <c r="Q6" i="5"/>
  <c r="J116" i="7"/>
  <c r="J119" i="7"/>
  <c r="J96" i="7"/>
  <c r="S7" i="5"/>
  <c r="G34" i="5"/>
  <c r="O6" i="5"/>
  <c r="R4" i="5"/>
  <c r="J22" i="7"/>
  <c r="J30" i="7"/>
  <c r="J38" i="7"/>
  <c r="Q7" i="5"/>
  <c r="S4" i="5"/>
  <c r="M24" i="5"/>
  <c r="F24" i="5"/>
  <c r="J61" i="7"/>
  <c r="J112" i="7"/>
  <c r="J26" i="7"/>
  <c r="J42" i="7"/>
  <c r="J3" i="7"/>
  <c r="J73" i="7"/>
  <c r="J92" i="7"/>
  <c r="J100" i="7"/>
  <c r="J108" i="7"/>
  <c r="J10" i="7"/>
  <c r="P135" i="7"/>
  <c r="P16" i="7"/>
  <c r="P93" i="7"/>
  <c r="P8" i="7"/>
  <c r="P17" i="7"/>
  <c r="P25" i="7"/>
  <c r="P33" i="7"/>
  <c r="P41" i="7"/>
  <c r="P49" i="7"/>
  <c r="P57" i="7"/>
  <c r="P65" i="7"/>
  <c r="P73" i="7"/>
  <c r="P81" i="7"/>
  <c r="P89" i="7"/>
  <c r="P97" i="7"/>
  <c r="P105" i="7"/>
  <c r="P113" i="7"/>
  <c r="P121" i="7"/>
  <c r="P129" i="7"/>
  <c r="P5" i="7"/>
  <c r="P62" i="7"/>
  <c r="P43" i="7"/>
  <c r="P104" i="7"/>
  <c r="P136" i="7"/>
  <c r="P53" i="7"/>
  <c r="P83" i="7"/>
  <c r="P123" i="7"/>
  <c r="P6" i="7"/>
  <c r="P9" i="7"/>
  <c r="P12" i="7"/>
  <c r="P18" i="7"/>
  <c r="P26" i="7"/>
  <c r="P39" i="7"/>
  <c r="P68" i="7"/>
  <c r="P71" i="7"/>
  <c r="P79" i="7"/>
  <c r="P84" i="7"/>
  <c r="P100" i="7"/>
  <c r="P106" i="7"/>
  <c r="P109" i="7"/>
  <c r="P116" i="7"/>
  <c r="P127" i="7"/>
  <c r="P3" i="7"/>
  <c r="P11" i="7"/>
  <c r="P23" i="7"/>
  <c r="P37" i="7"/>
  <c r="P55" i="7"/>
  <c r="P58" i="7"/>
  <c r="P63" i="7"/>
  <c r="P69" i="7"/>
  <c r="P74" i="7"/>
  <c r="P77" i="7"/>
  <c r="P87" i="7"/>
  <c r="P95" i="7"/>
  <c r="P111" i="7"/>
  <c r="P119" i="7"/>
  <c r="P125" i="7"/>
  <c r="P133" i="7"/>
  <c r="P46" i="7"/>
  <c r="P78" i="7"/>
  <c r="P10" i="7"/>
  <c r="P19" i="7"/>
  <c r="P27" i="7"/>
  <c r="P51" i="7"/>
  <c r="P59" i="7"/>
  <c r="P67" i="7"/>
  <c r="P91" i="7"/>
  <c r="P99" i="7"/>
  <c r="P107" i="7"/>
  <c r="P131" i="7"/>
  <c r="P4" i="7"/>
  <c r="P14" i="7"/>
  <c r="P20" i="7"/>
  <c r="P29" i="7"/>
  <c r="P36" i="7"/>
  <c r="P45" i="7"/>
  <c r="P47" i="7"/>
  <c r="P52" i="7"/>
  <c r="P61" i="7"/>
  <c r="P85" i="7"/>
  <c r="P90" i="7"/>
  <c r="P101" i="7"/>
  <c r="P117" i="7"/>
  <c r="P122" i="7"/>
  <c r="P132" i="7"/>
  <c r="P30" i="7"/>
  <c r="P110" i="7"/>
  <c r="P126" i="7"/>
  <c r="P40" i="7"/>
  <c r="P72" i="7"/>
  <c r="P88" i="7"/>
  <c r="P120" i="7"/>
  <c r="P2" i="7"/>
  <c r="Q4" i="5"/>
  <c r="J128" i="7"/>
  <c r="J132" i="7"/>
  <c r="O5" i="5"/>
  <c r="R6" i="5"/>
  <c r="S8" i="5"/>
  <c r="J35" i="7"/>
  <c r="N6" i="5"/>
  <c r="Q5" i="5"/>
  <c r="Q8" i="5"/>
  <c r="R8" i="5"/>
  <c r="S6" i="5"/>
  <c r="J11" i="7"/>
  <c r="J23" i="7"/>
  <c r="J54" i="7"/>
  <c r="J58" i="7"/>
  <c r="J89" i="7"/>
  <c r="J93" i="7"/>
  <c r="J124" i="7"/>
  <c r="N7" i="5"/>
  <c r="N5" i="5"/>
  <c r="R7" i="5"/>
  <c r="P4" i="5"/>
  <c r="H8" i="5"/>
  <c r="J5" i="7"/>
  <c r="J25" i="7"/>
  <c r="J29" i="7"/>
  <c r="J60" i="7"/>
  <c r="J64" i="7"/>
  <c r="J68" i="7"/>
  <c r="J87" i="7"/>
  <c r="J99" i="7"/>
  <c r="J118" i="7"/>
  <c r="J122" i="7"/>
  <c r="J133" i="7"/>
  <c r="J13" i="7"/>
  <c r="J41" i="7"/>
  <c r="J45" i="7"/>
  <c r="J76" i="7"/>
  <c r="J80" i="7"/>
  <c r="J84" i="7"/>
  <c r="J103" i="7"/>
  <c r="J115" i="7"/>
  <c r="J134" i="7"/>
  <c r="N8" i="5"/>
  <c r="J74" i="7"/>
  <c r="J109" i="7"/>
  <c r="J135" i="7"/>
  <c r="J8" i="7"/>
  <c r="J28" i="7"/>
  <c r="J32" i="7"/>
  <c r="J36" i="7"/>
  <c r="J55" i="7"/>
  <c r="J67" i="7"/>
  <c r="J86" i="7"/>
  <c r="J90" i="7"/>
  <c r="J121" i="7"/>
  <c r="J127" i="7"/>
  <c r="J131" i="7"/>
  <c r="J20" i="7"/>
  <c r="J39" i="7"/>
  <c r="J51" i="7"/>
  <c r="J70" i="7"/>
  <c r="J105" i="7"/>
  <c r="J17" i="7"/>
  <c r="J44" i="7"/>
  <c r="J48" i="7"/>
  <c r="J52" i="7"/>
  <c r="J71" i="7"/>
  <c r="J83" i="7"/>
  <c r="J102" i="7"/>
  <c r="J106" i="7"/>
  <c r="J6" i="7"/>
  <c r="J14" i="7"/>
  <c r="J33" i="7"/>
  <c r="P34" i="7"/>
  <c r="J49" i="7"/>
  <c r="P50" i="7"/>
  <c r="J65" i="7"/>
  <c r="P66" i="7"/>
  <c r="J81" i="7"/>
  <c r="P82" i="7"/>
  <c r="J97" i="7"/>
  <c r="J113" i="7"/>
  <c r="P114" i="7"/>
  <c r="J125" i="7"/>
  <c r="P130" i="7"/>
  <c r="P28" i="7"/>
  <c r="J43" i="7"/>
  <c r="P44" i="7"/>
  <c r="J46" i="7"/>
  <c r="J59" i="7"/>
  <c r="P60" i="7"/>
  <c r="J62" i="7"/>
  <c r="J75" i="7"/>
  <c r="P76" i="7"/>
  <c r="J78" i="7"/>
  <c r="J91" i="7"/>
  <c r="P92" i="7"/>
  <c r="J94" i="7"/>
  <c r="J107" i="7"/>
  <c r="P108" i="7"/>
  <c r="J110" i="7"/>
  <c r="P124" i="7"/>
  <c r="J126" i="7"/>
  <c r="J9" i="7"/>
  <c r="J18" i="7"/>
  <c r="J27" i="7"/>
  <c r="J4" i="7"/>
  <c r="J12" i="7"/>
  <c r="J21" i="7"/>
  <c r="P22" i="7"/>
  <c r="J24" i="7"/>
  <c r="J37" i="7"/>
  <c r="P38" i="7"/>
  <c r="J40" i="7"/>
  <c r="J53" i="7"/>
  <c r="P54" i="7"/>
  <c r="J56" i="7"/>
  <c r="J69" i="7"/>
  <c r="P70" i="7"/>
  <c r="J72" i="7"/>
  <c r="J85" i="7"/>
  <c r="P86" i="7"/>
  <c r="J88" i="7"/>
  <c r="J101" i="7"/>
  <c r="P102" i="7"/>
  <c r="J104" i="7"/>
  <c r="J117" i="7"/>
  <c r="P118" i="7"/>
  <c r="J120" i="7"/>
  <c r="J129" i="7"/>
  <c r="P134" i="7"/>
  <c r="J136" i="7"/>
  <c r="J7" i="7"/>
  <c r="J16" i="7"/>
  <c r="J31" i="7"/>
  <c r="P32" i="7"/>
  <c r="J34" i="7"/>
  <c r="J47" i="7"/>
  <c r="P48" i="7"/>
  <c r="J50" i="7"/>
  <c r="J63" i="7"/>
  <c r="P64" i="7"/>
  <c r="J66" i="7"/>
  <c r="J79" i="7"/>
  <c r="P80" i="7"/>
  <c r="J82" i="7"/>
  <c r="J95" i="7"/>
  <c r="P96" i="7"/>
  <c r="J98" i="7"/>
  <c r="J111" i="7"/>
  <c r="P112" i="7"/>
  <c r="J114" i="7"/>
  <c r="J123" i="7"/>
  <c r="P128" i="7"/>
  <c r="J130" i="7"/>
  <c r="J9" i="5"/>
  <c r="K9" i="5"/>
  <c r="L9" i="5"/>
  <c r="H7" i="5"/>
  <c r="H5" i="5"/>
  <c r="I9" i="5"/>
  <c r="M9" i="5"/>
  <c r="H6" i="5"/>
  <c r="H4" i="5"/>
  <c r="D9" i="5"/>
  <c r="E9" i="5"/>
  <c r="P10" i="4"/>
  <c r="P17" i="4"/>
  <c r="P73" i="4"/>
  <c r="P81" i="4"/>
  <c r="P111" i="4"/>
  <c r="N9" i="5" l="1"/>
  <c r="N34" i="5"/>
  <c r="S1" i="7"/>
  <c r="K35" i="5"/>
  <c r="C26" i="5"/>
  <c r="H16" i="5"/>
  <c r="C28" i="5"/>
  <c r="H18" i="5"/>
  <c r="I27" i="5"/>
  <c r="N17" i="5"/>
  <c r="N27" i="5" s="1"/>
  <c r="I25" i="5"/>
  <c r="N15" i="5"/>
  <c r="N35" i="5" s="1"/>
  <c r="N16" i="5"/>
  <c r="N26" i="5" s="1"/>
  <c r="C37" i="5"/>
  <c r="H17" i="5"/>
  <c r="H15" i="5"/>
  <c r="P14" i="5"/>
  <c r="P24" i="5" s="1"/>
  <c r="I28" i="5"/>
  <c r="N18" i="5"/>
  <c r="N28" i="5" s="1"/>
  <c r="F12" i="6"/>
  <c r="D24" i="5"/>
  <c r="D34" i="5"/>
  <c r="T1" i="7"/>
  <c r="F14" i="6"/>
  <c r="Q64" i="7"/>
  <c r="R64" i="7"/>
  <c r="R124" i="7"/>
  <c r="Q124" i="7"/>
  <c r="R76" i="7"/>
  <c r="Q76" i="7"/>
  <c r="Q110" i="7"/>
  <c r="R110" i="7"/>
  <c r="R61" i="7"/>
  <c r="Q61" i="7"/>
  <c r="R27" i="7"/>
  <c r="Q27" i="7"/>
  <c r="Q55" i="7"/>
  <c r="R55" i="7"/>
  <c r="R106" i="7"/>
  <c r="Q106" i="7"/>
  <c r="Q104" i="7"/>
  <c r="R104" i="7"/>
  <c r="R33" i="7"/>
  <c r="Q33" i="7"/>
  <c r="R7" i="7"/>
  <c r="Q7" i="7"/>
  <c r="Q130" i="7"/>
  <c r="R130" i="7"/>
  <c r="Q95" i="7"/>
  <c r="R95" i="7"/>
  <c r="Q25" i="7"/>
  <c r="R25" i="7"/>
  <c r="F28" i="5"/>
  <c r="E14" i="6"/>
  <c r="R92" i="7"/>
  <c r="Q92" i="7"/>
  <c r="R34" i="7"/>
  <c r="Q34" i="7"/>
  <c r="R101" i="7"/>
  <c r="Q101" i="7"/>
  <c r="R29" i="7"/>
  <c r="Q29" i="7"/>
  <c r="R67" i="7"/>
  <c r="Q67" i="7"/>
  <c r="R69" i="7"/>
  <c r="Q69" i="7"/>
  <c r="R127" i="7"/>
  <c r="Q127" i="7"/>
  <c r="R68" i="7"/>
  <c r="Q68" i="7"/>
  <c r="R83" i="7"/>
  <c r="Q83" i="7"/>
  <c r="R121" i="7"/>
  <c r="Q121" i="7"/>
  <c r="Q16" i="7"/>
  <c r="R16" i="7"/>
  <c r="Q94" i="7"/>
  <c r="R94" i="7"/>
  <c r="R35" i="7"/>
  <c r="Q35" i="7"/>
  <c r="Q118" i="7"/>
  <c r="R118" i="7"/>
  <c r="Q39" i="7"/>
  <c r="R39" i="7"/>
  <c r="Q70" i="7"/>
  <c r="R70" i="7"/>
  <c r="R82" i="7"/>
  <c r="Q82" i="7"/>
  <c r="R126" i="7"/>
  <c r="Q126" i="7"/>
  <c r="Q14" i="7"/>
  <c r="R14" i="7"/>
  <c r="Q119" i="7"/>
  <c r="R119" i="7"/>
  <c r="R109" i="7"/>
  <c r="Q109" i="7"/>
  <c r="Q26" i="7"/>
  <c r="M8" i="6"/>
  <c r="N8" i="6" s="1"/>
  <c r="R26" i="7"/>
  <c r="I31" i="9"/>
  <c r="Q105" i="7"/>
  <c r="R105" i="7"/>
  <c r="R42" i="7"/>
  <c r="Q42" i="7"/>
  <c r="E25" i="5"/>
  <c r="E15" i="6"/>
  <c r="Q80" i="7"/>
  <c r="R80" i="7"/>
  <c r="R98" i="7"/>
  <c r="Q98" i="7"/>
  <c r="R72" i="7"/>
  <c r="Q72" i="7"/>
  <c r="R133" i="7"/>
  <c r="Q133" i="7"/>
  <c r="R57" i="7"/>
  <c r="Q57" i="7"/>
  <c r="R63" i="7"/>
  <c r="Q63" i="7"/>
  <c r="R112" i="7"/>
  <c r="Q112" i="7"/>
  <c r="R85" i="7"/>
  <c r="Q85" i="7"/>
  <c r="R51" i="7"/>
  <c r="Q51" i="7"/>
  <c r="R58" i="7"/>
  <c r="Q58" i="7"/>
  <c r="R136" i="7"/>
  <c r="Q136" i="7"/>
  <c r="Q41" i="7"/>
  <c r="R41" i="7"/>
  <c r="R21" i="7"/>
  <c r="Q21" i="7"/>
  <c r="R22" i="7"/>
  <c r="Q22" i="7"/>
  <c r="R28" i="7"/>
  <c r="Q28" i="7"/>
  <c r="R4" i="7"/>
  <c r="Q4" i="7"/>
  <c r="R111" i="7"/>
  <c r="Q111" i="7"/>
  <c r="R18" i="7"/>
  <c r="Q18" i="7"/>
  <c r="R97" i="7"/>
  <c r="Q97" i="7"/>
  <c r="Q103" i="7"/>
  <c r="R103" i="7"/>
  <c r="F15" i="6"/>
  <c r="Q30" i="7"/>
  <c r="R30" i="7"/>
  <c r="R131" i="7"/>
  <c r="Q131" i="7"/>
  <c r="R37" i="7"/>
  <c r="Q37" i="7"/>
  <c r="R43" i="7"/>
  <c r="Q43" i="7"/>
  <c r="J26" i="5"/>
  <c r="Q96" i="7"/>
  <c r="R96" i="7"/>
  <c r="R132" i="7"/>
  <c r="Q132" i="7"/>
  <c r="R107" i="7"/>
  <c r="Q107" i="7"/>
  <c r="R87" i="7"/>
  <c r="Q87" i="7"/>
  <c r="R84" i="7"/>
  <c r="Q84" i="7"/>
  <c r="R62" i="7"/>
  <c r="Q62" i="7"/>
  <c r="R17" i="7"/>
  <c r="Q17" i="7"/>
  <c r="R115" i="7"/>
  <c r="Q115" i="7"/>
  <c r="R48" i="7"/>
  <c r="Q48" i="7"/>
  <c r="R45" i="7"/>
  <c r="Q45" i="7"/>
  <c r="R11" i="7"/>
  <c r="Q11" i="7"/>
  <c r="R73" i="7"/>
  <c r="Q73" i="7"/>
  <c r="R75" i="7"/>
  <c r="Q75" i="7"/>
  <c r="E13" i="6"/>
  <c r="R38" i="7"/>
  <c r="Q38" i="7"/>
  <c r="Q32" i="7"/>
  <c r="R32" i="7"/>
  <c r="R44" i="7"/>
  <c r="Q44" i="7"/>
  <c r="Q40" i="7"/>
  <c r="R40" i="7"/>
  <c r="Q90" i="7"/>
  <c r="R90" i="7"/>
  <c r="R20" i="7"/>
  <c r="Q20" i="7"/>
  <c r="R59" i="7"/>
  <c r="Q59" i="7"/>
  <c r="R125" i="7"/>
  <c r="Q125" i="7"/>
  <c r="R116" i="7"/>
  <c r="Q116" i="7"/>
  <c r="R53" i="7"/>
  <c r="Q53" i="7"/>
  <c r="R113" i="7"/>
  <c r="Q113" i="7"/>
  <c r="R49" i="7"/>
  <c r="Q49" i="7"/>
  <c r="Q135" i="7"/>
  <c r="R135" i="7"/>
  <c r="Q13" i="7"/>
  <c r="R13" i="7"/>
  <c r="R24" i="7"/>
  <c r="Q24" i="7"/>
  <c r="D11" i="6"/>
  <c r="C11" i="6"/>
  <c r="R102" i="7"/>
  <c r="Q102" i="7"/>
  <c r="Q66" i="7"/>
  <c r="R66" i="7"/>
  <c r="R52" i="7"/>
  <c r="Q52" i="7"/>
  <c r="R19" i="7"/>
  <c r="Q19" i="7"/>
  <c r="R100" i="7"/>
  <c r="Q100" i="7"/>
  <c r="R12" i="7"/>
  <c r="Q12" i="7"/>
  <c r="Q89" i="7"/>
  <c r="R89" i="7"/>
  <c r="Q54" i="7"/>
  <c r="R54" i="7"/>
  <c r="R108" i="7"/>
  <c r="Q108" i="7"/>
  <c r="R2" i="7"/>
  <c r="Q2" i="7"/>
  <c r="M11" i="6"/>
  <c r="N11" i="6" s="1"/>
  <c r="F11" i="6"/>
  <c r="N24" i="5"/>
  <c r="E11" i="6"/>
  <c r="J31" i="9"/>
  <c r="R47" i="7"/>
  <c r="Q47" i="7"/>
  <c r="R10" i="7"/>
  <c r="Q10" i="7"/>
  <c r="R23" i="7"/>
  <c r="Q23" i="7"/>
  <c r="R9" i="7"/>
  <c r="Q9" i="7"/>
  <c r="R81" i="7"/>
  <c r="Q81" i="7"/>
  <c r="Q31" i="7"/>
  <c r="R31" i="7"/>
  <c r="Q134" i="7"/>
  <c r="R134" i="7"/>
  <c r="R60" i="7"/>
  <c r="Q60" i="7"/>
  <c r="Q114" i="7"/>
  <c r="R114" i="7"/>
  <c r="Q50" i="7"/>
  <c r="R50" i="7"/>
  <c r="R120" i="7"/>
  <c r="Q120" i="7"/>
  <c r="R122" i="7"/>
  <c r="Q122" i="7"/>
  <c r="R99" i="7"/>
  <c r="Q99" i="7"/>
  <c r="Q78" i="7"/>
  <c r="R78" i="7"/>
  <c r="R77" i="7"/>
  <c r="Q77" i="7"/>
  <c r="Q79" i="7"/>
  <c r="R79" i="7"/>
  <c r="Q6" i="7"/>
  <c r="R6" i="7"/>
  <c r="R5" i="7"/>
  <c r="Q5" i="7"/>
  <c r="R8" i="7"/>
  <c r="Q8" i="7"/>
  <c r="Q128" i="7"/>
  <c r="R128" i="7"/>
  <c r="R86" i="7"/>
  <c r="Q86" i="7"/>
  <c r="R88" i="7"/>
  <c r="Q88" i="7"/>
  <c r="R117" i="7"/>
  <c r="Q117" i="7"/>
  <c r="R36" i="7"/>
  <c r="Q36" i="7"/>
  <c r="R91" i="7"/>
  <c r="Q91" i="7"/>
  <c r="R46" i="7"/>
  <c r="Q46" i="7"/>
  <c r="R74" i="7"/>
  <c r="Q74" i="7"/>
  <c r="R3" i="7"/>
  <c r="Q3" i="7"/>
  <c r="Q71" i="7"/>
  <c r="R71" i="7"/>
  <c r="R123" i="7"/>
  <c r="Q123" i="7"/>
  <c r="Q129" i="7"/>
  <c r="R129" i="7"/>
  <c r="Q65" i="7"/>
  <c r="R65" i="7"/>
  <c r="R93" i="7"/>
  <c r="Q93" i="7"/>
  <c r="Q56" i="7"/>
  <c r="R56" i="7"/>
  <c r="E12" i="6"/>
  <c r="F13" i="6"/>
  <c r="R18" i="5"/>
  <c r="R28" i="5" s="1"/>
  <c r="S16" i="5"/>
  <c r="S36" i="5" s="1"/>
  <c r="S34" i="5"/>
  <c r="O24" i="5"/>
  <c r="K38" i="5"/>
  <c r="S17" i="5"/>
  <c r="S27" i="5" s="1"/>
  <c r="M27" i="5"/>
  <c r="G37" i="5"/>
  <c r="L25" i="5"/>
  <c r="E37" i="5"/>
  <c r="P17" i="5"/>
  <c r="P27" i="5" s="1"/>
  <c r="Q16" i="5"/>
  <c r="Q26" i="5" s="1"/>
  <c r="G27" i="5"/>
  <c r="Q17" i="5"/>
  <c r="Q37" i="5" s="1"/>
  <c r="D37" i="5"/>
  <c r="M25" i="5"/>
  <c r="Q18" i="5"/>
  <c r="Q28" i="5" s="1"/>
  <c r="M28" i="5"/>
  <c r="K27" i="5"/>
  <c r="E28" i="5"/>
  <c r="I37" i="5"/>
  <c r="Q15" i="5"/>
  <c r="Q25" i="5" s="1"/>
  <c r="J28" i="5"/>
  <c r="M36" i="5"/>
  <c r="Q34" i="5"/>
  <c r="G28" i="5"/>
  <c r="F35" i="5"/>
  <c r="L38" i="5"/>
  <c r="D36" i="5"/>
  <c r="O16" i="5"/>
  <c r="O36" i="5" s="1"/>
  <c r="S15" i="5"/>
  <c r="G36" i="5"/>
  <c r="C36" i="5"/>
  <c r="D35" i="5"/>
  <c r="M19" i="5"/>
  <c r="M39" i="5" s="1"/>
  <c r="K37" i="5"/>
  <c r="C38" i="5"/>
  <c r="G35" i="5"/>
  <c r="F27" i="5"/>
  <c r="G19" i="5"/>
  <c r="C19" i="5"/>
  <c r="K19" i="5"/>
  <c r="K39" i="5" s="1"/>
  <c r="K26" i="5"/>
  <c r="C27" i="5"/>
  <c r="L19" i="5"/>
  <c r="R16" i="5"/>
  <c r="R26" i="5" s="1"/>
  <c r="J27" i="5"/>
  <c r="D38" i="5"/>
  <c r="R17" i="5"/>
  <c r="R37" i="5" s="1"/>
  <c r="D19" i="5"/>
  <c r="D29" i="5" s="1"/>
  <c r="O17" i="5"/>
  <c r="C25" i="5"/>
  <c r="P16" i="5"/>
  <c r="P36" i="5" s="1"/>
  <c r="I19" i="5"/>
  <c r="O15" i="5"/>
  <c r="O25" i="5" s="1"/>
  <c r="F19" i="5"/>
  <c r="E26" i="5"/>
  <c r="L26" i="5"/>
  <c r="I36" i="5"/>
  <c r="K36" i="5"/>
  <c r="L28" i="5"/>
  <c r="P15" i="5"/>
  <c r="P18" i="5"/>
  <c r="P28" i="5" s="1"/>
  <c r="F26" i="5"/>
  <c r="M26" i="5"/>
  <c r="R15" i="5"/>
  <c r="R35" i="5" s="1"/>
  <c r="E19" i="5"/>
  <c r="E29" i="5" s="1"/>
  <c r="J37" i="5"/>
  <c r="C35" i="5"/>
  <c r="I26" i="5"/>
  <c r="J25" i="5"/>
  <c r="F36" i="5"/>
  <c r="I35" i="5"/>
  <c r="O18" i="5"/>
  <c r="O28" i="5" s="1"/>
  <c r="L37" i="5"/>
  <c r="S18" i="5"/>
  <c r="S38" i="5" s="1"/>
  <c r="J19" i="5"/>
  <c r="S24" i="5"/>
  <c r="O34" i="5"/>
  <c r="R34" i="5"/>
  <c r="R24" i="5"/>
  <c r="T4" i="5"/>
  <c r="E31" i="9"/>
  <c r="Q9" i="5"/>
  <c r="G31" i="9"/>
  <c r="Q24" i="5"/>
  <c r="T7" i="5"/>
  <c r="F31" i="9"/>
  <c r="H31" i="9"/>
  <c r="T6" i="5"/>
  <c r="T5" i="5"/>
  <c r="P9" i="5"/>
  <c r="O9" i="5"/>
  <c r="T8" i="5"/>
  <c r="J106" i="4"/>
  <c r="J90" i="4"/>
  <c r="J42" i="4"/>
  <c r="J82" i="4"/>
  <c r="J9" i="4"/>
  <c r="J98" i="4"/>
  <c r="J74" i="4"/>
  <c r="J134" i="4"/>
  <c r="J130" i="4"/>
  <c r="J121" i="4"/>
  <c r="J118" i="4"/>
  <c r="J105" i="4"/>
  <c r="J102" i="4"/>
  <c r="J89" i="4"/>
  <c r="J86" i="4"/>
  <c r="J73" i="4"/>
  <c r="Q73" i="4" s="1"/>
  <c r="J70" i="4"/>
  <c r="J66" i="4"/>
  <c r="J49" i="4"/>
  <c r="J46" i="4"/>
  <c r="J41" i="4"/>
  <c r="J38" i="4"/>
  <c r="J33" i="4"/>
  <c r="J30" i="4"/>
  <c r="J25" i="4"/>
  <c r="J22" i="4"/>
  <c r="J17" i="4"/>
  <c r="Q17" i="4" s="1"/>
  <c r="J13" i="4"/>
  <c r="J8" i="4"/>
  <c r="J5" i="4"/>
  <c r="J122" i="4"/>
  <c r="J58" i="4"/>
  <c r="J34" i="4"/>
  <c r="J18" i="4"/>
  <c r="J129" i="4"/>
  <c r="J126" i="4"/>
  <c r="J113" i="4"/>
  <c r="J110" i="4"/>
  <c r="J97" i="4"/>
  <c r="J94" i="4"/>
  <c r="J81" i="4"/>
  <c r="R81" i="4" s="1"/>
  <c r="J78" i="4"/>
  <c r="J65" i="4"/>
  <c r="J62" i="4"/>
  <c r="J57" i="4"/>
  <c r="J54" i="4"/>
  <c r="J114" i="4"/>
  <c r="J50" i="4"/>
  <c r="J26" i="4"/>
  <c r="G9" i="5"/>
  <c r="F9" i="5"/>
  <c r="J124" i="4"/>
  <c r="J119" i="4"/>
  <c r="J100" i="4"/>
  <c r="J95" i="4"/>
  <c r="J76" i="4"/>
  <c r="J71" i="4"/>
  <c r="J44" i="4"/>
  <c r="J39" i="4"/>
  <c r="J20" i="4"/>
  <c r="J6" i="4"/>
  <c r="J132" i="4"/>
  <c r="J127" i="4"/>
  <c r="J108" i="4"/>
  <c r="J103" i="4"/>
  <c r="J84" i="4"/>
  <c r="J79" i="4"/>
  <c r="J60" i="4"/>
  <c r="J55" i="4"/>
  <c r="J28" i="4"/>
  <c r="J23" i="4"/>
  <c r="J11" i="4"/>
  <c r="J3" i="4"/>
  <c r="J133" i="4"/>
  <c r="J117" i="4"/>
  <c r="J101" i="4"/>
  <c r="J85" i="4"/>
  <c r="J69" i="4"/>
  <c r="J53" i="4"/>
  <c r="J37" i="4"/>
  <c r="J29" i="4"/>
  <c r="J4" i="4"/>
  <c r="J136" i="4"/>
  <c r="J131" i="4"/>
  <c r="J128" i="4"/>
  <c r="J123" i="4"/>
  <c r="J120" i="4"/>
  <c r="J115" i="4"/>
  <c r="J112" i="4"/>
  <c r="J107" i="4"/>
  <c r="J104" i="4"/>
  <c r="J99" i="4"/>
  <c r="J96" i="4"/>
  <c r="J91" i="4"/>
  <c r="J88" i="4"/>
  <c r="J83" i="4"/>
  <c r="J80" i="4"/>
  <c r="J75" i="4"/>
  <c r="J72" i="4"/>
  <c r="J67" i="4"/>
  <c r="J64" i="4"/>
  <c r="J59" i="4"/>
  <c r="J56" i="4"/>
  <c r="J51" i="4"/>
  <c r="J48" i="4"/>
  <c r="J43" i="4"/>
  <c r="J40" i="4"/>
  <c r="J35" i="4"/>
  <c r="J32" i="4"/>
  <c r="J27" i="4"/>
  <c r="J24" i="4"/>
  <c r="J19" i="4"/>
  <c r="J16" i="4"/>
  <c r="J10" i="4"/>
  <c r="R10" i="4" s="1"/>
  <c r="J7" i="4"/>
  <c r="J135" i="4"/>
  <c r="J116" i="4"/>
  <c r="J111" i="4"/>
  <c r="R111" i="4" s="1"/>
  <c r="J92" i="4"/>
  <c r="J87" i="4"/>
  <c r="J68" i="4"/>
  <c r="J63" i="4"/>
  <c r="J52" i="4"/>
  <c r="J47" i="4"/>
  <c r="J36" i="4"/>
  <c r="J31" i="4"/>
  <c r="J14" i="4"/>
  <c r="J125" i="4"/>
  <c r="J109" i="4"/>
  <c r="J93" i="4"/>
  <c r="J77" i="4"/>
  <c r="J61" i="4"/>
  <c r="J45" i="4"/>
  <c r="J21" i="4"/>
  <c r="J12" i="4"/>
  <c r="J2" i="4"/>
  <c r="Q2" i="4" s="1"/>
  <c r="P8" i="4"/>
  <c r="P129" i="4"/>
  <c r="P121" i="4"/>
  <c r="P113" i="4"/>
  <c r="P105" i="4"/>
  <c r="P97" i="4"/>
  <c r="P89" i="4"/>
  <c r="P65" i="4"/>
  <c r="P57" i="4"/>
  <c r="P49" i="4"/>
  <c r="P41" i="4"/>
  <c r="P33" i="4"/>
  <c r="P25" i="4"/>
  <c r="P80" i="4"/>
  <c r="P24" i="4"/>
  <c r="P23" i="4"/>
  <c r="P14" i="4"/>
  <c r="P60" i="4"/>
  <c r="P11" i="4"/>
  <c r="P123" i="4"/>
  <c r="P75" i="4"/>
  <c r="P19" i="4"/>
  <c r="P69" i="4"/>
  <c r="P20" i="4"/>
  <c r="P122" i="4"/>
  <c r="P50" i="4"/>
  <c r="P18" i="4"/>
  <c r="P120" i="4"/>
  <c r="P96" i="4"/>
  <c r="P72" i="4"/>
  <c r="P48" i="4"/>
  <c r="P16" i="4"/>
  <c r="P135" i="4"/>
  <c r="P127" i="4"/>
  <c r="P119" i="4"/>
  <c r="P103" i="4"/>
  <c r="P95" i="4"/>
  <c r="P87" i="4"/>
  <c r="P79" i="4"/>
  <c r="P71" i="4"/>
  <c r="P63" i="4"/>
  <c r="P55" i="4"/>
  <c r="P47" i="4"/>
  <c r="P39" i="4"/>
  <c r="P31" i="4"/>
  <c r="P6" i="4"/>
  <c r="P134" i="4"/>
  <c r="P126" i="4"/>
  <c r="P118" i="4"/>
  <c r="P110" i="4"/>
  <c r="P102" i="4"/>
  <c r="P94" i="4"/>
  <c r="P86" i="4"/>
  <c r="P78" i="4"/>
  <c r="P70" i="4"/>
  <c r="P62" i="4"/>
  <c r="P54" i="4"/>
  <c r="P46" i="4"/>
  <c r="P38" i="4"/>
  <c r="P30" i="4"/>
  <c r="P22" i="4"/>
  <c r="P13" i="4"/>
  <c r="P5" i="4"/>
  <c r="P128" i="4"/>
  <c r="P104" i="4"/>
  <c r="P88" i="4"/>
  <c r="P64" i="4"/>
  <c r="P40" i="4"/>
  <c r="P32" i="4"/>
  <c r="P125" i="4"/>
  <c r="P109" i="4"/>
  <c r="P93" i="4"/>
  <c r="P53" i="4"/>
  <c r="P37" i="4"/>
  <c r="P29" i="4"/>
  <c r="P12" i="4"/>
  <c r="P124" i="4"/>
  <c r="P108" i="4"/>
  <c r="P76" i="4"/>
  <c r="P44" i="4"/>
  <c r="P28" i="4"/>
  <c r="P131" i="4"/>
  <c r="P115" i="4"/>
  <c r="P107" i="4"/>
  <c r="P99" i="4"/>
  <c r="P91" i="4"/>
  <c r="P83" i="4"/>
  <c r="P67" i="4"/>
  <c r="P59" i="4"/>
  <c r="P51" i="4"/>
  <c r="P43" i="4"/>
  <c r="P35" i="4"/>
  <c r="P27" i="4"/>
  <c r="P136" i="4"/>
  <c r="P112" i="4"/>
  <c r="P56" i="4"/>
  <c r="P7" i="4"/>
  <c r="P133" i="4"/>
  <c r="P117" i="4"/>
  <c r="P101" i="4"/>
  <c r="P85" i="4"/>
  <c r="P77" i="4"/>
  <c r="P61" i="4"/>
  <c r="P45" i="4"/>
  <c r="P21" i="4"/>
  <c r="P4" i="4"/>
  <c r="P132" i="4"/>
  <c r="P116" i="4"/>
  <c r="P100" i="4"/>
  <c r="P84" i="4"/>
  <c r="P68" i="4"/>
  <c r="P52" i="4"/>
  <c r="P36" i="4"/>
  <c r="P3" i="4"/>
  <c r="P130" i="4"/>
  <c r="P114" i="4"/>
  <c r="P106" i="4"/>
  <c r="P98" i="4"/>
  <c r="P90" i="4"/>
  <c r="P82" i="4"/>
  <c r="P74" i="4"/>
  <c r="P66" i="4"/>
  <c r="P58" i="4"/>
  <c r="P42" i="4"/>
  <c r="P34" i="4"/>
  <c r="P26" i="4"/>
  <c r="P9" i="4"/>
  <c r="U1" i="7" l="1"/>
  <c r="R73" i="4"/>
  <c r="R17" i="4"/>
  <c r="Q81" i="4"/>
  <c r="R2" i="4"/>
  <c r="E29" i="8" s="1"/>
  <c r="Q111" i="4"/>
  <c r="Q10" i="4"/>
  <c r="S1" i="4"/>
  <c r="T1" i="4"/>
  <c r="P34" i="5"/>
  <c r="C39" i="5"/>
  <c r="H19" i="5"/>
  <c r="N19" i="5"/>
  <c r="N29" i="5" s="1"/>
  <c r="C14" i="6"/>
  <c r="J31" i="8"/>
  <c r="R38" i="5"/>
  <c r="E22" i="8"/>
  <c r="E15" i="8"/>
  <c r="E7" i="8"/>
  <c r="E25" i="8"/>
  <c r="E10" i="8"/>
  <c r="E13" i="8"/>
  <c r="E27" i="8"/>
  <c r="E12" i="8"/>
  <c r="E14" i="8"/>
  <c r="E9" i="8"/>
  <c r="E11" i="8"/>
  <c r="E26" i="8"/>
  <c r="E21" i="8"/>
  <c r="E8" i="8"/>
  <c r="R54" i="4"/>
  <c r="Q54" i="4"/>
  <c r="F16" i="6"/>
  <c r="G21" i="9"/>
  <c r="G9" i="9"/>
  <c r="G26" i="9"/>
  <c r="G12" i="9"/>
  <c r="G15" i="9"/>
  <c r="G7" i="9"/>
  <c r="G25" i="9"/>
  <c r="G14" i="9"/>
  <c r="G27" i="9"/>
  <c r="G11" i="9"/>
  <c r="G22" i="9"/>
  <c r="G13" i="9"/>
  <c r="G8" i="9"/>
  <c r="G10" i="9"/>
  <c r="Q9" i="4"/>
  <c r="R9" i="4"/>
  <c r="Q90" i="4"/>
  <c r="R90" i="4"/>
  <c r="R68" i="4"/>
  <c r="Q68" i="4"/>
  <c r="R61" i="4"/>
  <c r="Q61" i="4"/>
  <c r="R112" i="4"/>
  <c r="Q112" i="4"/>
  <c r="Q83" i="4"/>
  <c r="R83" i="4"/>
  <c r="R76" i="4"/>
  <c r="Q76" i="4"/>
  <c r="R93" i="4"/>
  <c r="Q93" i="4"/>
  <c r="R128" i="4"/>
  <c r="Q128" i="4"/>
  <c r="R62" i="4"/>
  <c r="Q62" i="4"/>
  <c r="R126" i="4"/>
  <c r="Q126" i="4"/>
  <c r="R71" i="4"/>
  <c r="Q71" i="4"/>
  <c r="R16" i="4"/>
  <c r="T16" i="5"/>
  <c r="Q16" i="4"/>
  <c r="R20" i="4"/>
  <c r="Q20" i="4"/>
  <c r="R23" i="4"/>
  <c r="Q23" i="4"/>
  <c r="Q65" i="4"/>
  <c r="R65" i="4"/>
  <c r="F14" i="9"/>
  <c r="F21" i="9"/>
  <c r="F9" i="9"/>
  <c r="F26" i="9"/>
  <c r="F12" i="9"/>
  <c r="F25" i="9"/>
  <c r="F27" i="9"/>
  <c r="F11" i="9"/>
  <c r="F22" i="9"/>
  <c r="F10" i="9"/>
  <c r="F8" i="9"/>
  <c r="F13" i="9"/>
  <c r="F15" i="9"/>
  <c r="F7" i="9"/>
  <c r="I15" i="9"/>
  <c r="I7" i="9"/>
  <c r="I22" i="9"/>
  <c r="I10" i="9"/>
  <c r="I27" i="9"/>
  <c r="I13" i="9"/>
  <c r="I8" i="9"/>
  <c r="I14" i="9"/>
  <c r="I12" i="9"/>
  <c r="I21" i="9"/>
  <c r="I9" i="9"/>
  <c r="I26" i="9"/>
  <c r="I25" i="9"/>
  <c r="I11" i="9"/>
  <c r="Q74" i="4"/>
  <c r="R74" i="4"/>
  <c r="R36" i="4"/>
  <c r="Q36" i="4"/>
  <c r="R21" i="4"/>
  <c r="Q21" i="4"/>
  <c r="D13" i="6"/>
  <c r="C13" i="6"/>
  <c r="R7" i="4"/>
  <c r="Q7" i="4"/>
  <c r="R59" i="4"/>
  <c r="Q59" i="4"/>
  <c r="Q28" i="4"/>
  <c r="R28" i="4"/>
  <c r="R37" i="4"/>
  <c r="Q37" i="4"/>
  <c r="R88" i="4"/>
  <c r="Q88" i="4"/>
  <c r="R46" i="4"/>
  <c r="Q46" i="4"/>
  <c r="R110" i="4"/>
  <c r="Q110" i="4"/>
  <c r="R55" i="4"/>
  <c r="Q55" i="4"/>
  <c r="R127" i="4"/>
  <c r="Q127" i="4"/>
  <c r="Q50" i="4"/>
  <c r="R50" i="4"/>
  <c r="R60" i="4"/>
  <c r="Q60" i="4"/>
  <c r="Q49" i="4"/>
  <c r="R49" i="4"/>
  <c r="Q129" i="4"/>
  <c r="R129" i="4"/>
  <c r="I29" i="9"/>
  <c r="Q52" i="4"/>
  <c r="R52" i="4"/>
  <c r="R56" i="4"/>
  <c r="Q56" i="4"/>
  <c r="R104" i="4"/>
  <c r="Q104" i="4"/>
  <c r="R63" i="4"/>
  <c r="Q63" i="4"/>
  <c r="Q122" i="4"/>
  <c r="R122" i="4"/>
  <c r="R57" i="4"/>
  <c r="Q57" i="4"/>
  <c r="J25" i="9"/>
  <c r="E25" i="9"/>
  <c r="E11" i="9"/>
  <c r="J26" i="9"/>
  <c r="E14" i="9"/>
  <c r="E21" i="9"/>
  <c r="E9" i="9"/>
  <c r="E13" i="9"/>
  <c r="E22" i="9"/>
  <c r="E10" i="9"/>
  <c r="J27" i="9"/>
  <c r="E27" i="9"/>
  <c r="E7" i="9"/>
  <c r="E15" i="9"/>
  <c r="E12" i="9"/>
  <c r="E26" i="9"/>
  <c r="E8" i="9"/>
  <c r="H37" i="5"/>
  <c r="Q34" i="4"/>
  <c r="R34" i="4"/>
  <c r="Q106" i="4"/>
  <c r="R106" i="4"/>
  <c r="R100" i="4"/>
  <c r="Q100" i="4"/>
  <c r="Q85" i="4"/>
  <c r="R85" i="4"/>
  <c r="R27" i="4"/>
  <c r="Q27" i="4"/>
  <c r="R99" i="4"/>
  <c r="Q99" i="4"/>
  <c r="R108" i="4"/>
  <c r="Q108" i="4"/>
  <c r="R125" i="4"/>
  <c r="Q125" i="4"/>
  <c r="R13" i="4"/>
  <c r="Q13" i="4"/>
  <c r="R78" i="4"/>
  <c r="Q78" i="4"/>
  <c r="R6" i="4"/>
  <c r="Q6" i="4"/>
  <c r="R87" i="4"/>
  <c r="Q87" i="4"/>
  <c r="R72" i="4"/>
  <c r="Q72" i="4"/>
  <c r="Q19" i="4"/>
  <c r="R19" i="4"/>
  <c r="R80" i="4"/>
  <c r="Q80" i="4"/>
  <c r="Q97" i="4"/>
  <c r="R97" i="4"/>
  <c r="J29" i="9"/>
  <c r="D14" i="6"/>
  <c r="Q42" i="4"/>
  <c r="R42" i="4"/>
  <c r="Q114" i="4"/>
  <c r="R114" i="4"/>
  <c r="Q116" i="4"/>
  <c r="R116" i="4"/>
  <c r="R101" i="4"/>
  <c r="Q101" i="4"/>
  <c r="R35" i="4"/>
  <c r="Q35" i="4"/>
  <c r="Q107" i="4"/>
  <c r="R107" i="4"/>
  <c r="R124" i="4"/>
  <c r="Q124" i="4"/>
  <c r="R32" i="4"/>
  <c r="Q32" i="4"/>
  <c r="R22" i="4"/>
  <c r="Q22" i="4"/>
  <c r="R86" i="4"/>
  <c r="Q86" i="4"/>
  <c r="R31" i="4"/>
  <c r="Q31" i="4"/>
  <c r="R95" i="4"/>
  <c r="Q95" i="4"/>
  <c r="R96" i="4"/>
  <c r="Q96" i="4"/>
  <c r="Q75" i="4"/>
  <c r="R75" i="4"/>
  <c r="R25" i="4"/>
  <c r="Q25" i="4"/>
  <c r="Q105" i="4"/>
  <c r="R105" i="4"/>
  <c r="Q82" i="4"/>
  <c r="R82" i="4"/>
  <c r="R45" i="4"/>
  <c r="Q45" i="4"/>
  <c r="R67" i="4"/>
  <c r="Q67" i="4"/>
  <c r="Q53" i="4"/>
  <c r="R53" i="4"/>
  <c r="R118" i="4"/>
  <c r="Q118" i="4"/>
  <c r="R135" i="4"/>
  <c r="Q135" i="4"/>
  <c r="R14" i="4"/>
  <c r="Q14" i="4"/>
  <c r="Q8" i="4"/>
  <c r="R8" i="4"/>
  <c r="Q98" i="4"/>
  <c r="R98" i="4"/>
  <c r="R77" i="4"/>
  <c r="Q77" i="4"/>
  <c r="R91" i="4"/>
  <c r="Q91" i="4"/>
  <c r="R109" i="4"/>
  <c r="Q109" i="4"/>
  <c r="R134" i="4"/>
  <c r="Q134" i="4"/>
  <c r="R48" i="4"/>
  <c r="Q48" i="4"/>
  <c r="R69" i="4"/>
  <c r="Q69" i="4"/>
  <c r="R89" i="4"/>
  <c r="Q89" i="4"/>
  <c r="R58" i="4"/>
  <c r="Q58" i="4"/>
  <c r="Q130" i="4"/>
  <c r="R130" i="4"/>
  <c r="Q132" i="4"/>
  <c r="R132" i="4"/>
  <c r="Q117" i="4"/>
  <c r="R117" i="4"/>
  <c r="Q43" i="4"/>
  <c r="R43" i="4"/>
  <c r="Q115" i="4"/>
  <c r="R115" i="4"/>
  <c r="R12" i="4"/>
  <c r="Q12" i="4"/>
  <c r="R40" i="4"/>
  <c r="Q40" i="4"/>
  <c r="Q30" i="4"/>
  <c r="R30" i="4"/>
  <c r="R94" i="4"/>
  <c r="Q94" i="4"/>
  <c r="R39" i="4"/>
  <c r="Q39" i="4"/>
  <c r="R103" i="4"/>
  <c r="Q103" i="4"/>
  <c r="R120" i="4"/>
  <c r="Q120" i="4"/>
  <c r="Q123" i="4"/>
  <c r="R123" i="4"/>
  <c r="Q33" i="4"/>
  <c r="R33" i="4"/>
  <c r="Q113" i="4"/>
  <c r="R113" i="4"/>
  <c r="S26" i="5"/>
  <c r="H26" i="9"/>
  <c r="H12" i="9"/>
  <c r="H15" i="9"/>
  <c r="H7" i="9"/>
  <c r="H22" i="9"/>
  <c r="H10" i="9"/>
  <c r="H27" i="9"/>
  <c r="H11" i="9"/>
  <c r="H13" i="9"/>
  <c r="H8" i="9"/>
  <c r="H14" i="9"/>
  <c r="H21" i="9"/>
  <c r="H9" i="9"/>
  <c r="H25" i="9"/>
  <c r="Q44" i="4"/>
  <c r="R44" i="4"/>
  <c r="T18" i="5"/>
  <c r="R26" i="4"/>
  <c r="Q26" i="4"/>
  <c r="C15" i="6"/>
  <c r="I31" i="8"/>
  <c r="D15" i="6"/>
  <c r="Q84" i="4"/>
  <c r="R84" i="4"/>
  <c r="R136" i="4"/>
  <c r="Q136" i="4"/>
  <c r="R92" i="4"/>
  <c r="Q92" i="4"/>
  <c r="R5" i="4"/>
  <c r="Q5" i="4"/>
  <c r="Q70" i="4"/>
  <c r="R70" i="4"/>
  <c r="R79" i="4"/>
  <c r="Q79" i="4"/>
  <c r="R24" i="4"/>
  <c r="Q24" i="4"/>
  <c r="Q66" i="4"/>
  <c r="R66" i="4"/>
  <c r="T15" i="5"/>
  <c r="C12" i="6"/>
  <c r="R3" i="4"/>
  <c r="Q3" i="4"/>
  <c r="D12" i="6"/>
  <c r="R4" i="4"/>
  <c r="Q4" i="4"/>
  <c r="R133" i="4"/>
  <c r="Q133" i="4"/>
  <c r="Q51" i="4"/>
  <c r="R51" i="4"/>
  <c r="Q131" i="4"/>
  <c r="R131" i="4"/>
  <c r="Q29" i="4"/>
  <c r="R29" i="4"/>
  <c r="R64" i="4"/>
  <c r="Q64" i="4"/>
  <c r="Q38" i="4"/>
  <c r="R38" i="4"/>
  <c r="R102" i="4"/>
  <c r="Q102" i="4"/>
  <c r="R47" i="4"/>
  <c r="Q47" i="4"/>
  <c r="R119" i="4"/>
  <c r="Q119" i="4"/>
  <c r="Q18" i="4"/>
  <c r="R18" i="4"/>
  <c r="R11" i="4"/>
  <c r="Q11" i="4"/>
  <c r="Q41" i="4"/>
  <c r="R41" i="4"/>
  <c r="Q121" i="4"/>
  <c r="R121" i="4"/>
  <c r="M2" i="6"/>
  <c r="N2" i="6" s="1"/>
  <c r="O2" i="6" s="1"/>
  <c r="Q35" i="5"/>
  <c r="P37" i="5"/>
  <c r="S37" i="5"/>
  <c r="P19" i="5"/>
  <c r="P39" i="5" s="1"/>
  <c r="D39" i="5"/>
  <c r="O26" i="5"/>
  <c r="S28" i="5"/>
  <c r="E39" i="5"/>
  <c r="Q36" i="5"/>
  <c r="S19" i="5"/>
  <c r="Q38" i="5"/>
  <c r="Q27" i="5"/>
  <c r="M29" i="5"/>
  <c r="C29" i="5"/>
  <c r="O19" i="5"/>
  <c r="O39" i="5" s="1"/>
  <c r="K29" i="5"/>
  <c r="O38" i="5"/>
  <c r="S35" i="5"/>
  <c r="S25" i="5"/>
  <c r="N37" i="5"/>
  <c r="N25" i="5"/>
  <c r="R25" i="5"/>
  <c r="L39" i="5"/>
  <c r="R19" i="5"/>
  <c r="J29" i="5"/>
  <c r="P26" i="5"/>
  <c r="J39" i="5"/>
  <c r="P25" i="5"/>
  <c r="P35" i="5"/>
  <c r="R27" i="5"/>
  <c r="L29" i="5"/>
  <c r="R36" i="5"/>
  <c r="P38" i="5"/>
  <c r="Q19" i="5"/>
  <c r="Q39" i="5" s="1"/>
  <c r="H34" i="5"/>
  <c r="H24" i="5"/>
  <c r="I29" i="5"/>
  <c r="O35" i="5"/>
  <c r="T14" i="5"/>
  <c r="T24" i="5" s="1"/>
  <c r="O37" i="5"/>
  <c r="O27" i="5"/>
  <c r="N36" i="5"/>
  <c r="N38" i="5"/>
  <c r="I39" i="5"/>
  <c r="H29" i="9"/>
  <c r="M5" i="6"/>
  <c r="H9" i="5"/>
  <c r="T9" i="5" s="1"/>
  <c r="R9" i="5"/>
  <c r="F29" i="9"/>
  <c r="G29" i="9"/>
  <c r="F39" i="5"/>
  <c r="F29" i="5"/>
  <c r="S9" i="5"/>
  <c r="G29" i="5"/>
  <c r="G39" i="5"/>
  <c r="E29" i="9"/>
  <c r="E31" i="8"/>
  <c r="G31" i="8"/>
  <c r="H31" i="8"/>
  <c r="F31" i="8"/>
  <c r="N39" i="5" l="1"/>
  <c r="U1" i="4"/>
  <c r="H9" i="8"/>
  <c r="H13" i="8"/>
  <c r="D16" i="6"/>
  <c r="D22" i="6" s="1"/>
  <c r="E22" i="6" s="1"/>
  <c r="H27" i="8"/>
  <c r="H21" i="8"/>
  <c r="B16" i="9"/>
  <c r="G16" i="9" s="1"/>
  <c r="J29" i="8"/>
  <c r="H14" i="8"/>
  <c r="H7" i="8"/>
  <c r="G13" i="8"/>
  <c r="G26" i="8"/>
  <c r="G8" i="8"/>
  <c r="G11" i="8"/>
  <c r="G9" i="8"/>
  <c r="G15" i="8"/>
  <c r="G25" i="8"/>
  <c r="G12" i="8"/>
  <c r="G7" i="8"/>
  <c r="G22" i="8"/>
  <c r="G27" i="8"/>
  <c r="G10" i="8"/>
  <c r="G21" i="8"/>
  <c r="G14" i="8"/>
  <c r="H11" i="8"/>
  <c r="H8" i="8"/>
  <c r="F25" i="8"/>
  <c r="F10" i="8"/>
  <c r="F13" i="8"/>
  <c r="F26" i="8"/>
  <c r="F8" i="8"/>
  <c r="F14" i="8"/>
  <c r="F9" i="8"/>
  <c r="F11" i="8"/>
  <c r="F21" i="8"/>
  <c r="F12" i="8"/>
  <c r="F7" i="8"/>
  <c r="F22" i="8"/>
  <c r="F15" i="8"/>
  <c r="F27" i="8"/>
  <c r="I29" i="8"/>
  <c r="H25" i="8"/>
  <c r="H26" i="8"/>
  <c r="B16" i="8"/>
  <c r="H15" i="8"/>
  <c r="H12" i="8"/>
  <c r="E23" i="8"/>
  <c r="J26" i="8"/>
  <c r="J27" i="8"/>
  <c r="H22" i="8"/>
  <c r="J25" i="8"/>
  <c r="C6" i="8"/>
  <c r="C6" i="9"/>
  <c r="I11" i="8"/>
  <c r="I27" i="8"/>
  <c r="I21" i="8"/>
  <c r="I14" i="8"/>
  <c r="I9" i="8"/>
  <c r="I22" i="8"/>
  <c r="I26" i="8"/>
  <c r="I13" i="8"/>
  <c r="I8" i="8"/>
  <c r="I12" i="8"/>
  <c r="I10" i="8"/>
  <c r="I25" i="8"/>
  <c r="I15" i="8"/>
  <c r="I7" i="8"/>
  <c r="H10" i="8"/>
  <c r="N5" i="6"/>
  <c r="O5" i="6" s="1"/>
  <c r="P29" i="5"/>
  <c r="O29" i="5"/>
  <c r="T34" i="5"/>
  <c r="H27" i="5"/>
  <c r="T17" i="5"/>
  <c r="F29" i="8"/>
  <c r="T38" i="5"/>
  <c r="T28" i="5"/>
  <c r="T36" i="5"/>
  <c r="T26" i="5"/>
  <c r="T25" i="5"/>
  <c r="T35" i="5"/>
  <c r="H36" i="5"/>
  <c r="H26" i="5"/>
  <c r="T19" i="5"/>
  <c r="T29" i="5" s="1"/>
  <c r="Q29" i="5"/>
  <c r="H25" i="5"/>
  <c r="H35" i="5"/>
  <c r="H28" i="5"/>
  <c r="H38" i="5"/>
  <c r="G29" i="8"/>
  <c r="H29" i="8"/>
  <c r="J14" i="9"/>
  <c r="S39" i="5"/>
  <c r="S29" i="5"/>
  <c r="G18" i="9"/>
  <c r="J10" i="9"/>
  <c r="E18" i="9"/>
  <c r="J8" i="9"/>
  <c r="H23" i="9"/>
  <c r="N21" i="9" s="1"/>
  <c r="J22" i="9"/>
  <c r="F17" i="9"/>
  <c r="F19" i="9"/>
  <c r="J7" i="9"/>
  <c r="F23" i="9"/>
  <c r="L8" i="9" s="1"/>
  <c r="I19" i="9"/>
  <c r="R29" i="5"/>
  <c r="R39" i="5"/>
  <c r="F18" i="9"/>
  <c r="G19" i="9"/>
  <c r="E17" i="9"/>
  <c r="J12" i="9"/>
  <c r="H17" i="9"/>
  <c r="J13" i="9"/>
  <c r="J15" i="9"/>
  <c r="H18" i="9"/>
  <c r="J21" i="9"/>
  <c r="E23" i="9"/>
  <c r="K15" i="9" s="1"/>
  <c r="I18" i="9"/>
  <c r="I17" i="9"/>
  <c r="G23" i="9"/>
  <c r="M14" i="9" s="1"/>
  <c r="H19" i="9"/>
  <c r="I5" i="6"/>
  <c r="J5" i="6" s="1"/>
  <c r="K5" i="6" s="1"/>
  <c r="E19" i="9"/>
  <c r="J9" i="9"/>
  <c r="J11" i="9"/>
  <c r="G17" i="9"/>
  <c r="I23" i="9"/>
  <c r="O15" i="9" s="1"/>
  <c r="I2" i="6"/>
  <c r="J2" i="6" s="1"/>
  <c r="K2" i="6" s="1"/>
  <c r="E16" i="9" l="1"/>
  <c r="F16" i="9"/>
  <c r="L16" i="9" s="1"/>
  <c r="I16" i="9"/>
  <c r="O16" i="9" s="1"/>
  <c r="H16" i="9"/>
  <c r="N16" i="9" s="1"/>
  <c r="J21" i="8"/>
  <c r="I6" i="8"/>
  <c r="H6" i="8"/>
  <c r="G6" i="8"/>
  <c r="F6" i="8"/>
  <c r="E6" i="8"/>
  <c r="I16" i="8"/>
  <c r="G16" i="8"/>
  <c r="F16" i="8"/>
  <c r="E16" i="8"/>
  <c r="K16" i="8" s="1"/>
  <c r="H16" i="8"/>
  <c r="F6" i="9"/>
  <c r="L6" i="9" s="1"/>
  <c r="E6" i="9"/>
  <c r="H6" i="9"/>
  <c r="N6" i="9" s="1"/>
  <c r="G6" i="9"/>
  <c r="M6" i="9" s="1"/>
  <c r="I6" i="9"/>
  <c r="O6" i="9" s="1"/>
  <c r="T37" i="5"/>
  <c r="T27" i="5"/>
  <c r="T39" i="5"/>
  <c r="M8" i="9"/>
  <c r="H39" i="5"/>
  <c r="H29" i="5"/>
  <c r="M13" i="9"/>
  <c r="M22" i="9"/>
  <c r="L13" i="9"/>
  <c r="L22" i="9"/>
  <c r="N7" i="9"/>
  <c r="J19" i="9"/>
  <c r="L11" i="9"/>
  <c r="O9" i="9"/>
  <c r="K14" i="9"/>
  <c r="L7" i="9"/>
  <c r="L9" i="9"/>
  <c r="J23" i="9"/>
  <c r="P21" i="9" s="1"/>
  <c r="K9" i="9"/>
  <c r="K13" i="9"/>
  <c r="L10" i="9"/>
  <c r="N8" i="9"/>
  <c r="N10" i="9"/>
  <c r="K21" i="9"/>
  <c r="M7" i="9"/>
  <c r="L15" i="9"/>
  <c r="K22" i="9"/>
  <c r="M10" i="9"/>
  <c r="N13" i="9"/>
  <c r="N14" i="9"/>
  <c r="N11" i="9"/>
  <c r="O10" i="9"/>
  <c r="K11" i="9"/>
  <c r="M15" i="9"/>
  <c r="J17" i="9"/>
  <c r="L14" i="9"/>
  <c r="M11" i="9"/>
  <c r="O22" i="9"/>
  <c r="L21" i="9"/>
  <c r="O12" i="9"/>
  <c r="L12" i="9"/>
  <c r="O13" i="9"/>
  <c r="M16" i="9"/>
  <c r="O11" i="9"/>
  <c r="O8" i="9"/>
  <c r="O21" i="9"/>
  <c r="N9" i="9"/>
  <c r="K12" i="9"/>
  <c r="N15" i="9"/>
  <c r="K8" i="9"/>
  <c r="N12" i="9"/>
  <c r="M12" i="9"/>
  <c r="M21" i="9"/>
  <c r="K7" i="9"/>
  <c r="O7" i="9"/>
  <c r="K10" i="9"/>
  <c r="O14" i="9"/>
  <c r="N22" i="9"/>
  <c r="N23" i="9" s="1"/>
  <c r="M9" i="9"/>
  <c r="J18" i="9"/>
  <c r="J8" i="8"/>
  <c r="F17" i="8"/>
  <c r="J12" i="8"/>
  <c r="E19" i="8"/>
  <c r="J9" i="8"/>
  <c r="I17" i="8"/>
  <c r="J22" i="8"/>
  <c r="H17" i="8"/>
  <c r="G23" i="8"/>
  <c r="M8" i="8" s="1"/>
  <c r="J13" i="8"/>
  <c r="I23" i="8"/>
  <c r="O22" i="8" s="1"/>
  <c r="F23" i="8"/>
  <c r="L15" i="8" s="1"/>
  <c r="J15" i="8"/>
  <c r="F19" i="8"/>
  <c r="F18" i="8"/>
  <c r="H19" i="8"/>
  <c r="E17" i="8"/>
  <c r="J11" i="8"/>
  <c r="H18" i="8"/>
  <c r="G19" i="8"/>
  <c r="I19" i="8"/>
  <c r="E18" i="8"/>
  <c r="J10" i="8"/>
  <c r="I18" i="8"/>
  <c r="G18" i="8"/>
  <c r="G17" i="8"/>
  <c r="J14" i="8"/>
  <c r="J7" i="8"/>
  <c r="H23" i="8"/>
  <c r="N14" i="8" s="1"/>
  <c r="O17" i="9" l="1"/>
  <c r="J6" i="8"/>
  <c r="K6" i="8"/>
  <c r="O6" i="8"/>
  <c r="K22" i="8"/>
  <c r="L17" i="9"/>
  <c r="K23" i="9"/>
  <c r="O16" i="8"/>
  <c r="P22" i="9"/>
  <c r="P23" i="9" s="1"/>
  <c r="M23" i="9"/>
  <c r="P9" i="9"/>
  <c r="L23" i="9"/>
  <c r="O19" i="9"/>
  <c r="L9" i="8"/>
  <c r="M18" i="9"/>
  <c r="P13" i="9"/>
  <c r="P15" i="9"/>
  <c r="N16" i="8"/>
  <c r="P7" i="9"/>
  <c r="L16" i="8"/>
  <c r="P14" i="9"/>
  <c r="O12" i="8"/>
  <c r="N7" i="8"/>
  <c r="O7" i="8"/>
  <c r="M13" i="8"/>
  <c r="O11" i="8"/>
  <c r="M12" i="8"/>
  <c r="M9" i="8"/>
  <c r="M19" i="9"/>
  <c r="P11" i="9"/>
  <c r="K17" i="9"/>
  <c r="N21" i="8"/>
  <c r="M11" i="8"/>
  <c r="O21" i="8"/>
  <c r="O23" i="8" s="1"/>
  <c r="M6" i="8"/>
  <c r="P8" i="9"/>
  <c r="O18" i="9"/>
  <c r="L19" i="9"/>
  <c r="N15" i="8"/>
  <c r="N9" i="8"/>
  <c r="N17" i="9"/>
  <c r="N10" i="8"/>
  <c r="L7" i="8"/>
  <c r="P10" i="9"/>
  <c r="K18" i="9"/>
  <c r="N19" i="9"/>
  <c r="M17" i="9"/>
  <c r="N8" i="8"/>
  <c r="N6" i="8"/>
  <c r="N12" i="8"/>
  <c r="O23" i="9"/>
  <c r="J16" i="9"/>
  <c r="K16" i="9"/>
  <c r="P16" i="9" s="1"/>
  <c r="J6" i="9"/>
  <c r="K6" i="9"/>
  <c r="P6" i="9" s="1"/>
  <c r="N13" i="8"/>
  <c r="N11" i="8"/>
  <c r="P12" i="9"/>
  <c r="M15" i="8"/>
  <c r="M16" i="8"/>
  <c r="N22" i="8"/>
  <c r="K19" i="9"/>
  <c r="L18" i="9"/>
  <c r="N18" i="9"/>
  <c r="J18" i="8"/>
  <c r="O15" i="8"/>
  <c r="O8" i="8"/>
  <c r="L8" i="8"/>
  <c r="K12" i="8"/>
  <c r="M14" i="8"/>
  <c r="J16" i="8"/>
  <c r="J23" i="8"/>
  <c r="P21" i="8" s="1"/>
  <c r="M22" i="8"/>
  <c r="L21" i="8"/>
  <c r="K13" i="8"/>
  <c r="L13" i="8"/>
  <c r="L14" i="8"/>
  <c r="L12" i="8"/>
  <c r="K21" i="8"/>
  <c r="L10" i="8"/>
  <c r="O10" i="8"/>
  <c r="O9" i="8"/>
  <c r="J17" i="8"/>
  <c r="O14" i="8"/>
  <c r="L6" i="8"/>
  <c r="L22" i="8"/>
  <c r="K9" i="8"/>
  <c r="M10" i="8"/>
  <c r="K8" i="8"/>
  <c r="K7" i="8"/>
  <c r="K11" i="8"/>
  <c r="L11" i="8"/>
  <c r="K14" i="8"/>
  <c r="K10" i="8"/>
  <c r="O13" i="8"/>
  <c r="J19" i="8"/>
  <c r="M7" i="8"/>
  <c r="K15" i="8"/>
  <c r="M21" i="8"/>
  <c r="K23" i="8" l="1"/>
  <c r="P16" i="8"/>
  <c r="P11" i="8"/>
  <c r="P6" i="8"/>
  <c r="P13" i="8"/>
  <c r="P12" i="8"/>
  <c r="P10" i="8"/>
  <c r="P14" i="8"/>
  <c r="P7" i="8"/>
  <c r="P9" i="8"/>
  <c r="P8" i="8"/>
  <c r="P15" i="8"/>
  <c r="P22" i="8"/>
  <c r="P23" i="8" s="1"/>
  <c r="L23" i="8"/>
  <c r="N19" i="8"/>
  <c r="P19" i="9"/>
  <c r="M18" i="8"/>
  <c r="L17" i="8"/>
  <c r="P17" i="9"/>
  <c r="O18" i="8"/>
  <c r="N18" i="8"/>
  <c r="O17" i="8"/>
  <c r="N17" i="8"/>
  <c r="M17" i="8"/>
  <c r="N23" i="8"/>
  <c r="P18" i="9"/>
  <c r="M23" i="8"/>
  <c r="K18" i="8"/>
  <c r="O19" i="8"/>
  <c r="K19" i="8"/>
  <c r="K17" i="8"/>
  <c r="L18" i="8"/>
  <c r="L19" i="8"/>
  <c r="M19" i="8"/>
  <c r="P19" i="8" l="1"/>
  <c r="P18" i="8"/>
  <c r="P17" i="8"/>
</calcChain>
</file>

<file path=xl/connections.xml><?xml version="1.0" encoding="utf-8"?>
<connections xmlns="http://schemas.openxmlformats.org/spreadsheetml/2006/main">
  <connection id="1" keepAlive="1" name="abm2_trb_new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OONER;Use Encryption for Data=False;Tag with column collation when possible=False" command=" select * from [ws].[validate2].[transit2016]('256')"/>
  </connection>
  <connection id="2" keepAlive="1" name="myserver3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DG77253;Use Encryption for Data=False;Tag with column collation when possible=False" command=" select * from [ws].[dbo].[transit2016]('873')"/>
  </connection>
</connections>
</file>

<file path=xl/sharedStrings.xml><?xml version="1.0" encoding="utf-8"?>
<sst xmlns="http://schemas.openxmlformats.org/spreadsheetml/2006/main" count="902" uniqueCount="110">
  <si>
    <t>Local</t>
  </si>
  <si>
    <t>Route</t>
  </si>
  <si>
    <t>Mode</t>
  </si>
  <si>
    <t>Mode Desc</t>
  </si>
  <si>
    <t xml:space="preserve">AM Early </t>
  </si>
  <si>
    <t xml:space="preserve">AM Peak </t>
  </si>
  <si>
    <t xml:space="preserve">Midday </t>
  </si>
  <si>
    <t xml:space="preserve">PM Peak </t>
  </si>
  <si>
    <t xml:space="preserve">Evening </t>
  </si>
  <si>
    <t>Express</t>
  </si>
  <si>
    <t>Arterial Rapid</t>
  </si>
  <si>
    <t>Freeway Rapid</t>
  </si>
  <si>
    <t>Commuter Rail</t>
  </si>
  <si>
    <t>LRT</t>
  </si>
  <si>
    <t>Limited Express</t>
  </si>
  <si>
    <t>Steps to update the validation result:</t>
  </si>
  <si>
    <t>Input Scenario_id in cell $c$2</t>
  </si>
  <si>
    <t>All the rest will be updated automatically.</t>
  </si>
  <si>
    <t>scenario_id</t>
  </si>
  <si>
    <t>route</t>
  </si>
  <si>
    <t>boarding_EA</t>
  </si>
  <si>
    <t>boarding_AM</t>
  </si>
  <si>
    <t>boarding_MD</t>
  </si>
  <si>
    <t>boarding_PM</t>
  </si>
  <si>
    <t>boarding_EV</t>
  </si>
  <si>
    <t>passenger_mile_EA</t>
  </si>
  <si>
    <t>passenger_mile_AM</t>
  </si>
  <si>
    <t>passenger_mile_MD</t>
  </si>
  <si>
    <t>passenger_mile_PM</t>
  </si>
  <si>
    <t>passenger_mile_EV</t>
  </si>
  <si>
    <t>Observed Transit Ridership</t>
  </si>
  <si>
    <t>Boardings</t>
  </si>
  <si>
    <t>Passenger Miles</t>
  </si>
  <si>
    <t>Ave Trip Length</t>
  </si>
  <si>
    <t>Total</t>
  </si>
  <si>
    <t>Line Haul Mode</t>
  </si>
  <si>
    <t>Estimatd Transit Ridership</t>
  </si>
  <si>
    <t>Estimatd-Observed Transit Ridership</t>
  </si>
  <si>
    <t>% Estimatd-Observed Transit Ridership</t>
  </si>
  <si>
    <t>mode desc</t>
  </si>
  <si>
    <t>order</t>
  </si>
  <si>
    <t>mymode</t>
  </si>
  <si>
    <t>EA</t>
  </si>
  <si>
    <t>AM</t>
  </si>
  <si>
    <t>MD</t>
  </si>
  <si>
    <t>PM</t>
  </si>
  <si>
    <t>EV</t>
  </si>
  <si>
    <t>Day</t>
  </si>
  <si>
    <t>min</t>
  </si>
  <si>
    <t>max</t>
  </si>
  <si>
    <t>Rapid</t>
  </si>
  <si>
    <t>rail</t>
  </si>
  <si>
    <t>bus</t>
  </si>
  <si>
    <t>boardings</t>
  </si>
  <si>
    <t>passenger-miles</t>
  </si>
  <si>
    <t>Gap Range</t>
  </si>
  <si>
    <t>Percents of Gap Range</t>
  </si>
  <si>
    <t>all</t>
  </si>
  <si>
    <t>&gt;=100%</t>
  </si>
  <si>
    <t>50%~100%</t>
  </si>
  <si>
    <t>30%~50%</t>
  </si>
  <si>
    <t>20%~30%</t>
  </si>
  <si>
    <t>10%~20%</t>
  </si>
  <si>
    <t>0%~10%</t>
  </si>
  <si>
    <t>0%~-10%</t>
  </si>
  <si>
    <t>-10%~-20%</t>
  </si>
  <si>
    <t>-20%~-30%</t>
  </si>
  <si>
    <t>-30%~-50%</t>
  </si>
  <si>
    <t>&lt;-50%</t>
  </si>
  <si>
    <t>-10% ~ +10%</t>
  </si>
  <si>
    <t>-20% ~ +20%</t>
  </si>
  <si>
    <t>-30% ~ +30%</t>
  </si>
  <si>
    <t>Total Number of Positive/Negative Gaps</t>
  </si>
  <si>
    <t>Percent of Positive/Negative Gaps</t>
  </si>
  <si>
    <t>Average of Gaps</t>
  </si>
  <si>
    <t>Average (+) Gaps</t>
  </si>
  <si>
    <t>Average (-) Gaps</t>
  </si>
  <si>
    <t>Average of all</t>
  </si>
  <si>
    <t>Root Mean Square Error (RMSE)</t>
  </si>
  <si>
    <t>RMSE percent</t>
  </si>
  <si>
    <t>Trend Line Slope</t>
  </si>
  <si>
    <t>Slope</t>
  </si>
  <si>
    <t>Gap_Day</t>
  </si>
  <si>
    <t>positive lines</t>
  </si>
  <si>
    <t>negative lines</t>
  </si>
  <si>
    <t>total lines</t>
  </si>
  <si>
    <t>Number of lines within Gap Range</t>
  </si>
  <si>
    <t>by mode</t>
  </si>
  <si>
    <t>x2</t>
  </si>
  <si>
    <t>local</t>
  </si>
  <si>
    <t>author</t>
  </si>
  <si>
    <t>Wu's comments:</t>
  </si>
  <si>
    <t>12% over, better than 15% previously.</t>
  </si>
  <si>
    <t>Local bus still a lot over by 20%.  Any reasons?</t>
  </si>
  <si>
    <t>AM and PM over, related to demand; RSG to adjust.</t>
  </si>
  <si>
    <t>yma@sandag.org</t>
  </si>
  <si>
    <t>Mode Desc_old</t>
  </si>
  <si>
    <t>Mode Desc_new</t>
  </si>
  <si>
    <t>mode_transit_route_id</t>
  </si>
  <si>
    <t>mode_description</t>
  </si>
  <si>
    <t xml:space="preserve">Local Bus                                                                  </t>
  </si>
  <si>
    <t xml:space="preserve">Express Bus                                                                </t>
  </si>
  <si>
    <t xml:space="preserve">Arterial Rapid                                                             </t>
  </si>
  <si>
    <t xml:space="preserve">Freeway Rapid                                                              </t>
  </si>
  <si>
    <t xml:space="preserve">Commuter Rail                                                              </t>
  </si>
  <si>
    <t xml:space="preserve">Light Rail                                                                 </t>
  </si>
  <si>
    <t xml:space="preserve">Premium Express Bus                                                        </t>
  </si>
  <si>
    <t>config</t>
  </si>
  <si>
    <t>709E</t>
  </si>
  <si>
    <t>709_old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</si>
</sst>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  <numFmt numFmtId="166" formatCode="0.0"/>
    <numFmt numFmtId="167" formatCode="#,##0.0_);\(#,##0.0\)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rgb="FFFF99FF"/>
      <name val="Calibri"/>
      <family val="2"/>
      <scheme val="minor"/>
    </font>
    <font>
      <sz val="10"/>
      <color rgb="FFFF99FF"/>
      <name val="Calibri"/>
      <family val="2"/>
      <scheme val="minor"/>
    </font>
    <font>
      <sz val="11"/>
      <name val="Calibri"/>
      <family val="2"/>
      <scheme val="minor"/>
    </font>
    <font>
      <sz val="10"/>
      <color theme="8" tint="-0.249977111117893"/>
      <name val="Calibri"/>
      <family val="2"/>
      <scheme val="minor"/>
    </font>
    <font>
      <b/>
      <sz val="10"/>
      <color theme="8" tint="-0.249977111117893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0"/>
      <color theme="8" tint="-0.499984740745262"/>
      <name val="Calibri"/>
      <family val="2"/>
      <scheme val="minor"/>
    </font>
    <font>
      <b/>
      <sz val="10"/>
      <color theme="8" tint="0.39997558519241921"/>
      <name val="Calibri"/>
      <family val="2"/>
      <scheme val="minor"/>
    </font>
    <font>
      <sz val="10"/>
      <color theme="8" tint="0.3999755851924192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7" fillId="0" borderId="0" applyNumberFormat="0" applyFill="0" applyBorder="0" applyAlignment="0" applyProtection="0"/>
  </cellStyleXfs>
  <cellXfs count="346">
    <xf numFmtId="0" fontId="0" fillId="0" borderId="0" xfId="0"/>
    <xf numFmtId="0" fontId="0" fillId="2" borderId="0" xfId="0" applyFill="1"/>
    <xf numFmtId="1" fontId="0" fillId="0" borderId="0" xfId="0" applyNumberFormat="1"/>
    <xf numFmtId="2" fontId="0" fillId="0" borderId="0" xfId="0" applyNumberFormat="1"/>
    <xf numFmtId="164" fontId="0" fillId="0" borderId="0" xfId="1" applyNumberFormat="1" applyFont="1"/>
    <xf numFmtId="0" fontId="0" fillId="0" borderId="0" xfId="0"/>
    <xf numFmtId="0" fontId="0" fillId="0" borderId="0" xfId="0" applyFont="1"/>
    <xf numFmtId="0" fontId="0" fillId="0" borderId="0" xfId="0" applyBorder="1"/>
    <xf numFmtId="0" fontId="4" fillId="3" borderId="0" xfId="0" applyFont="1" applyFill="1" applyBorder="1"/>
    <xf numFmtId="0" fontId="4" fillId="0" borderId="0" xfId="0" applyFont="1" applyBorder="1"/>
    <xf numFmtId="1" fontId="3" fillId="0" borderId="0" xfId="0" applyNumberFormat="1" applyFont="1"/>
    <xf numFmtId="0" fontId="0" fillId="4" borderId="0" xfId="0" applyFill="1"/>
    <xf numFmtId="1" fontId="3" fillId="4" borderId="0" xfId="0" applyNumberFormat="1" applyFont="1" applyFill="1"/>
    <xf numFmtId="0" fontId="6" fillId="3" borderId="9" xfId="0" applyFont="1" applyFill="1" applyBorder="1"/>
    <xf numFmtId="164" fontId="5" fillId="0" borderId="9" xfId="1" applyNumberFormat="1" applyFont="1" applyBorder="1"/>
    <xf numFmtId="0" fontId="5" fillId="3" borderId="5" xfId="0" applyFont="1" applyFill="1" applyBorder="1"/>
    <xf numFmtId="0" fontId="5" fillId="3" borderId="6" xfId="0" applyFont="1" applyFill="1" applyBorder="1"/>
    <xf numFmtId="0" fontId="6" fillId="3" borderId="7" xfId="0" applyFont="1" applyFill="1" applyBorder="1"/>
    <xf numFmtId="0" fontId="6" fillId="3" borderId="17" xfId="0" applyFont="1" applyFill="1" applyBorder="1"/>
    <xf numFmtId="0" fontId="7" fillId="3" borderId="17" xfId="0" applyFont="1" applyFill="1" applyBorder="1"/>
    <xf numFmtId="164" fontId="8" fillId="0" borderId="9" xfId="1" applyNumberFormat="1" applyFont="1" applyBorder="1"/>
    <xf numFmtId="164" fontId="8" fillId="3" borderId="9" xfId="1" applyNumberFormat="1" applyFont="1" applyFill="1" applyBorder="1"/>
    <xf numFmtId="0" fontId="6" fillId="3" borderId="19" xfId="0" applyFont="1" applyFill="1" applyBorder="1"/>
    <xf numFmtId="164" fontId="6" fillId="0" borderId="8" xfId="1" applyNumberFormat="1" applyFont="1" applyBorder="1"/>
    <xf numFmtId="0" fontId="7" fillId="3" borderId="23" xfId="0" applyFont="1" applyFill="1" applyBorder="1"/>
    <xf numFmtId="0" fontId="7" fillId="3" borderId="24" xfId="0" applyFont="1" applyFill="1" applyBorder="1"/>
    <xf numFmtId="164" fontId="8" fillId="0" borderId="25" xfId="1" applyNumberFormat="1" applyFont="1" applyBorder="1"/>
    <xf numFmtId="164" fontId="7" fillId="0" borderId="26" xfId="1" applyNumberFormat="1" applyFont="1" applyBorder="1"/>
    <xf numFmtId="164" fontId="8" fillId="3" borderId="25" xfId="1" applyNumberFormat="1" applyFont="1" applyFill="1" applyBorder="1"/>
    <xf numFmtId="0" fontId="5" fillId="3" borderId="29" xfId="0" applyFont="1" applyFill="1" applyBorder="1"/>
    <xf numFmtId="0" fontId="5" fillId="3" borderId="17" xfId="0" applyFont="1" applyFill="1" applyBorder="1"/>
    <xf numFmtId="0" fontId="9" fillId="3" borderId="20" xfId="0" applyFont="1" applyFill="1" applyBorder="1"/>
    <xf numFmtId="0" fontId="9" fillId="3" borderId="17" xfId="0" applyFont="1" applyFill="1" applyBorder="1"/>
    <xf numFmtId="0" fontId="9" fillId="3" borderId="18" xfId="0" applyFont="1" applyFill="1" applyBorder="1"/>
    <xf numFmtId="165" fontId="10" fillId="0" borderId="11" xfId="1" applyNumberFormat="1" applyFont="1" applyBorder="1"/>
    <xf numFmtId="165" fontId="10" fillId="0" borderId="9" xfId="1" applyNumberFormat="1" applyFont="1" applyBorder="1"/>
    <xf numFmtId="165" fontId="10" fillId="0" borderId="10" xfId="1" applyNumberFormat="1" applyFont="1" applyBorder="1"/>
    <xf numFmtId="0" fontId="6" fillId="4" borderId="12" xfId="0" applyFont="1" applyFill="1" applyBorder="1"/>
    <xf numFmtId="0" fontId="6" fillId="4" borderId="14" xfId="0" applyFont="1" applyFill="1" applyBorder="1"/>
    <xf numFmtId="164" fontId="5" fillId="4" borderId="14" xfId="1" applyNumberFormat="1" applyFont="1" applyFill="1" applyBorder="1"/>
    <xf numFmtId="164" fontId="6" fillId="4" borderId="13" xfId="1" applyNumberFormat="1" applyFont="1" applyFill="1" applyBorder="1"/>
    <xf numFmtId="164" fontId="8" fillId="4" borderId="27" xfId="1" applyNumberFormat="1" applyFont="1" applyFill="1" applyBorder="1"/>
    <xf numFmtId="164" fontId="8" fillId="4" borderId="14" xfId="1" applyNumberFormat="1" applyFont="1" applyFill="1" applyBorder="1"/>
    <xf numFmtId="164" fontId="7" fillId="4" borderId="28" xfId="1" applyNumberFormat="1" applyFont="1" applyFill="1" applyBorder="1"/>
    <xf numFmtId="165" fontId="10" fillId="4" borderId="16" xfId="1" applyNumberFormat="1" applyFont="1" applyFill="1" applyBorder="1"/>
    <xf numFmtId="165" fontId="10" fillId="4" borderId="14" xfId="1" applyNumberFormat="1" applyFont="1" applyFill="1" applyBorder="1"/>
    <xf numFmtId="165" fontId="10" fillId="4" borderId="15" xfId="1" applyNumberFormat="1" applyFont="1" applyFill="1" applyBorder="1"/>
    <xf numFmtId="0" fontId="0" fillId="0" borderId="0" xfId="0" applyFill="1"/>
    <xf numFmtId="1" fontId="3" fillId="0" borderId="0" xfId="0" applyNumberFormat="1" applyFont="1" applyFill="1"/>
    <xf numFmtId="0" fontId="0" fillId="5" borderId="0" xfId="0" applyFill="1"/>
    <xf numFmtId="1" fontId="3" fillId="5" borderId="0" xfId="0" applyNumberFormat="1" applyFont="1" applyFill="1"/>
    <xf numFmtId="0" fontId="0" fillId="6" borderId="0" xfId="0" applyFill="1"/>
    <xf numFmtId="1" fontId="3" fillId="6" borderId="0" xfId="0" applyNumberFormat="1" applyFont="1" applyFill="1"/>
    <xf numFmtId="0" fontId="0" fillId="7" borderId="0" xfId="0" applyFill="1"/>
    <xf numFmtId="1" fontId="3" fillId="7" borderId="0" xfId="0" applyNumberFormat="1" applyFont="1" applyFill="1"/>
    <xf numFmtId="0" fontId="0" fillId="8" borderId="0" xfId="0" applyFill="1"/>
    <xf numFmtId="1" fontId="3" fillId="8" borderId="0" xfId="0" applyNumberFormat="1" applyFont="1" applyFill="1"/>
    <xf numFmtId="1" fontId="11" fillId="0" borderId="0" xfId="0" applyNumberFormat="1" applyFont="1"/>
    <xf numFmtId="1" fontId="11" fillId="8" borderId="0" xfId="0" applyNumberFormat="1" applyFont="1" applyFill="1"/>
    <xf numFmtId="1" fontId="11" fillId="0" borderId="0" xfId="0" applyNumberFormat="1" applyFont="1" applyFill="1"/>
    <xf numFmtId="1" fontId="11" fillId="7" borderId="0" xfId="0" applyNumberFormat="1" applyFont="1" applyFill="1"/>
    <xf numFmtId="1" fontId="11" fillId="6" borderId="0" xfId="0" applyNumberFormat="1" applyFont="1" applyFill="1"/>
    <xf numFmtId="1" fontId="11" fillId="5" borderId="0" xfId="0" applyNumberFormat="1" applyFont="1" applyFill="1"/>
    <xf numFmtId="1" fontId="11" fillId="4" borderId="0" xfId="0" applyNumberFormat="1" applyFont="1" applyFill="1"/>
    <xf numFmtId="0" fontId="11" fillId="0" borderId="0" xfId="0" applyFont="1"/>
    <xf numFmtId="0" fontId="12" fillId="3" borderId="5" xfId="0" applyFont="1" applyFill="1" applyBorder="1"/>
    <xf numFmtId="0" fontId="12" fillId="3" borderId="6" xfId="0" applyFont="1" applyFill="1" applyBorder="1"/>
    <xf numFmtId="0" fontId="12" fillId="3" borderId="29" xfId="0" applyFont="1" applyFill="1" applyBorder="1"/>
    <xf numFmtId="0" fontId="12" fillId="3" borderId="17" xfId="0" applyFont="1" applyFill="1" applyBorder="1"/>
    <xf numFmtId="0" fontId="13" fillId="3" borderId="17" xfId="0" applyFont="1" applyFill="1" applyBorder="1"/>
    <xf numFmtId="0" fontId="13" fillId="3" borderId="19" xfId="0" applyFont="1" applyFill="1" applyBorder="1"/>
    <xf numFmtId="0" fontId="13" fillId="3" borderId="7" xfId="0" applyFont="1" applyFill="1" applyBorder="1"/>
    <xf numFmtId="0" fontId="13" fillId="3" borderId="9" xfId="0" applyFont="1" applyFill="1" applyBorder="1"/>
    <xf numFmtId="164" fontId="12" fillId="0" borderId="9" xfId="1" applyNumberFormat="1" applyFont="1" applyBorder="1"/>
    <xf numFmtId="164" fontId="13" fillId="0" borderId="8" xfId="1" applyNumberFormat="1" applyFont="1" applyBorder="1"/>
    <xf numFmtId="0" fontId="13" fillId="4" borderId="12" xfId="0" applyFont="1" applyFill="1" applyBorder="1"/>
    <xf numFmtId="0" fontId="13" fillId="4" borderId="14" xfId="0" applyFont="1" applyFill="1" applyBorder="1"/>
    <xf numFmtId="164" fontId="12" fillId="4" borderId="14" xfId="1" applyNumberFormat="1" applyFont="1" applyFill="1" applyBorder="1"/>
    <xf numFmtId="164" fontId="13" fillId="4" borderId="13" xfId="1" applyNumberFormat="1" applyFont="1" applyFill="1" applyBorder="1"/>
    <xf numFmtId="0" fontId="14" fillId="3" borderId="23" xfId="0" applyFont="1" applyFill="1" applyBorder="1"/>
    <xf numFmtId="0" fontId="14" fillId="3" borderId="17" xfId="0" applyFont="1" applyFill="1" applyBorder="1"/>
    <xf numFmtId="0" fontId="14" fillId="3" borderId="24" xfId="0" applyFont="1" applyFill="1" applyBorder="1"/>
    <xf numFmtId="164" fontId="15" fillId="0" borderId="25" xfId="1" applyNumberFormat="1" applyFont="1" applyBorder="1"/>
    <xf numFmtId="164" fontId="15" fillId="0" borderId="9" xfId="1" applyNumberFormat="1" applyFont="1" applyBorder="1"/>
    <xf numFmtId="164" fontId="14" fillId="0" borderId="26" xfId="1" applyNumberFormat="1" applyFont="1" applyBorder="1"/>
    <xf numFmtId="164" fontId="15" fillId="3" borderId="25" xfId="1" applyNumberFormat="1" applyFont="1" applyFill="1" applyBorder="1"/>
    <xf numFmtId="164" fontId="15" fillId="3" borderId="9" xfId="1" applyNumberFormat="1" applyFont="1" applyFill="1" applyBorder="1"/>
    <xf numFmtId="164" fontId="15" fillId="4" borderId="27" xfId="1" applyNumberFormat="1" applyFont="1" applyFill="1" applyBorder="1"/>
    <xf numFmtId="164" fontId="15" fillId="4" borderId="14" xfId="1" applyNumberFormat="1" applyFont="1" applyFill="1" applyBorder="1"/>
    <xf numFmtId="164" fontId="14" fillId="4" borderId="28" xfId="1" applyNumberFormat="1" applyFont="1" applyFill="1" applyBorder="1"/>
    <xf numFmtId="0" fontId="16" fillId="3" borderId="20" xfId="0" applyFont="1" applyFill="1" applyBorder="1"/>
    <xf numFmtId="0" fontId="16" fillId="3" borderId="17" xfId="0" applyFont="1" applyFill="1" applyBorder="1"/>
    <xf numFmtId="0" fontId="16" fillId="3" borderId="18" xfId="0" applyFont="1" applyFill="1" applyBorder="1"/>
    <xf numFmtId="165" fontId="17" fillId="0" borderId="11" xfId="1" applyNumberFormat="1" applyFont="1" applyBorder="1"/>
    <xf numFmtId="165" fontId="17" fillId="0" borderId="9" xfId="1" applyNumberFormat="1" applyFont="1" applyBorder="1"/>
    <xf numFmtId="165" fontId="17" fillId="0" borderId="10" xfId="1" applyNumberFormat="1" applyFont="1" applyBorder="1"/>
    <xf numFmtId="165" fontId="17" fillId="4" borderId="16" xfId="1" applyNumberFormat="1" applyFont="1" applyFill="1" applyBorder="1"/>
    <xf numFmtId="165" fontId="17" fillId="4" borderId="14" xfId="1" applyNumberFormat="1" applyFont="1" applyFill="1" applyBorder="1"/>
    <xf numFmtId="165" fontId="17" fillId="4" borderId="15" xfId="1" applyNumberFormat="1" applyFont="1" applyFill="1" applyBorder="1"/>
    <xf numFmtId="0" fontId="18" fillId="3" borderId="5" xfId="0" applyFont="1" applyFill="1" applyBorder="1"/>
    <xf numFmtId="0" fontId="18" fillId="3" borderId="6" xfId="0" applyFont="1" applyFill="1" applyBorder="1"/>
    <xf numFmtId="0" fontId="18" fillId="3" borderId="29" xfId="0" applyFont="1" applyFill="1" applyBorder="1"/>
    <xf numFmtId="0" fontId="18" fillId="3" borderId="17" xfId="0" applyFont="1" applyFill="1" applyBorder="1"/>
    <xf numFmtId="0" fontId="19" fillId="3" borderId="17" xfId="0" applyFont="1" applyFill="1" applyBorder="1"/>
    <xf numFmtId="0" fontId="19" fillId="3" borderId="19" xfId="0" applyFont="1" applyFill="1" applyBorder="1"/>
    <xf numFmtId="0" fontId="19" fillId="3" borderId="23" xfId="0" applyFont="1" applyFill="1" applyBorder="1"/>
    <xf numFmtId="0" fontId="19" fillId="3" borderId="24" xfId="0" applyFont="1" applyFill="1" applyBorder="1"/>
    <xf numFmtId="0" fontId="19" fillId="3" borderId="20" xfId="0" applyFont="1" applyFill="1" applyBorder="1"/>
    <xf numFmtId="0" fontId="19" fillId="3" borderId="18" xfId="0" applyFont="1" applyFill="1" applyBorder="1"/>
    <xf numFmtId="0" fontId="19" fillId="3" borderId="7" xfId="0" applyFont="1" applyFill="1" applyBorder="1"/>
    <xf numFmtId="0" fontId="19" fillId="3" borderId="9" xfId="0" applyFont="1" applyFill="1" applyBorder="1"/>
    <xf numFmtId="2" fontId="18" fillId="0" borderId="9" xfId="1" applyNumberFormat="1" applyFont="1" applyBorder="1"/>
    <xf numFmtId="2" fontId="18" fillId="0" borderId="11" xfId="1" applyNumberFormat="1" applyFont="1" applyBorder="1"/>
    <xf numFmtId="2" fontId="18" fillId="0" borderId="10" xfId="1" applyNumberFormat="1" applyFont="1" applyBorder="1"/>
    <xf numFmtId="1" fontId="18" fillId="0" borderId="9" xfId="1" applyNumberFormat="1" applyFont="1" applyBorder="1"/>
    <xf numFmtId="1" fontId="19" fillId="0" borderId="8" xfId="1" applyNumberFormat="1" applyFont="1" applyBorder="1"/>
    <xf numFmtId="1" fontId="18" fillId="0" borderId="25" xfId="1" applyNumberFormat="1" applyFont="1" applyBorder="1"/>
    <xf numFmtId="1" fontId="19" fillId="0" borderId="26" xfId="1" applyNumberFormat="1" applyFont="1" applyBorder="1"/>
    <xf numFmtId="1" fontId="18" fillId="3" borderId="25" xfId="1" applyNumberFormat="1" applyFont="1" applyFill="1" applyBorder="1"/>
    <xf numFmtId="1" fontId="18" fillId="3" borderId="9" xfId="1" applyNumberFormat="1" applyFont="1" applyFill="1" applyBorder="1"/>
    <xf numFmtId="9" fontId="18" fillId="0" borderId="9" xfId="2" applyFont="1" applyBorder="1"/>
    <xf numFmtId="9" fontId="19" fillId="0" borderId="8" xfId="2" applyFont="1" applyBorder="1"/>
    <xf numFmtId="9" fontId="18" fillId="0" borderId="25" xfId="2" applyFont="1" applyBorder="1"/>
    <xf numFmtId="9" fontId="19" fillId="0" borderId="26" xfId="2" applyFont="1" applyBorder="1"/>
    <xf numFmtId="9" fontId="18" fillId="0" borderId="11" xfId="2" applyFont="1" applyBorder="1"/>
    <xf numFmtId="9" fontId="18" fillId="0" borderId="10" xfId="2" applyFont="1" applyBorder="1"/>
    <xf numFmtId="9" fontId="18" fillId="3" borderId="25" xfId="2" applyFont="1" applyFill="1" applyBorder="1"/>
    <xf numFmtId="9" fontId="18" fillId="3" borderId="9" xfId="2" applyFont="1" applyFill="1" applyBorder="1"/>
    <xf numFmtId="3" fontId="0" fillId="0" borderId="0" xfId="0" applyNumberFormat="1"/>
    <xf numFmtId="0" fontId="20" fillId="0" borderId="0" xfId="0" applyFont="1"/>
    <xf numFmtId="9" fontId="22" fillId="0" borderId="0" xfId="0" applyNumberFormat="1" applyFont="1" applyFill="1"/>
    <xf numFmtId="0" fontId="5" fillId="0" borderId="7" xfId="0" applyFont="1" applyFill="1" applyBorder="1" applyAlignment="1">
      <alignment horizontal="center"/>
    </xf>
    <xf numFmtId="0" fontId="5" fillId="0" borderId="42" xfId="0" applyFont="1" applyBorder="1"/>
    <xf numFmtId="0" fontId="5" fillId="0" borderId="8" xfId="0" applyFont="1" applyFill="1" applyBorder="1"/>
    <xf numFmtId="9" fontId="5" fillId="0" borderId="43" xfId="0" applyNumberFormat="1" applyFont="1" applyBorder="1"/>
    <xf numFmtId="9" fontId="5" fillId="0" borderId="42" xfId="0" applyNumberFormat="1" applyFont="1" applyBorder="1"/>
    <xf numFmtId="9" fontId="5" fillId="0" borderId="10" xfId="0" applyNumberFormat="1" applyFont="1" applyFill="1" applyBorder="1"/>
    <xf numFmtId="0" fontId="5" fillId="0" borderId="9" xfId="0" applyFont="1" applyBorder="1"/>
    <xf numFmtId="9" fontId="5" fillId="0" borderId="25" xfId="0" applyNumberFormat="1" applyFont="1" applyBorder="1"/>
    <xf numFmtId="9" fontId="5" fillId="0" borderId="9" xfId="0" applyNumberFormat="1" applyFont="1" applyBorder="1"/>
    <xf numFmtId="0" fontId="5" fillId="9" borderId="7" xfId="0" applyFont="1" applyFill="1" applyBorder="1" applyAlignment="1">
      <alignment horizontal="center"/>
    </xf>
    <xf numFmtId="0" fontId="5" fillId="9" borderId="9" xfId="0" applyFont="1" applyFill="1" applyBorder="1"/>
    <xf numFmtId="0" fontId="5" fillId="9" borderId="8" xfId="0" applyFont="1" applyFill="1" applyBorder="1"/>
    <xf numFmtId="9" fontId="5" fillId="9" borderId="25" xfId="0" applyNumberFormat="1" applyFont="1" applyFill="1" applyBorder="1"/>
    <xf numFmtId="9" fontId="5" fillId="9" borderId="9" xfId="0" applyNumberFormat="1" applyFont="1" applyFill="1" applyBorder="1"/>
    <xf numFmtId="9" fontId="5" fillId="9" borderId="10" xfId="0" applyNumberFormat="1" applyFont="1" applyFill="1" applyBorder="1"/>
    <xf numFmtId="0" fontId="12" fillId="9" borderId="44" xfId="0" applyFont="1" applyFill="1" applyBorder="1" applyAlignment="1">
      <alignment horizontal="center"/>
    </xf>
    <xf numFmtId="0" fontId="12" fillId="9" borderId="42" xfId="0" applyFont="1" applyFill="1" applyBorder="1"/>
    <xf numFmtId="0" fontId="12" fillId="9" borderId="45" xfId="0" applyFont="1" applyFill="1" applyBorder="1"/>
    <xf numFmtId="9" fontId="12" fillId="9" borderId="43" xfId="0" applyNumberFormat="1" applyFont="1" applyFill="1" applyBorder="1"/>
    <xf numFmtId="9" fontId="12" fillId="9" borderId="42" xfId="0" applyNumberFormat="1" applyFont="1" applyFill="1" applyBorder="1"/>
    <xf numFmtId="9" fontId="12" fillId="9" borderId="46" xfId="0" applyNumberFormat="1" applyFont="1" applyFill="1" applyBorder="1"/>
    <xf numFmtId="0" fontId="12" fillId="9" borderId="7" xfId="0" quotePrefix="1" applyFont="1" applyFill="1" applyBorder="1" applyAlignment="1">
      <alignment horizontal="center"/>
    </xf>
    <xf numFmtId="0" fontId="12" fillId="9" borderId="9" xfId="0" applyFont="1" applyFill="1" applyBorder="1"/>
    <xf numFmtId="0" fontId="12" fillId="9" borderId="8" xfId="0" applyFont="1" applyFill="1" applyBorder="1"/>
    <xf numFmtId="9" fontId="12" fillId="9" borderId="25" xfId="0" applyNumberFormat="1" applyFont="1" applyFill="1" applyBorder="1"/>
    <xf numFmtId="9" fontId="12" fillId="9" borderId="9" xfId="0" applyNumberFormat="1" applyFont="1" applyFill="1" applyBorder="1"/>
    <xf numFmtId="9" fontId="12" fillId="9" borderId="10" xfId="0" applyNumberFormat="1" applyFont="1" applyFill="1" applyBorder="1"/>
    <xf numFmtId="0" fontId="12" fillId="0" borderId="7" xfId="0" quotePrefix="1" applyFont="1" applyFill="1" applyBorder="1" applyAlignment="1">
      <alignment horizontal="center"/>
    </xf>
    <xf numFmtId="0" fontId="12" fillId="0" borderId="9" xfId="0" applyFont="1" applyBorder="1"/>
    <xf numFmtId="0" fontId="12" fillId="0" borderId="8" xfId="0" applyFont="1" applyFill="1" applyBorder="1"/>
    <xf numFmtId="9" fontId="12" fillId="0" borderId="25" xfId="0" applyNumberFormat="1" applyFont="1" applyBorder="1"/>
    <xf numFmtId="9" fontId="12" fillId="0" borderId="9" xfId="0" applyNumberFormat="1" applyFont="1" applyBorder="1"/>
    <xf numFmtId="9" fontId="12" fillId="0" borderId="10" xfId="0" applyNumberFormat="1" applyFont="1" applyFill="1" applyBorder="1"/>
    <xf numFmtId="0" fontId="23" fillId="10" borderId="47" xfId="0" quotePrefix="1" applyFont="1" applyFill="1" applyBorder="1" applyAlignment="1">
      <alignment horizontal="center"/>
    </xf>
    <xf numFmtId="0" fontId="23" fillId="10" borderId="42" xfId="0" applyFont="1" applyFill="1" applyBorder="1"/>
    <xf numFmtId="0" fontId="23" fillId="10" borderId="45" xfId="0" applyFont="1" applyFill="1" applyBorder="1"/>
    <xf numFmtId="9" fontId="23" fillId="10" borderId="43" xfId="0" applyNumberFormat="1" applyFont="1" applyFill="1" applyBorder="1"/>
    <xf numFmtId="9" fontId="23" fillId="10" borderId="42" xfId="0" applyNumberFormat="1" applyFont="1" applyFill="1" applyBorder="1"/>
    <xf numFmtId="9" fontId="23" fillId="10" borderId="45" xfId="0" applyNumberFormat="1" applyFont="1" applyFill="1" applyBorder="1"/>
    <xf numFmtId="9" fontId="23" fillId="10" borderId="46" xfId="0" applyNumberFormat="1" applyFont="1" applyFill="1" applyBorder="1"/>
    <xf numFmtId="0" fontId="23" fillId="10" borderId="48" xfId="0" quotePrefix="1" applyFont="1" applyFill="1" applyBorder="1" applyAlignment="1">
      <alignment horizontal="center"/>
    </xf>
    <xf numFmtId="0" fontId="23" fillId="10" borderId="9" xfId="0" applyFont="1" applyFill="1" applyBorder="1"/>
    <xf numFmtId="0" fontId="23" fillId="10" borderId="8" xfId="0" applyFont="1" applyFill="1" applyBorder="1"/>
    <xf numFmtId="9" fontId="23" fillId="10" borderId="25" xfId="0" applyNumberFormat="1" applyFont="1" applyFill="1" applyBorder="1"/>
    <xf numFmtId="9" fontId="23" fillId="10" borderId="9" xfId="0" applyNumberFormat="1" applyFont="1" applyFill="1" applyBorder="1"/>
    <xf numFmtId="9" fontId="23" fillId="10" borderId="8" xfId="0" applyNumberFormat="1" applyFont="1" applyFill="1" applyBorder="1"/>
    <xf numFmtId="9" fontId="23" fillId="10" borderId="10" xfId="0" applyNumberFormat="1" applyFont="1" applyFill="1" applyBorder="1"/>
    <xf numFmtId="0" fontId="23" fillId="10" borderId="12" xfId="0" quotePrefix="1" applyFont="1" applyFill="1" applyBorder="1" applyAlignment="1">
      <alignment horizontal="center"/>
    </xf>
    <xf numFmtId="0" fontId="23" fillId="10" borderId="14" xfId="0" applyFont="1" applyFill="1" applyBorder="1"/>
    <xf numFmtId="0" fontId="23" fillId="10" borderId="13" xfId="0" applyFont="1" applyFill="1" applyBorder="1"/>
    <xf numFmtId="9" fontId="23" fillId="10" borderId="27" xfId="0" applyNumberFormat="1" applyFont="1" applyFill="1" applyBorder="1"/>
    <xf numFmtId="9" fontId="23" fillId="10" borderId="14" xfId="0" applyNumberFormat="1" applyFont="1" applyFill="1" applyBorder="1"/>
    <xf numFmtId="9" fontId="23" fillId="10" borderId="13" xfId="0" applyNumberFormat="1" applyFont="1" applyFill="1" applyBorder="1"/>
    <xf numFmtId="9" fontId="23" fillId="10" borderId="15" xfId="0" applyNumberFormat="1" applyFont="1" applyFill="1" applyBorder="1"/>
    <xf numFmtId="0" fontId="22" fillId="0" borderId="0" xfId="0" applyFont="1"/>
    <xf numFmtId="0" fontId="18" fillId="0" borderId="7" xfId="0" applyFont="1" applyFill="1" applyBorder="1" applyAlignment="1">
      <alignment horizontal="center"/>
    </xf>
    <xf numFmtId="0" fontId="18" fillId="0" borderId="9" xfId="0" applyFont="1" applyFill="1" applyBorder="1"/>
    <xf numFmtId="0" fontId="18" fillId="0" borderId="8" xfId="0" applyFont="1" applyFill="1" applyBorder="1"/>
    <xf numFmtId="9" fontId="18" fillId="0" borderId="25" xfId="2" applyFont="1" applyFill="1" applyBorder="1"/>
    <xf numFmtId="9" fontId="18" fillId="0" borderId="9" xfId="2" applyFont="1" applyFill="1" applyBorder="1"/>
    <xf numFmtId="9" fontId="18" fillId="0" borderId="10" xfId="2" applyFont="1" applyFill="1" applyBorder="1"/>
    <xf numFmtId="0" fontId="18" fillId="0" borderId="7" xfId="0" quotePrefix="1" applyFont="1" applyFill="1" applyBorder="1" applyAlignment="1">
      <alignment horizontal="center"/>
    </xf>
    <xf numFmtId="9" fontId="18" fillId="0" borderId="8" xfId="2" applyFont="1" applyFill="1" applyBorder="1"/>
    <xf numFmtId="0" fontId="19" fillId="0" borderId="44" xfId="0" applyFont="1" applyBorder="1" applyAlignment="1">
      <alignment horizontal="center"/>
    </xf>
    <xf numFmtId="0" fontId="19" fillId="0" borderId="42" xfId="0" applyFont="1" applyBorder="1"/>
    <xf numFmtId="0" fontId="19" fillId="0" borderId="45" xfId="0" applyFont="1" applyBorder="1"/>
    <xf numFmtId="9" fontId="18" fillId="0" borderId="50" xfId="2" applyFont="1" applyBorder="1"/>
    <xf numFmtId="9" fontId="18" fillId="0" borderId="51" xfId="2" applyFont="1" applyBorder="1"/>
    <xf numFmtId="9" fontId="18" fillId="0" borderId="52" xfId="2" applyFont="1" applyBorder="1"/>
    <xf numFmtId="9" fontId="18" fillId="0" borderId="48" xfId="0" applyNumberFormat="1" applyFont="1" applyFill="1" applyBorder="1"/>
    <xf numFmtId="9" fontId="18" fillId="0" borderId="0" xfId="0" applyNumberFormat="1" applyFont="1" applyFill="1" applyBorder="1"/>
    <xf numFmtId="9" fontId="18" fillId="0" borderId="48" xfId="2" applyFont="1" applyFill="1" applyBorder="1"/>
    <xf numFmtId="9" fontId="18" fillId="0" borderId="0" xfId="2" applyFont="1" applyFill="1" applyBorder="1"/>
    <xf numFmtId="0" fontId="0" fillId="0" borderId="48" xfId="0" applyBorder="1"/>
    <xf numFmtId="0" fontId="23" fillId="11" borderId="48" xfId="0" applyFont="1" applyFill="1" applyBorder="1"/>
    <xf numFmtId="9" fontId="23" fillId="11" borderId="0" xfId="0" applyNumberFormat="1" applyFont="1" applyFill="1" applyBorder="1"/>
    <xf numFmtId="0" fontId="23" fillId="11" borderId="58" xfId="0" applyFont="1" applyFill="1" applyBorder="1"/>
    <xf numFmtId="2" fontId="23" fillId="11" borderId="59" xfId="0" applyNumberFormat="1" applyFont="1" applyFill="1" applyBorder="1"/>
    <xf numFmtId="0" fontId="5" fillId="0" borderId="8" xfId="0" applyFont="1" applyBorder="1"/>
    <xf numFmtId="0" fontId="12" fillId="0" borderId="8" xfId="0" applyFont="1" applyBorder="1"/>
    <xf numFmtId="9" fontId="5" fillId="0" borderId="8" xfId="0" applyNumberFormat="1" applyFont="1" applyBorder="1"/>
    <xf numFmtId="9" fontId="5" fillId="9" borderId="8" xfId="0" applyNumberFormat="1" applyFont="1" applyFill="1" applyBorder="1"/>
    <xf numFmtId="9" fontId="12" fillId="9" borderId="45" xfId="0" applyNumberFormat="1" applyFont="1" applyFill="1" applyBorder="1"/>
    <xf numFmtId="9" fontId="12" fillId="9" borderId="8" xfId="0" applyNumberFormat="1" applyFont="1" applyFill="1" applyBorder="1"/>
    <xf numFmtId="9" fontId="12" fillId="0" borderId="8" xfId="0" applyNumberFormat="1" applyFont="1" applyBorder="1"/>
    <xf numFmtId="9" fontId="18" fillId="0" borderId="60" xfId="2" applyFont="1" applyBorder="1"/>
    <xf numFmtId="0" fontId="11" fillId="0" borderId="38" xfId="0" applyFont="1" applyBorder="1" applyAlignment="1">
      <alignment horizontal="center"/>
    </xf>
    <xf numFmtId="0" fontId="11" fillId="0" borderId="40" xfId="0" applyFont="1" applyBorder="1" applyAlignment="1">
      <alignment horizontal="center"/>
    </xf>
    <xf numFmtId="0" fontId="19" fillId="0" borderId="37" xfId="0" applyFont="1" applyFill="1" applyBorder="1" applyAlignment="1">
      <alignment horizontal="center"/>
    </xf>
    <xf numFmtId="0" fontId="24" fillId="0" borderId="37" xfId="0" applyFont="1" applyBorder="1" applyAlignment="1">
      <alignment horizontal="center"/>
    </xf>
    <xf numFmtId="0" fontId="24" fillId="0" borderId="33" xfId="0" applyFont="1" applyBorder="1" applyAlignment="1">
      <alignment horizontal="center"/>
    </xf>
    <xf numFmtId="0" fontId="19" fillId="0" borderId="39" xfId="0" applyFont="1" applyFill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19" fillId="3" borderId="9" xfId="0" applyFont="1" applyFill="1" applyBorder="1" applyAlignment="1">
      <alignment horizontal="center"/>
    </xf>
    <xf numFmtId="9" fontId="0" fillId="0" borderId="0" xfId="0" applyNumberFormat="1"/>
    <xf numFmtId="1" fontId="3" fillId="2" borderId="0" xfId="0" applyNumberFormat="1" applyFont="1" applyFill="1"/>
    <xf numFmtId="1" fontId="11" fillId="2" borderId="0" xfId="0" applyNumberFormat="1" applyFont="1" applyFill="1"/>
    <xf numFmtId="0" fontId="19" fillId="3" borderId="39" xfId="0" applyFont="1" applyFill="1" applyBorder="1" applyAlignment="1">
      <alignment horizontal="center"/>
    </xf>
    <xf numFmtId="0" fontId="19" fillId="11" borderId="12" xfId="0" applyFont="1" applyFill="1" applyBorder="1"/>
    <xf numFmtId="0" fontId="19" fillId="11" borderId="14" xfId="0" applyFont="1" applyFill="1" applyBorder="1"/>
    <xf numFmtId="9" fontId="18" fillId="11" borderId="14" xfId="2" applyFont="1" applyFill="1" applyBorder="1"/>
    <xf numFmtId="9" fontId="19" fillId="11" borderId="13" xfId="2" applyFont="1" applyFill="1" applyBorder="1"/>
    <xf numFmtId="9" fontId="18" fillId="11" borderId="27" xfId="2" applyFont="1" applyFill="1" applyBorder="1"/>
    <xf numFmtId="9" fontId="19" fillId="11" borderId="28" xfId="2" applyFont="1" applyFill="1" applyBorder="1"/>
    <xf numFmtId="9" fontId="18" fillId="11" borderId="16" xfId="2" applyFont="1" applyFill="1" applyBorder="1"/>
    <xf numFmtId="9" fontId="18" fillId="11" borderId="15" xfId="2" applyFont="1" applyFill="1" applyBorder="1"/>
    <xf numFmtId="1" fontId="25" fillId="0" borderId="0" xfId="0" applyNumberFormat="1" applyFont="1"/>
    <xf numFmtId="0" fontId="25" fillId="0" borderId="0" xfId="0" applyFont="1"/>
    <xf numFmtId="3" fontId="25" fillId="0" borderId="0" xfId="0" applyNumberFormat="1" applyFont="1"/>
    <xf numFmtId="0" fontId="5" fillId="0" borderId="44" xfId="0" applyFont="1" applyFill="1" applyBorder="1" applyAlignment="1">
      <alignment horizontal="center"/>
    </xf>
    <xf numFmtId="9" fontId="5" fillId="0" borderId="42" xfId="0" applyNumberFormat="1" applyFont="1" applyFill="1" applyBorder="1"/>
    <xf numFmtId="9" fontId="5" fillId="0" borderId="45" xfId="0" applyNumberFormat="1" applyFont="1" applyFill="1" applyBorder="1"/>
    <xf numFmtId="0" fontId="12" fillId="0" borderId="7" xfId="0" applyFont="1" applyFill="1" applyBorder="1" applyAlignment="1">
      <alignment horizontal="center"/>
    </xf>
    <xf numFmtId="9" fontId="12" fillId="0" borderId="9" xfId="0" applyNumberFormat="1" applyFont="1" applyFill="1" applyBorder="1"/>
    <xf numFmtId="9" fontId="12" fillId="0" borderId="8" xfId="0" applyNumberFormat="1" applyFont="1" applyFill="1" applyBorder="1"/>
    <xf numFmtId="164" fontId="0" fillId="0" borderId="38" xfId="1" applyNumberFormat="1" applyFont="1" applyBorder="1"/>
    <xf numFmtId="0" fontId="0" fillId="0" borderId="38" xfId="0" applyBorder="1"/>
    <xf numFmtId="0" fontId="3" fillId="0" borderId="0" xfId="0" applyFont="1"/>
    <xf numFmtId="164" fontId="3" fillId="0" borderId="0" xfId="1" applyNumberFormat="1" applyFont="1"/>
    <xf numFmtId="164" fontId="3" fillId="0" borderId="38" xfId="1" applyNumberFormat="1" applyFont="1" applyBorder="1"/>
    <xf numFmtId="164" fontId="3" fillId="0" borderId="0" xfId="0" applyNumberFormat="1" applyFont="1"/>
    <xf numFmtId="0" fontId="26" fillId="0" borderId="0" xfId="0" applyFont="1"/>
    <xf numFmtId="43" fontId="26" fillId="0" borderId="0" xfId="1" applyFont="1"/>
    <xf numFmtId="43" fontId="26" fillId="0" borderId="38" xfId="1" applyFont="1" applyBorder="1"/>
    <xf numFmtId="1" fontId="18" fillId="11" borderId="14" xfId="1" applyNumberFormat="1" applyFont="1" applyFill="1" applyBorder="1"/>
    <xf numFmtId="1" fontId="19" fillId="11" borderId="13" xfId="1" applyNumberFormat="1" applyFont="1" applyFill="1" applyBorder="1"/>
    <xf numFmtId="1" fontId="18" fillId="11" borderId="27" xfId="1" applyNumberFormat="1" applyFont="1" applyFill="1" applyBorder="1"/>
    <xf numFmtId="1" fontId="19" fillId="11" borderId="28" xfId="1" applyNumberFormat="1" applyFont="1" applyFill="1" applyBorder="1"/>
    <xf numFmtId="2" fontId="18" fillId="11" borderId="16" xfId="1" applyNumberFormat="1" applyFont="1" applyFill="1" applyBorder="1"/>
    <xf numFmtId="2" fontId="18" fillId="11" borderId="14" xfId="1" applyNumberFormat="1" applyFont="1" applyFill="1" applyBorder="1"/>
    <xf numFmtId="2" fontId="18" fillId="11" borderId="15" xfId="1" applyNumberFormat="1" applyFont="1" applyFill="1" applyBorder="1"/>
    <xf numFmtId="0" fontId="27" fillId="0" borderId="0" xfId="3"/>
    <xf numFmtId="1" fontId="0" fillId="0" borderId="0" xfId="0" applyNumberFormat="1" applyFill="1"/>
    <xf numFmtId="164" fontId="0" fillId="2" borderId="0" xfId="1" applyNumberFormat="1" applyFont="1" applyFill="1"/>
    <xf numFmtId="164" fontId="3" fillId="2" borderId="0" xfId="1" applyNumberFormat="1" applyFont="1" applyFill="1"/>
    <xf numFmtId="43" fontId="26" fillId="2" borderId="0" xfId="1" applyFont="1" applyFill="1"/>
    <xf numFmtId="1" fontId="0" fillId="0" borderId="0" xfId="1" applyNumberFormat="1" applyFont="1"/>
    <xf numFmtId="1" fontId="26" fillId="0" borderId="0" xfId="0" applyNumberFormat="1" applyFont="1"/>
    <xf numFmtId="43" fontId="3" fillId="0" borderId="0" xfId="0" applyNumberFormat="1" applyFont="1"/>
    <xf numFmtId="166" fontId="3" fillId="2" borderId="0" xfId="1" applyNumberFormat="1" applyFont="1" applyFill="1"/>
    <xf numFmtId="167" fontId="3" fillId="0" borderId="0" xfId="0" applyNumberFormat="1" applyFont="1"/>
    <xf numFmtId="164" fontId="0" fillId="11" borderId="0" xfId="1" applyNumberFormat="1" applyFont="1" applyFill="1"/>
    <xf numFmtId="0" fontId="0" fillId="11" borderId="0" xfId="0" applyFill="1"/>
    <xf numFmtId="164" fontId="3" fillId="11" borderId="0" xfId="1" applyNumberFormat="1" applyFont="1" applyFill="1"/>
    <xf numFmtId="43" fontId="26" fillId="11" borderId="0" xfId="1" applyFont="1" applyFill="1"/>
    <xf numFmtId="164" fontId="0" fillId="2" borderId="0" xfId="1" applyNumberFormat="1" applyFont="1" applyFill="1" applyAlignment="1">
      <alignment horizontal="right"/>
    </xf>
    <xf numFmtId="0" fontId="0" fillId="11" borderId="0" xfId="0" applyFont="1" applyFill="1"/>
    <xf numFmtId="0" fontId="0" fillId="2" borderId="0" xfId="0" applyFont="1" applyFill="1"/>
    <xf numFmtId="0" fontId="0" fillId="0" borderId="38" xfId="0" applyFont="1" applyBorder="1"/>
    <xf numFmtId="164" fontId="1" fillId="0" borderId="0" xfId="1" applyNumberFormat="1" applyFont="1"/>
    <xf numFmtId="1" fontId="1" fillId="0" borderId="0" xfId="1" applyNumberFormat="1" applyFont="1"/>
    <xf numFmtId="0" fontId="28" fillId="0" borderId="0" xfId="0" applyFont="1"/>
    <xf numFmtId="0" fontId="28" fillId="11" borderId="0" xfId="0" applyFont="1" applyFill="1"/>
    <xf numFmtId="0" fontId="28" fillId="2" borderId="0" xfId="0" applyFont="1" applyFill="1"/>
    <xf numFmtId="0" fontId="28" fillId="0" borderId="38" xfId="0" applyFont="1" applyBorder="1"/>
    <xf numFmtId="164" fontId="28" fillId="0" borderId="0" xfId="1" applyNumberFormat="1" applyFont="1"/>
    <xf numFmtId="1" fontId="28" fillId="0" borderId="0" xfId="1" applyNumberFormat="1" applyFont="1"/>
    <xf numFmtId="0" fontId="3" fillId="0" borderId="0" xfId="0" applyFont="1" applyFill="1"/>
    <xf numFmtId="1" fontId="25" fillId="0" borderId="0" xfId="0" applyNumberFormat="1" applyFont="1" applyFill="1"/>
    <xf numFmtId="9" fontId="0" fillId="0" borderId="0" xfId="0" applyNumberFormat="1" applyFill="1"/>
    <xf numFmtId="0" fontId="11" fillId="0" borderId="0" xfId="0" applyFont="1" applyFill="1"/>
    <xf numFmtId="0" fontId="25" fillId="0" borderId="0" xfId="0" applyFont="1" applyFill="1"/>
    <xf numFmtId="1" fontId="3" fillId="0" borderId="0" xfId="0" applyNumberFormat="1" applyFont="1" applyFill="1" applyAlignment="1">
      <alignment horizontal="right"/>
    </xf>
    <xf numFmtId="2" fontId="3" fillId="0" borderId="0" xfId="0" applyNumberFormat="1" applyFont="1"/>
    <xf numFmtId="9" fontId="0" fillId="2" borderId="0" xfId="0" applyNumberFormat="1" applyFill="1"/>
    <xf numFmtId="3" fontId="25" fillId="2" borderId="0" xfId="0" applyNumberFormat="1" applyFont="1" applyFill="1"/>
    <xf numFmtId="9" fontId="3" fillId="2" borderId="0" xfId="0" applyNumberFormat="1" applyFont="1" applyFill="1"/>
    <xf numFmtId="0" fontId="19" fillId="0" borderId="2" xfId="0" applyFont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19" fillId="0" borderId="21" xfId="0" applyFont="1" applyBorder="1" applyAlignment="1">
      <alignment horizontal="center"/>
    </xf>
    <xf numFmtId="0" fontId="19" fillId="0" borderId="22" xfId="0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4" fillId="0" borderId="21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14" fillId="0" borderId="22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9" fillId="0" borderId="53" xfId="0" quotePrefix="1" applyFont="1" applyFill="1" applyBorder="1" applyAlignment="1">
      <alignment horizontal="center"/>
    </xf>
    <xf numFmtId="0" fontId="24" fillId="0" borderId="34" xfId="0" applyFont="1" applyBorder="1" applyAlignment="1"/>
    <xf numFmtId="0" fontId="24" fillId="0" borderId="36" xfId="0" applyFont="1" applyBorder="1" applyAlignment="1"/>
    <xf numFmtId="0" fontId="19" fillId="0" borderId="54" xfId="0" applyFont="1" applyBorder="1" applyAlignment="1">
      <alignment horizontal="center"/>
    </xf>
    <xf numFmtId="0" fontId="19" fillId="0" borderId="55" xfId="0" applyFont="1" applyBorder="1" applyAlignment="1">
      <alignment horizontal="center"/>
    </xf>
    <xf numFmtId="0" fontId="21" fillId="0" borderId="54" xfId="0" applyNumberFormat="1" applyFont="1" applyBorder="1" applyAlignment="1">
      <alignment horizontal="center"/>
    </xf>
    <xf numFmtId="0" fontId="21" fillId="0" borderId="55" xfId="0" applyNumberFormat="1" applyFont="1" applyBorder="1" applyAlignment="1">
      <alignment horizontal="center"/>
    </xf>
    <xf numFmtId="0" fontId="21" fillId="0" borderId="56" xfId="0" applyNumberFormat="1" applyFont="1" applyBorder="1" applyAlignment="1">
      <alignment horizontal="center"/>
    </xf>
    <xf numFmtId="0" fontId="21" fillId="0" borderId="47" xfId="0" applyFont="1" applyBorder="1" applyAlignment="1">
      <alignment horizontal="center"/>
    </xf>
    <xf numFmtId="0" fontId="21" fillId="0" borderId="57" xfId="0" applyFont="1" applyBorder="1" applyAlignment="1">
      <alignment horizontal="center"/>
    </xf>
    <xf numFmtId="0" fontId="21" fillId="0" borderId="5" xfId="0" applyFont="1" applyFill="1" applyBorder="1" applyAlignment="1">
      <alignment horizontal="center" vertical="center" wrapText="1"/>
    </xf>
    <xf numFmtId="0" fontId="21" fillId="0" borderId="7" xfId="0" applyFont="1" applyFill="1" applyBorder="1" applyAlignment="1">
      <alignment horizontal="center" vertical="center" wrapText="1"/>
    </xf>
    <xf numFmtId="0" fontId="21" fillId="0" borderId="29" xfId="0" applyFont="1" applyFill="1" applyBorder="1" applyAlignment="1">
      <alignment horizontal="center" vertical="center" wrapText="1"/>
    </xf>
    <xf numFmtId="0" fontId="21" fillId="0" borderId="1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21" fillId="0" borderId="31" xfId="0" applyFont="1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21" fillId="0" borderId="33" xfId="0" applyFont="1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21" fillId="0" borderId="35" xfId="0" applyFont="1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21" fillId="0" borderId="49" xfId="0" quotePrefix="1" applyFont="1" applyFill="1" applyBorder="1" applyAlignment="1">
      <alignment horizontal="center"/>
    </xf>
    <xf numFmtId="0" fontId="2" fillId="0" borderId="30" xfId="0" applyFont="1" applyBorder="1" applyAlignment="1"/>
    <xf numFmtId="0" fontId="21" fillId="0" borderId="31" xfId="0" applyFont="1" applyBorder="1" applyAlignment="1">
      <alignment horizontal="center"/>
    </xf>
    <xf numFmtId="0" fontId="21" fillId="0" borderId="30" xfId="0" applyFont="1" applyBorder="1" applyAlignment="1">
      <alignment horizontal="center"/>
    </xf>
    <xf numFmtId="0" fontId="21" fillId="0" borderId="32" xfId="0" applyFont="1" applyBorder="1" applyAlignment="1">
      <alignment horizontal="center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37">
    <dxf>
      <font>
        <color rgb="FF9C5700"/>
      </font>
      <fill>
        <patternFill>
          <bgColor rgb="FFFFEB9C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24994659260841701"/>
      </font>
      <fill>
        <patternFill>
          <bgColor theme="8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colors>
    <mruColors>
      <color rgb="FFFFCCFF"/>
      <color rgb="FFFFDDFF"/>
      <color rgb="FFFF99FF"/>
      <color rgb="FFCC99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Total Boardings by Mode - Model Estimated vs Observed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By Modes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CFE0C08-F641-4950-9B30-CEEB7C95D9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ED8-4330-82F5-48C6B95C36F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CCA20CE-9766-433C-A6D0-5384F1D25B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ED8-4330-82F5-48C6B95C36FB}"/>
                </c:ext>
              </c:extLst>
            </c:dLbl>
            <c:dLbl>
              <c:idx val="2"/>
              <c:layout>
                <c:manualLayout>
                  <c:x val="-5.000000000000001E-2"/>
                  <c:y val="-2.5806451612903226E-2"/>
                </c:manualLayout>
              </c:layout>
              <c:tx>
                <c:rich>
                  <a:bodyPr/>
                  <a:lstStyle/>
                  <a:p>
                    <a:fld id="{00C2F67E-AD53-40CF-BE14-023ECFBA58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ED8-4330-82F5-48C6B95C36FB}"/>
                </c:ext>
              </c:extLst>
            </c:dLbl>
            <c:dLbl>
              <c:idx val="3"/>
              <c:layout>
                <c:manualLayout>
                  <c:x val="-2.7777777777777804E-2"/>
                  <c:y val="-3.2258064516129031E-2"/>
                </c:manualLayout>
              </c:layout>
              <c:tx>
                <c:rich>
                  <a:bodyPr/>
                  <a:lstStyle/>
                  <a:p>
                    <a:fld id="{5E06091E-A60C-4A05-9476-572D0AE77A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ED8-4330-82F5-48C6B95C36F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86DD98C-F6CE-4E94-8108-96FE27FD51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ED8-4330-82F5-48C6B95C36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trendline>
            <c:spPr>
              <a:ln w="22225" cap="rnd">
                <a:solidFill>
                  <a:schemeClr val="accent5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2.9303587051618549E-2"/>
                  <c:y val="-2.4061468122936247E-2"/>
                </c:manualLayout>
              </c:layout>
              <c:numFmt formatCode="#,##0.00" sourceLinked="0"/>
              <c:spPr>
                <a:solidFill>
                  <a:schemeClr val="bg1">
                    <a:lumMod val="95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sum_by_mode!$H$4:$H$8</c:f>
              <c:numCache>
                <c:formatCode>_(* #,##0_);_(* \(#,##0\);_(* "-"??_);_(@_)</c:formatCode>
                <c:ptCount val="5"/>
                <c:pt idx="0">
                  <c:v>5014.9960650514795</c:v>
                </c:pt>
                <c:pt idx="1">
                  <c:v>120099.13020614152</c:v>
                </c:pt>
                <c:pt idx="2">
                  <c:v>15973.516336232286</c:v>
                </c:pt>
                <c:pt idx="3">
                  <c:v>25874.166425449403</c:v>
                </c:pt>
                <c:pt idx="4">
                  <c:v>160554.65979691187</c:v>
                </c:pt>
              </c:numCache>
            </c:numRef>
          </c:xVal>
          <c:yVal>
            <c:numRef>
              <c:f>sum_by_mode!$H$14:$H$18</c:f>
              <c:numCache>
                <c:formatCode>_(* #,##0_);_(* \(#,##0\);_(* "-"??_);_(@_)</c:formatCode>
                <c:ptCount val="5"/>
                <c:pt idx="0">
                  <c:v>5225.5496220000005</c:v>
                </c:pt>
                <c:pt idx="1">
                  <c:v>118052.454207</c:v>
                </c:pt>
                <c:pt idx="2">
                  <c:v>22680.686461000001</c:v>
                </c:pt>
                <c:pt idx="3">
                  <c:v>26335.022439999997</c:v>
                </c:pt>
                <c:pt idx="4">
                  <c:v>170850.11658099998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sum_by_mode!$B$4:$B$8</c15:f>
                <c15:dlblRangeCache>
                  <c:ptCount val="5"/>
                  <c:pt idx="0">
                    <c:v>Commuter Rail</c:v>
                  </c:pt>
                  <c:pt idx="1">
                    <c:v>LRT</c:v>
                  </c:pt>
                  <c:pt idx="2">
                    <c:v>Express</c:v>
                  </c:pt>
                  <c:pt idx="3">
                    <c:v>Rapid</c:v>
                  </c:pt>
                  <c:pt idx="4">
                    <c:v>Local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ED8-4330-82F5-48C6B95C36FB}"/>
            </c:ext>
          </c:extLst>
        </c:ser>
        <c:ser>
          <c:idx val="1"/>
          <c:order val="1"/>
          <c:tx>
            <c:v>45 degree</c:v>
          </c:tx>
          <c:spPr>
            <a:ln w="25400" cap="rnd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ref!$A$21:$A$22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200000</c:v>
                </c:pt>
              </c:numCache>
            </c:numRef>
          </c:xVal>
          <c:yVal>
            <c:numRef>
              <c:f>ref!$B$21:$B$22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ED8-4330-82F5-48C6B95C3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106720"/>
        <c:axId val="536110656"/>
      </c:scatterChart>
      <c:valAx>
        <c:axId val="53610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Observed Daily</a:t>
                </a:r>
                <a:r>
                  <a:rPr lang="en-US" baseline="0"/>
                  <a:t> Boarding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10656"/>
        <c:crosses val="autoZero"/>
        <c:crossBetween val="midCat"/>
      </c:valAx>
      <c:valAx>
        <c:axId val="53611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Estimated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0672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Total Passenger-Miles by Mode - Model Estimated vs Observed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By Modes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141FC5-FFE7-4EFD-9A64-13AB7BE43A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C09-42D4-A9BB-6BB53C62EA2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AFCF87-BD57-486C-9DF6-7DEBE30F50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C09-42D4-A9BB-6BB53C62EA2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E5D0FD4-98C9-4D80-B27A-9FF8598A3D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C09-42D4-A9BB-6BB53C62EA2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1E236AD-318E-4F71-B9D3-503659E4ED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C09-42D4-A9BB-6BB53C62EA2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4186F64-52A7-453C-AA4E-4491EC4464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C09-42D4-A9BB-6BB53C62EA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trendline>
            <c:spPr>
              <a:ln w="22225" cap="rnd">
                <a:solidFill>
                  <a:schemeClr val="accent1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9958702621973738E-2"/>
                  <c:y val="-1.0089448155314347E-2"/>
                </c:manualLayout>
              </c:layout>
              <c:numFmt formatCode="#,##0.00" sourceLinked="0"/>
              <c:spPr>
                <a:solidFill>
                  <a:schemeClr val="bg1">
                    <a:lumMod val="95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sum_by_mode!$N$4:$N$8</c:f>
              <c:numCache>
                <c:formatCode>_(* #,##0_);_(* \(#,##0\);_(* "-"??_);_(@_)</c:formatCode>
                <c:ptCount val="5"/>
                <c:pt idx="0">
                  <c:v>118438.12741170384</c:v>
                </c:pt>
                <c:pt idx="1">
                  <c:v>692571.63564218965</c:v>
                </c:pt>
                <c:pt idx="2">
                  <c:v>95965.905341750782</c:v>
                </c:pt>
                <c:pt idx="3">
                  <c:v>172642.61047385182</c:v>
                </c:pt>
                <c:pt idx="4">
                  <c:v>537992.35840348667</c:v>
                </c:pt>
              </c:numCache>
            </c:numRef>
          </c:xVal>
          <c:yVal>
            <c:numRef>
              <c:f>sum_by_mode!$N$14:$N$18</c:f>
              <c:numCache>
                <c:formatCode>_(* #,##0_);_(* \(#,##0\);_(* "-"??_);_(@_)</c:formatCode>
                <c:ptCount val="5"/>
                <c:pt idx="0">
                  <c:v>134234.80495487805</c:v>
                </c:pt>
                <c:pt idx="1">
                  <c:v>833302.06491920399</c:v>
                </c:pt>
                <c:pt idx="2">
                  <c:v>128934.35225596209</c:v>
                </c:pt>
                <c:pt idx="3">
                  <c:v>166850.0787593484</c:v>
                </c:pt>
                <c:pt idx="4">
                  <c:v>629663.041115392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sum_by_mode!$B$4:$B$8</c15:f>
                <c15:dlblRangeCache>
                  <c:ptCount val="5"/>
                  <c:pt idx="0">
                    <c:v>Commuter Rail</c:v>
                  </c:pt>
                  <c:pt idx="1">
                    <c:v>LRT</c:v>
                  </c:pt>
                  <c:pt idx="2">
                    <c:v>Express</c:v>
                  </c:pt>
                  <c:pt idx="3">
                    <c:v>Rapid</c:v>
                  </c:pt>
                  <c:pt idx="4">
                    <c:v>Local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C09-42D4-A9BB-6BB53C62EA2A}"/>
            </c:ext>
          </c:extLst>
        </c:ser>
        <c:ser>
          <c:idx val="1"/>
          <c:order val="1"/>
          <c:tx>
            <c:v>45 degree</c:v>
          </c:tx>
          <c:spPr>
            <a:ln w="19050" cap="rnd">
              <a:solidFill>
                <a:schemeClr val="bg1">
                  <a:lumMod val="6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ref!$A$25:$A$26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900000</c:v>
                </c:pt>
              </c:numCache>
            </c:numRef>
          </c:xVal>
          <c:yVal>
            <c:numRef>
              <c:f>ref!$B$25:$B$26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900000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C09-42D4-A9BB-6BB53C62E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106720"/>
        <c:axId val="536110656"/>
        <c:extLst/>
      </c:scatterChart>
      <c:valAx>
        <c:axId val="53610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Observed Daily</a:t>
                </a:r>
                <a:r>
                  <a:rPr lang="en-US" baseline="0"/>
                  <a:t> Passenger-Miles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10656"/>
        <c:crosses val="autoZero"/>
        <c:crossBetween val="midCat"/>
      </c:valAx>
      <c:valAx>
        <c:axId val="53611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Estimated Passenger-Miles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0672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5">
        <a:lumMod val="60000"/>
        <a:lumOff val="4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Rail Transit Boardings - Model</a:t>
            </a:r>
            <a:r>
              <a:rPr lang="en-US" baseline="0"/>
              <a:t> Estimated vs. Observed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217738407699038"/>
          <c:y val="9.3308194583904241E-2"/>
          <c:w val="0.68768318022747155"/>
          <c:h val="0.79498535036603779"/>
        </c:manualLayout>
      </c:layout>
      <c:scatterChart>
        <c:scatterStyle val="lineMarker"/>
        <c:varyColors val="0"/>
        <c:ser>
          <c:idx val="0"/>
          <c:order val="0"/>
          <c:tx>
            <c:v>Commuter Rail_Coaster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triangle"/>
              <c:size val="5"/>
              <c:spPr>
                <a:solidFill>
                  <a:srgbClr val="00B0F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1584-4186-8F87-F17B548FFB48}"/>
              </c:ext>
            </c:extLst>
          </c:dPt>
          <c:xVal>
            <c:numRef>
              <c:f>bd!$J$2</c:f>
              <c:numCache>
                <c:formatCode>0</c:formatCode>
                <c:ptCount val="1"/>
                <c:pt idx="0">
                  <c:v>5014.9960650514795</c:v>
                </c:pt>
              </c:numCache>
            </c:numRef>
          </c:xVal>
          <c:yVal>
            <c:numRef>
              <c:f>bd!$P$2</c:f>
              <c:numCache>
                <c:formatCode>0</c:formatCode>
                <c:ptCount val="1"/>
                <c:pt idx="0">
                  <c:v>5225.5496220000005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84-4186-8F87-F17B548FFB48}"/>
            </c:ext>
          </c:extLst>
        </c:ser>
        <c:ser>
          <c:idx val="5"/>
          <c:order val="1"/>
          <c:tx>
            <c:v>LRT_Sprinter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bd!$J$3</c:f>
              <c:numCache>
                <c:formatCode>0</c:formatCode>
                <c:ptCount val="1"/>
                <c:pt idx="0">
                  <c:v>9815.76</c:v>
                </c:pt>
              </c:numCache>
            </c:numRef>
          </c:xVal>
          <c:yVal>
            <c:numRef>
              <c:f>bd!$P$3</c:f>
              <c:numCache>
                <c:formatCode>0</c:formatCode>
                <c:ptCount val="1"/>
                <c:pt idx="0">
                  <c:v>15216.693564000001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584-4186-8F87-F17B548FFB48}"/>
            </c:ext>
          </c:extLst>
        </c:ser>
        <c:ser>
          <c:idx val="6"/>
          <c:order val="2"/>
          <c:tx>
            <c:v>LRT_Blue Line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bd!$J$4</c:f>
              <c:numCache>
                <c:formatCode>0</c:formatCode>
                <c:ptCount val="1"/>
                <c:pt idx="0">
                  <c:v>51836.560206141512</c:v>
                </c:pt>
              </c:numCache>
            </c:numRef>
          </c:xVal>
          <c:yVal>
            <c:numRef>
              <c:f>bd!$P$4</c:f>
              <c:numCache>
                <c:formatCode>0</c:formatCode>
                <c:ptCount val="1"/>
                <c:pt idx="0">
                  <c:v>54526.682890000004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584-4186-8F87-F17B548FFB48}"/>
            </c:ext>
          </c:extLst>
        </c:ser>
        <c:ser>
          <c:idx val="7"/>
          <c:order val="3"/>
          <c:tx>
            <c:v>LRT_Orange Line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bd!$J$5</c:f>
              <c:numCache>
                <c:formatCode>0</c:formatCode>
                <c:ptCount val="1"/>
                <c:pt idx="0">
                  <c:v>26572.159999999996</c:v>
                </c:pt>
              </c:numCache>
            </c:numRef>
          </c:xVal>
          <c:yVal>
            <c:numRef>
              <c:f>bd!$P$5</c:f>
              <c:numCache>
                <c:formatCode>0</c:formatCode>
                <c:ptCount val="1"/>
                <c:pt idx="0">
                  <c:v>18989.639606000001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584-4186-8F87-F17B548FFB48}"/>
            </c:ext>
          </c:extLst>
        </c:ser>
        <c:ser>
          <c:idx val="8"/>
          <c:order val="4"/>
          <c:tx>
            <c:v>LRT_Green Line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bd!$J$6</c:f>
              <c:numCache>
                <c:formatCode>0</c:formatCode>
                <c:ptCount val="1"/>
                <c:pt idx="0">
                  <c:v>31874.65</c:v>
                </c:pt>
              </c:numCache>
            </c:numRef>
          </c:xVal>
          <c:yVal>
            <c:numRef>
              <c:f>bd!$P$6</c:f>
              <c:numCache>
                <c:formatCode>0</c:formatCode>
                <c:ptCount val="1"/>
                <c:pt idx="0">
                  <c:v>29319.438147000001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584-4186-8F87-F17B548FFB48}"/>
            </c:ext>
          </c:extLst>
        </c:ser>
        <c:ser>
          <c:idx val="4"/>
          <c:order val="5"/>
          <c:tx>
            <c:v>45 degree</c:v>
          </c:tx>
          <c:spPr>
            <a:ln w="25400" cap="rnd">
              <a:solidFill>
                <a:schemeClr val="accent5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ref!$J$1:$J$2</c:f>
              <c:numCache>
                <c:formatCode>0</c:formatCode>
                <c:ptCount val="2"/>
                <c:pt idx="0" formatCode="General">
                  <c:v>0</c:v>
                </c:pt>
                <c:pt idx="1">
                  <c:v>50000</c:v>
                </c:pt>
              </c:numCache>
            </c:numRef>
          </c:xVal>
          <c:yVal>
            <c:numRef>
              <c:f>ref!$K$1:$K$2</c:f>
              <c:numCache>
                <c:formatCode>General</c:formatCode>
                <c:ptCount val="2"/>
                <c:pt idx="0">
                  <c:v>0</c:v>
                </c:pt>
                <c:pt idx="1">
                  <c:v>50000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584-4186-8F87-F17B548FFB48}"/>
            </c:ext>
          </c:extLst>
        </c:ser>
        <c:ser>
          <c:idx val="1"/>
          <c:order val="6"/>
          <c:tx>
            <c:v>all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7-1584-4186-8F87-F17B548FFB48}"/>
              </c:ext>
            </c:extLst>
          </c:dPt>
          <c:trendline>
            <c:spPr>
              <a:ln w="22225" cap="rnd">
                <a:solidFill>
                  <a:schemeClr val="accent5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5999699256342955E-2"/>
                  <c:y val="4.0025165161227193E-2"/>
                </c:manualLayout>
              </c:layout>
              <c:numFmt formatCode="#,##0.00" sourceLinked="0"/>
              <c:spPr>
                <a:solidFill>
                  <a:schemeClr val="accent5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bd!$J$2:$J$6</c:f>
              <c:numCache>
                <c:formatCode>0</c:formatCode>
                <c:ptCount val="5"/>
                <c:pt idx="0">
                  <c:v>5014.9960650514795</c:v>
                </c:pt>
                <c:pt idx="1">
                  <c:v>9815.76</c:v>
                </c:pt>
                <c:pt idx="2">
                  <c:v>51836.560206141512</c:v>
                </c:pt>
                <c:pt idx="3">
                  <c:v>26572.159999999996</c:v>
                </c:pt>
                <c:pt idx="4">
                  <c:v>31874.65</c:v>
                </c:pt>
              </c:numCache>
            </c:numRef>
          </c:xVal>
          <c:yVal>
            <c:numRef>
              <c:f>bd!$P$2:$P$6</c:f>
              <c:numCache>
                <c:formatCode>0</c:formatCode>
                <c:ptCount val="5"/>
                <c:pt idx="0">
                  <c:v>5225.5496220000005</c:v>
                </c:pt>
                <c:pt idx="1">
                  <c:v>15216.693564000001</c:v>
                </c:pt>
                <c:pt idx="2">
                  <c:v>54526.682890000004</c:v>
                </c:pt>
                <c:pt idx="3">
                  <c:v>18989.639606000001</c:v>
                </c:pt>
                <c:pt idx="4">
                  <c:v>29319.438147000001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584-4186-8F87-F17B548FF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5971224"/>
        <c:axId val="655965976"/>
      </c:scatterChart>
      <c:valAx>
        <c:axId val="655971224"/>
        <c:scaling>
          <c:orientation val="minMax"/>
          <c:max val="7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Daily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965976"/>
        <c:crosses val="autoZero"/>
        <c:crossBetween val="midCat"/>
      </c:valAx>
      <c:valAx>
        <c:axId val="655965976"/>
        <c:scaling>
          <c:orientation val="minMax"/>
          <c:max val="7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Estimatee</a:t>
                </a:r>
                <a:r>
                  <a:rPr lang="en-US" b="1" baseline="0"/>
                  <a:t> Boardings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971224"/>
        <c:crosses val="autoZero"/>
        <c:crossBetween val="midCat"/>
        <c:majorUnit val="7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618000874890638"/>
          <c:y val="0.31740787746404742"/>
          <c:w val="0.17298665791776027"/>
          <c:h val="0.339625085846597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Express Transit Boardings - Model</a:t>
            </a:r>
            <a:r>
              <a:rPr lang="en-US" baseline="0"/>
              <a:t> Estimated vs. Observed</a:t>
            </a:r>
            <a:endParaRPr lang="en-US"/>
          </a:p>
        </c:rich>
      </c:tx>
      <c:layout>
        <c:manualLayout>
          <c:xMode val="edge"/>
          <c:yMode val="edge"/>
          <c:x val="0.22490881999125112"/>
          <c:y val="1.50943426126563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v>45 degree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accent2">
                    <a:lumMod val="60000"/>
                    <a:lumOff val="40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FBF-4AE3-92E1-1F5E4463EE03}"/>
              </c:ext>
            </c:extLst>
          </c:dPt>
          <c:xVal>
            <c:numRef>
              <c:f>ref!$J$4:$J$5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10000</c:v>
                </c:pt>
              </c:numCache>
            </c:numRef>
          </c:xVal>
          <c:yVal>
            <c:numRef>
              <c:f>ref!$J$4:$J$5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BF-4AE3-92E1-1F5E4463EE03}"/>
            </c:ext>
          </c:extLst>
        </c:ser>
        <c:ser>
          <c:idx val="1"/>
          <c:order val="1"/>
          <c:tx>
            <c:v>Express</c:v>
          </c:tx>
          <c:spPr>
            <a:ln w="19050" cap="rnd">
              <a:noFill/>
              <a:round/>
            </a:ln>
            <a:effectLst/>
          </c:spPr>
          <c:marker>
            <c:symbol val="star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B171306-9E0B-43D0-A2D7-FE402CB472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FBF-4AE3-92E1-1F5E4463EE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14941B3-7F7B-4E9B-BCDA-D25852A1DF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FBF-4AE3-92E1-1F5E4463EE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8E21928-5C16-4FB4-A64B-DF0D6C44A7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FBF-4AE3-92E1-1F5E4463EE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5368E18-0A14-46CF-832A-4560329749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FBF-4AE3-92E1-1F5E4463EE0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B5F3529-AFDC-49D8-9C42-F933F7511C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FBF-4AE3-92E1-1F5E4463EE0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AF7FBD6-C32C-4C95-8056-22B6605071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FBF-4AE3-92E1-1F5E4463EE0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7C71F96-907F-4E8B-97D4-1ECE7C2D98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FBF-4AE3-92E1-1F5E4463EE0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7EDC56E-92BB-4505-8483-260DE627C4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FBF-4AE3-92E1-1F5E4463EE0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FBF-4AE3-92E1-1F5E4463EE0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420ECC1-C76F-480F-B70C-8EC8286D56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3C-4F0F-A3E9-4A79D89C48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2225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2351405293088366E-2"/>
                  <c:y val="8.6881609841352909E-3"/>
                </c:manualLayout>
              </c:layout>
              <c:numFmt formatCode="#,##0.00" sourceLinked="0"/>
              <c:spPr>
                <a:solidFill>
                  <a:schemeClr val="accent2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bd!$J$7:$J$16</c:f>
              <c:numCache>
                <c:formatCode>0</c:formatCode>
                <c:ptCount val="10"/>
                <c:pt idx="0">
                  <c:v>4435.95</c:v>
                </c:pt>
                <c:pt idx="1">
                  <c:v>2416.0803676752203</c:v>
                </c:pt>
                <c:pt idx="2">
                  <c:v>855.51999999999987</c:v>
                </c:pt>
                <c:pt idx="3">
                  <c:v>317.10000000000002</c:v>
                </c:pt>
                <c:pt idx="4">
                  <c:v>211.01</c:v>
                </c:pt>
                <c:pt idx="5">
                  <c:v>2667.0433819951336</c:v>
                </c:pt>
                <c:pt idx="6">
                  <c:v>3347.7799999999997</c:v>
                </c:pt>
                <c:pt idx="7">
                  <c:v>1203.8500000000001</c:v>
                </c:pt>
                <c:pt idx="8">
                  <c:v>465.93258656193075</c:v>
                </c:pt>
                <c:pt idx="9">
                  <c:v>53.25</c:v>
                </c:pt>
              </c:numCache>
            </c:numRef>
          </c:xVal>
          <c:yVal>
            <c:numRef>
              <c:f>bd!$P$7:$P$16</c:f>
              <c:numCache>
                <c:formatCode>0</c:formatCode>
                <c:ptCount val="10"/>
                <c:pt idx="0">
                  <c:v>3274.9711259999999</c:v>
                </c:pt>
                <c:pt idx="1">
                  <c:v>3788.9517139999998</c:v>
                </c:pt>
                <c:pt idx="2">
                  <c:v>965.38231599999995</c:v>
                </c:pt>
                <c:pt idx="3">
                  <c:v>504.71064899999999</c:v>
                </c:pt>
                <c:pt idx="4">
                  <c:v>311.02674000000002</c:v>
                </c:pt>
                <c:pt idx="5">
                  <c:v>3956.1830520000003</c:v>
                </c:pt>
                <c:pt idx="6">
                  <c:v>2871.383808</c:v>
                </c:pt>
                <c:pt idx="7">
                  <c:v>2737.5687640000001</c:v>
                </c:pt>
                <c:pt idx="8">
                  <c:v>4100.025678</c:v>
                </c:pt>
                <c:pt idx="9">
                  <c:v>170.48261400000001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bd!$A$7:$A$16</c15:f>
                <c15:dlblRangeCache>
                  <c:ptCount val="10"/>
                  <c:pt idx="0">
                    <c:v>10</c:v>
                  </c:pt>
                  <c:pt idx="1">
                    <c:v>20</c:v>
                  </c:pt>
                  <c:pt idx="2">
                    <c:v>50</c:v>
                  </c:pt>
                  <c:pt idx="3">
                    <c:v>60</c:v>
                  </c:pt>
                  <c:pt idx="4">
                    <c:v>110</c:v>
                  </c:pt>
                  <c:pt idx="5">
                    <c:v>120</c:v>
                  </c:pt>
                  <c:pt idx="6">
                    <c:v>150</c:v>
                  </c:pt>
                  <c:pt idx="7">
                    <c:v>950</c:v>
                  </c:pt>
                  <c:pt idx="8">
                    <c:v>709</c:v>
                  </c:pt>
                  <c:pt idx="9">
                    <c:v>870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5FBF-4AE3-92E1-1F5E4463E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5971224"/>
        <c:axId val="655965976"/>
      </c:scatterChart>
      <c:valAx>
        <c:axId val="655971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Daily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965976"/>
        <c:crosses val="autoZero"/>
        <c:crossBetween val="midCat"/>
      </c:valAx>
      <c:valAx>
        <c:axId val="655965976"/>
        <c:scaling>
          <c:orientation val="minMax"/>
          <c:max val="1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Estimatee</a:t>
                </a:r>
                <a:r>
                  <a:rPr lang="en-US" b="1" baseline="0"/>
                  <a:t> Boardings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97122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Rapid</a:t>
            </a:r>
            <a:r>
              <a:rPr lang="en-US" baseline="0"/>
              <a:t> </a:t>
            </a:r>
            <a:r>
              <a:rPr lang="en-US"/>
              <a:t>Transit Boardings - Model</a:t>
            </a:r>
            <a:r>
              <a:rPr lang="en-US" baseline="0"/>
              <a:t> Estimated vs. Observed</a:t>
            </a:r>
            <a:endParaRPr lang="en-US"/>
          </a:p>
        </c:rich>
      </c:tx>
      <c:layout>
        <c:manualLayout>
          <c:xMode val="edge"/>
          <c:yMode val="edge"/>
          <c:x val="0.22490881999125112"/>
          <c:y val="1.50943426126563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217738407699038"/>
          <c:y val="9.3308194583904241E-2"/>
          <c:w val="0.70402887139107606"/>
          <c:h val="0.79498535036603779"/>
        </c:manualLayout>
      </c:layout>
      <c:scatterChart>
        <c:scatterStyle val="lineMarker"/>
        <c:varyColors val="0"/>
        <c:ser>
          <c:idx val="4"/>
          <c:order val="0"/>
          <c:tx>
            <c:v>45 degree</c:v>
          </c:tx>
          <c:spPr>
            <a:ln w="19050" cap="rnd">
              <a:solidFill>
                <a:schemeClr val="accent4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accent4">
                    <a:lumMod val="7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EBE-4B59-B5AF-A3830ECF9D2C}"/>
              </c:ext>
            </c:extLst>
          </c:dPt>
          <c:xVal>
            <c:numRef>
              <c:f>ref!$J$4:$J$5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10000</c:v>
                </c:pt>
              </c:numCache>
            </c:numRef>
          </c:xVal>
          <c:yVal>
            <c:numRef>
              <c:f>ref!$J$4:$J$5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EBE-4B59-B5AF-A3830ECF9D2C}"/>
            </c:ext>
          </c:extLst>
        </c:ser>
        <c:ser>
          <c:idx val="1"/>
          <c:order val="1"/>
          <c:tx>
            <c:v>Rapid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323C47C-35CD-4A4A-8B72-C68BE52384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EBE-4B59-B5AF-A3830ECF9D2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5D5A692-2995-494A-83E6-CF01F00CC5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EBE-4B59-B5AF-A3830ECF9D2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B68053D-597B-4587-B8D6-EEC8E783FF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EBE-4B59-B5AF-A3830ECF9D2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4D484D8-0460-414C-A7C8-378BEDD164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EBE-4B59-B5AF-A3830ECF9D2C}"/>
                </c:ext>
              </c:extLst>
            </c:dLbl>
            <c:dLbl>
              <c:idx val="4"/>
              <c:layout>
                <c:manualLayout>
                  <c:x val="-1.5625E-2"/>
                  <c:y val="4.2767304069193011E-2"/>
                </c:manualLayout>
              </c:layout>
              <c:tx>
                <c:rich>
                  <a:bodyPr/>
                  <a:lstStyle/>
                  <a:p>
                    <a:fld id="{FF2093D1-965F-4903-A0EC-4FB1E70066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3EBE-4B59-B5AF-A3830ECF9D2C}"/>
                </c:ext>
              </c:extLst>
            </c:dLbl>
            <c:dLbl>
              <c:idx val="5"/>
              <c:layout>
                <c:manualLayout>
                  <c:x val="5.2083333333332697E-3"/>
                  <c:y val="5.0314475375521292E-3"/>
                </c:manualLayout>
              </c:layout>
              <c:tx>
                <c:rich>
                  <a:bodyPr/>
                  <a:lstStyle/>
                  <a:p>
                    <a:fld id="{94C3AFBA-2039-4F33-A2EC-54EB7BFC4B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3EBE-4B59-B5AF-A3830ECF9D2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535E76E-042B-4168-84F1-2A3AC140B1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EBE-4B59-B5AF-A3830ECF9D2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89CB780-59EF-488B-840B-864B9307E9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EBE-4B59-B5AF-A3830ECF9D2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3889302-695B-434C-918D-5629B1975B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EBE-4B59-B5AF-A3830ECF9D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trendline>
            <c:spPr>
              <a:ln w="22225" cap="rnd">
                <a:solidFill>
                  <a:schemeClr val="accent4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0.1080354604111986"/>
                  <c:y val="-8.7351079552533961E-3"/>
                </c:manualLayout>
              </c:layout>
              <c:numFmt formatCode="General" sourceLinked="0"/>
              <c:spPr>
                <a:solidFill>
                  <a:schemeClr val="accent4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bd!$J$17:$J$25</c:f>
              <c:numCache>
                <c:formatCode>0</c:formatCode>
                <c:ptCount val="9"/>
                <c:pt idx="0">
                  <c:v>5319.2100000000009</c:v>
                </c:pt>
                <c:pt idx="1">
                  <c:v>1092.69</c:v>
                </c:pt>
                <c:pt idx="2">
                  <c:v>519.5</c:v>
                </c:pt>
                <c:pt idx="3">
                  <c:v>676.7</c:v>
                </c:pt>
                <c:pt idx="4">
                  <c:v>4132.16</c:v>
                </c:pt>
                <c:pt idx="5">
                  <c:v>4445.78</c:v>
                </c:pt>
                <c:pt idx="6">
                  <c:v>696.23</c:v>
                </c:pt>
                <c:pt idx="7">
                  <c:v>6924.9213824604158</c:v>
                </c:pt>
                <c:pt idx="8">
                  <c:v>2066.9750429889859</c:v>
                </c:pt>
              </c:numCache>
            </c:numRef>
          </c:xVal>
          <c:yVal>
            <c:numRef>
              <c:f>bd!$P$17:$P$25</c:f>
              <c:numCache>
                <c:formatCode>0</c:formatCode>
                <c:ptCount val="9"/>
                <c:pt idx="0">
                  <c:v>8731.993516999999</c:v>
                </c:pt>
                <c:pt idx="1">
                  <c:v>2080.0355409999997</c:v>
                </c:pt>
                <c:pt idx="2">
                  <c:v>0</c:v>
                </c:pt>
                <c:pt idx="3">
                  <c:v>306.651928</c:v>
                </c:pt>
                <c:pt idx="4">
                  <c:v>1524.9348289999998</c:v>
                </c:pt>
                <c:pt idx="5">
                  <c:v>1603.9679209999999</c:v>
                </c:pt>
                <c:pt idx="6">
                  <c:v>727.09417900000005</c:v>
                </c:pt>
                <c:pt idx="7">
                  <c:v>9475.174371000001</c:v>
                </c:pt>
                <c:pt idx="8">
                  <c:v>1885.1701539999999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bd!$A$17:$A$25</c15:f>
                <c15:dlblRangeCache>
                  <c:ptCount val="9"/>
                  <c:pt idx="0">
                    <c:v>235</c:v>
                  </c:pt>
                  <c:pt idx="1">
                    <c:v>237</c:v>
                  </c:pt>
                  <c:pt idx="2">
                    <c:v>280</c:v>
                  </c:pt>
                  <c:pt idx="3">
                    <c:v>290</c:v>
                  </c:pt>
                  <c:pt idx="4">
                    <c:v>201</c:v>
                  </c:pt>
                  <c:pt idx="5">
                    <c:v>202</c:v>
                  </c:pt>
                  <c:pt idx="6">
                    <c:v>204</c:v>
                  </c:pt>
                  <c:pt idx="7">
                    <c:v>215</c:v>
                  </c:pt>
                  <c:pt idx="8">
                    <c:v>350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3EBE-4B59-B5AF-A3830ECF9D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5971224"/>
        <c:axId val="655965976"/>
      </c:scatterChart>
      <c:valAx>
        <c:axId val="655971224"/>
        <c:scaling>
          <c:orientation val="minMax"/>
          <c:max val="16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Daily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965976"/>
        <c:crosses val="autoZero"/>
        <c:crossBetween val="midCat"/>
      </c:valAx>
      <c:valAx>
        <c:axId val="655965976"/>
        <c:scaling>
          <c:orientation val="minMax"/>
          <c:max val="16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Estimatee</a:t>
                </a:r>
                <a:r>
                  <a:rPr lang="en-US" b="1" baseline="0"/>
                  <a:t> Boardings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97122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Local </a:t>
            </a:r>
            <a:r>
              <a:rPr lang="en-US"/>
              <a:t>Transit Boardings - Model</a:t>
            </a:r>
            <a:r>
              <a:rPr lang="en-US" baseline="0"/>
              <a:t> Estimated vs. Observed</a:t>
            </a:r>
            <a:endParaRPr lang="en-US"/>
          </a:p>
        </c:rich>
      </c:tx>
      <c:layout>
        <c:manualLayout>
          <c:xMode val="edge"/>
          <c:yMode val="edge"/>
          <c:x val="0.22490881999125112"/>
          <c:y val="1.50943426126563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v>45 degree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accent6">
                    <a:lumMod val="60000"/>
                    <a:lumOff val="40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E48-4E1A-B71F-503A315779E4}"/>
              </c:ext>
            </c:extLst>
          </c:dPt>
          <c:xVal>
            <c:numRef>
              <c:f>ref!$J$4:$J$5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10000</c:v>
                </c:pt>
              </c:numCache>
            </c:numRef>
          </c:xVal>
          <c:yVal>
            <c:numRef>
              <c:f>ref!$J$4:$J$5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E48-4E1A-B71F-503A315779E4}"/>
            </c:ext>
          </c:extLst>
        </c:ser>
        <c:ser>
          <c:idx val="1"/>
          <c:order val="1"/>
          <c:tx>
            <c:v>Local</c:v>
          </c:tx>
          <c:spPr>
            <a:ln w="19050" cap="rnd">
              <a:noFill/>
              <a:round/>
            </a:ln>
            <a:effectLst/>
          </c:spPr>
          <c:marker>
            <c:symbol val="dash"/>
            <c:size val="5"/>
            <c:spPr>
              <a:noFill/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22225" cap="rnd">
                <a:solidFill>
                  <a:schemeClr val="accent6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3849245406824146E-2"/>
                  <c:y val="9.8364799359144123E-3"/>
                </c:manualLayout>
              </c:layout>
              <c:numFmt formatCode="#,##0.00" sourceLinked="0"/>
              <c:spPr>
                <a:solidFill>
                  <a:schemeClr val="accent6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bd!$J$26:$J$138</c:f>
              <c:numCache>
                <c:formatCode>0</c:formatCode>
                <c:ptCount val="113"/>
                <c:pt idx="0">
                  <c:v>4098.49</c:v>
                </c:pt>
                <c:pt idx="1">
                  <c:v>3358.5600000000009</c:v>
                </c:pt>
                <c:pt idx="2">
                  <c:v>5222.8700000000008</c:v>
                </c:pt>
                <c:pt idx="3">
                  <c:v>2395.62</c:v>
                </c:pt>
                <c:pt idx="4">
                  <c:v>2726.2899999999995</c:v>
                </c:pt>
                <c:pt idx="5">
                  <c:v>1508.65</c:v>
                </c:pt>
                <c:pt idx="6">
                  <c:v>8325.3223820546718</c:v>
                </c:pt>
                <c:pt idx="7">
                  <c:v>1310.2147461928935</c:v>
                </c:pt>
                <c:pt idx="8">
                  <c:v>1142.8600000000001</c:v>
                </c:pt>
                <c:pt idx="9">
                  <c:v>7201.6500000000005</c:v>
                </c:pt>
                <c:pt idx="10">
                  <c:v>6300.8300000000008</c:v>
                </c:pt>
                <c:pt idx="11">
                  <c:v>229</c:v>
                </c:pt>
                <c:pt idx="12">
                  <c:v>114</c:v>
                </c:pt>
                <c:pt idx="13">
                  <c:v>346</c:v>
                </c:pt>
                <c:pt idx="14">
                  <c:v>1067.02</c:v>
                </c:pt>
                <c:pt idx="15">
                  <c:v>1166.3699999999999</c:v>
                </c:pt>
                <c:pt idx="16">
                  <c:v>5138.796452394261</c:v>
                </c:pt>
                <c:pt idx="17">
                  <c:v>365.15999999999997</c:v>
                </c:pt>
                <c:pt idx="18">
                  <c:v>1556.63</c:v>
                </c:pt>
                <c:pt idx="19">
                  <c:v>4699.6399999999994</c:v>
                </c:pt>
                <c:pt idx="20">
                  <c:v>3987.9100000000003</c:v>
                </c:pt>
                <c:pt idx="21">
                  <c:v>169.3046875</c:v>
                </c:pt>
                <c:pt idx="22">
                  <c:v>136.26050420168067</c:v>
                </c:pt>
                <c:pt idx="23">
                  <c:v>326.51351351351354</c:v>
                </c:pt>
                <c:pt idx="24">
                  <c:v>2410.1204283504044</c:v>
                </c:pt>
                <c:pt idx="25">
                  <c:v>1129.1267385892115</c:v>
                </c:pt>
                <c:pt idx="26">
                  <c:v>1052.8400000000001</c:v>
                </c:pt>
                <c:pt idx="27">
                  <c:v>2634.24</c:v>
                </c:pt>
                <c:pt idx="28">
                  <c:v>4974.1900010222107</c:v>
                </c:pt>
                <c:pt idx="29">
                  <c:v>949.50803274365887</c:v>
                </c:pt>
                <c:pt idx="30">
                  <c:v>2242.2311152384009</c:v>
                </c:pt>
                <c:pt idx="31">
                  <c:v>982.88416312507582</c:v>
                </c:pt>
                <c:pt idx="32">
                  <c:v>587.59335017027126</c:v>
                </c:pt>
                <c:pt idx="33">
                  <c:v>1621.1922652168587</c:v>
                </c:pt>
                <c:pt idx="34">
                  <c:v>476.95471260115011</c:v>
                </c:pt>
                <c:pt idx="35">
                  <c:v>405.70131284422911</c:v>
                </c:pt>
                <c:pt idx="36">
                  <c:v>503.09180984026682</c:v>
                </c:pt>
                <c:pt idx="37">
                  <c:v>133.81</c:v>
                </c:pt>
                <c:pt idx="38">
                  <c:v>755.06428078744318</c:v>
                </c:pt>
                <c:pt idx="39">
                  <c:v>177.56780084489881</c:v>
                </c:pt>
                <c:pt idx="40">
                  <c:v>746.14231431398957</c:v>
                </c:pt>
                <c:pt idx="41">
                  <c:v>1576.3532541775712</c:v>
                </c:pt>
                <c:pt idx="42">
                  <c:v>254.4</c:v>
                </c:pt>
                <c:pt idx="43">
                  <c:v>71.898779151531869</c:v>
                </c:pt>
                <c:pt idx="44">
                  <c:v>386.73351535430874</c:v>
                </c:pt>
                <c:pt idx="45">
                  <c:v>966.19357771929367</c:v>
                </c:pt>
                <c:pt idx="46">
                  <c:v>912.54114129359789</c:v>
                </c:pt>
                <c:pt idx="47">
                  <c:v>456.49</c:v>
                </c:pt>
                <c:pt idx="48">
                  <c:v>794.75432038965687</c:v>
                </c:pt>
                <c:pt idx="49">
                  <c:v>281.90000000000003</c:v>
                </c:pt>
                <c:pt idx="50">
                  <c:v>488.04668178070131</c:v>
                </c:pt>
                <c:pt idx="51">
                  <c:v>297.72944245279922</c:v>
                </c:pt>
                <c:pt idx="52">
                  <c:v>160.02903484352655</c:v>
                </c:pt>
                <c:pt idx="53">
                  <c:v>133.42424181970591</c:v>
                </c:pt>
                <c:pt idx="54">
                  <c:v>28.000000000000004</c:v>
                </c:pt>
                <c:pt idx="55">
                  <c:v>669.42000000000007</c:v>
                </c:pt>
                <c:pt idx="56">
                  <c:v>166.16506483730828</c:v>
                </c:pt>
                <c:pt idx="57">
                  <c:v>122.28</c:v>
                </c:pt>
                <c:pt idx="58">
                  <c:v>185.62783154309352</c:v>
                </c:pt>
                <c:pt idx="59">
                  <c:v>50.599999999999994</c:v>
                </c:pt>
                <c:pt idx="60">
                  <c:v>107.45</c:v>
                </c:pt>
                <c:pt idx="61">
                  <c:v>11.5</c:v>
                </c:pt>
                <c:pt idx="62">
                  <c:v>2022.2400000000002</c:v>
                </c:pt>
                <c:pt idx="63">
                  <c:v>1755.94</c:v>
                </c:pt>
                <c:pt idx="64">
                  <c:v>930.69999999999982</c:v>
                </c:pt>
                <c:pt idx="65">
                  <c:v>244.61999999999998</c:v>
                </c:pt>
                <c:pt idx="66">
                  <c:v>2906.5794616642333</c:v>
                </c:pt>
                <c:pt idx="67">
                  <c:v>2377.6799999999994</c:v>
                </c:pt>
                <c:pt idx="68">
                  <c:v>948.19999999999993</c:v>
                </c:pt>
                <c:pt idx="69">
                  <c:v>1130.46</c:v>
                </c:pt>
                <c:pt idx="70">
                  <c:v>194.48</c:v>
                </c:pt>
                <c:pt idx="71">
                  <c:v>516</c:v>
                </c:pt>
                <c:pt idx="72">
                  <c:v>89.776461538461547</c:v>
                </c:pt>
                <c:pt idx="73">
                  <c:v>1324.78</c:v>
                </c:pt>
                <c:pt idx="74">
                  <c:v>330</c:v>
                </c:pt>
                <c:pt idx="75">
                  <c:v>884.26</c:v>
                </c:pt>
                <c:pt idx="76">
                  <c:v>975.24</c:v>
                </c:pt>
                <c:pt idx="77">
                  <c:v>2408.61</c:v>
                </c:pt>
                <c:pt idx="78">
                  <c:v>1367.3</c:v>
                </c:pt>
                <c:pt idx="79">
                  <c:v>213.52</c:v>
                </c:pt>
                <c:pt idx="80">
                  <c:v>178.54999999999998</c:v>
                </c:pt>
                <c:pt idx="81">
                  <c:v>810.3</c:v>
                </c:pt>
                <c:pt idx="82">
                  <c:v>696.62000000000012</c:v>
                </c:pt>
                <c:pt idx="83">
                  <c:v>2571.52</c:v>
                </c:pt>
                <c:pt idx="84">
                  <c:v>135.21895999999998</c:v>
                </c:pt>
                <c:pt idx="85">
                  <c:v>1816.96</c:v>
                </c:pt>
                <c:pt idx="86">
                  <c:v>2777.0846186440676</c:v>
                </c:pt>
                <c:pt idx="87">
                  <c:v>3566.2936652542376</c:v>
                </c:pt>
                <c:pt idx="88">
                  <c:v>318.71000000000004</c:v>
                </c:pt>
                <c:pt idx="89">
                  <c:v>343.83</c:v>
                </c:pt>
                <c:pt idx="90">
                  <c:v>937.16524115755647</c:v>
                </c:pt>
                <c:pt idx="91">
                  <c:v>858.59000000000015</c:v>
                </c:pt>
                <c:pt idx="92">
                  <c:v>974.48</c:v>
                </c:pt>
                <c:pt idx="93">
                  <c:v>7240.1690104305962</c:v>
                </c:pt>
                <c:pt idx="94">
                  <c:v>3921.3399999999997</c:v>
                </c:pt>
                <c:pt idx="95">
                  <c:v>2837.7707468376366</c:v>
                </c:pt>
                <c:pt idx="96">
                  <c:v>2719.9887350545832</c:v>
                </c:pt>
                <c:pt idx="97">
                  <c:v>1734.94</c:v>
                </c:pt>
                <c:pt idx="98">
                  <c:v>219.00000000000003</c:v>
                </c:pt>
                <c:pt idx="99">
                  <c:v>652.8421736158574</c:v>
                </c:pt>
                <c:pt idx="100">
                  <c:v>4681.79</c:v>
                </c:pt>
                <c:pt idx="101">
                  <c:v>2034.8399999999997</c:v>
                </c:pt>
                <c:pt idx="102">
                  <c:v>1431.62</c:v>
                </c:pt>
                <c:pt idx="103">
                  <c:v>754.39</c:v>
                </c:pt>
                <c:pt idx="104">
                  <c:v>638.25322580645161</c:v>
                </c:pt>
                <c:pt idx="105">
                  <c:v>272</c:v>
                </c:pt>
                <c:pt idx="106">
                  <c:v>220.98999999999995</c:v>
                </c:pt>
                <c:pt idx="107">
                  <c:v>207.85</c:v>
                </c:pt>
                <c:pt idx="108">
                  <c:v>140</c:v>
                </c:pt>
                <c:pt idx="109">
                  <c:v>99</c:v>
                </c:pt>
                <c:pt idx="110">
                  <c:v>96</c:v>
                </c:pt>
                <c:pt idx="111">
                  <c:v>77</c:v>
                </c:pt>
                <c:pt idx="112">
                  <c:v>1171.4100000000001</c:v>
                </c:pt>
              </c:numCache>
            </c:numRef>
          </c:xVal>
          <c:yVal>
            <c:numRef>
              <c:f>bd!$P$26:$P$138</c:f>
              <c:numCache>
                <c:formatCode>0</c:formatCode>
                <c:ptCount val="113"/>
                <c:pt idx="0">
                  <c:v>4906.3989219999994</c:v>
                </c:pt>
                <c:pt idx="1">
                  <c:v>2567.6117060000001</c:v>
                </c:pt>
                <c:pt idx="2">
                  <c:v>2807.7403490000002</c:v>
                </c:pt>
                <c:pt idx="3">
                  <c:v>1089.3484699999999</c:v>
                </c:pt>
                <c:pt idx="4">
                  <c:v>1546.968339</c:v>
                </c:pt>
                <c:pt idx="5">
                  <c:v>2682.339907</c:v>
                </c:pt>
                <c:pt idx="6">
                  <c:v>7470.4190770000005</c:v>
                </c:pt>
                <c:pt idx="7">
                  <c:v>547.46207800000002</c:v>
                </c:pt>
                <c:pt idx="8">
                  <c:v>692.58578999999997</c:v>
                </c:pt>
                <c:pt idx="9">
                  <c:v>6143.9981600000001</c:v>
                </c:pt>
                <c:pt idx="10">
                  <c:v>5021.8099359999997</c:v>
                </c:pt>
                <c:pt idx="11">
                  <c:v>633.61450200000002</c:v>
                </c:pt>
                <c:pt idx="12">
                  <c:v>356.63947800000005</c:v>
                </c:pt>
                <c:pt idx="13">
                  <c:v>1327.9087060000002</c:v>
                </c:pt>
                <c:pt idx="14">
                  <c:v>1763.6887769999998</c:v>
                </c:pt>
                <c:pt idx="15">
                  <c:v>762.09398999999996</c:v>
                </c:pt>
                <c:pt idx="16">
                  <c:v>7264.6025990000007</c:v>
                </c:pt>
                <c:pt idx="17">
                  <c:v>729.5953199999999</c:v>
                </c:pt>
                <c:pt idx="18">
                  <c:v>868.50741299999993</c:v>
                </c:pt>
                <c:pt idx="19">
                  <c:v>5062.8941089999998</c:v>
                </c:pt>
                <c:pt idx="20">
                  <c:v>5405.7495850000005</c:v>
                </c:pt>
                <c:pt idx="21">
                  <c:v>156.50458400000002</c:v>
                </c:pt>
                <c:pt idx="22">
                  <c:v>226</c:v>
                </c:pt>
                <c:pt idx="23">
                  <c:v>384.37368199999997</c:v>
                </c:pt>
                <c:pt idx="24">
                  <c:v>3347.8434459999999</c:v>
                </c:pt>
                <c:pt idx="25">
                  <c:v>1382.554928</c:v>
                </c:pt>
                <c:pt idx="26">
                  <c:v>2556.4746849999997</c:v>
                </c:pt>
                <c:pt idx="27">
                  <c:v>3260.448292</c:v>
                </c:pt>
                <c:pt idx="28">
                  <c:v>3016.8298150000001</c:v>
                </c:pt>
                <c:pt idx="29">
                  <c:v>1813.9907910000002</c:v>
                </c:pt>
                <c:pt idx="30">
                  <c:v>3700.6515170000002</c:v>
                </c:pt>
                <c:pt idx="31">
                  <c:v>677.60272599999996</c:v>
                </c:pt>
                <c:pt idx="32">
                  <c:v>541.26924299999996</c:v>
                </c:pt>
                <c:pt idx="33">
                  <c:v>2914.4522019999999</c:v>
                </c:pt>
                <c:pt idx="34">
                  <c:v>218.99251299999997</c:v>
                </c:pt>
                <c:pt idx="35">
                  <c:v>410.48970400000002</c:v>
                </c:pt>
                <c:pt idx="36">
                  <c:v>504.71065900000002</c:v>
                </c:pt>
                <c:pt idx="37">
                  <c:v>408.23032499999999</c:v>
                </c:pt>
                <c:pt idx="38">
                  <c:v>1343.6549109999999</c:v>
                </c:pt>
                <c:pt idx="39">
                  <c:v>180.12535299999999</c:v>
                </c:pt>
                <c:pt idx="40">
                  <c:v>1382.13427</c:v>
                </c:pt>
                <c:pt idx="41">
                  <c:v>1680.2502989999998</c:v>
                </c:pt>
                <c:pt idx="42">
                  <c:v>375.149272</c:v>
                </c:pt>
                <c:pt idx="43">
                  <c:v>168.65897799999999</c:v>
                </c:pt>
                <c:pt idx="44">
                  <c:v>1295.1814690000001</c:v>
                </c:pt>
                <c:pt idx="45">
                  <c:v>677.61088500000005</c:v>
                </c:pt>
                <c:pt idx="46">
                  <c:v>688.59376600000007</c:v>
                </c:pt>
                <c:pt idx="47">
                  <c:v>844.4050850000001</c:v>
                </c:pt>
                <c:pt idx="48">
                  <c:v>749.31715400000007</c:v>
                </c:pt>
                <c:pt idx="49">
                  <c:v>441.04911700000002</c:v>
                </c:pt>
                <c:pt idx="50">
                  <c:v>439.37657499999995</c:v>
                </c:pt>
                <c:pt idx="51">
                  <c:v>488.195379</c:v>
                </c:pt>
                <c:pt idx="52">
                  <c:v>414.85566399999993</c:v>
                </c:pt>
                <c:pt idx="53">
                  <c:v>441.25423000000001</c:v>
                </c:pt>
                <c:pt idx="54">
                  <c:v>182.92535899999999</c:v>
                </c:pt>
                <c:pt idx="55">
                  <c:v>376.61015500000002</c:v>
                </c:pt>
                <c:pt idx="56">
                  <c:v>42.877964999999996</c:v>
                </c:pt>
                <c:pt idx="57">
                  <c:v>889.55622200000005</c:v>
                </c:pt>
                <c:pt idx="58">
                  <c:v>181.92796199999998</c:v>
                </c:pt>
                <c:pt idx="59">
                  <c:v>67.695557000000008</c:v>
                </c:pt>
                <c:pt idx="60">
                  <c:v>333.04373699999996</c:v>
                </c:pt>
                <c:pt idx="61">
                  <c:v>21.402933000000001</c:v>
                </c:pt>
                <c:pt idx="62">
                  <c:v>1586.8661809999999</c:v>
                </c:pt>
                <c:pt idx="63">
                  <c:v>1698.214606</c:v>
                </c:pt>
                <c:pt idx="64">
                  <c:v>932.70808499999998</c:v>
                </c:pt>
                <c:pt idx="65">
                  <c:v>535.72066200000006</c:v>
                </c:pt>
                <c:pt idx="66">
                  <c:v>4100.025678</c:v>
                </c:pt>
                <c:pt idx="67">
                  <c:v>2634.3788189999996</c:v>
                </c:pt>
                <c:pt idx="68">
                  <c:v>432.11058000000003</c:v>
                </c:pt>
                <c:pt idx="69">
                  <c:v>1271.5259419999998</c:v>
                </c:pt>
                <c:pt idx="70">
                  <c:v>392.12548400000003</c:v>
                </c:pt>
                <c:pt idx="71">
                  <c:v>489.22979400000003</c:v>
                </c:pt>
                <c:pt idx="72">
                  <c:v>164</c:v>
                </c:pt>
                <c:pt idx="73">
                  <c:v>1003.490943</c:v>
                </c:pt>
                <c:pt idx="74">
                  <c:v>193.20099200000001</c:v>
                </c:pt>
                <c:pt idx="75">
                  <c:v>1010.2636860000001</c:v>
                </c:pt>
                <c:pt idx="76">
                  <c:v>500.88740799999994</c:v>
                </c:pt>
                <c:pt idx="77">
                  <c:v>2906.9843870000004</c:v>
                </c:pt>
                <c:pt idx="78">
                  <c:v>1132.4477550000001</c:v>
                </c:pt>
                <c:pt idx="79">
                  <c:v>203.20113400000002</c:v>
                </c:pt>
                <c:pt idx="80">
                  <c:v>197.920951</c:v>
                </c:pt>
                <c:pt idx="81">
                  <c:v>585.24489399999993</c:v>
                </c:pt>
                <c:pt idx="82">
                  <c:v>576.612887</c:v>
                </c:pt>
                <c:pt idx="83">
                  <c:v>4590.2982230000007</c:v>
                </c:pt>
                <c:pt idx="84">
                  <c:v>49.851520999999998</c:v>
                </c:pt>
                <c:pt idx="85">
                  <c:v>2419.119784</c:v>
                </c:pt>
                <c:pt idx="86">
                  <c:v>2359.3329989999997</c:v>
                </c:pt>
                <c:pt idx="87">
                  <c:v>2186.1899590000003</c:v>
                </c:pt>
                <c:pt idx="88">
                  <c:v>373.70689099999998</c:v>
                </c:pt>
                <c:pt idx="89">
                  <c:v>315.42851200000001</c:v>
                </c:pt>
                <c:pt idx="90">
                  <c:v>3093.6918260000002</c:v>
                </c:pt>
                <c:pt idx="91">
                  <c:v>1502.6280260000001</c:v>
                </c:pt>
                <c:pt idx="92">
                  <c:v>1085.506065</c:v>
                </c:pt>
                <c:pt idx="93">
                  <c:v>7746.0251339999995</c:v>
                </c:pt>
                <c:pt idx="94">
                  <c:v>4196.2218900000007</c:v>
                </c:pt>
                <c:pt idx="95">
                  <c:v>2219.482231</c:v>
                </c:pt>
                <c:pt idx="96">
                  <c:v>2135.5484959999999</c:v>
                </c:pt>
                <c:pt idx="97">
                  <c:v>1745.5069330000001</c:v>
                </c:pt>
                <c:pt idx="98">
                  <c:v>476.91294800000003</c:v>
                </c:pt>
                <c:pt idx="99">
                  <c:v>819.31060099999991</c:v>
                </c:pt>
                <c:pt idx="100">
                  <c:v>4011.246032</c:v>
                </c:pt>
                <c:pt idx="101">
                  <c:v>2009.236337</c:v>
                </c:pt>
                <c:pt idx="102">
                  <c:v>1564.55333</c:v>
                </c:pt>
                <c:pt idx="103">
                  <c:v>369.27567799999997</c:v>
                </c:pt>
                <c:pt idx="104">
                  <c:v>1576.390629</c:v>
                </c:pt>
                <c:pt idx="105">
                  <c:v>139.627138</c:v>
                </c:pt>
                <c:pt idx="106">
                  <c:v>167.86360300000001</c:v>
                </c:pt>
                <c:pt idx="107">
                  <c:v>228.26982299999997</c:v>
                </c:pt>
                <c:pt idx="108">
                  <c:v>198.43363099999999</c:v>
                </c:pt>
                <c:pt idx="109">
                  <c:v>175.61375900000002</c:v>
                </c:pt>
                <c:pt idx="110">
                  <c:v>132.638554</c:v>
                </c:pt>
                <c:pt idx="111">
                  <c:v>295.43793499999998</c:v>
                </c:pt>
                <c:pt idx="112">
                  <c:v>1240.3586029999999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E48-4E1A-B71F-503A31577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5971224"/>
        <c:axId val="655965976"/>
      </c:scatterChart>
      <c:valAx>
        <c:axId val="655971224"/>
        <c:scaling>
          <c:orientation val="minMax"/>
          <c:max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Daily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965976"/>
        <c:crosses val="autoZero"/>
        <c:crossBetween val="midCat"/>
      </c:valAx>
      <c:valAx>
        <c:axId val="655965976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Estimatee</a:t>
                </a:r>
                <a:r>
                  <a:rPr lang="en-US" b="1" baseline="0"/>
                  <a:t> Boardings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97122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All Transit Boardings - Model</a:t>
            </a:r>
            <a:r>
              <a:rPr lang="en-US" baseline="0"/>
              <a:t> Estimated vs. Observed</a:t>
            </a:r>
            <a:endParaRPr lang="en-US"/>
          </a:p>
        </c:rich>
      </c:tx>
      <c:layout>
        <c:manualLayout>
          <c:xMode val="edge"/>
          <c:yMode val="edge"/>
          <c:x val="0.22490881999125112"/>
          <c:y val="1.50943426126563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v>45 degree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2225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C9-431F-A222-44E0BD746366}"/>
              </c:ext>
            </c:extLst>
          </c:dPt>
          <c:xVal>
            <c:numRef>
              <c:f>ref!$D$21:$D$22</c:f>
              <c:numCache>
                <c:formatCode>0</c:formatCode>
                <c:ptCount val="2"/>
                <c:pt idx="0" formatCode="General">
                  <c:v>0</c:v>
                </c:pt>
                <c:pt idx="1">
                  <c:v>50000</c:v>
                </c:pt>
              </c:numCache>
            </c:numRef>
          </c:xVal>
          <c:yVal>
            <c:numRef>
              <c:f>ref!$E$21:$E$22</c:f>
              <c:numCache>
                <c:formatCode>0</c:formatCode>
                <c:ptCount val="2"/>
                <c:pt idx="0" formatCode="General">
                  <c:v>0</c:v>
                </c:pt>
                <c:pt idx="1">
                  <c:v>50000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C9-431F-A222-44E0BD746366}"/>
            </c:ext>
          </c:extLst>
        </c:ser>
        <c:ser>
          <c:idx val="1"/>
          <c:order val="1"/>
          <c:tx>
            <c:v>All</c:v>
          </c:tx>
          <c:spPr>
            <a:ln w="19050" cap="rnd">
              <a:noFill/>
              <a:round/>
            </a:ln>
            <a:effectLst/>
          </c:spPr>
          <c:marker>
            <c:symbol val="dash"/>
            <c:size val="5"/>
            <c:spPr>
              <a:noFill/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22225" cap="rnd">
                <a:solidFill>
                  <a:schemeClr val="tx1">
                    <a:lumMod val="95000"/>
                    <a:lumOff val="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6.9365704286964133E-2"/>
                  <c:y val="9.8364799359144123E-3"/>
                </c:manualLayout>
              </c:layout>
              <c:numFmt formatCode="#,##0.00" sourceLinked="0"/>
              <c:spPr>
                <a:solidFill>
                  <a:schemeClr val="bg1">
                    <a:lumMod val="85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bd!$J$2:$J$138</c:f>
              <c:numCache>
                <c:formatCode>0</c:formatCode>
                <c:ptCount val="137"/>
                <c:pt idx="0">
                  <c:v>5014.9960650514795</c:v>
                </c:pt>
                <c:pt idx="1">
                  <c:v>9815.76</c:v>
                </c:pt>
                <c:pt idx="2">
                  <c:v>51836.560206141512</c:v>
                </c:pt>
                <c:pt idx="3">
                  <c:v>26572.159999999996</c:v>
                </c:pt>
                <c:pt idx="4">
                  <c:v>31874.65</c:v>
                </c:pt>
                <c:pt idx="5">
                  <c:v>4435.95</c:v>
                </c:pt>
                <c:pt idx="6">
                  <c:v>2416.0803676752203</c:v>
                </c:pt>
                <c:pt idx="7">
                  <c:v>855.51999999999987</c:v>
                </c:pt>
                <c:pt idx="8">
                  <c:v>317.10000000000002</c:v>
                </c:pt>
                <c:pt idx="9">
                  <c:v>211.01</c:v>
                </c:pt>
                <c:pt idx="10">
                  <c:v>2667.0433819951336</c:v>
                </c:pt>
                <c:pt idx="11">
                  <c:v>3347.7799999999997</c:v>
                </c:pt>
                <c:pt idx="12">
                  <c:v>1203.8500000000001</c:v>
                </c:pt>
                <c:pt idx="13">
                  <c:v>465.93258656193075</c:v>
                </c:pt>
                <c:pt idx="14">
                  <c:v>53.25</c:v>
                </c:pt>
                <c:pt idx="15">
                  <c:v>5319.2100000000009</c:v>
                </c:pt>
                <c:pt idx="16">
                  <c:v>1092.69</c:v>
                </c:pt>
                <c:pt idx="17">
                  <c:v>519.5</c:v>
                </c:pt>
                <c:pt idx="18">
                  <c:v>676.7</c:v>
                </c:pt>
                <c:pt idx="19">
                  <c:v>4132.16</c:v>
                </c:pt>
                <c:pt idx="20">
                  <c:v>4445.78</c:v>
                </c:pt>
                <c:pt idx="21">
                  <c:v>696.23</c:v>
                </c:pt>
                <c:pt idx="22">
                  <c:v>6924.9213824604158</c:v>
                </c:pt>
                <c:pt idx="23">
                  <c:v>2066.9750429889859</c:v>
                </c:pt>
                <c:pt idx="24">
                  <c:v>4098.49</c:v>
                </c:pt>
                <c:pt idx="25">
                  <c:v>3358.5600000000009</c:v>
                </c:pt>
                <c:pt idx="26">
                  <c:v>5222.8700000000008</c:v>
                </c:pt>
                <c:pt idx="27">
                  <c:v>2395.62</c:v>
                </c:pt>
                <c:pt idx="28">
                  <c:v>2726.2899999999995</c:v>
                </c:pt>
                <c:pt idx="29">
                  <c:v>1508.65</c:v>
                </c:pt>
                <c:pt idx="30">
                  <c:v>8325.3223820546718</c:v>
                </c:pt>
                <c:pt idx="31">
                  <c:v>1310.2147461928935</c:v>
                </c:pt>
                <c:pt idx="32">
                  <c:v>1142.8600000000001</c:v>
                </c:pt>
                <c:pt idx="33">
                  <c:v>7201.6500000000005</c:v>
                </c:pt>
                <c:pt idx="34">
                  <c:v>6300.8300000000008</c:v>
                </c:pt>
                <c:pt idx="35">
                  <c:v>229</c:v>
                </c:pt>
                <c:pt idx="36">
                  <c:v>114</c:v>
                </c:pt>
                <c:pt idx="37">
                  <c:v>346</c:v>
                </c:pt>
                <c:pt idx="38">
                  <c:v>1067.02</c:v>
                </c:pt>
                <c:pt idx="39">
                  <c:v>1166.3699999999999</c:v>
                </c:pt>
                <c:pt idx="40">
                  <c:v>5138.796452394261</c:v>
                </c:pt>
                <c:pt idx="41">
                  <c:v>365.15999999999997</c:v>
                </c:pt>
                <c:pt idx="42">
                  <c:v>1556.63</c:v>
                </c:pt>
                <c:pt idx="43">
                  <c:v>4699.6399999999994</c:v>
                </c:pt>
                <c:pt idx="44">
                  <c:v>3987.9100000000003</c:v>
                </c:pt>
                <c:pt idx="45">
                  <c:v>169.3046875</c:v>
                </c:pt>
                <c:pt idx="46">
                  <c:v>136.26050420168067</c:v>
                </c:pt>
                <c:pt idx="47">
                  <c:v>326.51351351351354</c:v>
                </c:pt>
                <c:pt idx="48">
                  <c:v>2410.1204283504044</c:v>
                </c:pt>
                <c:pt idx="49">
                  <c:v>1129.1267385892115</c:v>
                </c:pt>
                <c:pt idx="50">
                  <c:v>1052.8400000000001</c:v>
                </c:pt>
                <c:pt idx="51">
                  <c:v>2634.24</c:v>
                </c:pt>
                <c:pt idx="52">
                  <c:v>4974.1900010222107</c:v>
                </c:pt>
                <c:pt idx="53">
                  <c:v>949.50803274365887</c:v>
                </c:pt>
                <c:pt idx="54">
                  <c:v>2242.2311152384009</c:v>
                </c:pt>
                <c:pt idx="55">
                  <c:v>982.88416312507582</c:v>
                </c:pt>
                <c:pt idx="56">
                  <c:v>587.59335017027126</c:v>
                </c:pt>
                <c:pt idx="57">
                  <c:v>1621.1922652168587</c:v>
                </c:pt>
                <c:pt idx="58">
                  <c:v>476.95471260115011</c:v>
                </c:pt>
                <c:pt idx="59">
                  <c:v>405.70131284422911</c:v>
                </c:pt>
                <c:pt idx="60">
                  <c:v>503.09180984026682</c:v>
                </c:pt>
                <c:pt idx="61">
                  <c:v>133.81</c:v>
                </c:pt>
                <c:pt idx="62">
                  <c:v>755.06428078744318</c:v>
                </c:pt>
                <c:pt idx="63">
                  <c:v>177.56780084489881</c:v>
                </c:pt>
                <c:pt idx="64">
                  <c:v>746.14231431398957</c:v>
                </c:pt>
                <c:pt idx="65">
                  <c:v>1576.3532541775712</c:v>
                </c:pt>
                <c:pt idx="66">
                  <c:v>254.4</c:v>
                </c:pt>
                <c:pt idx="67">
                  <c:v>71.898779151531869</c:v>
                </c:pt>
                <c:pt idx="68">
                  <c:v>386.73351535430874</c:v>
                </c:pt>
                <c:pt idx="69">
                  <c:v>966.19357771929367</c:v>
                </c:pt>
                <c:pt idx="70">
                  <c:v>912.54114129359789</c:v>
                </c:pt>
                <c:pt idx="71">
                  <c:v>456.49</c:v>
                </c:pt>
                <c:pt idx="72">
                  <c:v>794.75432038965687</c:v>
                </c:pt>
                <c:pt idx="73">
                  <c:v>281.90000000000003</c:v>
                </c:pt>
                <c:pt idx="74">
                  <c:v>488.04668178070131</c:v>
                </c:pt>
                <c:pt idx="75">
                  <c:v>297.72944245279922</c:v>
                </c:pt>
                <c:pt idx="76">
                  <c:v>160.02903484352655</c:v>
                </c:pt>
                <c:pt idx="77">
                  <c:v>133.42424181970591</c:v>
                </c:pt>
                <c:pt idx="78">
                  <c:v>28.000000000000004</c:v>
                </c:pt>
                <c:pt idx="79">
                  <c:v>669.42000000000007</c:v>
                </c:pt>
                <c:pt idx="80">
                  <c:v>166.16506483730828</c:v>
                </c:pt>
                <c:pt idx="81">
                  <c:v>122.28</c:v>
                </c:pt>
                <c:pt idx="82">
                  <c:v>185.62783154309352</c:v>
                </c:pt>
                <c:pt idx="83">
                  <c:v>50.599999999999994</c:v>
                </c:pt>
                <c:pt idx="84">
                  <c:v>107.45</c:v>
                </c:pt>
                <c:pt idx="85">
                  <c:v>11.5</c:v>
                </c:pt>
                <c:pt idx="86">
                  <c:v>2022.2400000000002</c:v>
                </c:pt>
                <c:pt idx="87">
                  <c:v>1755.94</c:v>
                </c:pt>
                <c:pt idx="88">
                  <c:v>930.69999999999982</c:v>
                </c:pt>
                <c:pt idx="89">
                  <c:v>244.61999999999998</c:v>
                </c:pt>
                <c:pt idx="90">
                  <c:v>2906.5794616642333</c:v>
                </c:pt>
                <c:pt idx="91">
                  <c:v>2377.6799999999994</c:v>
                </c:pt>
                <c:pt idx="92">
                  <c:v>948.19999999999993</c:v>
                </c:pt>
                <c:pt idx="93">
                  <c:v>1130.46</c:v>
                </c:pt>
                <c:pt idx="94">
                  <c:v>194.48</c:v>
                </c:pt>
                <c:pt idx="95">
                  <c:v>516</c:v>
                </c:pt>
                <c:pt idx="96">
                  <c:v>89.776461538461547</c:v>
                </c:pt>
                <c:pt idx="97">
                  <c:v>1324.78</c:v>
                </c:pt>
                <c:pt idx="98">
                  <c:v>330</c:v>
                </c:pt>
                <c:pt idx="99">
                  <c:v>884.26</c:v>
                </c:pt>
                <c:pt idx="100">
                  <c:v>975.24</c:v>
                </c:pt>
                <c:pt idx="101">
                  <c:v>2408.61</c:v>
                </c:pt>
                <c:pt idx="102">
                  <c:v>1367.3</c:v>
                </c:pt>
                <c:pt idx="103">
                  <c:v>213.52</c:v>
                </c:pt>
                <c:pt idx="104">
                  <c:v>178.54999999999998</c:v>
                </c:pt>
                <c:pt idx="105">
                  <c:v>810.3</c:v>
                </c:pt>
                <c:pt idx="106">
                  <c:v>696.62000000000012</c:v>
                </c:pt>
                <c:pt idx="107">
                  <c:v>2571.52</c:v>
                </c:pt>
                <c:pt idx="108">
                  <c:v>135.21895999999998</c:v>
                </c:pt>
                <c:pt idx="109">
                  <c:v>1816.96</c:v>
                </c:pt>
                <c:pt idx="110">
                  <c:v>2777.0846186440676</c:v>
                </c:pt>
                <c:pt idx="111">
                  <c:v>3566.2936652542376</c:v>
                </c:pt>
                <c:pt idx="112">
                  <c:v>318.71000000000004</c:v>
                </c:pt>
                <c:pt idx="113">
                  <c:v>343.83</c:v>
                </c:pt>
                <c:pt idx="114">
                  <c:v>937.16524115755647</c:v>
                </c:pt>
                <c:pt idx="115">
                  <c:v>858.59000000000015</c:v>
                </c:pt>
                <c:pt idx="116">
                  <c:v>974.48</c:v>
                </c:pt>
                <c:pt idx="117">
                  <c:v>7240.1690104305962</c:v>
                </c:pt>
                <c:pt idx="118">
                  <c:v>3921.3399999999997</c:v>
                </c:pt>
                <c:pt idx="119">
                  <c:v>2837.7707468376366</c:v>
                </c:pt>
                <c:pt idx="120">
                  <c:v>2719.9887350545832</c:v>
                </c:pt>
                <c:pt idx="121">
                  <c:v>1734.94</c:v>
                </c:pt>
                <c:pt idx="122">
                  <c:v>219.00000000000003</c:v>
                </c:pt>
                <c:pt idx="123">
                  <c:v>652.8421736158574</c:v>
                </c:pt>
                <c:pt idx="124">
                  <c:v>4681.79</c:v>
                </c:pt>
                <c:pt idx="125">
                  <c:v>2034.8399999999997</c:v>
                </c:pt>
                <c:pt idx="126">
                  <c:v>1431.62</c:v>
                </c:pt>
                <c:pt idx="127">
                  <c:v>754.39</c:v>
                </c:pt>
                <c:pt idx="128">
                  <c:v>638.25322580645161</c:v>
                </c:pt>
                <c:pt idx="129">
                  <c:v>272</c:v>
                </c:pt>
                <c:pt idx="130">
                  <c:v>220.98999999999995</c:v>
                </c:pt>
                <c:pt idx="131">
                  <c:v>207.85</c:v>
                </c:pt>
                <c:pt idx="132">
                  <c:v>140</c:v>
                </c:pt>
                <c:pt idx="133">
                  <c:v>99</c:v>
                </c:pt>
                <c:pt idx="134">
                  <c:v>96</c:v>
                </c:pt>
                <c:pt idx="135">
                  <c:v>77</c:v>
                </c:pt>
                <c:pt idx="136">
                  <c:v>1171.4100000000001</c:v>
                </c:pt>
              </c:numCache>
            </c:numRef>
          </c:xVal>
          <c:yVal>
            <c:numRef>
              <c:f>bd!$P$2:$P$138</c:f>
              <c:numCache>
                <c:formatCode>0</c:formatCode>
                <c:ptCount val="137"/>
                <c:pt idx="0">
                  <c:v>5225.5496220000005</c:v>
                </c:pt>
                <c:pt idx="1">
                  <c:v>15216.693564000001</c:v>
                </c:pt>
                <c:pt idx="2">
                  <c:v>54526.682890000004</c:v>
                </c:pt>
                <c:pt idx="3">
                  <c:v>18989.639606000001</c:v>
                </c:pt>
                <c:pt idx="4">
                  <c:v>29319.438147000001</c:v>
                </c:pt>
                <c:pt idx="5">
                  <c:v>3274.9711259999999</c:v>
                </c:pt>
                <c:pt idx="6">
                  <c:v>3788.9517139999998</c:v>
                </c:pt>
                <c:pt idx="7">
                  <c:v>965.38231599999995</c:v>
                </c:pt>
                <c:pt idx="8">
                  <c:v>504.71064899999999</c:v>
                </c:pt>
                <c:pt idx="9">
                  <c:v>311.02674000000002</c:v>
                </c:pt>
                <c:pt idx="10">
                  <c:v>3956.1830520000003</c:v>
                </c:pt>
                <c:pt idx="11">
                  <c:v>2871.383808</c:v>
                </c:pt>
                <c:pt idx="12">
                  <c:v>2737.5687640000001</c:v>
                </c:pt>
                <c:pt idx="13">
                  <c:v>4100.025678</c:v>
                </c:pt>
                <c:pt idx="14">
                  <c:v>170.48261400000001</c:v>
                </c:pt>
                <c:pt idx="15">
                  <c:v>8731.993516999999</c:v>
                </c:pt>
                <c:pt idx="16">
                  <c:v>2080.0355409999997</c:v>
                </c:pt>
                <c:pt idx="17">
                  <c:v>0</c:v>
                </c:pt>
                <c:pt idx="18">
                  <c:v>306.651928</c:v>
                </c:pt>
                <c:pt idx="19">
                  <c:v>1524.9348289999998</c:v>
                </c:pt>
                <c:pt idx="20">
                  <c:v>1603.9679209999999</c:v>
                </c:pt>
                <c:pt idx="21">
                  <c:v>727.09417900000005</c:v>
                </c:pt>
                <c:pt idx="22">
                  <c:v>9475.174371000001</c:v>
                </c:pt>
                <c:pt idx="23">
                  <c:v>1885.1701539999999</c:v>
                </c:pt>
                <c:pt idx="24">
                  <c:v>4906.3989219999994</c:v>
                </c:pt>
                <c:pt idx="25">
                  <c:v>2567.6117060000001</c:v>
                </c:pt>
                <c:pt idx="26">
                  <c:v>2807.7403490000002</c:v>
                </c:pt>
                <c:pt idx="27">
                  <c:v>1089.3484699999999</c:v>
                </c:pt>
                <c:pt idx="28">
                  <c:v>1546.968339</c:v>
                </c:pt>
                <c:pt idx="29">
                  <c:v>2682.339907</c:v>
                </c:pt>
                <c:pt idx="30">
                  <c:v>7470.4190770000005</c:v>
                </c:pt>
                <c:pt idx="31">
                  <c:v>547.46207800000002</c:v>
                </c:pt>
                <c:pt idx="32">
                  <c:v>692.58578999999997</c:v>
                </c:pt>
                <c:pt idx="33">
                  <c:v>6143.9981600000001</c:v>
                </c:pt>
                <c:pt idx="34">
                  <c:v>5021.8099359999997</c:v>
                </c:pt>
                <c:pt idx="35">
                  <c:v>633.61450200000002</c:v>
                </c:pt>
                <c:pt idx="36">
                  <c:v>356.63947800000005</c:v>
                </c:pt>
                <c:pt idx="37">
                  <c:v>1327.9087060000002</c:v>
                </c:pt>
                <c:pt idx="38">
                  <c:v>1763.6887769999998</c:v>
                </c:pt>
                <c:pt idx="39">
                  <c:v>762.09398999999996</c:v>
                </c:pt>
                <c:pt idx="40">
                  <c:v>7264.6025990000007</c:v>
                </c:pt>
                <c:pt idx="41">
                  <c:v>729.5953199999999</c:v>
                </c:pt>
                <c:pt idx="42">
                  <c:v>868.50741299999993</c:v>
                </c:pt>
                <c:pt idx="43">
                  <c:v>5062.8941089999998</c:v>
                </c:pt>
                <c:pt idx="44">
                  <c:v>5405.7495850000005</c:v>
                </c:pt>
                <c:pt idx="45">
                  <c:v>156.50458400000002</c:v>
                </c:pt>
                <c:pt idx="46">
                  <c:v>226</c:v>
                </c:pt>
                <c:pt idx="47">
                  <c:v>384.37368199999997</c:v>
                </c:pt>
                <c:pt idx="48">
                  <c:v>3347.8434459999999</c:v>
                </c:pt>
                <c:pt idx="49">
                  <c:v>1382.554928</c:v>
                </c:pt>
                <c:pt idx="50">
                  <c:v>2556.4746849999997</c:v>
                </c:pt>
                <c:pt idx="51">
                  <c:v>3260.448292</c:v>
                </c:pt>
                <c:pt idx="52">
                  <c:v>3016.8298150000001</c:v>
                </c:pt>
                <c:pt idx="53">
                  <c:v>1813.9907910000002</c:v>
                </c:pt>
                <c:pt idx="54">
                  <c:v>3700.6515170000002</c:v>
                </c:pt>
                <c:pt idx="55">
                  <c:v>677.60272599999996</c:v>
                </c:pt>
                <c:pt idx="56">
                  <c:v>541.26924299999996</c:v>
                </c:pt>
                <c:pt idx="57">
                  <c:v>2914.4522019999999</c:v>
                </c:pt>
                <c:pt idx="58">
                  <c:v>218.99251299999997</c:v>
                </c:pt>
                <c:pt idx="59">
                  <c:v>410.48970400000002</c:v>
                </c:pt>
                <c:pt idx="60">
                  <c:v>504.71065900000002</c:v>
                </c:pt>
                <c:pt idx="61">
                  <c:v>408.23032499999999</c:v>
                </c:pt>
                <c:pt idx="62">
                  <c:v>1343.6549109999999</c:v>
                </c:pt>
                <c:pt idx="63">
                  <c:v>180.12535299999999</c:v>
                </c:pt>
                <c:pt idx="64">
                  <c:v>1382.13427</c:v>
                </c:pt>
                <c:pt idx="65">
                  <c:v>1680.2502989999998</c:v>
                </c:pt>
                <c:pt idx="66">
                  <c:v>375.149272</c:v>
                </c:pt>
                <c:pt idx="67">
                  <c:v>168.65897799999999</c:v>
                </c:pt>
                <c:pt idx="68">
                  <c:v>1295.1814690000001</c:v>
                </c:pt>
                <c:pt idx="69">
                  <c:v>677.61088500000005</c:v>
                </c:pt>
                <c:pt idx="70">
                  <c:v>688.59376600000007</c:v>
                </c:pt>
                <c:pt idx="71">
                  <c:v>844.4050850000001</c:v>
                </c:pt>
                <c:pt idx="72">
                  <c:v>749.31715400000007</c:v>
                </c:pt>
                <c:pt idx="73">
                  <c:v>441.04911700000002</c:v>
                </c:pt>
                <c:pt idx="74">
                  <c:v>439.37657499999995</c:v>
                </c:pt>
                <c:pt idx="75">
                  <c:v>488.195379</c:v>
                </c:pt>
                <c:pt idx="76">
                  <c:v>414.85566399999993</c:v>
                </c:pt>
                <c:pt idx="77">
                  <c:v>441.25423000000001</c:v>
                </c:pt>
                <c:pt idx="78">
                  <c:v>182.92535899999999</c:v>
                </c:pt>
                <c:pt idx="79">
                  <c:v>376.61015500000002</c:v>
                </c:pt>
                <c:pt idx="80">
                  <c:v>42.877964999999996</c:v>
                </c:pt>
                <c:pt idx="81">
                  <c:v>889.55622200000005</c:v>
                </c:pt>
                <c:pt idx="82">
                  <c:v>181.92796199999998</c:v>
                </c:pt>
                <c:pt idx="83">
                  <c:v>67.695557000000008</c:v>
                </c:pt>
                <c:pt idx="84">
                  <c:v>333.04373699999996</c:v>
                </c:pt>
                <c:pt idx="85">
                  <c:v>21.402933000000001</c:v>
                </c:pt>
                <c:pt idx="86">
                  <c:v>1586.8661809999999</c:v>
                </c:pt>
                <c:pt idx="87">
                  <c:v>1698.214606</c:v>
                </c:pt>
                <c:pt idx="88">
                  <c:v>932.70808499999998</c:v>
                </c:pt>
                <c:pt idx="89">
                  <c:v>535.72066200000006</c:v>
                </c:pt>
                <c:pt idx="90">
                  <c:v>4100.025678</c:v>
                </c:pt>
                <c:pt idx="91">
                  <c:v>2634.3788189999996</c:v>
                </c:pt>
                <c:pt idx="92">
                  <c:v>432.11058000000003</c:v>
                </c:pt>
                <c:pt idx="93">
                  <c:v>1271.5259419999998</c:v>
                </c:pt>
                <c:pt idx="94">
                  <c:v>392.12548400000003</c:v>
                </c:pt>
                <c:pt idx="95">
                  <c:v>489.22979400000003</c:v>
                </c:pt>
                <c:pt idx="96">
                  <c:v>164</c:v>
                </c:pt>
                <c:pt idx="97">
                  <c:v>1003.490943</c:v>
                </c:pt>
                <c:pt idx="98">
                  <c:v>193.20099200000001</c:v>
                </c:pt>
                <c:pt idx="99">
                  <c:v>1010.2636860000001</c:v>
                </c:pt>
                <c:pt idx="100">
                  <c:v>500.88740799999994</c:v>
                </c:pt>
                <c:pt idx="101">
                  <c:v>2906.9843870000004</c:v>
                </c:pt>
                <c:pt idx="102">
                  <c:v>1132.4477550000001</c:v>
                </c:pt>
                <c:pt idx="103">
                  <c:v>203.20113400000002</c:v>
                </c:pt>
                <c:pt idx="104">
                  <c:v>197.920951</c:v>
                </c:pt>
                <c:pt idx="105">
                  <c:v>585.24489399999993</c:v>
                </c:pt>
                <c:pt idx="106">
                  <c:v>576.612887</c:v>
                </c:pt>
                <c:pt idx="107">
                  <c:v>4590.2982230000007</c:v>
                </c:pt>
                <c:pt idx="108">
                  <c:v>49.851520999999998</c:v>
                </c:pt>
                <c:pt idx="109">
                  <c:v>2419.119784</c:v>
                </c:pt>
                <c:pt idx="110">
                  <c:v>2359.3329989999997</c:v>
                </c:pt>
                <c:pt idx="111">
                  <c:v>2186.1899590000003</c:v>
                </c:pt>
                <c:pt idx="112">
                  <c:v>373.70689099999998</c:v>
                </c:pt>
                <c:pt idx="113">
                  <c:v>315.42851200000001</c:v>
                </c:pt>
                <c:pt idx="114">
                  <c:v>3093.6918260000002</c:v>
                </c:pt>
                <c:pt idx="115">
                  <c:v>1502.6280260000001</c:v>
                </c:pt>
                <c:pt idx="116">
                  <c:v>1085.506065</c:v>
                </c:pt>
                <c:pt idx="117">
                  <c:v>7746.0251339999995</c:v>
                </c:pt>
                <c:pt idx="118">
                  <c:v>4196.2218900000007</c:v>
                </c:pt>
                <c:pt idx="119">
                  <c:v>2219.482231</c:v>
                </c:pt>
                <c:pt idx="120">
                  <c:v>2135.5484959999999</c:v>
                </c:pt>
                <c:pt idx="121">
                  <c:v>1745.5069330000001</c:v>
                </c:pt>
                <c:pt idx="122">
                  <c:v>476.91294800000003</c:v>
                </c:pt>
                <c:pt idx="123">
                  <c:v>819.31060099999991</c:v>
                </c:pt>
                <c:pt idx="124">
                  <c:v>4011.246032</c:v>
                </c:pt>
                <c:pt idx="125">
                  <c:v>2009.236337</c:v>
                </c:pt>
                <c:pt idx="126">
                  <c:v>1564.55333</c:v>
                </c:pt>
                <c:pt idx="127">
                  <c:v>369.27567799999997</c:v>
                </c:pt>
                <c:pt idx="128">
                  <c:v>1576.390629</c:v>
                </c:pt>
                <c:pt idx="129">
                  <c:v>139.627138</c:v>
                </c:pt>
                <c:pt idx="130">
                  <c:v>167.86360300000001</c:v>
                </c:pt>
                <c:pt idx="131">
                  <c:v>228.26982299999997</c:v>
                </c:pt>
                <c:pt idx="132">
                  <c:v>198.43363099999999</c:v>
                </c:pt>
                <c:pt idx="133">
                  <c:v>175.61375900000002</c:v>
                </c:pt>
                <c:pt idx="134">
                  <c:v>132.638554</c:v>
                </c:pt>
                <c:pt idx="135">
                  <c:v>295.43793499999998</c:v>
                </c:pt>
                <c:pt idx="136">
                  <c:v>1240.3586029999999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C9-431F-A222-44E0BD746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5971224"/>
        <c:axId val="655965976"/>
      </c:scatterChart>
      <c:valAx>
        <c:axId val="655971224"/>
        <c:scaling>
          <c:orientation val="minMax"/>
          <c:max val="7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Daily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965976"/>
        <c:crosses val="autoZero"/>
        <c:crossBetween val="midCat"/>
      </c:valAx>
      <c:valAx>
        <c:axId val="655965976"/>
        <c:scaling>
          <c:orientation val="minMax"/>
          <c:max val="7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Estimatee</a:t>
                </a:r>
                <a:r>
                  <a:rPr lang="en-US" b="1" baseline="0"/>
                  <a:t> Boardings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97122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8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Rail Transit Passenger-Miles - Model</a:t>
            </a:r>
            <a:r>
              <a:rPr lang="en-US" baseline="0"/>
              <a:t> Estimated vs. Observed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09405074365704"/>
          <c:y val="9.3308194583904241E-2"/>
          <c:w val="0.66018318022747158"/>
          <c:h val="0.79498535036603779"/>
        </c:manualLayout>
      </c:layout>
      <c:scatterChart>
        <c:scatterStyle val="lineMarker"/>
        <c:varyColors val="0"/>
        <c:ser>
          <c:idx val="0"/>
          <c:order val="0"/>
          <c:tx>
            <c:v>Commuter Rail_Coaster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triangle"/>
              <c:size val="5"/>
              <c:spPr>
                <a:solidFill>
                  <a:srgbClr val="00B0F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4018-4ED2-9800-35C3EE583100}"/>
              </c:ext>
            </c:extLst>
          </c:dPt>
          <c:xVal>
            <c:numRef>
              <c:f>pm!$J$2</c:f>
              <c:numCache>
                <c:formatCode>0</c:formatCode>
                <c:ptCount val="1"/>
                <c:pt idx="0">
                  <c:v>118438.12741170384</c:v>
                </c:pt>
              </c:numCache>
            </c:numRef>
          </c:xVal>
          <c:yVal>
            <c:numRef>
              <c:f>pm!$P$2</c:f>
              <c:numCache>
                <c:formatCode>0</c:formatCode>
                <c:ptCount val="1"/>
                <c:pt idx="0">
                  <c:v>134234.80495487805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18-4ED2-9800-35C3EE583100}"/>
            </c:ext>
          </c:extLst>
        </c:ser>
        <c:ser>
          <c:idx val="5"/>
          <c:order val="1"/>
          <c:tx>
            <c:v>LRT_Sprinter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pm!$J$3</c:f>
              <c:numCache>
                <c:formatCode>0</c:formatCode>
                <c:ptCount val="1"/>
                <c:pt idx="0">
                  <c:v>73882.720000000001</c:v>
                </c:pt>
              </c:numCache>
            </c:numRef>
          </c:xVal>
          <c:yVal>
            <c:numRef>
              <c:f>pm!$P$3</c:f>
              <c:numCache>
                <c:formatCode>0</c:formatCode>
                <c:ptCount val="1"/>
                <c:pt idx="0">
                  <c:v>98685.993023968345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018-4ED2-9800-35C3EE583100}"/>
            </c:ext>
          </c:extLst>
        </c:ser>
        <c:ser>
          <c:idx val="6"/>
          <c:order val="2"/>
          <c:tx>
            <c:v>LRT_Blue Line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pm!$J$4</c:f>
              <c:numCache>
                <c:formatCode>0</c:formatCode>
                <c:ptCount val="1"/>
                <c:pt idx="0">
                  <c:v>312042.42564218957</c:v>
                </c:pt>
              </c:numCache>
            </c:numRef>
          </c:xVal>
          <c:yVal>
            <c:numRef>
              <c:f>pm!$P$4</c:f>
              <c:numCache>
                <c:formatCode>0</c:formatCode>
                <c:ptCount val="1"/>
                <c:pt idx="0">
                  <c:v>438825.20776337932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018-4ED2-9800-35C3EE583100}"/>
            </c:ext>
          </c:extLst>
        </c:ser>
        <c:ser>
          <c:idx val="7"/>
          <c:order val="3"/>
          <c:tx>
            <c:v>LRT_Orange Line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pm!$J$5</c:f>
              <c:numCache>
                <c:formatCode>0</c:formatCode>
                <c:ptCount val="1"/>
                <c:pt idx="0">
                  <c:v>127400.15</c:v>
                </c:pt>
              </c:numCache>
            </c:numRef>
          </c:xVal>
          <c:yVal>
            <c:numRef>
              <c:f>pm!$P$5</c:f>
              <c:numCache>
                <c:formatCode>0</c:formatCode>
                <c:ptCount val="1"/>
                <c:pt idx="0">
                  <c:v>115210.47880475019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018-4ED2-9800-35C3EE583100}"/>
            </c:ext>
          </c:extLst>
        </c:ser>
        <c:ser>
          <c:idx val="8"/>
          <c:order val="4"/>
          <c:tx>
            <c:v>LRT_Green Line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pm!$J$6</c:f>
              <c:numCache>
                <c:formatCode>0</c:formatCode>
                <c:ptCount val="1"/>
                <c:pt idx="0">
                  <c:v>179246.34000000003</c:v>
                </c:pt>
              </c:numCache>
            </c:numRef>
          </c:xVal>
          <c:yVal>
            <c:numRef>
              <c:f>pm!$P$6</c:f>
              <c:numCache>
                <c:formatCode>0</c:formatCode>
                <c:ptCount val="1"/>
                <c:pt idx="0">
                  <c:v>180580.38532710605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018-4ED2-9800-35C3EE583100}"/>
            </c:ext>
          </c:extLst>
        </c:ser>
        <c:ser>
          <c:idx val="4"/>
          <c:order val="5"/>
          <c:tx>
            <c:v>45 degree</c:v>
          </c:tx>
          <c:spPr>
            <a:ln w="25400" cap="rnd">
              <a:solidFill>
                <a:schemeClr val="accent5">
                  <a:lumMod val="40000"/>
                  <a:lumOff val="6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ref!$N$1:$N$2</c:f>
              <c:numCache>
                <c:formatCode>General</c:formatCode>
                <c:ptCount val="2"/>
                <c:pt idx="0">
                  <c:v>0</c:v>
                </c:pt>
                <c:pt idx="1">
                  <c:v>440000</c:v>
                </c:pt>
              </c:numCache>
            </c:numRef>
          </c:xVal>
          <c:yVal>
            <c:numRef>
              <c:f>ref!$O$1:$O$2</c:f>
              <c:numCache>
                <c:formatCode>General</c:formatCode>
                <c:ptCount val="2"/>
                <c:pt idx="0">
                  <c:v>0</c:v>
                </c:pt>
                <c:pt idx="1">
                  <c:v>440000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018-4ED2-9800-35C3EE583100}"/>
            </c:ext>
          </c:extLst>
        </c:ser>
        <c:ser>
          <c:idx val="1"/>
          <c:order val="6"/>
          <c:tx>
            <c:v>all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trendline>
            <c:spPr>
              <a:ln w="22225" cap="rnd">
                <a:solidFill>
                  <a:schemeClr val="accent5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897432742782152E-2"/>
                  <c:y val="-3.088556051811232E-2"/>
                </c:manualLayout>
              </c:layout>
              <c:numFmt formatCode="#,##0.00" sourceLinked="0"/>
              <c:spPr>
                <a:solidFill>
                  <a:schemeClr val="accent5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pm!$J$2:$J$6</c:f>
              <c:numCache>
                <c:formatCode>0</c:formatCode>
                <c:ptCount val="5"/>
                <c:pt idx="0">
                  <c:v>118438.12741170384</c:v>
                </c:pt>
                <c:pt idx="1">
                  <c:v>73882.720000000001</c:v>
                </c:pt>
                <c:pt idx="2">
                  <c:v>312042.42564218957</c:v>
                </c:pt>
                <c:pt idx="3">
                  <c:v>127400.15</c:v>
                </c:pt>
                <c:pt idx="4">
                  <c:v>179246.34000000003</c:v>
                </c:pt>
              </c:numCache>
            </c:numRef>
          </c:xVal>
          <c:yVal>
            <c:numRef>
              <c:f>pm!$P$2:$P$6</c:f>
              <c:numCache>
                <c:formatCode>0</c:formatCode>
                <c:ptCount val="5"/>
                <c:pt idx="0">
                  <c:v>134234.80495487805</c:v>
                </c:pt>
                <c:pt idx="1">
                  <c:v>98685.993023968345</c:v>
                </c:pt>
                <c:pt idx="2">
                  <c:v>438825.20776337932</c:v>
                </c:pt>
                <c:pt idx="3">
                  <c:v>115210.47880475019</c:v>
                </c:pt>
                <c:pt idx="4">
                  <c:v>180580.38532710605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018-4ED2-9800-35C3EE583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5971224"/>
        <c:axId val="655965976"/>
      </c:scatterChart>
      <c:valAx>
        <c:axId val="655971224"/>
        <c:scaling>
          <c:orientation val="minMax"/>
          <c:max val="5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Daily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965976"/>
        <c:crosses val="autoZero"/>
        <c:crossBetween val="midCat"/>
      </c:valAx>
      <c:valAx>
        <c:axId val="655965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Estimatee</a:t>
                </a:r>
                <a:r>
                  <a:rPr lang="en-US" b="1" baseline="0"/>
                  <a:t> Boardings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97122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Express Transit Passenger Miles - Model</a:t>
            </a:r>
            <a:r>
              <a:rPr lang="en-US" baseline="0"/>
              <a:t> Estimated vs. Observed</a:t>
            </a:r>
            <a:endParaRPr lang="en-US"/>
          </a:p>
        </c:rich>
      </c:tx>
      <c:layout>
        <c:manualLayout>
          <c:xMode val="edge"/>
          <c:yMode val="edge"/>
          <c:x val="0.22490881999125112"/>
          <c:y val="1.50943426126563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v>45 degree</c:v>
          </c:tx>
          <c:spPr>
            <a:ln w="25400" cap="rnd">
              <a:solidFill>
                <a:schemeClr val="accent2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ref!$N$4:$N$5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110000</c:v>
                </c:pt>
              </c:numCache>
            </c:numRef>
          </c:xVal>
          <c:yVal>
            <c:numRef>
              <c:f>ref!$O$4:$O$6</c:f>
              <c:numCache>
                <c:formatCode>General</c:formatCode>
                <c:ptCount val="3"/>
                <c:pt idx="0">
                  <c:v>0</c:v>
                </c:pt>
                <c:pt idx="1">
                  <c:v>110000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B4-42CF-B3AB-C4C938F15CDE}"/>
            </c:ext>
          </c:extLst>
        </c:ser>
        <c:ser>
          <c:idx val="1"/>
          <c:order val="1"/>
          <c:tx>
            <c:v>Express</c:v>
          </c:tx>
          <c:spPr>
            <a:ln w="19050" cap="rnd">
              <a:noFill/>
              <a:round/>
            </a:ln>
            <a:effectLst/>
          </c:spPr>
          <c:marker>
            <c:symbol val="star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C7D4CE4-8FD1-4E92-8948-1C324ED6ED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DB4-42CF-B3AB-C4C938F15CD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091B746-00DB-4D7A-9C86-43B94D7419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DB4-42CF-B3AB-C4C938F15CD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8E229DA-8DC1-43A1-87A1-DC253611FA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DB4-42CF-B3AB-C4C938F15CD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0022A24-F877-46F9-A83F-42369524C7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DB4-42CF-B3AB-C4C938F15CD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E68F773-A05A-4802-944F-35A5F2E64F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DB4-42CF-B3AB-C4C938F15CD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94C4190-F2EA-4EED-9485-13D724B9BD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DB4-42CF-B3AB-C4C938F15CD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6D87506-D5B1-48E3-B065-4F267AD007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DB4-42CF-B3AB-C4C938F15CD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BD77916-A590-404A-ABB3-89A2A22898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DB4-42CF-B3AB-C4C938F15CD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650BBE0-2802-44D8-A4A1-80956BD97A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DB4-42CF-B3AB-C4C938F15CD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A8E605C-ABBD-423F-B7E6-735E4437B4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EEF-418F-BFE2-06CABFB11C2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2225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6839867672790907E-2"/>
                  <c:y val="8.9417142458702019E-4"/>
                </c:manualLayout>
              </c:layout>
              <c:numFmt formatCode="#,##0.00" sourceLinked="0"/>
              <c:spPr>
                <a:solidFill>
                  <a:schemeClr val="accent2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pm!$J$7:$J$16</c:f>
              <c:numCache>
                <c:formatCode>0</c:formatCode>
                <c:ptCount val="10"/>
                <c:pt idx="0">
                  <c:v>13466.449999999997</c:v>
                </c:pt>
                <c:pt idx="1">
                  <c:v>20297.525323630791</c:v>
                </c:pt>
                <c:pt idx="2">
                  <c:v>6806.0599999999986</c:v>
                </c:pt>
                <c:pt idx="3">
                  <c:v>3307.66</c:v>
                </c:pt>
                <c:pt idx="4">
                  <c:v>3085.12</c:v>
                </c:pt>
                <c:pt idx="5">
                  <c:v>9842.4753562738952</c:v>
                </c:pt>
                <c:pt idx="6">
                  <c:v>26192.210000000003</c:v>
                </c:pt>
                <c:pt idx="7">
                  <c:v>10187.190000000002</c:v>
                </c:pt>
                <c:pt idx="8">
                  <c:v>2134.8946618460936</c:v>
                </c:pt>
                <c:pt idx="9">
                  <c:v>646.31999999999994</c:v>
                </c:pt>
              </c:numCache>
            </c:numRef>
          </c:xVal>
          <c:yVal>
            <c:numRef>
              <c:f>pm!$P$7:$P$16</c:f>
              <c:numCache>
                <c:formatCode>0</c:formatCode>
                <c:ptCount val="10"/>
                <c:pt idx="0">
                  <c:v>9893.83536084972</c:v>
                </c:pt>
                <c:pt idx="1">
                  <c:v>22916.882090244249</c:v>
                </c:pt>
                <c:pt idx="2">
                  <c:v>7213.6081710160515</c:v>
                </c:pt>
                <c:pt idx="3">
                  <c:v>4210.3088462375099</c:v>
                </c:pt>
                <c:pt idx="4">
                  <c:v>2590.9147417657923</c:v>
                </c:pt>
                <c:pt idx="5">
                  <c:v>12908.298208310747</c:v>
                </c:pt>
                <c:pt idx="6">
                  <c:v>27654.54387550578</c:v>
                </c:pt>
                <c:pt idx="7">
                  <c:v>23141.172401094049</c:v>
                </c:pt>
                <c:pt idx="8">
                  <c:v>17265.869205126295</c:v>
                </c:pt>
                <c:pt idx="9">
                  <c:v>1138.9193558118959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pm!$A$7:$A$16</c15:f>
                <c15:dlblRangeCache>
                  <c:ptCount val="10"/>
                  <c:pt idx="0">
                    <c:v>10</c:v>
                  </c:pt>
                  <c:pt idx="1">
                    <c:v>20</c:v>
                  </c:pt>
                  <c:pt idx="2">
                    <c:v>50</c:v>
                  </c:pt>
                  <c:pt idx="3">
                    <c:v>60</c:v>
                  </c:pt>
                  <c:pt idx="4">
                    <c:v>110</c:v>
                  </c:pt>
                  <c:pt idx="5">
                    <c:v>120</c:v>
                  </c:pt>
                  <c:pt idx="6">
                    <c:v>150</c:v>
                  </c:pt>
                  <c:pt idx="7">
                    <c:v>950</c:v>
                  </c:pt>
                  <c:pt idx="8">
                    <c:v>709</c:v>
                  </c:pt>
                  <c:pt idx="9">
                    <c:v>870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B-3DB4-42CF-B3AB-C4C938F15C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5971224"/>
        <c:axId val="655965976"/>
      </c:scatterChart>
      <c:valAx>
        <c:axId val="655971224"/>
        <c:scaling>
          <c:orientation val="minMax"/>
          <c:max val="8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Daily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965976"/>
        <c:crosses val="autoZero"/>
        <c:crossBetween val="midCat"/>
      </c:valAx>
      <c:valAx>
        <c:axId val="655965976"/>
        <c:scaling>
          <c:orientation val="minMax"/>
          <c:max val="8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Estimatee</a:t>
                </a:r>
                <a:r>
                  <a:rPr lang="en-US" b="1" baseline="0"/>
                  <a:t> Boardings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971224"/>
        <c:crosses val="autoZero"/>
        <c:crossBetween val="midCat"/>
        <c:majorUnit val="8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Rapid</a:t>
            </a:r>
            <a:r>
              <a:rPr lang="en-US" baseline="0"/>
              <a:t> </a:t>
            </a:r>
            <a:r>
              <a:rPr lang="en-US"/>
              <a:t>Transit Passenger-Miles - Model</a:t>
            </a:r>
            <a:r>
              <a:rPr lang="en-US" baseline="0"/>
              <a:t> Estimated vs. Observed</a:t>
            </a:r>
            <a:endParaRPr lang="en-US"/>
          </a:p>
        </c:rich>
      </c:tx>
      <c:layout>
        <c:manualLayout>
          <c:xMode val="edge"/>
          <c:yMode val="edge"/>
          <c:x val="0.22490881999125112"/>
          <c:y val="1.50943426126563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v>45 degree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accent4">
                    <a:lumMod val="60000"/>
                    <a:lumOff val="40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E32-4509-A632-6E34A7398771}"/>
              </c:ext>
            </c:extLst>
          </c:dPt>
          <c:xVal>
            <c:numRef>
              <c:f>ref!$N$4:$N$5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110000</c:v>
                </c:pt>
              </c:numCache>
            </c:numRef>
          </c:xVal>
          <c:yVal>
            <c:numRef>
              <c:f>ref!$O$4:$O$5</c:f>
              <c:numCache>
                <c:formatCode>General</c:formatCode>
                <c:ptCount val="2"/>
                <c:pt idx="0">
                  <c:v>0</c:v>
                </c:pt>
                <c:pt idx="1">
                  <c:v>110000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2-4509-A632-6E34A7398771}"/>
            </c:ext>
          </c:extLst>
        </c:ser>
        <c:ser>
          <c:idx val="1"/>
          <c:order val="1"/>
          <c:tx>
            <c:v>Rapid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972222222222224E-2"/>
                  <c:y val="3.2704408994088843E-2"/>
                </c:manualLayout>
              </c:layout>
              <c:tx>
                <c:rich>
                  <a:bodyPr/>
                  <a:lstStyle/>
                  <a:p>
                    <a:fld id="{B450FC8F-CF13-4FDD-A826-976C309B9B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E32-4509-A632-6E34A73987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13841F2-C390-48FB-8726-62628B2C58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E32-4509-A632-6E34A73987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D6FBEDC-EF1F-4975-A277-9E22B8E6A1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E32-4509-A632-6E34A73987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0D312AA-C0A2-4A26-B1B2-4D8AF71B0C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E32-4509-A632-6E34A73987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3490DC2-E62C-4743-B167-BACA3BEB4B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E32-4509-A632-6E34A739877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5E6C249-5367-494E-B885-F336DD6454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E32-4509-A632-6E34A739877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C0B669C-A064-4E7F-B9F1-B41C595023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E32-4509-A632-6E34A739877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6DD12B4-0970-49F9-86B1-434763BB2F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E32-4509-A632-6E34A739877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7536DCA-747F-4A0C-B595-BA7CB02269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E32-4509-A632-6E34A73987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trendline>
            <c:spPr>
              <a:ln w="22225" cap="rnd">
                <a:solidFill>
                  <a:schemeClr val="accent4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5751859142607171E-2"/>
                  <c:y val="3.9887691752130292E-2"/>
                </c:manualLayout>
              </c:layout>
              <c:numFmt formatCode="#,##0.00" sourceLinked="0"/>
              <c:spPr>
                <a:solidFill>
                  <a:schemeClr val="accent4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pm!$J$17:$J$25</c:f>
              <c:numCache>
                <c:formatCode>0</c:formatCode>
                <c:ptCount val="9"/>
                <c:pt idx="0">
                  <c:v>88431.37</c:v>
                </c:pt>
                <c:pt idx="1">
                  <c:v>7252.09</c:v>
                </c:pt>
                <c:pt idx="2">
                  <c:v>15616.95</c:v>
                </c:pt>
                <c:pt idx="3">
                  <c:v>13775.77</c:v>
                </c:pt>
                <c:pt idx="4">
                  <c:v>8298.5800000000017</c:v>
                </c:pt>
                <c:pt idx="5">
                  <c:v>9470.510000000002</c:v>
                </c:pt>
                <c:pt idx="6">
                  <c:v>1189.19</c:v>
                </c:pt>
                <c:pt idx="7">
                  <c:v>23834.33238428746</c:v>
                </c:pt>
                <c:pt idx="8">
                  <c:v>4773.8180895643682</c:v>
                </c:pt>
              </c:numCache>
            </c:numRef>
          </c:xVal>
          <c:yVal>
            <c:numRef>
              <c:f>pm!$P$17:$P$25</c:f>
              <c:numCache>
                <c:formatCode>0</c:formatCode>
                <c:ptCount val="9"/>
                <c:pt idx="0">
                  <c:v>106894.54603989831</c:v>
                </c:pt>
                <c:pt idx="1">
                  <c:v>14392.264574335453</c:v>
                </c:pt>
                <c:pt idx="2">
                  <c:v>0</c:v>
                </c:pt>
                <c:pt idx="3">
                  <c:v>5254.5223920185799</c:v>
                </c:pt>
                <c:pt idx="4">
                  <c:v>2479.2140220735332</c:v>
                </c:pt>
                <c:pt idx="5">
                  <c:v>2544.2467242915136</c:v>
                </c:pt>
                <c:pt idx="6">
                  <c:v>801.20050221249994</c:v>
                </c:pt>
                <c:pt idx="7">
                  <c:v>31058.457278270154</c:v>
                </c:pt>
                <c:pt idx="8">
                  <c:v>3425.6272262483308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pm!$A$17:$A$25</c15:f>
                <c15:dlblRangeCache>
                  <c:ptCount val="9"/>
                  <c:pt idx="0">
                    <c:v>235</c:v>
                  </c:pt>
                  <c:pt idx="1">
                    <c:v>237</c:v>
                  </c:pt>
                  <c:pt idx="2">
                    <c:v>280</c:v>
                  </c:pt>
                  <c:pt idx="3">
                    <c:v>290</c:v>
                  </c:pt>
                  <c:pt idx="4">
                    <c:v>201</c:v>
                  </c:pt>
                  <c:pt idx="5">
                    <c:v>202</c:v>
                  </c:pt>
                  <c:pt idx="6">
                    <c:v>204</c:v>
                  </c:pt>
                  <c:pt idx="7">
                    <c:v>215</c:v>
                  </c:pt>
                  <c:pt idx="8">
                    <c:v>350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EE32-4509-A632-6E34A7398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5971224"/>
        <c:axId val="655965976"/>
      </c:scatterChart>
      <c:valAx>
        <c:axId val="655971224"/>
        <c:scaling>
          <c:orientation val="minMax"/>
          <c:max val="2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Daily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965976"/>
        <c:crosses val="autoZero"/>
        <c:crossBetween val="midCat"/>
      </c:valAx>
      <c:valAx>
        <c:axId val="655965976"/>
        <c:scaling>
          <c:orientation val="minMax"/>
          <c:max val="2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Estimatee</a:t>
                </a:r>
                <a:r>
                  <a:rPr lang="en-US" b="1" baseline="0"/>
                  <a:t> Boardings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97122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Local </a:t>
            </a:r>
            <a:r>
              <a:rPr lang="en-US"/>
              <a:t>Transit Passenger-Miles - Model</a:t>
            </a:r>
            <a:r>
              <a:rPr lang="en-US" baseline="0"/>
              <a:t> Estimated vs. Observed</a:t>
            </a:r>
            <a:endParaRPr lang="en-US"/>
          </a:p>
        </c:rich>
      </c:tx>
      <c:layout>
        <c:manualLayout>
          <c:xMode val="edge"/>
          <c:yMode val="edge"/>
          <c:x val="0.22490881999125112"/>
          <c:y val="1.50943426126563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v>45 degree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ref!$M$7:$M$8</c:f>
              <c:numCache>
                <c:formatCode>0</c:formatCode>
                <c:ptCount val="2"/>
                <c:pt idx="0" formatCode="General">
                  <c:v>0</c:v>
                </c:pt>
                <c:pt idx="1">
                  <c:v>47388.844845748754</c:v>
                </c:pt>
              </c:numCache>
            </c:numRef>
          </c:xVal>
          <c:yVal>
            <c:numRef>
              <c:f>ref!$N$7:$N$8</c:f>
              <c:numCache>
                <c:formatCode>0</c:formatCode>
                <c:ptCount val="2"/>
                <c:pt idx="0" formatCode="General">
                  <c:v>0</c:v>
                </c:pt>
                <c:pt idx="1">
                  <c:v>47388.844845748754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A54-46C2-BD1D-9EC92C5ECF23}"/>
            </c:ext>
          </c:extLst>
        </c:ser>
        <c:ser>
          <c:idx val="1"/>
          <c:order val="1"/>
          <c:tx>
            <c:v>Local</c:v>
          </c:tx>
          <c:spPr>
            <a:ln w="19050" cap="rnd">
              <a:noFill/>
              <a:round/>
            </a:ln>
            <a:effectLst/>
          </c:spPr>
          <c:marker>
            <c:symbol val="dash"/>
            <c:size val="5"/>
            <c:spPr>
              <a:noFill/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5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8112150043744532E-2"/>
                  <c:y val="5.4280008771358149E-2"/>
                </c:manualLayout>
              </c:layout>
              <c:numFmt formatCode="#,##0.00" sourceLinked="0"/>
              <c:spPr>
                <a:solidFill>
                  <a:schemeClr val="accent6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pm!$J$26:$J$138</c:f>
              <c:numCache>
                <c:formatCode>0</c:formatCode>
                <c:ptCount val="113"/>
                <c:pt idx="0">
                  <c:v>9679.1699999999983</c:v>
                </c:pt>
                <c:pt idx="1">
                  <c:v>6580.2699999999977</c:v>
                </c:pt>
                <c:pt idx="2">
                  <c:v>10364.290000000001</c:v>
                </c:pt>
                <c:pt idx="3">
                  <c:v>6647.9400000000005</c:v>
                </c:pt>
                <c:pt idx="4">
                  <c:v>5045.8</c:v>
                </c:pt>
                <c:pt idx="5">
                  <c:v>3467.32</c:v>
                </c:pt>
                <c:pt idx="6">
                  <c:v>22045.837729276896</c:v>
                </c:pt>
                <c:pt idx="7">
                  <c:v>3682.9857868020304</c:v>
                </c:pt>
                <c:pt idx="8">
                  <c:v>3165.61</c:v>
                </c:pt>
                <c:pt idx="9">
                  <c:v>23377.27</c:v>
                </c:pt>
                <c:pt idx="10">
                  <c:v>16884.170000000002</c:v>
                </c:pt>
                <c:pt idx="11">
                  <c:v>434.60999999999996</c:v>
                </c:pt>
                <c:pt idx="12">
                  <c:v>293.95999999999998</c:v>
                </c:pt>
                <c:pt idx="13">
                  <c:v>1374.08</c:v>
                </c:pt>
                <c:pt idx="14">
                  <c:v>3139.16</c:v>
                </c:pt>
                <c:pt idx="15">
                  <c:v>2404.4</c:v>
                </c:pt>
                <c:pt idx="16">
                  <c:v>32463.560093161912</c:v>
                </c:pt>
                <c:pt idx="17">
                  <c:v>1400.0600000000002</c:v>
                </c:pt>
                <c:pt idx="18">
                  <c:v>3226.56</c:v>
                </c:pt>
                <c:pt idx="19">
                  <c:v>20409.54</c:v>
                </c:pt>
                <c:pt idx="20">
                  <c:v>15234.17</c:v>
                </c:pt>
                <c:pt idx="21">
                  <c:v>373.66726562500003</c:v>
                </c:pt>
                <c:pt idx="22">
                  <c:v>486.86495798319328</c:v>
                </c:pt>
                <c:pt idx="23">
                  <c:v>562.04310810810819</c:v>
                </c:pt>
                <c:pt idx="24">
                  <c:v>16786.208382879668</c:v>
                </c:pt>
                <c:pt idx="25">
                  <c:v>4501.9276016597505</c:v>
                </c:pt>
                <c:pt idx="26">
                  <c:v>4720.0300000000007</c:v>
                </c:pt>
                <c:pt idx="27">
                  <c:v>9629.630000000001</c:v>
                </c:pt>
                <c:pt idx="28">
                  <c:v>15372.428436759181</c:v>
                </c:pt>
                <c:pt idx="29">
                  <c:v>4506.8402051476423</c:v>
                </c:pt>
                <c:pt idx="30">
                  <c:v>7840.5948527711325</c:v>
                </c:pt>
                <c:pt idx="31">
                  <c:v>7000.6181549423945</c:v>
                </c:pt>
                <c:pt idx="32">
                  <c:v>2792.0945231207884</c:v>
                </c:pt>
                <c:pt idx="33">
                  <c:v>8798.6690359187305</c:v>
                </c:pt>
                <c:pt idx="34">
                  <c:v>1866.002357042317</c:v>
                </c:pt>
                <c:pt idx="35">
                  <c:v>1296.1317327900347</c:v>
                </c:pt>
                <c:pt idx="36">
                  <c:v>1853.3718171665741</c:v>
                </c:pt>
                <c:pt idx="37">
                  <c:v>223.11</c:v>
                </c:pt>
                <c:pt idx="38">
                  <c:v>2444.2940421355693</c:v>
                </c:pt>
                <c:pt idx="39">
                  <c:v>513.66033538281431</c:v>
                </c:pt>
                <c:pt idx="40">
                  <c:v>1998.6947045168529</c:v>
                </c:pt>
                <c:pt idx="41">
                  <c:v>5857.8096922211716</c:v>
                </c:pt>
                <c:pt idx="42">
                  <c:v>404.29</c:v>
                </c:pt>
                <c:pt idx="43">
                  <c:v>157.6959014865879</c:v>
                </c:pt>
                <c:pt idx="44">
                  <c:v>601.99998590718769</c:v>
                </c:pt>
                <c:pt idx="45">
                  <c:v>1850.2989369094878</c:v>
                </c:pt>
                <c:pt idx="46">
                  <c:v>1902.5622614887584</c:v>
                </c:pt>
                <c:pt idx="47">
                  <c:v>726.6400000000001</c:v>
                </c:pt>
                <c:pt idx="48">
                  <c:v>1801.6366019717702</c:v>
                </c:pt>
                <c:pt idx="49">
                  <c:v>860.15</c:v>
                </c:pt>
                <c:pt idx="50">
                  <c:v>839.33415769367366</c:v>
                </c:pt>
                <c:pt idx="51">
                  <c:v>941.47223168405662</c:v>
                </c:pt>
                <c:pt idx="52">
                  <c:v>506.12670818997111</c:v>
                </c:pt>
                <c:pt idx="53">
                  <c:v>444.94360353896786</c:v>
                </c:pt>
                <c:pt idx="54">
                  <c:v>133.53</c:v>
                </c:pt>
                <c:pt idx="55">
                  <c:v>7296.2300000000005</c:v>
                </c:pt>
                <c:pt idx="56">
                  <c:v>2777.2064650698635</c:v>
                </c:pt>
                <c:pt idx="57">
                  <c:v>166.79000000000002</c:v>
                </c:pt>
                <c:pt idx="58">
                  <c:v>2069.6268306700067</c:v>
                </c:pt>
                <c:pt idx="59">
                  <c:v>187</c:v>
                </c:pt>
                <c:pt idx="60">
                  <c:v>416.01</c:v>
                </c:pt>
                <c:pt idx="61">
                  <c:v>33.85</c:v>
                </c:pt>
                <c:pt idx="62">
                  <c:v>5193.5199999999995</c:v>
                </c:pt>
                <c:pt idx="63">
                  <c:v>6581.1899999999987</c:v>
                </c:pt>
                <c:pt idx="64">
                  <c:v>3170.06</c:v>
                </c:pt>
                <c:pt idx="65">
                  <c:v>792.36</c:v>
                </c:pt>
                <c:pt idx="66">
                  <c:v>13317.89438194548</c:v>
                </c:pt>
                <c:pt idx="67">
                  <c:v>8306.61</c:v>
                </c:pt>
                <c:pt idx="68">
                  <c:v>1732.2799999999997</c:v>
                </c:pt>
                <c:pt idx="69">
                  <c:v>3474.23</c:v>
                </c:pt>
                <c:pt idx="70">
                  <c:v>681.3</c:v>
                </c:pt>
                <c:pt idx="71">
                  <c:v>1583.0500000000002</c:v>
                </c:pt>
                <c:pt idx="72">
                  <c:v>439.30646153846146</c:v>
                </c:pt>
                <c:pt idx="73">
                  <c:v>5219.4400000000005</c:v>
                </c:pt>
                <c:pt idx="74">
                  <c:v>1141.45</c:v>
                </c:pt>
                <c:pt idx="75">
                  <c:v>2676.6600000000003</c:v>
                </c:pt>
                <c:pt idx="76">
                  <c:v>2284.3000000000002</c:v>
                </c:pt>
                <c:pt idx="77">
                  <c:v>9099.0200000000023</c:v>
                </c:pt>
                <c:pt idx="78">
                  <c:v>8657.76</c:v>
                </c:pt>
                <c:pt idx="79">
                  <c:v>572.21</c:v>
                </c:pt>
                <c:pt idx="80">
                  <c:v>438.92000000000007</c:v>
                </c:pt>
                <c:pt idx="81">
                  <c:v>2655.54</c:v>
                </c:pt>
                <c:pt idx="82">
                  <c:v>2210.0099999999998</c:v>
                </c:pt>
                <c:pt idx="83">
                  <c:v>17237.439999999999</c:v>
                </c:pt>
                <c:pt idx="84">
                  <c:v>143.06005333333331</c:v>
                </c:pt>
                <c:pt idx="85">
                  <c:v>12434.49</c:v>
                </c:pt>
                <c:pt idx="86">
                  <c:v>4900.2971737288126</c:v>
                </c:pt>
                <c:pt idx="87">
                  <c:v>5035.5056440677963</c:v>
                </c:pt>
                <c:pt idx="88">
                  <c:v>967.93999999999994</c:v>
                </c:pt>
                <c:pt idx="89">
                  <c:v>1123.1600000000001</c:v>
                </c:pt>
                <c:pt idx="90">
                  <c:v>3273.2484030010714</c:v>
                </c:pt>
                <c:pt idx="91">
                  <c:v>3814.5</c:v>
                </c:pt>
                <c:pt idx="92">
                  <c:v>4350.99</c:v>
                </c:pt>
                <c:pt idx="93">
                  <c:v>23265.292538111797</c:v>
                </c:pt>
                <c:pt idx="94">
                  <c:v>9758.1</c:v>
                </c:pt>
                <c:pt idx="95">
                  <c:v>9125.3319944550349</c:v>
                </c:pt>
                <c:pt idx="96">
                  <c:v>8494.7740599549452</c:v>
                </c:pt>
                <c:pt idx="97">
                  <c:v>4396.2899999999991</c:v>
                </c:pt>
                <c:pt idx="98">
                  <c:v>747.82999999999993</c:v>
                </c:pt>
                <c:pt idx="99">
                  <c:v>2692.2133868762803</c:v>
                </c:pt>
                <c:pt idx="100">
                  <c:v>11614.24</c:v>
                </c:pt>
                <c:pt idx="101">
                  <c:v>6059.18</c:v>
                </c:pt>
                <c:pt idx="102">
                  <c:v>4426.76</c:v>
                </c:pt>
                <c:pt idx="103">
                  <c:v>1778.8399999999997</c:v>
                </c:pt>
                <c:pt idx="104">
                  <c:v>1302.675806451613</c:v>
                </c:pt>
                <c:pt idx="105">
                  <c:v>529.07000000000005</c:v>
                </c:pt>
                <c:pt idx="106">
                  <c:v>652.62000000000012</c:v>
                </c:pt>
                <c:pt idx="107">
                  <c:v>622.16999999999996</c:v>
                </c:pt>
                <c:pt idx="108">
                  <c:v>357.65</c:v>
                </c:pt>
                <c:pt idx="109">
                  <c:v>340.08</c:v>
                </c:pt>
                <c:pt idx="110">
                  <c:v>280.8</c:v>
                </c:pt>
                <c:pt idx="111">
                  <c:v>210.25</c:v>
                </c:pt>
                <c:pt idx="112">
                  <c:v>2967.6000000000004</c:v>
                </c:pt>
              </c:numCache>
            </c:numRef>
          </c:xVal>
          <c:yVal>
            <c:numRef>
              <c:f>pm!$P$26:$P$138</c:f>
              <c:numCache>
                <c:formatCode>0</c:formatCode>
                <c:ptCount val="113"/>
                <c:pt idx="0">
                  <c:v>10629.54209250649</c:v>
                </c:pt>
                <c:pt idx="1">
                  <c:v>5606.5675299364584</c:v>
                </c:pt>
                <c:pt idx="2">
                  <c:v>6452.9466188070746</c:v>
                </c:pt>
                <c:pt idx="3">
                  <c:v>3314.8858607575708</c:v>
                </c:pt>
                <c:pt idx="4">
                  <c:v>3585.9712648722734</c:v>
                </c:pt>
                <c:pt idx="5">
                  <c:v>5171.2468870656166</c:v>
                </c:pt>
                <c:pt idx="6">
                  <c:v>23317.24145845322</c:v>
                </c:pt>
                <c:pt idx="7">
                  <c:v>1523.9566024315729</c:v>
                </c:pt>
                <c:pt idx="8">
                  <c:v>2040.2541755737259</c:v>
                </c:pt>
                <c:pt idx="9">
                  <c:v>20453.951236203007</c:v>
                </c:pt>
                <c:pt idx="10">
                  <c:v>15993.344343373203</c:v>
                </c:pt>
                <c:pt idx="11">
                  <c:v>1455.2452692059801</c:v>
                </c:pt>
                <c:pt idx="12">
                  <c:v>773.43007360276192</c:v>
                </c:pt>
                <c:pt idx="13">
                  <c:v>4992.7068032883162</c:v>
                </c:pt>
                <c:pt idx="14">
                  <c:v>5491.3210919989324</c:v>
                </c:pt>
                <c:pt idx="15">
                  <c:v>1667.7125620907232</c:v>
                </c:pt>
                <c:pt idx="16">
                  <c:v>47388.844845748754</c:v>
                </c:pt>
                <c:pt idx="17">
                  <c:v>3031.5801625195791</c:v>
                </c:pt>
                <c:pt idx="18">
                  <c:v>2026.456616330308</c:v>
                </c:pt>
                <c:pt idx="19">
                  <c:v>22789.763905490101</c:v>
                </c:pt>
                <c:pt idx="20">
                  <c:v>15864.740191779076</c:v>
                </c:pt>
                <c:pt idx="21">
                  <c:v>224.63042062895298</c:v>
                </c:pt>
                <c:pt idx="22">
                  <c:v>384.86426949999998</c:v>
                </c:pt>
                <c:pt idx="23">
                  <c:v>648.46655739080109</c:v>
                </c:pt>
                <c:pt idx="24">
                  <c:v>26197.985302543184</c:v>
                </c:pt>
                <c:pt idx="25">
                  <c:v>4574.9264979019372</c:v>
                </c:pt>
                <c:pt idx="26">
                  <c:v>11338.925804335468</c:v>
                </c:pt>
                <c:pt idx="27">
                  <c:v>14012.967624041565</c:v>
                </c:pt>
                <c:pt idx="28">
                  <c:v>10495.067428775392</c:v>
                </c:pt>
                <c:pt idx="29">
                  <c:v>9085.1360405256892</c:v>
                </c:pt>
                <c:pt idx="30">
                  <c:v>13435.198331837883</c:v>
                </c:pt>
                <c:pt idx="31">
                  <c:v>4122.8425947649639</c:v>
                </c:pt>
                <c:pt idx="32">
                  <c:v>3613.4389072118252</c:v>
                </c:pt>
                <c:pt idx="33">
                  <c:v>15741.39113527293</c:v>
                </c:pt>
                <c:pt idx="34">
                  <c:v>671.26119421486487</c:v>
                </c:pt>
                <c:pt idx="35">
                  <c:v>1178.534119906499</c:v>
                </c:pt>
                <c:pt idx="36">
                  <c:v>2267.4343249384847</c:v>
                </c:pt>
                <c:pt idx="37">
                  <c:v>693.81289314433707</c:v>
                </c:pt>
                <c:pt idx="38">
                  <c:v>4110.2192859043744</c:v>
                </c:pt>
                <c:pt idx="39">
                  <c:v>341.29196432963795</c:v>
                </c:pt>
                <c:pt idx="40">
                  <c:v>4062.3346928162177</c:v>
                </c:pt>
                <c:pt idx="41">
                  <c:v>5655.0815528130179</c:v>
                </c:pt>
                <c:pt idx="42">
                  <c:v>766.49116076069799</c:v>
                </c:pt>
                <c:pt idx="43">
                  <c:v>345.71195377571399</c:v>
                </c:pt>
                <c:pt idx="44">
                  <c:v>2434.3596221702992</c:v>
                </c:pt>
                <c:pt idx="45">
                  <c:v>1426.6632361463239</c:v>
                </c:pt>
                <c:pt idx="46">
                  <c:v>1388.324710745072</c:v>
                </c:pt>
                <c:pt idx="47">
                  <c:v>1610.5548195894589</c:v>
                </c:pt>
                <c:pt idx="48">
                  <c:v>1980.467013438235</c:v>
                </c:pt>
                <c:pt idx="49">
                  <c:v>1143.216895286615</c:v>
                </c:pt>
                <c:pt idx="50">
                  <c:v>739.30412446521802</c:v>
                </c:pt>
                <c:pt idx="51">
                  <c:v>1231.375556296452</c:v>
                </c:pt>
                <c:pt idx="52">
                  <c:v>1221.2034471028051</c:v>
                </c:pt>
                <c:pt idx="53">
                  <c:v>1357.5481138603409</c:v>
                </c:pt>
                <c:pt idx="54">
                  <c:v>1337.3249740474539</c:v>
                </c:pt>
                <c:pt idx="55">
                  <c:v>2555.8899214650028</c:v>
                </c:pt>
                <c:pt idx="56">
                  <c:v>643.35359439655599</c:v>
                </c:pt>
                <c:pt idx="57">
                  <c:v>2849.6774546081651</c:v>
                </c:pt>
                <c:pt idx="58">
                  <c:v>555.53027483193898</c:v>
                </c:pt>
                <c:pt idx="59">
                  <c:v>200.79093790183902</c:v>
                </c:pt>
                <c:pt idx="60">
                  <c:v>1189.890246820981</c:v>
                </c:pt>
                <c:pt idx="61">
                  <c:v>32.784662119666997</c:v>
                </c:pt>
                <c:pt idx="62">
                  <c:v>3162.3188356785772</c:v>
                </c:pt>
                <c:pt idx="63">
                  <c:v>5298.2516858154686</c:v>
                </c:pt>
                <c:pt idx="64">
                  <c:v>3246.2921331404077</c:v>
                </c:pt>
                <c:pt idx="65">
                  <c:v>1430.944770798375</c:v>
                </c:pt>
                <c:pt idx="66">
                  <c:v>17265.869205126295</c:v>
                </c:pt>
                <c:pt idx="67">
                  <c:v>10145.517614636077</c:v>
                </c:pt>
                <c:pt idx="68">
                  <c:v>671.96217201498303</c:v>
                </c:pt>
                <c:pt idx="69">
                  <c:v>4991.161317958622</c:v>
                </c:pt>
                <c:pt idx="70">
                  <c:v>1015.0960302404881</c:v>
                </c:pt>
                <c:pt idx="71">
                  <c:v>1475.4058628034111</c:v>
                </c:pt>
                <c:pt idx="72">
                  <c:v>576.29379800000004</c:v>
                </c:pt>
                <c:pt idx="73">
                  <c:v>3733.3766368502902</c:v>
                </c:pt>
                <c:pt idx="74">
                  <c:v>554.60799768281299</c:v>
                </c:pt>
                <c:pt idx="75">
                  <c:v>2975.2077840655738</c:v>
                </c:pt>
                <c:pt idx="76">
                  <c:v>1154.2650899951809</c:v>
                </c:pt>
                <c:pt idx="77">
                  <c:v>15382.049623500823</c:v>
                </c:pt>
                <c:pt idx="78">
                  <c:v>5443.0368505278093</c:v>
                </c:pt>
                <c:pt idx="79">
                  <c:v>366.881631623609</c:v>
                </c:pt>
                <c:pt idx="80">
                  <c:v>319.12117455468001</c:v>
                </c:pt>
                <c:pt idx="81">
                  <c:v>1489.7206835845918</c:v>
                </c:pt>
                <c:pt idx="82">
                  <c:v>1349.418389021381</c:v>
                </c:pt>
                <c:pt idx="83">
                  <c:v>33830.812460946028</c:v>
                </c:pt>
                <c:pt idx="84">
                  <c:v>40.008309776955997</c:v>
                </c:pt>
                <c:pt idx="85">
                  <c:v>18368.69110788465</c:v>
                </c:pt>
                <c:pt idx="86">
                  <c:v>4255.0815933547383</c:v>
                </c:pt>
                <c:pt idx="87">
                  <c:v>3898.6464729175832</c:v>
                </c:pt>
                <c:pt idx="88">
                  <c:v>1083.5233620722961</c:v>
                </c:pt>
                <c:pt idx="89">
                  <c:v>886.45164302217302</c:v>
                </c:pt>
                <c:pt idx="90">
                  <c:v>15690.607542610493</c:v>
                </c:pt>
                <c:pt idx="91">
                  <c:v>6575.9832717239251</c:v>
                </c:pt>
                <c:pt idx="92">
                  <c:v>3453.735099739135</c:v>
                </c:pt>
                <c:pt idx="93">
                  <c:v>33160.980720344836</c:v>
                </c:pt>
                <c:pt idx="94">
                  <c:v>11256.676834170476</c:v>
                </c:pt>
                <c:pt idx="95">
                  <c:v>5658.0533983538153</c:v>
                </c:pt>
                <c:pt idx="96">
                  <c:v>5730.6428833105983</c:v>
                </c:pt>
                <c:pt idx="97">
                  <c:v>4324.5596527261714</c:v>
                </c:pt>
                <c:pt idx="98">
                  <c:v>1319.736719401571</c:v>
                </c:pt>
                <c:pt idx="99">
                  <c:v>2853.2245745179539</c:v>
                </c:pt>
                <c:pt idx="100">
                  <c:v>13750.00675647057</c:v>
                </c:pt>
                <c:pt idx="101">
                  <c:v>5462.695415764867</c:v>
                </c:pt>
                <c:pt idx="102">
                  <c:v>5125.1789613127457</c:v>
                </c:pt>
                <c:pt idx="103">
                  <c:v>723.30484577911602</c:v>
                </c:pt>
                <c:pt idx="104">
                  <c:v>3006.7603802267622</c:v>
                </c:pt>
                <c:pt idx="105">
                  <c:v>278.06882914873398</c:v>
                </c:pt>
                <c:pt idx="106">
                  <c:v>325.54619665773401</c:v>
                </c:pt>
                <c:pt idx="107">
                  <c:v>573.30870088382801</c:v>
                </c:pt>
                <c:pt idx="108">
                  <c:v>425.90493138593797</c:v>
                </c:pt>
                <c:pt idx="109">
                  <c:v>480.68525547568601</c:v>
                </c:pt>
                <c:pt idx="110">
                  <c:v>331.29913019700496</c:v>
                </c:pt>
                <c:pt idx="111">
                  <c:v>683.97528233039702</c:v>
                </c:pt>
                <c:pt idx="112">
                  <c:v>2624.108240604332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A54-46C2-BD1D-9EC92C5EC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5971224"/>
        <c:axId val="655965976"/>
      </c:scatterChart>
      <c:valAx>
        <c:axId val="65597122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Daily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965976"/>
        <c:crosses val="autoZero"/>
        <c:crossBetween val="midCat"/>
      </c:valAx>
      <c:valAx>
        <c:axId val="6559659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Estimatee</a:t>
                </a:r>
                <a:r>
                  <a:rPr lang="en-US" b="1" baseline="0"/>
                  <a:t> Boardings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971224"/>
        <c:crosses val="autoZero"/>
        <c:crossBetween val="midCat"/>
        <c:minorUnit val="4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All Transit Passenger-Miles - Model</a:t>
            </a:r>
            <a:r>
              <a:rPr lang="en-US" baseline="0"/>
              <a:t> Estimated vs. Observed</a:t>
            </a:r>
            <a:endParaRPr lang="en-US"/>
          </a:p>
        </c:rich>
      </c:tx>
      <c:layout>
        <c:manualLayout>
          <c:xMode val="edge"/>
          <c:yMode val="edge"/>
          <c:x val="0.22490881999125112"/>
          <c:y val="1.50943426126563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v>45 degree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0742-41F3-9191-1CEB14A4C779}"/>
              </c:ext>
            </c:extLst>
          </c:dPt>
          <c:xVal>
            <c:numRef>
              <c:f>ref!$M$10:$M$11</c:f>
              <c:numCache>
                <c:formatCode>0</c:formatCode>
                <c:ptCount val="2"/>
                <c:pt idx="0" formatCode="General">
                  <c:v>0</c:v>
                </c:pt>
                <c:pt idx="1">
                  <c:v>440000</c:v>
                </c:pt>
              </c:numCache>
            </c:numRef>
          </c:xVal>
          <c:yVal>
            <c:numRef>
              <c:f>ref!$N$10:$N$11</c:f>
              <c:numCache>
                <c:formatCode>General</c:formatCode>
                <c:ptCount val="2"/>
                <c:pt idx="0">
                  <c:v>0</c:v>
                </c:pt>
                <c:pt idx="1">
                  <c:v>440000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42-41F3-9191-1CEB14A4C779}"/>
            </c:ext>
          </c:extLst>
        </c:ser>
        <c:ser>
          <c:idx val="1"/>
          <c:order val="1"/>
          <c:tx>
            <c:v>All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2.0412292213473317E-2"/>
                  <c:y val="-6.1148727014059726E-2"/>
                </c:manualLayout>
              </c:layout>
              <c:numFmt formatCode="#,##0.00" sourceLinked="0"/>
              <c:spPr>
                <a:solidFill>
                  <a:schemeClr val="bg1">
                    <a:lumMod val="85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pm!$J$2:$J$138</c:f>
              <c:numCache>
                <c:formatCode>0</c:formatCode>
                <c:ptCount val="137"/>
                <c:pt idx="0">
                  <c:v>118438.12741170384</c:v>
                </c:pt>
                <c:pt idx="1">
                  <c:v>73882.720000000001</c:v>
                </c:pt>
                <c:pt idx="2">
                  <c:v>312042.42564218957</c:v>
                </c:pt>
                <c:pt idx="3">
                  <c:v>127400.15</c:v>
                </c:pt>
                <c:pt idx="4">
                  <c:v>179246.34000000003</c:v>
                </c:pt>
                <c:pt idx="5">
                  <c:v>13466.449999999997</c:v>
                </c:pt>
                <c:pt idx="6">
                  <c:v>20297.525323630791</c:v>
                </c:pt>
                <c:pt idx="7">
                  <c:v>6806.0599999999986</c:v>
                </c:pt>
                <c:pt idx="8">
                  <c:v>3307.66</c:v>
                </c:pt>
                <c:pt idx="9">
                  <c:v>3085.12</c:v>
                </c:pt>
                <c:pt idx="10">
                  <c:v>9842.4753562738952</c:v>
                </c:pt>
                <c:pt idx="11">
                  <c:v>26192.210000000003</c:v>
                </c:pt>
                <c:pt idx="12">
                  <c:v>10187.190000000002</c:v>
                </c:pt>
                <c:pt idx="13">
                  <c:v>2134.8946618460936</c:v>
                </c:pt>
                <c:pt idx="14">
                  <c:v>646.31999999999994</c:v>
                </c:pt>
                <c:pt idx="15">
                  <c:v>88431.37</c:v>
                </c:pt>
                <c:pt idx="16">
                  <c:v>7252.09</c:v>
                </c:pt>
                <c:pt idx="17">
                  <c:v>15616.95</c:v>
                </c:pt>
                <c:pt idx="18">
                  <c:v>13775.77</c:v>
                </c:pt>
                <c:pt idx="19">
                  <c:v>8298.5800000000017</c:v>
                </c:pt>
                <c:pt idx="20">
                  <c:v>9470.510000000002</c:v>
                </c:pt>
                <c:pt idx="21">
                  <c:v>1189.19</c:v>
                </c:pt>
                <c:pt idx="22">
                  <c:v>23834.33238428746</c:v>
                </c:pt>
                <c:pt idx="23">
                  <c:v>4773.8180895643682</c:v>
                </c:pt>
                <c:pt idx="24">
                  <c:v>9679.1699999999983</c:v>
                </c:pt>
                <c:pt idx="25">
                  <c:v>6580.2699999999977</c:v>
                </c:pt>
                <c:pt idx="26">
                  <c:v>10364.290000000001</c:v>
                </c:pt>
                <c:pt idx="27">
                  <c:v>6647.9400000000005</c:v>
                </c:pt>
                <c:pt idx="28">
                  <c:v>5045.8</c:v>
                </c:pt>
                <c:pt idx="29">
                  <c:v>3467.32</c:v>
                </c:pt>
                <c:pt idx="30">
                  <c:v>22045.837729276896</c:v>
                </c:pt>
                <c:pt idx="31">
                  <c:v>3682.9857868020304</c:v>
                </c:pt>
                <c:pt idx="32">
                  <c:v>3165.61</c:v>
                </c:pt>
                <c:pt idx="33">
                  <c:v>23377.27</c:v>
                </c:pt>
                <c:pt idx="34">
                  <c:v>16884.170000000002</c:v>
                </c:pt>
                <c:pt idx="35">
                  <c:v>434.60999999999996</c:v>
                </c:pt>
                <c:pt idx="36">
                  <c:v>293.95999999999998</c:v>
                </c:pt>
                <c:pt idx="37">
                  <c:v>1374.08</c:v>
                </c:pt>
                <c:pt idx="38">
                  <c:v>3139.16</c:v>
                </c:pt>
                <c:pt idx="39">
                  <c:v>2404.4</c:v>
                </c:pt>
                <c:pt idx="40">
                  <c:v>32463.560093161912</c:v>
                </c:pt>
                <c:pt idx="41">
                  <c:v>1400.0600000000002</c:v>
                </c:pt>
                <c:pt idx="42">
                  <c:v>3226.56</c:v>
                </c:pt>
                <c:pt idx="43">
                  <c:v>20409.54</c:v>
                </c:pt>
                <c:pt idx="44">
                  <c:v>15234.17</c:v>
                </c:pt>
                <c:pt idx="45">
                  <c:v>373.66726562500003</c:v>
                </c:pt>
                <c:pt idx="46">
                  <c:v>486.86495798319328</c:v>
                </c:pt>
                <c:pt idx="47">
                  <c:v>562.04310810810819</c:v>
                </c:pt>
                <c:pt idx="48">
                  <c:v>16786.208382879668</c:v>
                </c:pt>
                <c:pt idx="49">
                  <c:v>4501.9276016597505</c:v>
                </c:pt>
                <c:pt idx="50">
                  <c:v>4720.0300000000007</c:v>
                </c:pt>
                <c:pt idx="51">
                  <c:v>9629.630000000001</c:v>
                </c:pt>
                <c:pt idx="52">
                  <c:v>15372.428436759181</c:v>
                </c:pt>
                <c:pt idx="53">
                  <c:v>4506.8402051476423</c:v>
                </c:pt>
                <c:pt idx="54">
                  <c:v>7840.5948527711325</c:v>
                </c:pt>
                <c:pt idx="55">
                  <c:v>7000.6181549423945</c:v>
                </c:pt>
                <c:pt idx="56">
                  <c:v>2792.0945231207884</c:v>
                </c:pt>
                <c:pt idx="57">
                  <c:v>8798.6690359187305</c:v>
                </c:pt>
                <c:pt idx="58">
                  <c:v>1866.002357042317</c:v>
                </c:pt>
                <c:pt idx="59">
                  <c:v>1296.1317327900347</c:v>
                </c:pt>
                <c:pt idx="60">
                  <c:v>1853.3718171665741</c:v>
                </c:pt>
                <c:pt idx="61">
                  <c:v>223.11</c:v>
                </c:pt>
                <c:pt idx="62">
                  <c:v>2444.2940421355693</c:v>
                </c:pt>
                <c:pt idx="63">
                  <c:v>513.66033538281431</c:v>
                </c:pt>
                <c:pt idx="64">
                  <c:v>1998.6947045168529</c:v>
                </c:pt>
                <c:pt idx="65">
                  <c:v>5857.8096922211716</c:v>
                </c:pt>
                <c:pt idx="66">
                  <c:v>404.29</c:v>
                </c:pt>
                <c:pt idx="67">
                  <c:v>157.6959014865879</c:v>
                </c:pt>
                <c:pt idx="68">
                  <c:v>601.99998590718769</c:v>
                </c:pt>
                <c:pt idx="69">
                  <c:v>1850.2989369094878</c:v>
                </c:pt>
                <c:pt idx="70">
                  <c:v>1902.5622614887584</c:v>
                </c:pt>
                <c:pt idx="71">
                  <c:v>726.6400000000001</c:v>
                </c:pt>
                <c:pt idx="72">
                  <c:v>1801.6366019717702</c:v>
                </c:pt>
                <c:pt idx="73">
                  <c:v>860.15</c:v>
                </c:pt>
                <c:pt idx="74">
                  <c:v>839.33415769367366</c:v>
                </c:pt>
                <c:pt idx="75">
                  <c:v>941.47223168405662</c:v>
                </c:pt>
                <c:pt idx="76">
                  <c:v>506.12670818997111</c:v>
                </c:pt>
                <c:pt idx="77">
                  <c:v>444.94360353896786</c:v>
                </c:pt>
                <c:pt idx="78">
                  <c:v>133.53</c:v>
                </c:pt>
                <c:pt idx="79">
                  <c:v>7296.2300000000005</c:v>
                </c:pt>
                <c:pt idx="80">
                  <c:v>2777.2064650698635</c:v>
                </c:pt>
                <c:pt idx="81">
                  <c:v>166.79000000000002</c:v>
                </c:pt>
                <c:pt idx="82">
                  <c:v>2069.6268306700067</c:v>
                </c:pt>
                <c:pt idx="83">
                  <c:v>187</c:v>
                </c:pt>
                <c:pt idx="84">
                  <c:v>416.01</c:v>
                </c:pt>
                <c:pt idx="85">
                  <c:v>33.85</c:v>
                </c:pt>
                <c:pt idx="86">
                  <c:v>5193.5199999999995</c:v>
                </c:pt>
                <c:pt idx="87">
                  <c:v>6581.1899999999987</c:v>
                </c:pt>
                <c:pt idx="88">
                  <c:v>3170.06</c:v>
                </c:pt>
                <c:pt idx="89">
                  <c:v>792.36</c:v>
                </c:pt>
                <c:pt idx="90">
                  <c:v>13317.89438194548</c:v>
                </c:pt>
                <c:pt idx="91">
                  <c:v>8306.61</c:v>
                </c:pt>
                <c:pt idx="92">
                  <c:v>1732.2799999999997</c:v>
                </c:pt>
                <c:pt idx="93">
                  <c:v>3474.23</c:v>
                </c:pt>
                <c:pt idx="94">
                  <c:v>681.3</c:v>
                </c:pt>
                <c:pt idx="95">
                  <c:v>1583.0500000000002</c:v>
                </c:pt>
                <c:pt idx="96">
                  <c:v>439.30646153846146</c:v>
                </c:pt>
                <c:pt idx="97">
                  <c:v>5219.4400000000005</c:v>
                </c:pt>
                <c:pt idx="98">
                  <c:v>1141.45</c:v>
                </c:pt>
                <c:pt idx="99">
                  <c:v>2676.6600000000003</c:v>
                </c:pt>
                <c:pt idx="100">
                  <c:v>2284.3000000000002</c:v>
                </c:pt>
                <c:pt idx="101">
                  <c:v>9099.0200000000023</c:v>
                </c:pt>
                <c:pt idx="102">
                  <c:v>8657.76</c:v>
                </c:pt>
                <c:pt idx="103">
                  <c:v>572.21</c:v>
                </c:pt>
                <c:pt idx="104">
                  <c:v>438.92000000000007</c:v>
                </c:pt>
                <c:pt idx="105">
                  <c:v>2655.54</c:v>
                </c:pt>
                <c:pt idx="106">
                  <c:v>2210.0099999999998</c:v>
                </c:pt>
                <c:pt idx="107">
                  <c:v>17237.439999999999</c:v>
                </c:pt>
                <c:pt idx="108">
                  <c:v>143.06005333333331</c:v>
                </c:pt>
                <c:pt idx="109">
                  <c:v>12434.49</c:v>
                </c:pt>
                <c:pt idx="110">
                  <c:v>4900.2971737288126</c:v>
                </c:pt>
                <c:pt idx="111">
                  <c:v>5035.5056440677963</c:v>
                </c:pt>
                <c:pt idx="112">
                  <c:v>967.93999999999994</c:v>
                </c:pt>
                <c:pt idx="113">
                  <c:v>1123.1600000000001</c:v>
                </c:pt>
                <c:pt idx="114">
                  <c:v>3273.2484030010714</c:v>
                </c:pt>
                <c:pt idx="115">
                  <c:v>3814.5</c:v>
                </c:pt>
                <c:pt idx="116">
                  <c:v>4350.99</c:v>
                </c:pt>
                <c:pt idx="117">
                  <c:v>23265.292538111797</c:v>
                </c:pt>
                <c:pt idx="118">
                  <c:v>9758.1</c:v>
                </c:pt>
                <c:pt idx="119">
                  <c:v>9125.3319944550349</c:v>
                </c:pt>
                <c:pt idx="120">
                  <c:v>8494.7740599549452</c:v>
                </c:pt>
                <c:pt idx="121">
                  <c:v>4396.2899999999991</c:v>
                </c:pt>
                <c:pt idx="122">
                  <c:v>747.82999999999993</c:v>
                </c:pt>
                <c:pt idx="123">
                  <c:v>2692.2133868762803</c:v>
                </c:pt>
                <c:pt idx="124">
                  <c:v>11614.24</c:v>
                </c:pt>
                <c:pt idx="125">
                  <c:v>6059.18</c:v>
                </c:pt>
                <c:pt idx="126">
                  <c:v>4426.76</c:v>
                </c:pt>
                <c:pt idx="127">
                  <c:v>1778.8399999999997</c:v>
                </c:pt>
                <c:pt idx="128">
                  <c:v>1302.675806451613</c:v>
                </c:pt>
                <c:pt idx="129">
                  <c:v>529.07000000000005</c:v>
                </c:pt>
                <c:pt idx="130">
                  <c:v>652.62000000000012</c:v>
                </c:pt>
                <c:pt idx="131">
                  <c:v>622.16999999999996</c:v>
                </c:pt>
                <c:pt idx="132">
                  <c:v>357.65</c:v>
                </c:pt>
                <c:pt idx="133">
                  <c:v>340.08</c:v>
                </c:pt>
                <c:pt idx="134">
                  <c:v>280.8</c:v>
                </c:pt>
                <c:pt idx="135">
                  <c:v>210.25</c:v>
                </c:pt>
                <c:pt idx="136">
                  <c:v>2967.6000000000004</c:v>
                </c:pt>
              </c:numCache>
            </c:numRef>
          </c:xVal>
          <c:yVal>
            <c:numRef>
              <c:f>pm!$P$2:$P$138</c:f>
              <c:numCache>
                <c:formatCode>0</c:formatCode>
                <c:ptCount val="137"/>
                <c:pt idx="0">
                  <c:v>134234.80495487805</c:v>
                </c:pt>
                <c:pt idx="1">
                  <c:v>98685.993023968345</c:v>
                </c:pt>
                <c:pt idx="2">
                  <c:v>438825.20776337932</c:v>
                </c:pt>
                <c:pt idx="3">
                  <c:v>115210.47880475019</c:v>
                </c:pt>
                <c:pt idx="4">
                  <c:v>180580.38532710605</c:v>
                </c:pt>
                <c:pt idx="5">
                  <c:v>9893.83536084972</c:v>
                </c:pt>
                <c:pt idx="6">
                  <c:v>22916.882090244249</c:v>
                </c:pt>
                <c:pt idx="7">
                  <c:v>7213.6081710160515</c:v>
                </c:pt>
                <c:pt idx="8">
                  <c:v>4210.3088462375099</c:v>
                </c:pt>
                <c:pt idx="9">
                  <c:v>2590.9147417657923</c:v>
                </c:pt>
                <c:pt idx="10">
                  <c:v>12908.298208310747</c:v>
                </c:pt>
                <c:pt idx="11">
                  <c:v>27654.54387550578</c:v>
                </c:pt>
                <c:pt idx="12">
                  <c:v>23141.172401094049</c:v>
                </c:pt>
                <c:pt idx="13">
                  <c:v>17265.869205126295</c:v>
                </c:pt>
                <c:pt idx="14">
                  <c:v>1138.9193558118959</c:v>
                </c:pt>
                <c:pt idx="15">
                  <c:v>106894.54603989831</c:v>
                </c:pt>
                <c:pt idx="16">
                  <c:v>14392.264574335453</c:v>
                </c:pt>
                <c:pt idx="17">
                  <c:v>0</c:v>
                </c:pt>
                <c:pt idx="18">
                  <c:v>5254.5223920185799</c:v>
                </c:pt>
                <c:pt idx="19">
                  <c:v>2479.2140220735332</c:v>
                </c:pt>
                <c:pt idx="20">
                  <c:v>2544.2467242915136</c:v>
                </c:pt>
                <c:pt idx="21">
                  <c:v>801.20050221249994</c:v>
                </c:pt>
                <c:pt idx="22">
                  <c:v>31058.457278270154</c:v>
                </c:pt>
                <c:pt idx="23">
                  <c:v>3425.6272262483308</c:v>
                </c:pt>
                <c:pt idx="24">
                  <c:v>10629.54209250649</c:v>
                </c:pt>
                <c:pt idx="25">
                  <c:v>5606.5675299364584</c:v>
                </c:pt>
                <c:pt idx="26">
                  <c:v>6452.9466188070746</c:v>
                </c:pt>
                <c:pt idx="27">
                  <c:v>3314.8858607575708</c:v>
                </c:pt>
                <c:pt idx="28">
                  <c:v>3585.9712648722734</c:v>
                </c:pt>
                <c:pt idx="29">
                  <c:v>5171.2468870656166</c:v>
                </c:pt>
                <c:pt idx="30">
                  <c:v>23317.24145845322</c:v>
                </c:pt>
                <c:pt idx="31">
                  <c:v>1523.9566024315729</c:v>
                </c:pt>
                <c:pt idx="32">
                  <c:v>2040.2541755737259</c:v>
                </c:pt>
                <c:pt idx="33">
                  <c:v>20453.951236203007</c:v>
                </c:pt>
                <c:pt idx="34">
                  <c:v>15993.344343373203</c:v>
                </c:pt>
                <c:pt idx="35">
                  <c:v>1455.2452692059801</c:v>
                </c:pt>
                <c:pt idx="36">
                  <c:v>773.43007360276192</c:v>
                </c:pt>
                <c:pt idx="37">
                  <c:v>4992.7068032883162</c:v>
                </c:pt>
                <c:pt idx="38">
                  <c:v>5491.3210919989324</c:v>
                </c:pt>
                <c:pt idx="39">
                  <c:v>1667.7125620907232</c:v>
                </c:pt>
                <c:pt idx="40">
                  <c:v>47388.844845748754</c:v>
                </c:pt>
                <c:pt idx="41">
                  <c:v>3031.5801625195791</c:v>
                </c:pt>
                <c:pt idx="42">
                  <c:v>2026.456616330308</c:v>
                </c:pt>
                <c:pt idx="43">
                  <c:v>22789.763905490101</c:v>
                </c:pt>
                <c:pt idx="44">
                  <c:v>15864.740191779076</c:v>
                </c:pt>
                <c:pt idx="45">
                  <c:v>224.63042062895298</c:v>
                </c:pt>
                <c:pt idx="46">
                  <c:v>384.86426949999998</c:v>
                </c:pt>
                <c:pt idx="47">
                  <c:v>648.46655739080109</c:v>
                </c:pt>
                <c:pt idx="48">
                  <c:v>26197.985302543184</c:v>
                </c:pt>
                <c:pt idx="49">
                  <c:v>4574.9264979019372</c:v>
                </c:pt>
                <c:pt idx="50">
                  <c:v>11338.925804335468</c:v>
                </c:pt>
                <c:pt idx="51">
                  <c:v>14012.967624041565</c:v>
                </c:pt>
                <c:pt idx="52">
                  <c:v>10495.067428775392</c:v>
                </c:pt>
                <c:pt idx="53">
                  <c:v>9085.1360405256892</c:v>
                </c:pt>
                <c:pt idx="54">
                  <c:v>13435.198331837883</c:v>
                </c:pt>
                <c:pt idx="55">
                  <c:v>4122.8425947649639</c:v>
                </c:pt>
                <c:pt idx="56">
                  <c:v>3613.4389072118252</c:v>
                </c:pt>
                <c:pt idx="57">
                  <c:v>15741.39113527293</c:v>
                </c:pt>
                <c:pt idx="58">
                  <c:v>671.26119421486487</c:v>
                </c:pt>
                <c:pt idx="59">
                  <c:v>1178.534119906499</c:v>
                </c:pt>
                <c:pt idx="60">
                  <c:v>2267.4343249384847</c:v>
                </c:pt>
                <c:pt idx="61">
                  <c:v>693.81289314433707</c:v>
                </c:pt>
                <c:pt idx="62">
                  <c:v>4110.2192859043744</c:v>
                </c:pt>
                <c:pt idx="63">
                  <c:v>341.29196432963795</c:v>
                </c:pt>
                <c:pt idx="64">
                  <c:v>4062.3346928162177</c:v>
                </c:pt>
                <c:pt idx="65">
                  <c:v>5655.0815528130179</c:v>
                </c:pt>
                <c:pt idx="66">
                  <c:v>766.49116076069799</c:v>
                </c:pt>
                <c:pt idx="67">
                  <c:v>345.71195377571399</c:v>
                </c:pt>
                <c:pt idx="68">
                  <c:v>2434.3596221702992</c:v>
                </c:pt>
                <c:pt idx="69">
                  <c:v>1426.6632361463239</c:v>
                </c:pt>
                <c:pt idx="70">
                  <c:v>1388.324710745072</c:v>
                </c:pt>
                <c:pt idx="71">
                  <c:v>1610.5548195894589</c:v>
                </c:pt>
                <c:pt idx="72">
                  <c:v>1980.467013438235</c:v>
                </c:pt>
                <c:pt idx="73">
                  <c:v>1143.216895286615</c:v>
                </c:pt>
                <c:pt idx="74">
                  <c:v>739.30412446521802</c:v>
                </c:pt>
                <c:pt idx="75">
                  <c:v>1231.375556296452</c:v>
                </c:pt>
                <c:pt idx="76">
                  <c:v>1221.2034471028051</c:v>
                </c:pt>
                <c:pt idx="77">
                  <c:v>1357.5481138603409</c:v>
                </c:pt>
                <c:pt idx="78">
                  <c:v>1337.3249740474539</c:v>
                </c:pt>
                <c:pt idx="79">
                  <c:v>2555.8899214650028</c:v>
                </c:pt>
                <c:pt idx="80">
                  <c:v>643.35359439655599</c:v>
                </c:pt>
                <c:pt idx="81">
                  <c:v>2849.6774546081651</c:v>
                </c:pt>
                <c:pt idx="82">
                  <c:v>555.53027483193898</c:v>
                </c:pt>
                <c:pt idx="83">
                  <c:v>200.79093790183902</c:v>
                </c:pt>
                <c:pt idx="84">
                  <c:v>1189.890246820981</c:v>
                </c:pt>
                <c:pt idx="85">
                  <c:v>32.784662119666997</c:v>
                </c:pt>
                <c:pt idx="86">
                  <c:v>3162.3188356785772</c:v>
                </c:pt>
                <c:pt idx="87">
                  <c:v>5298.2516858154686</c:v>
                </c:pt>
                <c:pt idx="88">
                  <c:v>3246.2921331404077</c:v>
                </c:pt>
                <c:pt idx="89">
                  <c:v>1430.944770798375</c:v>
                </c:pt>
                <c:pt idx="90">
                  <c:v>17265.869205126295</c:v>
                </c:pt>
                <c:pt idx="91">
                  <c:v>10145.517614636077</c:v>
                </c:pt>
                <c:pt idx="92">
                  <c:v>671.96217201498303</c:v>
                </c:pt>
                <c:pt idx="93">
                  <c:v>4991.161317958622</c:v>
                </c:pt>
                <c:pt idx="94">
                  <c:v>1015.0960302404881</c:v>
                </c:pt>
                <c:pt idx="95">
                  <c:v>1475.4058628034111</c:v>
                </c:pt>
                <c:pt idx="96">
                  <c:v>576.29379800000004</c:v>
                </c:pt>
                <c:pt idx="97">
                  <c:v>3733.3766368502902</c:v>
                </c:pt>
                <c:pt idx="98">
                  <c:v>554.60799768281299</c:v>
                </c:pt>
                <c:pt idx="99">
                  <c:v>2975.2077840655738</c:v>
                </c:pt>
                <c:pt idx="100">
                  <c:v>1154.2650899951809</c:v>
                </c:pt>
                <c:pt idx="101">
                  <c:v>15382.049623500823</c:v>
                </c:pt>
                <c:pt idx="102">
                  <c:v>5443.0368505278093</c:v>
                </c:pt>
                <c:pt idx="103">
                  <c:v>366.881631623609</c:v>
                </c:pt>
                <c:pt idx="104">
                  <c:v>319.12117455468001</c:v>
                </c:pt>
                <c:pt idx="105">
                  <c:v>1489.7206835845918</c:v>
                </c:pt>
                <c:pt idx="106">
                  <c:v>1349.418389021381</c:v>
                </c:pt>
                <c:pt idx="107">
                  <c:v>33830.812460946028</c:v>
                </c:pt>
                <c:pt idx="108">
                  <c:v>40.008309776955997</c:v>
                </c:pt>
                <c:pt idx="109">
                  <c:v>18368.69110788465</c:v>
                </c:pt>
                <c:pt idx="110">
                  <c:v>4255.0815933547383</c:v>
                </c:pt>
                <c:pt idx="111">
                  <c:v>3898.6464729175832</c:v>
                </c:pt>
                <c:pt idx="112">
                  <c:v>1083.5233620722961</c:v>
                </c:pt>
                <c:pt idx="113">
                  <c:v>886.45164302217302</c:v>
                </c:pt>
                <c:pt idx="114">
                  <c:v>15690.607542610493</c:v>
                </c:pt>
                <c:pt idx="115">
                  <c:v>6575.9832717239251</c:v>
                </c:pt>
                <c:pt idx="116">
                  <c:v>3453.735099739135</c:v>
                </c:pt>
                <c:pt idx="117">
                  <c:v>33160.980720344836</c:v>
                </c:pt>
                <c:pt idx="118">
                  <c:v>11256.676834170476</c:v>
                </c:pt>
                <c:pt idx="119">
                  <c:v>5658.0533983538153</c:v>
                </c:pt>
                <c:pt idx="120">
                  <c:v>5730.6428833105983</c:v>
                </c:pt>
                <c:pt idx="121">
                  <c:v>4324.5596527261714</c:v>
                </c:pt>
                <c:pt idx="122">
                  <c:v>1319.736719401571</c:v>
                </c:pt>
                <c:pt idx="123">
                  <c:v>2853.2245745179539</c:v>
                </c:pt>
                <c:pt idx="124">
                  <c:v>13750.00675647057</c:v>
                </c:pt>
                <c:pt idx="125">
                  <c:v>5462.695415764867</c:v>
                </c:pt>
                <c:pt idx="126">
                  <c:v>5125.1789613127457</c:v>
                </c:pt>
                <c:pt idx="127">
                  <c:v>723.30484577911602</c:v>
                </c:pt>
                <c:pt idx="128">
                  <c:v>3006.7603802267622</c:v>
                </c:pt>
                <c:pt idx="129">
                  <c:v>278.06882914873398</c:v>
                </c:pt>
                <c:pt idx="130">
                  <c:v>325.54619665773401</c:v>
                </c:pt>
                <c:pt idx="131">
                  <c:v>573.30870088382801</c:v>
                </c:pt>
                <c:pt idx="132">
                  <c:v>425.90493138593797</c:v>
                </c:pt>
                <c:pt idx="133">
                  <c:v>480.68525547568601</c:v>
                </c:pt>
                <c:pt idx="134">
                  <c:v>331.29913019700496</c:v>
                </c:pt>
                <c:pt idx="135">
                  <c:v>683.97528233039702</c:v>
                </c:pt>
                <c:pt idx="136">
                  <c:v>2624.108240604332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42-41F3-9191-1CEB14A4C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5971224"/>
        <c:axId val="655965976"/>
      </c:scatterChart>
      <c:valAx>
        <c:axId val="65597122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Daily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965976"/>
        <c:crosses val="autoZero"/>
        <c:crossBetween val="midCat"/>
      </c:valAx>
      <c:valAx>
        <c:axId val="6559659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Estimatee</a:t>
                </a:r>
                <a:r>
                  <a:rPr lang="en-US" b="1" baseline="0"/>
                  <a:t> Boardings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971224"/>
        <c:crosses val="autoZero"/>
        <c:crossBetween val="midCat"/>
        <c:minorUnit val="4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8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171450</xdr:rowOff>
    </xdr:from>
    <xdr:to>
      <xdr:col>16</xdr:col>
      <xdr:colOff>9525</xdr:colOff>
      <xdr:row>31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BE5676B-5239-4404-956A-88A31DC6A2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609599</xdr:colOff>
      <xdr:row>35</xdr:row>
      <xdr:rowOff>9525</xdr:rowOff>
    </xdr:from>
    <xdr:to>
      <xdr:col>16</xdr:col>
      <xdr:colOff>9524</xdr:colOff>
      <xdr:row>67</xdr:row>
      <xdr:rowOff>9525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B044DC1-EAB2-40BD-8EEA-06ECEBC2A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13</xdr:col>
      <xdr:colOff>0</xdr:colOff>
      <xdr:row>27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FA5289-D3EB-441B-8DCE-16A24485EE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31</xdr:row>
      <xdr:rowOff>0</xdr:rowOff>
    </xdr:from>
    <xdr:to>
      <xdr:col>13</xdr:col>
      <xdr:colOff>0</xdr:colOff>
      <xdr:row>57</xdr:row>
      <xdr:rowOff>95249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55F6096-4A30-4B17-A87C-C73A998DA2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61</xdr:row>
      <xdr:rowOff>0</xdr:rowOff>
    </xdr:from>
    <xdr:to>
      <xdr:col>13</xdr:col>
      <xdr:colOff>0</xdr:colOff>
      <xdr:row>87</xdr:row>
      <xdr:rowOff>95249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0EC61F2-2891-4E0C-99EC-F2E7F961AE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91</xdr:row>
      <xdr:rowOff>0</xdr:rowOff>
    </xdr:from>
    <xdr:to>
      <xdr:col>13</xdr:col>
      <xdr:colOff>0</xdr:colOff>
      <xdr:row>117</xdr:row>
      <xdr:rowOff>95249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0931AFB-4533-45F0-A8C6-6480C5F931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121</xdr:row>
      <xdr:rowOff>0</xdr:rowOff>
    </xdr:from>
    <xdr:to>
      <xdr:col>13</xdr:col>
      <xdr:colOff>0</xdr:colOff>
      <xdr:row>147</xdr:row>
      <xdr:rowOff>95249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9DD2D41-9EFB-4270-8AA5-475402E751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13</xdr:col>
      <xdr:colOff>0</xdr:colOff>
      <xdr:row>27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BD1701-65DC-43E8-8CF0-B3D8F0F8A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31</xdr:row>
      <xdr:rowOff>0</xdr:rowOff>
    </xdr:from>
    <xdr:to>
      <xdr:col>13</xdr:col>
      <xdr:colOff>0</xdr:colOff>
      <xdr:row>57</xdr:row>
      <xdr:rowOff>95249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10903A4-BF5F-4EB1-BDE2-FA77F4A5F1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61</xdr:row>
      <xdr:rowOff>0</xdr:rowOff>
    </xdr:from>
    <xdr:to>
      <xdr:col>13</xdr:col>
      <xdr:colOff>0</xdr:colOff>
      <xdr:row>87</xdr:row>
      <xdr:rowOff>95249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994B054-C474-450F-A525-4C0EE1E42A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91</xdr:row>
      <xdr:rowOff>0</xdr:rowOff>
    </xdr:from>
    <xdr:to>
      <xdr:col>13</xdr:col>
      <xdr:colOff>0</xdr:colOff>
      <xdr:row>117</xdr:row>
      <xdr:rowOff>95249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9110C40-A668-445E-B102-35FB8348C9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121</xdr:row>
      <xdr:rowOff>0</xdr:rowOff>
    </xdr:from>
    <xdr:to>
      <xdr:col>13</xdr:col>
      <xdr:colOff>0</xdr:colOff>
      <xdr:row>147</xdr:row>
      <xdr:rowOff>95249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28E7F2A-2600-499B-A15B-F7F774CA6E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BM/ABM_FY17/ABM%20Maintenance-2015%20Calibration/working/template/highway_assignment_validation_2015_AllClas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flow"/>
      <sheetName val="count_n_flow"/>
      <sheetName val="class"/>
      <sheetName val="volume"/>
      <sheetName val="msa"/>
      <sheetName val="jur"/>
      <sheetName val="chart_all"/>
      <sheetName val="sum_byclass"/>
      <sheetName val="chart_byclass"/>
      <sheetName val="sum_byvolume"/>
      <sheetName val="chart_byvolume"/>
      <sheetName val="Chart_RMSE"/>
      <sheetName val="sum_bymsa"/>
      <sheetName val="chart_bymsa"/>
      <sheetName val="ref"/>
      <sheetName val="ref0"/>
      <sheetName val="highway_assignment_validation_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/>
      <sheetData sheetId="9" refreshError="1"/>
      <sheetData sheetId="10"/>
      <sheetData sheetId="11" refreshError="1"/>
      <sheetData sheetId="12" refreshError="1"/>
      <sheetData sheetId="13"/>
      <sheetData sheetId="14" refreshError="1"/>
      <sheetData sheetId="15"/>
      <sheetData sheetId="16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flow_raw"/>
      <sheetName val="transit_general"/>
      <sheetName val="transit_hub"/>
      <sheetName val="truck_flow"/>
      <sheetName val="hwy_speed"/>
      <sheetName val="flow_freeway"/>
    </sheetNames>
    <sheetDataSet>
      <sheetData sheetId="0">
        <row r="3">
          <cell r="B3">
            <v>259</v>
          </cell>
        </row>
      </sheetData>
      <sheetData sheetId="1"/>
      <sheetData sheetId="2">
        <row r="2">
          <cell r="B2">
            <v>50</v>
          </cell>
          <cell r="C2">
            <v>28</v>
          </cell>
          <cell r="D2">
            <v>53.153370000000002</v>
          </cell>
          <cell r="E2">
            <v>256.82583399999999</v>
          </cell>
          <cell r="F2">
            <v>247.660214</v>
          </cell>
          <cell r="G2">
            <v>309.90147200000001</v>
          </cell>
          <cell r="H2">
            <v>97.841425999999998</v>
          </cell>
          <cell r="I2">
            <v>540.54495813028905</v>
          </cell>
          <cell r="J2">
            <v>1999.359338123837</v>
          </cell>
          <cell r="K2">
            <v>1843.393751374733</v>
          </cell>
          <cell r="L2">
            <v>2159.7213549557332</v>
          </cell>
          <cell r="M2">
            <v>670.58876843145902</v>
          </cell>
        </row>
        <row r="3">
          <cell r="B3">
            <v>27</v>
          </cell>
          <cell r="C3">
            <v>29</v>
          </cell>
          <cell r="D3">
            <v>67.743601999999996</v>
          </cell>
          <cell r="E3">
            <v>320.13649900000001</v>
          </cell>
          <cell r="F3">
            <v>602.73022100000003</v>
          </cell>
          <cell r="G3">
            <v>493.161091</v>
          </cell>
          <cell r="H3">
            <v>279.91736400000002</v>
          </cell>
          <cell r="I3">
            <v>283.00844891915699</v>
          </cell>
          <cell r="J3">
            <v>1153.110817793714</v>
          </cell>
          <cell r="K3">
            <v>1665.9643871302451</v>
          </cell>
          <cell r="L3">
            <v>1587.5923302759779</v>
          </cell>
          <cell r="M3">
            <v>801.64510787983795</v>
          </cell>
        </row>
        <row r="4">
          <cell r="B4">
            <v>905</v>
          </cell>
          <cell r="C4">
            <v>29</v>
          </cell>
          <cell r="D4">
            <v>157.760774</v>
          </cell>
          <cell r="E4">
            <v>343.602914</v>
          </cell>
          <cell r="F4">
            <v>577.03434100000004</v>
          </cell>
          <cell r="G4">
            <v>601.29604500000005</v>
          </cell>
          <cell r="H4">
            <v>739.42570999999998</v>
          </cell>
          <cell r="I4">
            <v>1227.4307039594501</v>
          </cell>
          <cell r="J4">
            <v>2289.3343811383611</v>
          </cell>
          <cell r="K4">
            <v>4292.2043101383742</v>
          </cell>
          <cell r="L4">
            <v>4446.1617873928326</v>
          </cell>
          <cell r="M4">
            <v>6113.5599252556303</v>
          </cell>
        </row>
        <row r="5">
          <cell r="B5">
            <v>871</v>
          </cell>
          <cell r="C5">
            <v>29</v>
          </cell>
          <cell r="D5">
            <v>6.5200019999999999</v>
          </cell>
          <cell r="E5">
            <v>31.447338999999999</v>
          </cell>
          <cell r="F5">
            <v>71.854275000000001</v>
          </cell>
          <cell r="G5">
            <v>61.244459999999997</v>
          </cell>
          <cell r="H5">
            <v>32.135058000000001</v>
          </cell>
          <cell r="I5">
            <v>11.628245098441001</v>
          </cell>
          <cell r="J5">
            <v>54.955922246378996</v>
          </cell>
          <cell r="K5">
            <v>139.105757919898</v>
          </cell>
          <cell r="L5">
            <v>103.25679901899299</v>
          </cell>
          <cell r="M5">
            <v>57.934907339897997</v>
          </cell>
        </row>
        <row r="6">
          <cell r="B6">
            <v>31</v>
          </cell>
          <cell r="C6">
            <v>29</v>
          </cell>
          <cell r="D6">
            <v>0</v>
          </cell>
          <cell r="E6">
            <v>288.24662999999998</v>
          </cell>
          <cell r="F6">
            <v>0</v>
          </cell>
          <cell r="G6">
            <v>441.34868999999998</v>
          </cell>
          <cell r="H6">
            <v>0</v>
          </cell>
          <cell r="I6">
            <v>0</v>
          </cell>
          <cell r="J6">
            <v>1215.3949453217399</v>
          </cell>
          <cell r="K6">
            <v>0</v>
          </cell>
          <cell r="L6">
            <v>1816.1852171978389</v>
          </cell>
          <cell r="M6">
            <v>0</v>
          </cell>
        </row>
        <row r="7">
          <cell r="B7">
            <v>18</v>
          </cell>
          <cell r="C7">
            <v>29</v>
          </cell>
          <cell r="D7">
            <v>21.207291999999999</v>
          </cell>
          <cell r="E7">
            <v>80.948364999999995</v>
          </cell>
          <cell r="F7">
            <v>110.779973</v>
          </cell>
          <cell r="G7">
            <v>79.528291999999993</v>
          </cell>
          <cell r="H7">
            <v>64.175556</v>
          </cell>
          <cell r="I7">
            <v>45.791061789205997</v>
          </cell>
          <cell r="J7">
            <v>158.50823596190301</v>
          </cell>
          <cell r="K7">
            <v>233.01139311556301</v>
          </cell>
          <cell r="L7">
            <v>193.535326439312</v>
          </cell>
          <cell r="M7">
            <v>142.58405629677799</v>
          </cell>
        </row>
        <row r="8">
          <cell r="B8">
            <v>833</v>
          </cell>
          <cell r="C8">
            <v>29</v>
          </cell>
          <cell r="D8">
            <v>12.336114999999999</v>
          </cell>
          <cell r="E8">
            <v>65.404967999999997</v>
          </cell>
          <cell r="F8">
            <v>153.64454799999999</v>
          </cell>
          <cell r="G8">
            <v>174.061769</v>
          </cell>
          <cell r="H8">
            <v>83.782393999999996</v>
          </cell>
          <cell r="I8">
            <v>48.751568675777001</v>
          </cell>
          <cell r="J8">
            <v>204.46381517457499</v>
          </cell>
          <cell r="K8">
            <v>440.16565728342499</v>
          </cell>
          <cell r="L8">
            <v>512.41754108248699</v>
          </cell>
          <cell r="M8">
            <v>269.60728058714699</v>
          </cell>
        </row>
        <row r="9">
          <cell r="B9">
            <v>20</v>
          </cell>
          <cell r="C9">
            <v>28</v>
          </cell>
          <cell r="D9">
            <v>158.97813400000001</v>
          </cell>
          <cell r="E9">
            <v>833.00342799999999</v>
          </cell>
          <cell r="F9">
            <v>1070.4604979999999</v>
          </cell>
          <cell r="G9">
            <v>1135.4390840000001</v>
          </cell>
          <cell r="H9">
            <v>591.07056999999998</v>
          </cell>
          <cell r="I9">
            <v>1508.222396207369</v>
          </cell>
          <cell r="J9">
            <v>4593.7517586338236</v>
          </cell>
          <cell r="K9">
            <v>6283.6833953163832</v>
          </cell>
          <cell r="L9">
            <v>6284.9976385313748</v>
          </cell>
          <cell r="M9">
            <v>4246.2269015552993</v>
          </cell>
        </row>
        <row r="10">
          <cell r="B10">
            <v>35</v>
          </cell>
          <cell r="C10">
            <v>29</v>
          </cell>
          <cell r="D10">
            <v>28.181508999999998</v>
          </cell>
          <cell r="E10">
            <v>135.45627099999999</v>
          </cell>
          <cell r="F10">
            <v>260.38767100000001</v>
          </cell>
          <cell r="G10">
            <v>323.83864199999999</v>
          </cell>
          <cell r="H10">
            <v>120.64332</v>
          </cell>
          <cell r="I10">
            <v>73.609257405009998</v>
          </cell>
          <cell r="J10">
            <v>345.333814274796</v>
          </cell>
          <cell r="K10">
            <v>584.41298435463398</v>
          </cell>
          <cell r="L10">
            <v>727.70112593448903</v>
          </cell>
          <cell r="M10">
            <v>295.39943436137901</v>
          </cell>
        </row>
        <row r="11">
          <cell r="B11">
            <v>14</v>
          </cell>
          <cell r="C11">
            <v>29</v>
          </cell>
          <cell r="D11">
            <v>12.931895000000001</v>
          </cell>
          <cell r="E11">
            <v>110.841072</v>
          </cell>
          <cell r="F11">
            <v>201.78100000000001</v>
          </cell>
          <cell r="G11">
            <v>183.263823</v>
          </cell>
          <cell r="H11">
            <v>124.796712</v>
          </cell>
          <cell r="I11">
            <v>30.661383940267001</v>
          </cell>
          <cell r="J11">
            <v>298.98324372672801</v>
          </cell>
          <cell r="K11">
            <v>444.86156466236099</v>
          </cell>
          <cell r="L11">
            <v>383.92816930590197</v>
          </cell>
          <cell r="M11">
            <v>296.81090757072201</v>
          </cell>
        </row>
        <row r="12">
          <cell r="B12">
            <v>816</v>
          </cell>
          <cell r="C12">
            <v>29</v>
          </cell>
          <cell r="D12">
            <v>27.780774000000001</v>
          </cell>
          <cell r="E12">
            <v>222.72919300000001</v>
          </cell>
          <cell r="F12">
            <v>453.41344800000002</v>
          </cell>
          <cell r="G12">
            <v>363.12747999999999</v>
          </cell>
          <cell r="H12">
            <v>204.47504699999999</v>
          </cell>
          <cell r="I12">
            <v>104.16565003885199</v>
          </cell>
          <cell r="J12">
            <v>892.92617326530797</v>
          </cell>
          <cell r="K12">
            <v>1764.128533883689</v>
          </cell>
          <cell r="L12">
            <v>1419.3627351332259</v>
          </cell>
          <cell r="M12">
            <v>810.57822563754701</v>
          </cell>
        </row>
        <row r="13">
          <cell r="B13">
            <v>854</v>
          </cell>
          <cell r="C13">
            <v>29</v>
          </cell>
          <cell r="D13">
            <v>11.044824999999999</v>
          </cell>
          <cell r="E13">
            <v>200.99088</v>
          </cell>
          <cell r="F13">
            <v>359.308649</v>
          </cell>
          <cell r="G13">
            <v>278.66420099999999</v>
          </cell>
          <cell r="H13">
            <v>160.25513100000001</v>
          </cell>
          <cell r="I13">
            <v>33.571769403251999</v>
          </cell>
          <cell r="J13">
            <v>651.56483453358999</v>
          </cell>
          <cell r="K13">
            <v>1089.922014924113</v>
          </cell>
          <cell r="L13">
            <v>765.54033224245995</v>
          </cell>
          <cell r="M13">
            <v>434.608832962159</v>
          </cell>
        </row>
        <row r="14">
          <cell r="B14">
            <v>701</v>
          </cell>
          <cell r="C14">
            <v>29</v>
          </cell>
          <cell r="D14">
            <v>40.866432000000003</v>
          </cell>
          <cell r="E14">
            <v>245.95923199999999</v>
          </cell>
          <cell r="F14">
            <v>569.32453299999997</v>
          </cell>
          <cell r="G14">
            <v>459.07203800000002</v>
          </cell>
          <cell r="H14">
            <v>271.64394600000003</v>
          </cell>
          <cell r="I14">
            <v>76.873770191014003</v>
          </cell>
          <cell r="J14">
            <v>511.75879702790701</v>
          </cell>
          <cell r="K14">
            <v>1081.6563979199079</v>
          </cell>
          <cell r="L14">
            <v>896.22447714633097</v>
          </cell>
          <cell r="M14">
            <v>595.80539339341703</v>
          </cell>
        </row>
        <row r="15">
          <cell r="B15">
            <v>358</v>
          </cell>
          <cell r="C15">
            <v>29</v>
          </cell>
          <cell r="D15">
            <v>8.1348319999999994</v>
          </cell>
          <cell r="E15">
            <v>66.948025999999999</v>
          </cell>
          <cell r="F15">
            <v>146.059596</v>
          </cell>
          <cell r="G15">
            <v>116.94753</v>
          </cell>
          <cell r="H15">
            <v>76.765680000000003</v>
          </cell>
          <cell r="I15">
            <v>28.723686777836001</v>
          </cell>
          <cell r="J15">
            <v>206.65807421893101</v>
          </cell>
          <cell r="K15">
            <v>416.77873445292602</v>
          </cell>
          <cell r="L15">
            <v>327.99872826580503</v>
          </cell>
          <cell r="M15">
            <v>241.044223387307</v>
          </cell>
        </row>
        <row r="16">
          <cell r="B16">
            <v>875</v>
          </cell>
          <cell r="C16">
            <v>29</v>
          </cell>
          <cell r="D16">
            <v>9.8832889999999995</v>
          </cell>
          <cell r="E16">
            <v>72.872882000000004</v>
          </cell>
          <cell r="F16">
            <v>195.01541399999999</v>
          </cell>
          <cell r="G16">
            <v>192.048742</v>
          </cell>
          <cell r="H16">
            <v>106.79255999999999</v>
          </cell>
          <cell r="I16">
            <v>31.723057092015999</v>
          </cell>
          <cell r="J16">
            <v>215.77668277833101</v>
          </cell>
          <cell r="K16">
            <v>442.26925256054</v>
          </cell>
          <cell r="L16">
            <v>400.40156207394199</v>
          </cell>
          <cell r="M16">
            <v>259.24783451655202</v>
          </cell>
        </row>
        <row r="17">
          <cell r="B17">
            <v>388</v>
          </cell>
          <cell r="C17">
            <v>29</v>
          </cell>
          <cell r="D17">
            <v>14.028143999999999</v>
          </cell>
          <cell r="E17">
            <v>74.188564</v>
          </cell>
          <cell r="F17">
            <v>127.97542900000001</v>
          </cell>
          <cell r="G17">
            <v>108.602642</v>
          </cell>
          <cell r="H17">
            <v>51.815376000000001</v>
          </cell>
          <cell r="I17">
            <v>143.115913840806</v>
          </cell>
          <cell r="J17">
            <v>612.22606536394699</v>
          </cell>
          <cell r="K17">
            <v>840.60482003962102</v>
          </cell>
          <cell r="L17">
            <v>665.600540816077</v>
          </cell>
          <cell r="M17">
            <v>294.34258140455199</v>
          </cell>
        </row>
        <row r="18">
          <cell r="B18">
            <v>353</v>
          </cell>
          <cell r="C18">
            <v>29</v>
          </cell>
          <cell r="D18">
            <v>27.943251</v>
          </cell>
          <cell r="E18">
            <v>137.38957600000001</v>
          </cell>
          <cell r="F18">
            <v>264.88358599999998</v>
          </cell>
          <cell r="G18">
            <v>264.86146500000001</v>
          </cell>
          <cell r="H18">
            <v>149.32720699999999</v>
          </cell>
          <cell r="I18">
            <v>55.023248546406002</v>
          </cell>
          <cell r="J18">
            <v>250.57763094925301</v>
          </cell>
          <cell r="K18">
            <v>493.37902033750998</v>
          </cell>
          <cell r="L18">
            <v>507.65496320772399</v>
          </cell>
          <cell r="M18">
            <v>303.91995654856601</v>
          </cell>
        </row>
        <row r="19">
          <cell r="B19">
            <v>237</v>
          </cell>
          <cell r="C19">
            <v>25</v>
          </cell>
          <cell r="D19">
            <v>23.065487999999998</v>
          </cell>
          <cell r="E19">
            <v>690.95726100000002</v>
          </cell>
          <cell r="F19">
            <v>257.426243</v>
          </cell>
          <cell r="G19">
            <v>954.98750399999994</v>
          </cell>
          <cell r="H19">
            <v>153.59904499999999</v>
          </cell>
          <cell r="I19">
            <v>169.27716154360601</v>
          </cell>
          <cell r="J19">
            <v>4942.757279116363</v>
          </cell>
          <cell r="K19">
            <v>1818.179252338849</v>
          </cell>
          <cell r="L19">
            <v>6401.3725152712686</v>
          </cell>
          <cell r="M19">
            <v>1060.6783660653671</v>
          </cell>
        </row>
        <row r="20">
          <cell r="B20">
            <v>303</v>
          </cell>
          <cell r="C20">
            <v>29</v>
          </cell>
          <cell r="D20">
            <v>115.052649</v>
          </cell>
          <cell r="E20">
            <v>566.28318200000001</v>
          </cell>
          <cell r="F20">
            <v>1049.4143509999999</v>
          </cell>
          <cell r="G20">
            <v>878.33117300000004</v>
          </cell>
          <cell r="H20">
            <v>407.74846000000002</v>
          </cell>
          <cell r="I20">
            <v>502.32856681926501</v>
          </cell>
          <cell r="J20">
            <v>2007.84284141332</v>
          </cell>
          <cell r="K20">
            <v>3405.0184624749049</v>
          </cell>
          <cell r="L20">
            <v>3100.5082486324131</v>
          </cell>
          <cell r="M20">
            <v>1479.369309435488</v>
          </cell>
        </row>
        <row r="21">
          <cell r="B21">
            <v>5</v>
          </cell>
          <cell r="C21">
            <v>29</v>
          </cell>
          <cell r="D21">
            <v>50.322212</v>
          </cell>
          <cell r="E21">
            <v>288.53101900000001</v>
          </cell>
          <cell r="F21">
            <v>574.91911500000003</v>
          </cell>
          <cell r="G21">
            <v>395.872367</v>
          </cell>
          <cell r="H21">
            <v>237.32362599999999</v>
          </cell>
          <cell r="I21">
            <v>109.716488577444</v>
          </cell>
          <cell r="J21">
            <v>684.98483457825103</v>
          </cell>
          <cell r="K21">
            <v>1384.2679113647221</v>
          </cell>
          <cell r="L21">
            <v>887.58965350292499</v>
          </cell>
          <cell r="M21">
            <v>519.41237684893099</v>
          </cell>
        </row>
        <row r="22">
          <cell r="B22">
            <v>705</v>
          </cell>
          <cell r="C22">
            <v>29</v>
          </cell>
          <cell r="D22">
            <v>24.526582000000001</v>
          </cell>
          <cell r="E22">
            <v>162.60947300000001</v>
          </cell>
          <cell r="F22">
            <v>347.12248199999999</v>
          </cell>
          <cell r="G22">
            <v>250.574996</v>
          </cell>
          <cell r="H22">
            <v>147.87455199999999</v>
          </cell>
          <cell r="I22">
            <v>97.172579139931997</v>
          </cell>
          <cell r="J22">
            <v>565.26040410178598</v>
          </cell>
          <cell r="K22">
            <v>1259.031808012626</v>
          </cell>
          <cell r="L22">
            <v>792.12564337864706</v>
          </cell>
          <cell r="M22">
            <v>532.70169850741695</v>
          </cell>
        </row>
        <row r="23">
          <cell r="B23">
            <v>354</v>
          </cell>
          <cell r="C23">
            <v>29</v>
          </cell>
          <cell r="D23">
            <v>23.709416999999998</v>
          </cell>
          <cell r="E23">
            <v>135.269184</v>
          </cell>
          <cell r="F23">
            <v>240.63019499999999</v>
          </cell>
          <cell r="G23">
            <v>206.78564900000001</v>
          </cell>
          <cell r="H23">
            <v>142.922709</v>
          </cell>
          <cell r="I23">
            <v>74.808746347769002</v>
          </cell>
          <cell r="J23">
            <v>407.93345356749597</v>
          </cell>
          <cell r="K23">
            <v>607.69319424399703</v>
          </cell>
          <cell r="L23">
            <v>566.57543390017599</v>
          </cell>
          <cell r="M23">
            <v>323.45618537879699</v>
          </cell>
        </row>
        <row r="24">
          <cell r="B24">
            <v>201</v>
          </cell>
          <cell r="C24">
            <v>26</v>
          </cell>
          <cell r="D24">
            <v>37.454943</v>
          </cell>
          <cell r="E24">
            <v>247.97586999999999</v>
          </cell>
          <cell r="F24">
            <v>542.82273699999996</v>
          </cell>
          <cell r="G24">
            <v>464.54761100000002</v>
          </cell>
          <cell r="H24">
            <v>232.133668</v>
          </cell>
          <cell r="I24">
            <v>46.995585762215001</v>
          </cell>
          <cell r="J24">
            <v>340.56300600109802</v>
          </cell>
          <cell r="K24">
            <v>883.24982874299701</v>
          </cell>
          <cell r="L24">
            <v>816.59666294936005</v>
          </cell>
          <cell r="M24">
            <v>391.80893861786302</v>
          </cell>
        </row>
        <row r="25">
          <cell r="B25">
            <v>934</v>
          </cell>
          <cell r="C25">
            <v>29</v>
          </cell>
          <cell r="D25">
            <v>64.727981</v>
          </cell>
          <cell r="E25">
            <v>388.884929</v>
          </cell>
          <cell r="F25">
            <v>715.11510699999997</v>
          </cell>
          <cell r="G25">
            <v>531.72110299999997</v>
          </cell>
          <cell r="H25">
            <v>435.09937600000001</v>
          </cell>
          <cell r="I25">
            <v>175.39865825863399</v>
          </cell>
          <cell r="J25">
            <v>1055.9270266085091</v>
          </cell>
          <cell r="K25">
            <v>1959.73256261192</v>
          </cell>
          <cell r="L25">
            <v>1361.958148796492</v>
          </cell>
          <cell r="M25">
            <v>1177.6264870350431</v>
          </cell>
        </row>
        <row r="26">
          <cell r="B26">
            <v>332</v>
          </cell>
          <cell r="C26">
            <v>29</v>
          </cell>
          <cell r="D26">
            <v>61.193215000000002</v>
          </cell>
          <cell r="E26">
            <v>338.27124099999997</v>
          </cell>
          <cell r="F26">
            <v>544.345282</v>
          </cell>
          <cell r="G26">
            <v>515.88857499999995</v>
          </cell>
          <cell r="H26">
            <v>220.551986</v>
          </cell>
          <cell r="I26">
            <v>259.808062298761</v>
          </cell>
          <cell r="J26">
            <v>1152.0416176624581</v>
          </cell>
          <cell r="K26">
            <v>1777.361456775817</v>
          </cell>
          <cell r="L26">
            <v>1716.0326806432861</v>
          </cell>
          <cell r="M26">
            <v>749.83773543269604</v>
          </cell>
        </row>
        <row r="27">
          <cell r="B27">
            <v>921</v>
          </cell>
          <cell r="C27">
            <v>29</v>
          </cell>
          <cell r="D27">
            <v>186.64046300000001</v>
          </cell>
          <cell r="E27">
            <v>503.473772</v>
          </cell>
          <cell r="F27">
            <v>1169.417586</v>
          </cell>
          <cell r="G27">
            <v>702.18497500000001</v>
          </cell>
          <cell r="H27">
            <v>531.97502999999995</v>
          </cell>
          <cell r="I27">
            <v>1121.747614184254</v>
          </cell>
          <cell r="J27">
            <v>2242.8385837600181</v>
          </cell>
          <cell r="K27">
            <v>6495.7482496713583</v>
          </cell>
          <cell r="L27">
            <v>2969.184002965625</v>
          </cell>
          <cell r="M27">
            <v>2861.0890920292368</v>
          </cell>
        </row>
        <row r="28">
          <cell r="B28">
            <v>6</v>
          </cell>
          <cell r="C28">
            <v>29</v>
          </cell>
          <cell r="D28">
            <v>80.204154000000003</v>
          </cell>
          <cell r="E28">
            <v>477.69708000000003</v>
          </cell>
          <cell r="F28">
            <v>992.33434</v>
          </cell>
          <cell r="G28">
            <v>736.44446400000004</v>
          </cell>
          <cell r="H28">
            <v>395.65986900000001</v>
          </cell>
          <cell r="I28">
            <v>186.37382660758601</v>
          </cell>
          <cell r="J28">
            <v>958.16192622829999</v>
          </cell>
          <cell r="K28">
            <v>1863.7635817132179</v>
          </cell>
          <cell r="L28">
            <v>1360.7539479040529</v>
          </cell>
          <cell r="M28">
            <v>802.19360461246004</v>
          </cell>
        </row>
        <row r="29">
          <cell r="B29">
            <v>901</v>
          </cell>
          <cell r="C29">
            <v>29</v>
          </cell>
          <cell r="D29">
            <v>213.81672900000001</v>
          </cell>
          <cell r="E29">
            <v>967.81056699999999</v>
          </cell>
          <cell r="F29">
            <v>1318.6808659999999</v>
          </cell>
          <cell r="G29">
            <v>1429.799041</v>
          </cell>
          <cell r="H29">
            <v>660.19101999999998</v>
          </cell>
          <cell r="I29">
            <v>1990.680481287977</v>
          </cell>
          <cell r="J29">
            <v>7379.6167573083203</v>
          </cell>
          <cell r="K29">
            <v>9249.378626841255</v>
          </cell>
          <cell r="L29">
            <v>10352.297237844399</v>
          </cell>
          <cell r="M29">
            <v>4858.8393576640801</v>
          </cell>
        </row>
        <row r="30">
          <cell r="B30">
            <v>311</v>
          </cell>
          <cell r="C30">
            <v>29</v>
          </cell>
          <cell r="D30">
            <v>1.6397139999999999</v>
          </cell>
          <cell r="E30">
            <v>72.474430999999996</v>
          </cell>
          <cell r="F30">
            <v>33.870863</v>
          </cell>
          <cell r="G30">
            <v>93.364464999999996</v>
          </cell>
          <cell r="H30">
            <v>17.643039999999999</v>
          </cell>
          <cell r="I30">
            <v>3.9887047843190002</v>
          </cell>
          <cell r="J30">
            <v>242.19482289487499</v>
          </cell>
          <cell r="K30">
            <v>94.148877843210002</v>
          </cell>
          <cell r="L30">
            <v>270.63275731273501</v>
          </cell>
          <cell r="M30">
            <v>60.296031379726003</v>
          </cell>
        </row>
        <row r="31">
          <cell r="B31">
            <v>964</v>
          </cell>
          <cell r="C31">
            <v>29</v>
          </cell>
          <cell r="D31">
            <v>38.140062999999998</v>
          </cell>
          <cell r="E31">
            <v>226.78879800000001</v>
          </cell>
          <cell r="F31">
            <v>578.98107800000002</v>
          </cell>
          <cell r="G31">
            <v>449.78451100000001</v>
          </cell>
          <cell r="H31">
            <v>282.69617899999997</v>
          </cell>
          <cell r="I31">
            <v>68.681825954426003</v>
          </cell>
          <cell r="J31">
            <v>430.79404161703201</v>
          </cell>
          <cell r="K31">
            <v>1150.624047784197</v>
          </cell>
          <cell r="L31">
            <v>835.91437498624305</v>
          </cell>
          <cell r="M31">
            <v>520.74608988486398</v>
          </cell>
        </row>
        <row r="32">
          <cell r="B32">
            <v>832</v>
          </cell>
          <cell r="C32">
            <v>29</v>
          </cell>
          <cell r="D32">
            <v>7.4285709999999998</v>
          </cell>
          <cell r="E32">
            <v>52.833333000000003</v>
          </cell>
          <cell r="F32">
            <v>93.476532000000006</v>
          </cell>
          <cell r="G32">
            <v>152.02829600000001</v>
          </cell>
          <cell r="H32">
            <v>86.358751999999996</v>
          </cell>
          <cell r="I32">
            <v>25.487025691618999</v>
          </cell>
          <cell r="J32">
            <v>176.81834425356999</v>
          </cell>
          <cell r="K32">
            <v>249.42243992106401</v>
          </cell>
          <cell r="L32">
            <v>383.56794663692801</v>
          </cell>
          <cell r="M32">
            <v>179.80027373730701</v>
          </cell>
        </row>
        <row r="33">
          <cell r="B33">
            <v>350</v>
          </cell>
          <cell r="C33">
            <v>26</v>
          </cell>
          <cell r="D33">
            <v>44.287104999999997</v>
          </cell>
          <cell r="E33">
            <v>309.52403700000002</v>
          </cell>
          <cell r="F33">
            <v>631.97425999999996</v>
          </cell>
          <cell r="G33">
            <v>527.57587999999998</v>
          </cell>
          <cell r="H33">
            <v>371.80887200000001</v>
          </cell>
          <cell r="I33">
            <v>97.355861924907003</v>
          </cell>
          <cell r="J33">
            <v>615.63582256564405</v>
          </cell>
          <cell r="K33">
            <v>1185.7195913879959</v>
          </cell>
          <cell r="L33">
            <v>926.836853553129</v>
          </cell>
          <cell r="M33">
            <v>600.07909681665501</v>
          </cell>
        </row>
        <row r="34">
          <cell r="B34">
            <v>874</v>
          </cell>
          <cell r="C34">
            <v>29</v>
          </cell>
          <cell r="D34">
            <v>20.329523999999999</v>
          </cell>
          <cell r="E34">
            <v>93.099434000000002</v>
          </cell>
          <cell r="F34">
            <v>216.717985</v>
          </cell>
          <cell r="G34">
            <v>155.791191</v>
          </cell>
          <cell r="H34">
            <v>99.306759999999997</v>
          </cell>
          <cell r="I34">
            <v>52.147992655983998</v>
          </cell>
          <cell r="J34">
            <v>234.272471626759</v>
          </cell>
          <cell r="K34">
            <v>501.93987340183901</v>
          </cell>
          <cell r="L34">
            <v>393.72458669907502</v>
          </cell>
          <cell r="M34">
            <v>307.63575920093501</v>
          </cell>
        </row>
        <row r="35">
          <cell r="B35">
            <v>13</v>
          </cell>
          <cell r="C35">
            <v>29</v>
          </cell>
          <cell r="D35">
            <v>182.74007399999999</v>
          </cell>
          <cell r="E35">
            <v>824.84550200000001</v>
          </cell>
          <cell r="F35">
            <v>1767.0304020000001</v>
          </cell>
          <cell r="G35">
            <v>1423.1983</v>
          </cell>
          <cell r="H35">
            <v>823.99565800000005</v>
          </cell>
          <cell r="I35">
            <v>741.47443381819096</v>
          </cell>
          <cell r="J35">
            <v>2688.8488844059302</v>
          </cell>
          <cell r="K35">
            <v>5286.0679663808842</v>
          </cell>
          <cell r="L35">
            <v>4438.5234593648256</v>
          </cell>
          <cell r="M35">
            <v>2838.4295994033728</v>
          </cell>
        </row>
        <row r="36">
          <cell r="B36">
            <v>28</v>
          </cell>
          <cell r="C36">
            <v>29</v>
          </cell>
          <cell r="D36">
            <v>18.737064</v>
          </cell>
          <cell r="E36">
            <v>182.70408699999999</v>
          </cell>
          <cell r="F36">
            <v>237.638745</v>
          </cell>
          <cell r="G36">
            <v>215.23405099999999</v>
          </cell>
          <cell r="H36">
            <v>107.78004300000001</v>
          </cell>
          <cell r="I36">
            <v>37.916953616881997</v>
          </cell>
          <cell r="J36">
            <v>415.33559891924301</v>
          </cell>
          <cell r="K36">
            <v>487.47887851194702</v>
          </cell>
          <cell r="L36">
            <v>452.77478896166502</v>
          </cell>
          <cell r="M36">
            <v>274.20634208098602</v>
          </cell>
        </row>
        <row r="37">
          <cell r="B37">
            <v>961</v>
          </cell>
          <cell r="C37">
            <v>29</v>
          </cell>
          <cell r="D37">
            <v>62.509728000000003</v>
          </cell>
          <cell r="E37">
            <v>276.18167699999998</v>
          </cell>
          <cell r="F37">
            <v>736.63955299999998</v>
          </cell>
          <cell r="G37">
            <v>581.78210300000001</v>
          </cell>
          <cell r="H37">
            <v>352.12327599999998</v>
          </cell>
          <cell r="I37">
            <v>184.829749811743</v>
          </cell>
          <cell r="J37">
            <v>793.81746796942105</v>
          </cell>
          <cell r="K37">
            <v>2012.9020086057969</v>
          </cell>
          <cell r="L37">
            <v>1515.5611588806039</v>
          </cell>
          <cell r="M37">
            <v>955.585030497302</v>
          </cell>
        </row>
        <row r="38">
          <cell r="B38">
            <v>944</v>
          </cell>
          <cell r="C38">
            <v>29</v>
          </cell>
          <cell r="D38">
            <v>15.454545</v>
          </cell>
          <cell r="E38">
            <v>81.899489000000003</v>
          </cell>
          <cell r="F38">
            <v>144.82746</v>
          </cell>
          <cell r="G38">
            <v>143.54035400000001</v>
          </cell>
          <cell r="H38">
            <v>91.191100000000006</v>
          </cell>
          <cell r="I38">
            <v>57.502792039284998</v>
          </cell>
          <cell r="J38">
            <v>224.303279250157</v>
          </cell>
          <cell r="K38">
            <v>406.25963261222302</v>
          </cell>
          <cell r="L38">
            <v>415.92476772657801</v>
          </cell>
          <cell r="M38">
            <v>215.74624777332801</v>
          </cell>
        </row>
        <row r="39">
          <cell r="B39">
            <v>834</v>
          </cell>
          <cell r="C39">
            <v>29</v>
          </cell>
          <cell r="D39">
            <v>2</v>
          </cell>
          <cell r="E39">
            <v>29.5</v>
          </cell>
          <cell r="F39">
            <v>93.5</v>
          </cell>
          <cell r="G39">
            <v>0</v>
          </cell>
          <cell r="H39">
            <v>39</v>
          </cell>
          <cell r="I39">
            <v>14.268744999999999</v>
          </cell>
          <cell r="J39">
            <v>132.96269649999999</v>
          </cell>
          <cell r="K39">
            <v>273.79078550000003</v>
          </cell>
          <cell r="L39">
            <v>0</v>
          </cell>
          <cell r="M39">
            <v>155.27157099999999</v>
          </cell>
        </row>
        <row r="40">
          <cell r="B40">
            <v>83</v>
          </cell>
          <cell r="C40">
            <v>29</v>
          </cell>
          <cell r="D40">
            <v>5.6099690000000004</v>
          </cell>
          <cell r="E40">
            <v>41.43242</v>
          </cell>
          <cell r="F40">
            <v>49.890225000000001</v>
          </cell>
          <cell r="G40">
            <v>37.668042999999997</v>
          </cell>
          <cell r="H40">
            <v>21.903926999999999</v>
          </cell>
          <cell r="I40">
            <v>5.323484847314</v>
          </cell>
          <cell r="J40">
            <v>53.126581698258001</v>
          </cell>
          <cell r="K40">
            <v>67.112883459440994</v>
          </cell>
          <cell r="L40">
            <v>55.092926012440998</v>
          </cell>
          <cell r="M40">
            <v>43.974544611498999</v>
          </cell>
        </row>
        <row r="41">
          <cell r="B41">
            <v>306</v>
          </cell>
          <cell r="C41">
            <v>29</v>
          </cell>
          <cell r="D41">
            <v>20.333331999999999</v>
          </cell>
          <cell r="E41">
            <v>133.871647</v>
          </cell>
          <cell r="F41">
            <v>205.76749899999999</v>
          </cell>
          <cell r="G41">
            <v>230.73366100000001</v>
          </cell>
          <cell r="H41">
            <v>86.896586999999997</v>
          </cell>
          <cell r="I41">
            <v>178.98128932314</v>
          </cell>
          <cell r="J41">
            <v>845.132959601072</v>
          </cell>
          <cell r="K41">
            <v>1125.4197129700819</v>
          </cell>
          <cell r="L41">
            <v>1385.2321745712959</v>
          </cell>
          <cell r="M41">
            <v>588.07645829937405</v>
          </cell>
        </row>
        <row r="42">
          <cell r="B42">
            <v>709</v>
          </cell>
          <cell r="C42">
            <v>29</v>
          </cell>
          <cell r="D42">
            <v>109.664807</v>
          </cell>
          <cell r="E42">
            <v>737.47344999999996</v>
          </cell>
          <cell r="F42">
            <v>1471.065701</v>
          </cell>
          <cell r="G42">
            <v>1157.6897799999999</v>
          </cell>
          <cell r="H42">
            <v>624.13193999999999</v>
          </cell>
          <cell r="I42">
            <v>512.30104885265803</v>
          </cell>
          <cell r="J42">
            <v>3450.9408779719288</v>
          </cell>
          <cell r="K42">
            <v>5897.5832433279802</v>
          </cell>
          <cell r="L42">
            <v>4846.5975261868216</v>
          </cell>
          <cell r="M42">
            <v>2558.4465087869071</v>
          </cell>
        </row>
        <row r="43">
          <cell r="B43">
            <v>115</v>
          </cell>
          <cell r="C43">
            <v>29</v>
          </cell>
          <cell r="D43">
            <v>48.162328000000002</v>
          </cell>
          <cell r="E43">
            <v>478.64643999999998</v>
          </cell>
          <cell r="F43">
            <v>887.70364400000005</v>
          </cell>
          <cell r="G43">
            <v>691.37731499999995</v>
          </cell>
          <cell r="H43">
            <v>450.58495799999997</v>
          </cell>
          <cell r="I43">
            <v>191.41904890859999</v>
          </cell>
          <cell r="J43">
            <v>2199.1000829740969</v>
          </cell>
          <cell r="K43">
            <v>4071.5772489275628</v>
          </cell>
          <cell r="L43">
            <v>2956.7484288377918</v>
          </cell>
          <cell r="M43">
            <v>1920.080994687416</v>
          </cell>
        </row>
        <row r="44">
          <cell r="B44">
            <v>851</v>
          </cell>
          <cell r="C44">
            <v>29</v>
          </cell>
          <cell r="D44">
            <v>4.6171290000000003</v>
          </cell>
          <cell r="E44">
            <v>30.248899000000002</v>
          </cell>
          <cell r="F44">
            <v>69.117310000000003</v>
          </cell>
          <cell r="G44">
            <v>40.876710000000003</v>
          </cell>
          <cell r="H44">
            <v>48.340944</v>
          </cell>
          <cell r="I44">
            <v>13.899691227868001</v>
          </cell>
          <cell r="J44">
            <v>98.575571973142999</v>
          </cell>
          <cell r="K44">
            <v>180.30033563530799</v>
          </cell>
          <cell r="L44">
            <v>116.25273446047299</v>
          </cell>
          <cell r="M44">
            <v>145.57966438602099</v>
          </cell>
        </row>
        <row r="45">
          <cell r="B45">
            <v>950</v>
          </cell>
          <cell r="C45">
            <v>28</v>
          </cell>
          <cell r="D45">
            <v>264.59751999999997</v>
          </cell>
          <cell r="E45">
            <v>581.53527999999994</v>
          </cell>
          <cell r="F45">
            <v>892.00319999999999</v>
          </cell>
          <cell r="G45">
            <v>862.87635399999999</v>
          </cell>
          <cell r="H45">
            <v>136.55641</v>
          </cell>
          <cell r="I45">
            <v>2220.7749232855999</v>
          </cell>
          <cell r="J45">
            <v>4880.8430510983999</v>
          </cell>
          <cell r="K45">
            <v>7486.609617696</v>
          </cell>
          <cell r="L45">
            <v>7406.8227631917498</v>
          </cell>
          <cell r="M45">
            <v>1146.1220458222999</v>
          </cell>
        </row>
        <row r="46">
          <cell r="B46">
            <v>323</v>
          </cell>
          <cell r="C46">
            <v>29</v>
          </cell>
          <cell r="D46">
            <v>4.589207</v>
          </cell>
          <cell r="E46">
            <v>27.201627999999999</v>
          </cell>
          <cell r="F46">
            <v>55.372785999999998</v>
          </cell>
          <cell r="G46">
            <v>59.769919999999999</v>
          </cell>
          <cell r="H46">
            <v>33.191811999999999</v>
          </cell>
          <cell r="I46">
            <v>14.24115671272</v>
          </cell>
          <cell r="J46">
            <v>45.822373576947001</v>
          </cell>
          <cell r="K46">
            <v>133.261225455849</v>
          </cell>
          <cell r="L46">
            <v>69.791786869283996</v>
          </cell>
          <cell r="M46">
            <v>78.175421714837995</v>
          </cell>
        </row>
        <row r="47">
          <cell r="B47">
            <v>906</v>
          </cell>
          <cell r="C47">
            <v>29</v>
          </cell>
          <cell r="D47">
            <v>164.45740699999999</v>
          </cell>
          <cell r="E47">
            <v>377.24689599999999</v>
          </cell>
          <cell r="F47">
            <v>939.58250799999996</v>
          </cell>
          <cell r="G47">
            <v>505.09334799999999</v>
          </cell>
          <cell r="H47">
            <v>372.95283999999998</v>
          </cell>
          <cell r="I47">
            <v>302.54714953318103</v>
          </cell>
          <cell r="J47">
            <v>622.39067455756799</v>
          </cell>
          <cell r="K47">
            <v>1647.2484349604449</v>
          </cell>
          <cell r="L47">
            <v>912.95661687265397</v>
          </cell>
          <cell r="M47">
            <v>769.93871743089005</v>
          </cell>
        </row>
        <row r="48">
          <cell r="B48">
            <v>972</v>
          </cell>
          <cell r="C48">
            <v>29</v>
          </cell>
          <cell r="D48">
            <v>0</v>
          </cell>
          <cell r="E48">
            <v>86.050631999999993</v>
          </cell>
          <cell r="F48">
            <v>0</v>
          </cell>
          <cell r="G48">
            <v>112.382999</v>
          </cell>
          <cell r="H48">
            <v>0</v>
          </cell>
          <cell r="I48">
            <v>0</v>
          </cell>
          <cell r="J48">
            <v>194.35414502507501</v>
          </cell>
          <cell r="K48">
            <v>0</v>
          </cell>
          <cell r="L48">
            <v>231.55078636086299</v>
          </cell>
          <cell r="M48">
            <v>0</v>
          </cell>
        </row>
        <row r="49">
          <cell r="B49">
            <v>864</v>
          </cell>
          <cell r="C49">
            <v>29</v>
          </cell>
          <cell r="D49">
            <v>37.023997999999999</v>
          </cell>
          <cell r="E49">
            <v>142.41934499999999</v>
          </cell>
          <cell r="F49">
            <v>393.59711099999998</v>
          </cell>
          <cell r="G49">
            <v>354.65919000000002</v>
          </cell>
          <cell r="H49">
            <v>204.74811099999999</v>
          </cell>
          <cell r="I49">
            <v>245.43113363509801</v>
          </cell>
          <cell r="J49">
            <v>711.70943656153702</v>
          </cell>
          <cell r="K49">
            <v>1710.0751732753899</v>
          </cell>
          <cell r="L49">
            <v>1694.0676896503201</v>
          </cell>
          <cell r="M49">
            <v>1081.753417405464</v>
          </cell>
        </row>
        <row r="50">
          <cell r="B50">
            <v>2</v>
          </cell>
          <cell r="C50">
            <v>29</v>
          </cell>
          <cell r="D50">
            <v>79.491659999999996</v>
          </cell>
          <cell r="E50">
            <v>483.30946899999998</v>
          </cell>
          <cell r="F50">
            <v>838.20710599999995</v>
          </cell>
          <cell r="G50">
            <v>748.30210499999998</v>
          </cell>
          <cell r="H50">
            <v>418.30136599999997</v>
          </cell>
          <cell r="I50">
            <v>192.62251881968101</v>
          </cell>
          <cell r="J50">
            <v>1007.554707767349</v>
          </cell>
          <cell r="K50">
            <v>1819.6814724132221</v>
          </cell>
          <cell r="L50">
            <v>1676.1958407646091</v>
          </cell>
          <cell r="M50">
            <v>910.51299017159704</v>
          </cell>
        </row>
        <row r="51">
          <cell r="B51">
            <v>848</v>
          </cell>
          <cell r="C51">
            <v>29</v>
          </cell>
          <cell r="D51">
            <v>36.743121000000002</v>
          </cell>
          <cell r="E51">
            <v>163.94429099999999</v>
          </cell>
          <cell r="F51">
            <v>354.90718099999998</v>
          </cell>
          <cell r="G51">
            <v>289.22050200000001</v>
          </cell>
          <cell r="H51">
            <v>158.675848</v>
          </cell>
          <cell r="I51">
            <v>173.261614230616</v>
          </cell>
          <cell r="J51">
            <v>680.03263478253098</v>
          </cell>
          <cell r="K51">
            <v>1304.9617747294351</v>
          </cell>
          <cell r="L51">
            <v>1060.538401568067</v>
          </cell>
          <cell r="M51">
            <v>514.58221153964098</v>
          </cell>
        </row>
        <row r="52">
          <cell r="B52">
            <v>917</v>
          </cell>
          <cell r="C52">
            <v>29</v>
          </cell>
          <cell r="D52">
            <v>5.1632670000000003</v>
          </cell>
          <cell r="E52">
            <v>61.774312999999999</v>
          </cell>
          <cell r="F52">
            <v>90.360201000000004</v>
          </cell>
          <cell r="G52">
            <v>108.01605000000001</v>
          </cell>
          <cell r="H52">
            <v>50.114680999999997</v>
          </cell>
          <cell r="I52">
            <v>20.102796417581999</v>
          </cell>
          <cell r="J52">
            <v>172.32881251278101</v>
          </cell>
          <cell r="K52">
            <v>249.72916512950101</v>
          </cell>
          <cell r="L52">
            <v>292.565810325857</v>
          </cell>
          <cell r="M52">
            <v>151.72505863645199</v>
          </cell>
        </row>
        <row r="53">
          <cell r="B53">
            <v>3</v>
          </cell>
          <cell r="C53">
            <v>29</v>
          </cell>
          <cell r="D53">
            <v>127.03397200000001</v>
          </cell>
          <cell r="E53">
            <v>505.85256399999997</v>
          </cell>
          <cell r="F53">
            <v>1022.226621</v>
          </cell>
          <cell r="G53">
            <v>696.67235800000003</v>
          </cell>
          <cell r="H53">
            <v>455.95483400000001</v>
          </cell>
          <cell r="I53">
            <v>361.25228923905303</v>
          </cell>
          <cell r="J53">
            <v>1191.0205680066949</v>
          </cell>
          <cell r="K53">
            <v>2309.6372441011031</v>
          </cell>
          <cell r="L53">
            <v>1569.0172967891151</v>
          </cell>
          <cell r="M53">
            <v>1022.019220671109</v>
          </cell>
        </row>
        <row r="54">
          <cell r="B54">
            <v>335</v>
          </cell>
          <cell r="C54">
            <v>29</v>
          </cell>
          <cell r="D54">
            <v>0</v>
          </cell>
          <cell r="E54">
            <v>55.372199999999999</v>
          </cell>
          <cell r="F54">
            <v>0</v>
          </cell>
          <cell r="G54">
            <v>113.286778</v>
          </cell>
          <cell r="H54">
            <v>0</v>
          </cell>
          <cell r="I54">
            <v>0</v>
          </cell>
          <cell r="J54">
            <v>109.87105957449801</v>
          </cell>
          <cell r="K54">
            <v>0</v>
          </cell>
          <cell r="L54">
            <v>235.840894201216</v>
          </cell>
          <cell r="M54">
            <v>0</v>
          </cell>
        </row>
        <row r="55">
          <cell r="B55">
            <v>392</v>
          </cell>
          <cell r="C55">
            <v>29</v>
          </cell>
          <cell r="D55">
            <v>30.174592000000001</v>
          </cell>
          <cell r="E55">
            <v>178.18450100000001</v>
          </cell>
          <cell r="F55">
            <v>244.670075</v>
          </cell>
          <cell r="G55">
            <v>312.82285400000001</v>
          </cell>
          <cell r="H55">
            <v>123.7042</v>
          </cell>
          <cell r="I55">
            <v>117.038512858332</v>
          </cell>
          <cell r="J55">
            <v>602.06372296047698</v>
          </cell>
          <cell r="K55">
            <v>730.05609392423196</v>
          </cell>
          <cell r="L55">
            <v>999.31413391267301</v>
          </cell>
          <cell r="M55">
            <v>401.204990952451</v>
          </cell>
        </row>
        <row r="56">
          <cell r="B56">
            <v>1</v>
          </cell>
          <cell r="C56">
            <v>29</v>
          </cell>
          <cell r="D56">
            <v>152.12670399999999</v>
          </cell>
          <cell r="E56">
            <v>774.82886199999996</v>
          </cell>
          <cell r="F56">
            <v>1759.621907</v>
          </cell>
          <cell r="G56">
            <v>1413.28495</v>
          </cell>
          <cell r="H56">
            <v>806.53649900000005</v>
          </cell>
          <cell r="I56">
            <v>444.53998635597998</v>
          </cell>
          <cell r="J56">
            <v>1707.538022010496</v>
          </cell>
          <cell r="K56">
            <v>3679.0929323964838</v>
          </cell>
          <cell r="L56">
            <v>3093.5881289590661</v>
          </cell>
          <cell r="M56">
            <v>1704.783022784464</v>
          </cell>
        </row>
        <row r="57">
          <cell r="B57">
            <v>933</v>
          </cell>
          <cell r="C57">
            <v>29</v>
          </cell>
          <cell r="D57">
            <v>96.568456999999995</v>
          </cell>
          <cell r="E57">
            <v>248.40985900000001</v>
          </cell>
          <cell r="F57">
            <v>823.18357700000001</v>
          </cell>
          <cell r="G57">
            <v>643.97354900000005</v>
          </cell>
          <cell r="H57">
            <v>407.346789</v>
          </cell>
          <cell r="I57">
            <v>270.84447005555398</v>
          </cell>
          <cell r="J57">
            <v>617.279711611263</v>
          </cell>
          <cell r="K57">
            <v>2185.0877476086011</v>
          </cell>
          <cell r="L57">
            <v>1549.817119608947</v>
          </cell>
          <cell r="M57">
            <v>1035.02434946945</v>
          </cell>
        </row>
        <row r="58">
          <cell r="B58">
            <v>30</v>
          </cell>
          <cell r="C58">
            <v>29</v>
          </cell>
          <cell r="D58">
            <v>362.004795</v>
          </cell>
          <cell r="E58">
            <v>1481.5806789999999</v>
          </cell>
          <cell r="F58">
            <v>2271.7678190000001</v>
          </cell>
          <cell r="G58">
            <v>2068.6065130000002</v>
          </cell>
          <cell r="H58">
            <v>1080.642793</v>
          </cell>
          <cell r="I58">
            <v>3006.6506678584278</v>
          </cell>
          <cell r="J58">
            <v>10298.06502641221</v>
          </cell>
          <cell r="K58">
            <v>13630.49533465431</v>
          </cell>
          <cell r="L58">
            <v>13598.384727994689</v>
          </cell>
          <cell r="M58">
            <v>6855.2490888291231</v>
          </cell>
        </row>
        <row r="59">
          <cell r="B59">
            <v>932</v>
          </cell>
          <cell r="C59">
            <v>29</v>
          </cell>
          <cell r="D59">
            <v>128.030495</v>
          </cell>
          <cell r="E59">
            <v>576.715552</v>
          </cell>
          <cell r="F59">
            <v>1543.0271130000001</v>
          </cell>
          <cell r="G59">
            <v>1162.4571570000001</v>
          </cell>
          <cell r="H59">
            <v>785.99157300000002</v>
          </cell>
          <cell r="I59">
            <v>426.19061239243598</v>
          </cell>
          <cell r="J59">
            <v>1661.637227050282</v>
          </cell>
          <cell r="K59">
            <v>4119.8023967882491</v>
          </cell>
          <cell r="L59">
            <v>2888.7184864413271</v>
          </cell>
          <cell r="M59">
            <v>2160.3281114981819</v>
          </cell>
        </row>
        <row r="60">
          <cell r="B60">
            <v>870</v>
          </cell>
          <cell r="C60">
            <v>27</v>
          </cell>
          <cell r="D60">
            <v>0</v>
          </cell>
          <cell r="E60">
            <v>44.993527</v>
          </cell>
          <cell r="F60">
            <v>0</v>
          </cell>
          <cell r="G60">
            <v>125.489087</v>
          </cell>
          <cell r="H60">
            <v>0</v>
          </cell>
          <cell r="I60">
            <v>0</v>
          </cell>
          <cell r="J60">
            <v>319.43756424639002</v>
          </cell>
          <cell r="K60">
            <v>0</v>
          </cell>
          <cell r="L60">
            <v>819.481791565506</v>
          </cell>
          <cell r="M60">
            <v>0</v>
          </cell>
        </row>
        <row r="61">
          <cell r="B61">
            <v>44</v>
          </cell>
          <cell r="C61">
            <v>29</v>
          </cell>
          <cell r="D61">
            <v>134.10689500000001</v>
          </cell>
          <cell r="E61">
            <v>1136.079074</v>
          </cell>
          <cell r="F61">
            <v>1997.723009</v>
          </cell>
          <cell r="G61">
            <v>1369.9365600000001</v>
          </cell>
          <cell r="H61">
            <v>767.90404699999999</v>
          </cell>
          <cell r="I61">
            <v>480.64172296005898</v>
          </cell>
          <cell r="J61">
            <v>3315.7928517157311</v>
          </cell>
          <cell r="K61">
            <v>5968.209790259546</v>
          </cell>
          <cell r="L61">
            <v>3844.1449370862379</v>
          </cell>
          <cell r="M61">
            <v>2255.9508897575029</v>
          </cell>
        </row>
        <row r="62">
          <cell r="B62">
            <v>308</v>
          </cell>
          <cell r="C62">
            <v>29</v>
          </cell>
          <cell r="D62">
            <v>31.489832</v>
          </cell>
          <cell r="E62">
            <v>109.66295599999999</v>
          </cell>
          <cell r="F62">
            <v>156.40495300000001</v>
          </cell>
          <cell r="G62">
            <v>164.30628999999999</v>
          </cell>
          <cell r="H62">
            <v>79.405212000000006</v>
          </cell>
          <cell r="I62">
            <v>343.72730425217901</v>
          </cell>
          <cell r="J62">
            <v>879.24446999686904</v>
          </cell>
          <cell r="K62">
            <v>762.41113994262003</v>
          </cell>
          <cell r="L62">
            <v>1079.601869861106</v>
          </cell>
          <cell r="M62">
            <v>548.45412315905105</v>
          </cell>
        </row>
        <row r="63">
          <cell r="B63">
            <v>973</v>
          </cell>
          <cell r="C63">
            <v>29</v>
          </cell>
          <cell r="D63">
            <v>0</v>
          </cell>
          <cell r="E63">
            <v>91.441033000000004</v>
          </cell>
          <cell r="F63">
            <v>0</v>
          </cell>
          <cell r="G63">
            <v>84.172725999999997</v>
          </cell>
          <cell r="H63">
            <v>0</v>
          </cell>
          <cell r="I63">
            <v>0</v>
          </cell>
          <cell r="J63">
            <v>246.421177066344</v>
          </cell>
          <cell r="K63">
            <v>0</v>
          </cell>
          <cell r="L63">
            <v>234.26407840934201</v>
          </cell>
          <cell r="M63">
            <v>0</v>
          </cell>
        </row>
        <row r="64">
          <cell r="B64">
            <v>60</v>
          </cell>
          <cell r="C64">
            <v>28</v>
          </cell>
          <cell r="D64">
            <v>0</v>
          </cell>
          <cell r="E64">
            <v>209.48579100000001</v>
          </cell>
          <cell r="F64">
            <v>0</v>
          </cell>
          <cell r="G64">
            <v>295.22485799999998</v>
          </cell>
          <cell r="H64">
            <v>0</v>
          </cell>
          <cell r="I64">
            <v>0</v>
          </cell>
          <cell r="J64">
            <v>1701.660894505399</v>
          </cell>
          <cell r="K64">
            <v>0</v>
          </cell>
          <cell r="L64">
            <v>2508.6479517321109</v>
          </cell>
          <cell r="M64">
            <v>0</v>
          </cell>
        </row>
        <row r="65">
          <cell r="B65">
            <v>904</v>
          </cell>
          <cell r="C65">
            <v>29</v>
          </cell>
          <cell r="D65">
            <v>2.381453</v>
          </cell>
          <cell r="E65">
            <v>0</v>
          </cell>
          <cell r="F65">
            <v>19.680683999999999</v>
          </cell>
          <cell r="G65">
            <v>13.593401</v>
          </cell>
          <cell r="H65">
            <v>14.195983</v>
          </cell>
          <cell r="I65">
            <v>3.3076469263020001</v>
          </cell>
          <cell r="J65">
            <v>0</v>
          </cell>
          <cell r="K65">
            <v>15.619996052617999</v>
          </cell>
          <cell r="L65">
            <v>11.069148444836999</v>
          </cell>
          <cell r="M65">
            <v>10.011518353199</v>
          </cell>
        </row>
        <row r="66">
          <cell r="B66">
            <v>446</v>
          </cell>
          <cell r="C66">
            <v>29</v>
          </cell>
          <cell r="D66">
            <v>0</v>
          </cell>
          <cell r="E66">
            <v>7.6666670000000003</v>
          </cell>
          <cell r="F66">
            <v>0</v>
          </cell>
          <cell r="G66">
            <v>13.736266000000001</v>
          </cell>
          <cell r="H66">
            <v>0</v>
          </cell>
          <cell r="I66">
            <v>0</v>
          </cell>
          <cell r="J66">
            <v>11.542362012164</v>
          </cell>
          <cell r="K66">
            <v>0</v>
          </cell>
          <cell r="L66">
            <v>21.242300107502999</v>
          </cell>
          <cell r="M66">
            <v>0</v>
          </cell>
        </row>
        <row r="67">
          <cell r="B67">
            <v>309</v>
          </cell>
          <cell r="C67">
            <v>29</v>
          </cell>
          <cell r="D67">
            <v>126.599825</v>
          </cell>
          <cell r="E67">
            <v>530.98639500000002</v>
          </cell>
          <cell r="F67">
            <v>996.39015300000005</v>
          </cell>
          <cell r="G67">
            <v>860.63560500000006</v>
          </cell>
          <cell r="H67">
            <v>399.84022399999998</v>
          </cell>
          <cell r="I67">
            <v>898.54709066692999</v>
          </cell>
          <cell r="J67">
            <v>3122.791883461819</v>
          </cell>
          <cell r="K67">
            <v>4817.0232237033342</v>
          </cell>
          <cell r="L67">
            <v>4527.4475366748884</v>
          </cell>
          <cell r="M67">
            <v>2375.5814007659578</v>
          </cell>
        </row>
        <row r="68">
          <cell r="B68">
            <v>945</v>
          </cell>
          <cell r="C68">
            <v>29</v>
          </cell>
          <cell r="D68">
            <v>9</v>
          </cell>
          <cell r="E68">
            <v>139.27607399999999</v>
          </cell>
          <cell r="F68">
            <v>277.31817999999998</v>
          </cell>
          <cell r="G68">
            <v>252.443625</v>
          </cell>
          <cell r="H68">
            <v>141.27272199999999</v>
          </cell>
          <cell r="I68">
            <v>31.021593577905001</v>
          </cell>
          <cell r="J68">
            <v>505.88222376019598</v>
          </cell>
          <cell r="K68">
            <v>936.51089323795395</v>
          </cell>
          <cell r="L68">
            <v>937.17007799296198</v>
          </cell>
          <cell r="M68">
            <v>442.639785948937</v>
          </cell>
        </row>
        <row r="69">
          <cell r="B69">
            <v>907</v>
          </cell>
          <cell r="C69">
            <v>29</v>
          </cell>
          <cell r="D69">
            <v>71.118352000000002</v>
          </cell>
          <cell r="E69">
            <v>209.33948699999999</v>
          </cell>
          <cell r="F69">
            <v>615.73212000000001</v>
          </cell>
          <cell r="G69">
            <v>627.25</v>
          </cell>
          <cell r="H69">
            <v>662.75</v>
          </cell>
          <cell r="I69">
            <v>142.45357383222401</v>
          </cell>
          <cell r="J69">
            <v>376.21319321771898</v>
          </cell>
          <cell r="K69">
            <v>1200.03043161764</v>
          </cell>
          <cell r="L69">
            <v>1063.1478835</v>
          </cell>
          <cell r="M69">
            <v>1116.8013907500001</v>
          </cell>
        </row>
        <row r="70">
          <cell r="B70">
            <v>347</v>
          </cell>
          <cell r="C70">
            <v>29</v>
          </cell>
          <cell r="D70">
            <v>28</v>
          </cell>
          <cell r="E70">
            <v>183.97836699999999</v>
          </cell>
          <cell r="F70">
            <v>503.33332999999999</v>
          </cell>
          <cell r="G70">
            <v>329.86977200000001</v>
          </cell>
          <cell r="H70">
            <v>250</v>
          </cell>
          <cell r="I70">
            <v>55.351024500000001</v>
          </cell>
          <cell r="J70">
            <v>380.60746429465098</v>
          </cell>
          <cell r="K70">
            <v>921.19751551713</v>
          </cell>
          <cell r="L70">
            <v>585.92433179987597</v>
          </cell>
          <cell r="M70">
            <v>491.27928605864201</v>
          </cell>
        </row>
        <row r="71">
          <cell r="B71">
            <v>120</v>
          </cell>
          <cell r="C71">
            <v>28</v>
          </cell>
          <cell r="D71">
            <v>196.996971</v>
          </cell>
          <cell r="E71">
            <v>741.16663400000004</v>
          </cell>
          <cell r="F71">
            <v>1312.2759430000001</v>
          </cell>
          <cell r="G71">
            <v>1027.942348</v>
          </cell>
          <cell r="H71">
            <v>677.80115599999999</v>
          </cell>
          <cell r="I71">
            <v>732.63769578508095</v>
          </cell>
          <cell r="J71">
            <v>2315.5594508888939</v>
          </cell>
          <cell r="K71">
            <v>4334.7250808324688</v>
          </cell>
          <cell r="L71">
            <v>3237.9647286382979</v>
          </cell>
          <cell r="M71">
            <v>2287.411252166004</v>
          </cell>
        </row>
        <row r="72">
          <cell r="B72">
            <v>510</v>
          </cell>
          <cell r="C72">
            <v>24</v>
          </cell>
          <cell r="D72">
            <v>3080.2747119999999</v>
          </cell>
          <cell r="E72">
            <v>10880.991569</v>
          </cell>
          <cell r="F72">
            <v>15182.725834999999</v>
          </cell>
          <cell r="G72">
            <v>15659.637532999999</v>
          </cell>
          <cell r="H72">
            <v>9723.0532409999996</v>
          </cell>
          <cell r="I72">
            <v>29374.786309073901</v>
          </cell>
          <cell r="J72">
            <v>87730.268332019637</v>
          </cell>
          <cell r="K72">
            <v>119952.1802675597</v>
          </cell>
          <cell r="L72">
            <v>120448.6673089018</v>
          </cell>
          <cell r="M72">
            <v>81319.305545824318</v>
          </cell>
        </row>
        <row r="73">
          <cell r="B73">
            <v>928</v>
          </cell>
          <cell r="C73">
            <v>29</v>
          </cell>
          <cell r="D73">
            <v>40.917175999999998</v>
          </cell>
          <cell r="E73">
            <v>190.97344899999999</v>
          </cell>
          <cell r="F73">
            <v>378.23966999999999</v>
          </cell>
          <cell r="G73">
            <v>299.71267</v>
          </cell>
          <cell r="H73">
            <v>175.66309999999999</v>
          </cell>
          <cell r="I73">
            <v>167.268193017442</v>
          </cell>
          <cell r="J73">
            <v>660.55101007938902</v>
          </cell>
          <cell r="K73">
            <v>1191.0010079462979</v>
          </cell>
          <cell r="L73">
            <v>892.469822406768</v>
          </cell>
          <cell r="M73">
            <v>542.44506628923796</v>
          </cell>
        </row>
        <row r="74">
          <cell r="B74">
            <v>992</v>
          </cell>
          <cell r="C74">
            <v>29</v>
          </cell>
          <cell r="D74">
            <v>96.969868000000005</v>
          </cell>
          <cell r="E74">
            <v>351.45837399999999</v>
          </cell>
          <cell r="F74">
            <v>338.57511599999998</v>
          </cell>
          <cell r="G74">
            <v>326.45203800000002</v>
          </cell>
          <cell r="H74">
            <v>126.90320699999999</v>
          </cell>
          <cell r="I74">
            <v>191.80614926394401</v>
          </cell>
          <cell r="J74">
            <v>631.57253473983906</v>
          </cell>
          <cell r="K74">
            <v>655.84816698788097</v>
          </cell>
          <cell r="L74">
            <v>825.50379392364403</v>
          </cell>
          <cell r="M74">
            <v>319.37759568902402</v>
          </cell>
        </row>
        <row r="75">
          <cell r="B75">
            <v>215</v>
          </cell>
          <cell r="C75">
            <v>26</v>
          </cell>
          <cell r="D75">
            <v>305.239868</v>
          </cell>
          <cell r="E75">
            <v>2038.6148250000001</v>
          </cell>
          <cell r="F75">
            <v>2921.8637199999998</v>
          </cell>
          <cell r="G75">
            <v>2891.864587</v>
          </cell>
          <cell r="H75">
            <v>1317.591371</v>
          </cell>
          <cell r="I75">
            <v>1089.943430587258</v>
          </cell>
          <cell r="J75">
            <v>7001.2178361538681</v>
          </cell>
          <cell r="K75">
            <v>9413.8623518970235</v>
          </cell>
          <cell r="L75">
            <v>9357.4054546903826</v>
          </cell>
          <cell r="M75">
            <v>4196.0282049416201</v>
          </cell>
        </row>
        <row r="76">
          <cell r="B76">
            <v>334</v>
          </cell>
          <cell r="C76">
            <v>29</v>
          </cell>
          <cell r="D76">
            <v>12.311287</v>
          </cell>
          <cell r="E76">
            <v>46.696558000000003</v>
          </cell>
          <cell r="F76">
            <v>142.01944</v>
          </cell>
          <cell r="G76">
            <v>94.512397000000007</v>
          </cell>
          <cell r="H76">
            <v>79.609589999999997</v>
          </cell>
          <cell r="I76">
            <v>26.375529834230001</v>
          </cell>
          <cell r="J76">
            <v>95.096281131270004</v>
          </cell>
          <cell r="K76">
            <v>312.10365871887802</v>
          </cell>
          <cell r="L76">
            <v>196.62142233428</v>
          </cell>
          <cell r="M76">
            <v>136.29426874204</v>
          </cell>
        </row>
        <row r="77">
          <cell r="B77">
            <v>4</v>
          </cell>
          <cell r="C77">
            <v>29</v>
          </cell>
          <cell r="D77">
            <v>41.510517</v>
          </cell>
          <cell r="E77">
            <v>146.923607</v>
          </cell>
          <cell r="F77">
            <v>403.81258700000001</v>
          </cell>
          <cell r="G77">
            <v>293.07685300000003</v>
          </cell>
          <cell r="H77">
            <v>204.02490599999999</v>
          </cell>
          <cell r="I77">
            <v>171.529204147173</v>
          </cell>
          <cell r="J77">
            <v>430.05863227514902</v>
          </cell>
          <cell r="K77">
            <v>1188.60338737799</v>
          </cell>
          <cell r="L77">
            <v>837.91632862449899</v>
          </cell>
          <cell r="M77">
            <v>686.77830833276005</v>
          </cell>
        </row>
        <row r="78">
          <cell r="B78">
            <v>8</v>
          </cell>
          <cell r="C78">
            <v>29</v>
          </cell>
          <cell r="D78">
            <v>14.290800000000001</v>
          </cell>
          <cell r="E78">
            <v>79.724562000000006</v>
          </cell>
          <cell r="F78">
            <v>192.762373</v>
          </cell>
          <cell r="G78">
            <v>168.18568999999999</v>
          </cell>
          <cell r="H78">
            <v>92.498653000000004</v>
          </cell>
          <cell r="I78">
            <v>44.443785119692997</v>
          </cell>
          <cell r="J78">
            <v>223.92655715434699</v>
          </cell>
          <cell r="K78">
            <v>501.14763259081798</v>
          </cell>
          <cell r="L78">
            <v>491.98246235087998</v>
          </cell>
          <cell r="M78">
            <v>262.45616521583497</v>
          </cell>
        </row>
        <row r="79">
          <cell r="B79">
            <v>25</v>
          </cell>
          <cell r="C79">
            <v>29</v>
          </cell>
          <cell r="D79">
            <v>38.621395</v>
          </cell>
          <cell r="E79">
            <v>237.26635899999999</v>
          </cell>
          <cell r="F79">
            <v>451.37437999999997</v>
          </cell>
          <cell r="G79">
            <v>388.91366900000003</v>
          </cell>
          <cell r="H79">
            <v>211.73290299999999</v>
          </cell>
          <cell r="I79">
            <v>188.186421822059</v>
          </cell>
          <cell r="J79">
            <v>863.06263458454396</v>
          </cell>
          <cell r="K79">
            <v>1745.1414102243341</v>
          </cell>
          <cell r="L79">
            <v>1428.545839720821</v>
          </cell>
          <cell r="M79">
            <v>767.77049693655795</v>
          </cell>
        </row>
        <row r="80">
          <cell r="B80">
            <v>84</v>
          </cell>
          <cell r="C80">
            <v>29</v>
          </cell>
          <cell r="D80">
            <v>2</v>
          </cell>
          <cell r="E80">
            <v>37</v>
          </cell>
          <cell r="F80">
            <v>91</v>
          </cell>
          <cell r="G80">
            <v>57</v>
          </cell>
          <cell r="H80">
            <v>39</v>
          </cell>
          <cell r="I80">
            <v>4.8326349999999998</v>
          </cell>
          <cell r="J80">
            <v>68.335675499999994</v>
          </cell>
          <cell r="K80">
            <v>147.76228649999999</v>
          </cell>
          <cell r="L80">
            <v>95.978190999999995</v>
          </cell>
          <cell r="M80">
            <v>67.955481500000005</v>
          </cell>
        </row>
        <row r="81">
          <cell r="B81">
            <v>105</v>
          </cell>
          <cell r="C81">
            <v>29</v>
          </cell>
          <cell r="D81">
            <v>48.585841000000002</v>
          </cell>
          <cell r="E81">
            <v>234.31177199999999</v>
          </cell>
          <cell r="F81">
            <v>531.78320900000006</v>
          </cell>
          <cell r="G81">
            <v>351.31557099999998</v>
          </cell>
          <cell r="H81">
            <v>216.55853500000001</v>
          </cell>
          <cell r="I81">
            <v>201.07464601224299</v>
          </cell>
          <cell r="J81">
            <v>827.48887959326498</v>
          </cell>
          <cell r="K81">
            <v>1653.428192887344</v>
          </cell>
          <cell r="L81">
            <v>1182.6535915507191</v>
          </cell>
          <cell r="M81">
            <v>710.28118785836602</v>
          </cell>
        </row>
        <row r="82">
          <cell r="B82">
            <v>962</v>
          </cell>
          <cell r="C82">
            <v>29</v>
          </cell>
          <cell r="D82">
            <v>27.376874999999998</v>
          </cell>
          <cell r="E82">
            <v>243.52665999999999</v>
          </cell>
          <cell r="F82">
            <v>572.90350000000001</v>
          </cell>
          <cell r="G82">
            <v>466.13595299999997</v>
          </cell>
          <cell r="H82">
            <v>254.610342</v>
          </cell>
          <cell r="I82">
            <v>101.376899894773</v>
          </cell>
          <cell r="J82">
            <v>819.84597995019499</v>
          </cell>
          <cell r="K82">
            <v>1885.0374179396149</v>
          </cell>
          <cell r="L82">
            <v>1502.030286426063</v>
          </cell>
          <cell r="M82">
            <v>816.88837710209998</v>
          </cell>
        </row>
        <row r="83">
          <cell r="B83">
            <v>10</v>
          </cell>
          <cell r="C83">
            <v>28</v>
          </cell>
          <cell r="D83">
            <v>152.92522299999999</v>
          </cell>
          <cell r="E83">
            <v>692.051153</v>
          </cell>
          <cell r="F83">
            <v>997.16736500000002</v>
          </cell>
          <cell r="G83">
            <v>935.36874599999999</v>
          </cell>
          <cell r="H83">
            <v>497.45863900000001</v>
          </cell>
          <cell r="I83">
            <v>537.34845825963703</v>
          </cell>
          <cell r="J83">
            <v>2250.3680956515068</v>
          </cell>
          <cell r="K83">
            <v>2811.9957311922299</v>
          </cell>
          <cell r="L83">
            <v>2803.6419826561619</v>
          </cell>
          <cell r="M83">
            <v>1490.481093090184</v>
          </cell>
        </row>
        <row r="84">
          <cell r="B84">
            <v>445</v>
          </cell>
          <cell r="C84">
            <v>29</v>
          </cell>
          <cell r="D84">
            <v>0</v>
          </cell>
          <cell r="E84">
            <v>125.28249700000001</v>
          </cell>
          <cell r="F84">
            <v>0</v>
          </cell>
          <cell r="G84">
            <v>207.76123999999999</v>
          </cell>
          <cell r="H84">
            <v>0</v>
          </cell>
          <cell r="I84">
            <v>0</v>
          </cell>
          <cell r="J84">
            <v>442.09614463398901</v>
          </cell>
          <cell r="K84">
            <v>0</v>
          </cell>
          <cell r="L84">
            <v>747.79410218699195</v>
          </cell>
          <cell r="M84">
            <v>0</v>
          </cell>
        </row>
        <row r="85">
          <cell r="B85">
            <v>351</v>
          </cell>
          <cell r="C85">
            <v>29</v>
          </cell>
          <cell r="D85">
            <v>27.448291000000001</v>
          </cell>
          <cell r="E85">
            <v>128.415335</v>
          </cell>
          <cell r="F85">
            <v>239.81377699999999</v>
          </cell>
          <cell r="G85">
            <v>195.27966699999999</v>
          </cell>
          <cell r="H85">
            <v>86.653814999999994</v>
          </cell>
          <cell r="I85">
            <v>63.927968901649002</v>
          </cell>
          <cell r="J85">
            <v>254.9284330646</v>
          </cell>
          <cell r="K85">
            <v>508.31121256441702</v>
          </cell>
          <cell r="L85">
            <v>424.85935673431698</v>
          </cell>
          <cell r="M85">
            <v>174.63626488134099</v>
          </cell>
        </row>
        <row r="86">
          <cell r="B86">
            <v>101</v>
          </cell>
          <cell r="C86">
            <v>29</v>
          </cell>
          <cell r="D86">
            <v>197.82924199999999</v>
          </cell>
          <cell r="E86">
            <v>603.11623099999997</v>
          </cell>
          <cell r="F86">
            <v>958.22043099999996</v>
          </cell>
          <cell r="G86">
            <v>1064.0671689999999</v>
          </cell>
          <cell r="H86">
            <v>524.61037299999998</v>
          </cell>
          <cell r="I86">
            <v>2401.4775043867289</v>
          </cell>
          <cell r="J86">
            <v>5013.5954661959531</v>
          </cell>
          <cell r="K86">
            <v>6410.9117584242567</v>
          </cell>
          <cell r="L86">
            <v>7943.8284000092763</v>
          </cell>
          <cell r="M86">
            <v>4428.1721735269721</v>
          </cell>
        </row>
        <row r="87">
          <cell r="B87">
            <v>313</v>
          </cell>
          <cell r="C87">
            <v>29</v>
          </cell>
          <cell r="D87">
            <v>7.6633570000000004</v>
          </cell>
          <cell r="E87">
            <v>97.013502000000003</v>
          </cell>
          <cell r="F87">
            <v>149.45410100000001</v>
          </cell>
          <cell r="G87">
            <v>111.971277</v>
          </cell>
          <cell r="H87">
            <v>44.387467000000001</v>
          </cell>
          <cell r="I87">
            <v>25.388323816145999</v>
          </cell>
          <cell r="J87">
            <v>278.17318408814498</v>
          </cell>
          <cell r="K87">
            <v>399.17657990723802</v>
          </cell>
          <cell r="L87">
            <v>361.94964132838999</v>
          </cell>
          <cell r="M87">
            <v>113.84639076658</v>
          </cell>
        </row>
        <row r="88">
          <cell r="B88">
            <v>712</v>
          </cell>
          <cell r="C88">
            <v>29</v>
          </cell>
          <cell r="D88">
            <v>57.740653000000002</v>
          </cell>
          <cell r="E88">
            <v>467.95426099999997</v>
          </cell>
          <cell r="F88">
            <v>960.62542499999995</v>
          </cell>
          <cell r="G88">
            <v>765.54709500000001</v>
          </cell>
          <cell r="H88">
            <v>382.51138500000002</v>
          </cell>
          <cell r="I88">
            <v>208.195170141624</v>
          </cell>
          <cell r="J88">
            <v>1790.032809917363</v>
          </cell>
          <cell r="K88">
            <v>3875.3793070908482</v>
          </cell>
          <cell r="L88">
            <v>2791.6010017649892</v>
          </cell>
          <cell r="M88">
            <v>1480.3093257212529</v>
          </cell>
        </row>
        <row r="89">
          <cell r="B89">
            <v>979</v>
          </cell>
          <cell r="C89">
            <v>29</v>
          </cell>
          <cell r="D89">
            <v>0</v>
          </cell>
          <cell r="E89">
            <v>122.85561199999999</v>
          </cell>
          <cell r="F89">
            <v>0</v>
          </cell>
          <cell r="G89">
            <v>172.582323</v>
          </cell>
          <cell r="H89">
            <v>0</v>
          </cell>
          <cell r="I89">
            <v>0</v>
          </cell>
          <cell r="J89">
            <v>298.91211883353202</v>
          </cell>
          <cell r="K89">
            <v>0</v>
          </cell>
          <cell r="L89">
            <v>385.063163496865</v>
          </cell>
          <cell r="M89">
            <v>0</v>
          </cell>
        </row>
        <row r="90">
          <cell r="B90">
            <v>707</v>
          </cell>
          <cell r="C90">
            <v>29</v>
          </cell>
          <cell r="D90">
            <v>20.666667</v>
          </cell>
          <cell r="E90">
            <v>0</v>
          </cell>
          <cell r="F90">
            <v>263.11057</v>
          </cell>
          <cell r="G90">
            <v>129.553214</v>
          </cell>
          <cell r="H90">
            <v>122.39021099999999</v>
          </cell>
          <cell r="I90">
            <v>55.380858525609</v>
          </cell>
          <cell r="J90">
            <v>0</v>
          </cell>
          <cell r="K90">
            <v>679.91610428642002</v>
          </cell>
          <cell r="L90">
            <v>373.43770550034799</v>
          </cell>
          <cell r="M90">
            <v>322.21010248599799</v>
          </cell>
        </row>
        <row r="91">
          <cell r="B91">
            <v>916</v>
          </cell>
          <cell r="C91">
            <v>29</v>
          </cell>
          <cell r="D91">
            <v>10.082637999999999</v>
          </cell>
          <cell r="E91">
            <v>46.407041999999997</v>
          </cell>
          <cell r="F91">
            <v>128.64314400000001</v>
          </cell>
          <cell r="G91">
            <v>121.290583</v>
          </cell>
          <cell r="H91">
            <v>67.283484000000001</v>
          </cell>
          <cell r="I91">
            <v>30.375577779501999</v>
          </cell>
          <cell r="J91">
            <v>130.24524713770199</v>
          </cell>
          <cell r="K91">
            <v>336.30888395524602</v>
          </cell>
          <cell r="L91">
            <v>368.38058308958301</v>
          </cell>
          <cell r="M91">
            <v>218.213070110263</v>
          </cell>
        </row>
        <row r="92">
          <cell r="B92">
            <v>305</v>
          </cell>
          <cell r="C92">
            <v>29</v>
          </cell>
          <cell r="D92">
            <v>95.436670000000007</v>
          </cell>
          <cell r="E92">
            <v>687.68743800000004</v>
          </cell>
          <cell r="F92">
            <v>1346.2424980000001</v>
          </cell>
          <cell r="G92">
            <v>1063.789352</v>
          </cell>
          <cell r="H92">
            <v>507.49555900000001</v>
          </cell>
          <cell r="I92">
            <v>471.45722007926798</v>
          </cell>
          <cell r="J92">
            <v>2662.227078458413</v>
          </cell>
          <cell r="K92">
            <v>4694.0643166477312</v>
          </cell>
          <cell r="L92">
            <v>3798.8925366097951</v>
          </cell>
          <cell r="M92">
            <v>1808.5571800426751</v>
          </cell>
        </row>
        <row r="93">
          <cell r="B93">
            <v>399</v>
          </cell>
          <cell r="C93">
            <v>24</v>
          </cell>
          <cell r="D93">
            <v>591.90017999999998</v>
          </cell>
          <cell r="E93">
            <v>3006.7300030000001</v>
          </cell>
          <cell r="F93">
            <v>5378.7823269999999</v>
          </cell>
          <cell r="G93">
            <v>4199.084989</v>
          </cell>
          <cell r="H93">
            <v>2040.1960650000001</v>
          </cell>
          <cell r="I93">
            <v>5382.745124811433</v>
          </cell>
          <cell r="J93">
            <v>20974.0711608159</v>
          </cell>
          <cell r="K93">
            <v>32802.877766086087</v>
          </cell>
          <cell r="L93">
            <v>27243.137458553902</v>
          </cell>
          <cell r="M93">
            <v>12283.161513701019</v>
          </cell>
        </row>
        <row r="94">
          <cell r="B94">
            <v>389</v>
          </cell>
          <cell r="C94">
            <v>29</v>
          </cell>
          <cell r="D94">
            <v>3.8242669999999999</v>
          </cell>
          <cell r="E94">
            <v>9.4924029999999995</v>
          </cell>
          <cell r="F94">
            <v>9.8928569999999993</v>
          </cell>
          <cell r="G94">
            <v>17.014334000000002</v>
          </cell>
          <cell r="H94">
            <v>2.6541039999999998</v>
          </cell>
          <cell r="I94">
            <v>68.323122215370006</v>
          </cell>
          <cell r="J94">
            <v>165.30364766093999</v>
          </cell>
          <cell r="K94">
            <v>99.496958996182002</v>
          </cell>
          <cell r="L94">
            <v>275.62669956223402</v>
          </cell>
          <cell r="M94">
            <v>34.603165961830001</v>
          </cell>
        </row>
        <row r="95">
          <cell r="B95">
            <v>352</v>
          </cell>
          <cell r="C95">
            <v>29</v>
          </cell>
          <cell r="D95">
            <v>20.799049</v>
          </cell>
          <cell r="E95">
            <v>111.025082</v>
          </cell>
          <cell r="F95">
            <v>245.619392</v>
          </cell>
          <cell r="G95">
            <v>216.994462</v>
          </cell>
          <cell r="H95">
            <v>94.155781000000005</v>
          </cell>
          <cell r="I95">
            <v>49.612054163998003</v>
          </cell>
          <cell r="J95">
            <v>230.15163156626599</v>
          </cell>
          <cell r="K95">
            <v>490.939920604495</v>
          </cell>
          <cell r="L95">
            <v>437.14742748391097</v>
          </cell>
          <cell r="M95">
            <v>180.47367692640199</v>
          </cell>
        </row>
        <row r="96">
          <cell r="B96">
            <v>88</v>
          </cell>
          <cell r="C96">
            <v>29</v>
          </cell>
          <cell r="D96">
            <v>21.371098</v>
          </cell>
          <cell r="E96">
            <v>93.574664999999996</v>
          </cell>
          <cell r="F96">
            <v>115.683938</v>
          </cell>
          <cell r="G96">
            <v>90.912495000000007</v>
          </cell>
          <cell r="H96">
            <v>62.831485999999998</v>
          </cell>
          <cell r="I96">
            <v>31.618311847217001</v>
          </cell>
          <cell r="J96">
            <v>158.52344100128201</v>
          </cell>
          <cell r="K96">
            <v>190.40453564976801</v>
          </cell>
          <cell r="L96">
            <v>163.305726927736</v>
          </cell>
          <cell r="M96">
            <v>104.61454196479799</v>
          </cell>
        </row>
        <row r="97">
          <cell r="B97">
            <v>444</v>
          </cell>
          <cell r="C97">
            <v>29</v>
          </cell>
          <cell r="D97">
            <v>0</v>
          </cell>
          <cell r="E97">
            <v>28.695948999999999</v>
          </cell>
          <cell r="F97">
            <v>0</v>
          </cell>
          <cell r="G97">
            <v>38.999608000000002</v>
          </cell>
          <cell r="H97">
            <v>0</v>
          </cell>
          <cell r="I97">
            <v>0</v>
          </cell>
          <cell r="J97">
            <v>80.833437323232005</v>
          </cell>
          <cell r="K97">
            <v>0</v>
          </cell>
          <cell r="L97">
            <v>119.957500578607</v>
          </cell>
          <cell r="M97">
            <v>0</v>
          </cell>
        </row>
        <row r="98">
          <cell r="B98">
            <v>359</v>
          </cell>
          <cell r="C98">
            <v>29</v>
          </cell>
          <cell r="D98">
            <v>9.9487459999999999</v>
          </cell>
          <cell r="E98">
            <v>77.808325999999994</v>
          </cell>
          <cell r="F98">
            <v>156.214384</v>
          </cell>
          <cell r="G98">
            <v>122.121737</v>
          </cell>
          <cell r="H98">
            <v>75.161036999999993</v>
          </cell>
          <cell r="I98">
            <v>29.928954149984001</v>
          </cell>
          <cell r="J98">
            <v>230.03018911801101</v>
          </cell>
          <cell r="K98">
            <v>490.251828679624</v>
          </cell>
          <cell r="L98">
            <v>368.95186110843099</v>
          </cell>
          <cell r="M98">
            <v>238.385280804291</v>
          </cell>
        </row>
        <row r="99">
          <cell r="B99">
            <v>304</v>
          </cell>
          <cell r="C99">
            <v>29</v>
          </cell>
          <cell r="D99">
            <v>60.559710000000003</v>
          </cell>
          <cell r="E99">
            <v>371.89923800000003</v>
          </cell>
          <cell r="F99">
            <v>518.81462199999999</v>
          </cell>
          <cell r="G99">
            <v>621.01545399999998</v>
          </cell>
          <cell r="H99">
            <v>241.70176699999999</v>
          </cell>
          <cell r="I99">
            <v>329.339760732576</v>
          </cell>
          <cell r="J99">
            <v>2036.2690207273899</v>
          </cell>
          <cell r="K99">
            <v>2573.9405593787419</v>
          </cell>
          <cell r="L99">
            <v>2894.122177312141</v>
          </cell>
          <cell r="M99">
            <v>1251.46452237484</v>
          </cell>
        </row>
        <row r="100">
          <cell r="B100">
            <v>936</v>
          </cell>
          <cell r="C100">
            <v>29</v>
          </cell>
          <cell r="D100">
            <v>43.632088000000003</v>
          </cell>
          <cell r="E100">
            <v>279.075852</v>
          </cell>
          <cell r="F100">
            <v>631.52533500000004</v>
          </cell>
          <cell r="G100">
            <v>483.71608300000003</v>
          </cell>
          <cell r="H100">
            <v>307.55757499999999</v>
          </cell>
          <cell r="I100">
            <v>129.24125226921299</v>
          </cell>
          <cell r="J100">
            <v>761.29689870069296</v>
          </cell>
          <cell r="K100">
            <v>1441.498606344903</v>
          </cell>
          <cell r="L100">
            <v>1195.600631393811</v>
          </cell>
          <cell r="M100">
            <v>796.92226401755204</v>
          </cell>
        </row>
        <row r="101">
          <cell r="B101">
            <v>929</v>
          </cell>
          <cell r="C101">
            <v>29</v>
          </cell>
          <cell r="D101">
            <v>343.97199699999999</v>
          </cell>
          <cell r="E101">
            <v>1116.688285</v>
          </cell>
          <cell r="F101">
            <v>2796.9611239999999</v>
          </cell>
          <cell r="G101">
            <v>2124.6235379999998</v>
          </cell>
          <cell r="H101">
            <v>1363.7801899999999</v>
          </cell>
          <cell r="I101">
            <v>1970.892336039562</v>
          </cell>
          <cell r="J101">
            <v>4878.219394155185</v>
          </cell>
          <cell r="K101">
            <v>11690.531593894289</v>
          </cell>
          <cell r="L101">
            <v>8683.4443559046267</v>
          </cell>
          <cell r="M101">
            <v>5937.893040351174</v>
          </cell>
        </row>
        <row r="102">
          <cell r="B102">
            <v>41</v>
          </cell>
          <cell r="C102">
            <v>29</v>
          </cell>
          <cell r="D102">
            <v>159.76442599999999</v>
          </cell>
          <cell r="E102">
            <v>960.00046099999997</v>
          </cell>
          <cell r="F102">
            <v>1798.9167749999999</v>
          </cell>
          <cell r="G102">
            <v>1390.311414</v>
          </cell>
          <cell r="H102">
            <v>753.90103299999998</v>
          </cell>
          <cell r="I102">
            <v>968.74965863806199</v>
          </cell>
          <cell r="J102">
            <v>4363.177485826307</v>
          </cell>
          <cell r="K102">
            <v>7868.238853593587</v>
          </cell>
          <cell r="L102">
            <v>6091.5987322559322</v>
          </cell>
          <cell r="M102">
            <v>3497.9991751762118</v>
          </cell>
        </row>
        <row r="103">
          <cell r="B103">
            <v>963</v>
          </cell>
          <cell r="C103">
            <v>29</v>
          </cell>
          <cell r="D103">
            <v>7.2500749999999998</v>
          </cell>
          <cell r="E103">
            <v>59.272264999999997</v>
          </cell>
          <cell r="F103">
            <v>122.495052</v>
          </cell>
          <cell r="G103">
            <v>94.440877999999998</v>
          </cell>
          <cell r="H103">
            <v>85.817408</v>
          </cell>
          <cell r="I103">
            <v>19.179220112871999</v>
          </cell>
          <cell r="J103">
            <v>115.02624079131201</v>
          </cell>
          <cell r="K103">
            <v>229.953441804536</v>
          </cell>
          <cell r="L103">
            <v>173.281147796124</v>
          </cell>
          <cell r="M103">
            <v>185.86479527427201</v>
          </cell>
        </row>
        <row r="104">
          <cell r="B104">
            <v>318</v>
          </cell>
          <cell r="C104">
            <v>29</v>
          </cell>
          <cell r="D104">
            <v>50.021945000000002</v>
          </cell>
          <cell r="E104">
            <v>247.695078</v>
          </cell>
          <cell r="F104">
            <v>497.04201999999998</v>
          </cell>
          <cell r="G104">
            <v>345.81933099999998</v>
          </cell>
          <cell r="H104">
            <v>203.076537</v>
          </cell>
          <cell r="I104">
            <v>203.65081458095901</v>
          </cell>
          <cell r="J104">
            <v>828.60955714167596</v>
          </cell>
          <cell r="K104">
            <v>1413.2489408236211</v>
          </cell>
          <cell r="L104">
            <v>1054.4952436113131</v>
          </cell>
          <cell r="M104">
            <v>610.21472974680501</v>
          </cell>
        </row>
        <row r="105">
          <cell r="B105">
            <v>325</v>
          </cell>
          <cell r="C105">
            <v>29</v>
          </cell>
          <cell r="D105">
            <v>29.687626999999999</v>
          </cell>
          <cell r="E105">
            <v>251.18530699999999</v>
          </cell>
          <cell r="F105">
            <v>529.40777200000002</v>
          </cell>
          <cell r="G105">
            <v>379.35213099999999</v>
          </cell>
          <cell r="H105">
            <v>192.50143299999999</v>
          </cell>
          <cell r="I105">
            <v>88.762233760822994</v>
          </cell>
          <cell r="J105">
            <v>862.32430647792501</v>
          </cell>
          <cell r="K105">
            <v>1498.8037400945309</v>
          </cell>
          <cell r="L105">
            <v>1057.9513514833729</v>
          </cell>
          <cell r="M105">
            <v>554.49306099956596</v>
          </cell>
        </row>
        <row r="106">
          <cell r="B106">
            <v>709</v>
          </cell>
          <cell r="C106">
            <v>28</v>
          </cell>
          <cell r="D106">
            <v>8.1357590000000002</v>
          </cell>
          <cell r="E106">
            <v>311.02336100000002</v>
          </cell>
          <cell r="F106">
            <v>84.442586000000006</v>
          </cell>
          <cell r="G106">
            <v>260.80480799999998</v>
          </cell>
          <cell r="H106">
            <v>45.711638000000001</v>
          </cell>
          <cell r="I106">
            <v>28.476976169739</v>
          </cell>
          <cell r="J106">
            <v>1473.5637773877449</v>
          </cell>
          <cell r="K106">
            <v>463.53829609006402</v>
          </cell>
          <cell r="L106">
            <v>1293.4552494787879</v>
          </cell>
          <cell r="M106">
            <v>258.29020498029502</v>
          </cell>
        </row>
        <row r="107">
          <cell r="B107">
            <v>530</v>
          </cell>
          <cell r="C107">
            <v>24</v>
          </cell>
          <cell r="D107">
            <v>1154.12032</v>
          </cell>
          <cell r="E107">
            <v>5893.4777800000002</v>
          </cell>
          <cell r="F107">
            <v>9034.5377229999995</v>
          </cell>
          <cell r="G107">
            <v>8640.8577179999993</v>
          </cell>
          <cell r="H107">
            <v>4596.444606</v>
          </cell>
          <cell r="I107">
            <v>9443.0042180070232</v>
          </cell>
          <cell r="J107">
            <v>39914.496244947542</v>
          </cell>
          <cell r="K107">
            <v>51761.373359379693</v>
          </cell>
          <cell r="L107">
            <v>52812.452718031833</v>
          </cell>
          <cell r="M107">
            <v>26649.058786739981</v>
          </cell>
        </row>
        <row r="108">
          <cell r="B108">
            <v>398</v>
          </cell>
          <cell r="C108">
            <v>23</v>
          </cell>
          <cell r="D108">
            <v>398.45176700000002</v>
          </cell>
          <cell r="E108">
            <v>1890.0681440000001</v>
          </cell>
          <cell r="F108">
            <v>753.40213100000005</v>
          </cell>
          <cell r="G108">
            <v>1884.6275800000001</v>
          </cell>
          <cell r="H108">
            <v>299</v>
          </cell>
          <cell r="I108">
            <v>12334.416312448609</v>
          </cell>
          <cell r="J108">
            <v>48430.055461573029</v>
          </cell>
          <cell r="K108">
            <v>18617.489963306449</v>
          </cell>
          <cell r="L108">
            <v>46658.746465500531</v>
          </cell>
          <cell r="M108">
            <v>8194.0967520494196</v>
          </cell>
        </row>
        <row r="109">
          <cell r="B109">
            <v>395</v>
          </cell>
          <cell r="C109">
            <v>29</v>
          </cell>
          <cell r="D109">
            <v>8.3254079999999995</v>
          </cell>
          <cell r="E109">
            <v>28.316405</v>
          </cell>
          <cell r="F109">
            <v>70.079933999999994</v>
          </cell>
          <cell r="G109">
            <v>45.410418</v>
          </cell>
          <cell r="H109">
            <v>29.795797</v>
          </cell>
          <cell r="I109">
            <v>31.415021161902999</v>
          </cell>
          <cell r="J109">
            <v>95.081345307730999</v>
          </cell>
          <cell r="K109">
            <v>203.73264526253399</v>
          </cell>
          <cell r="L109">
            <v>137.250619895695</v>
          </cell>
          <cell r="M109">
            <v>88.050643204075996</v>
          </cell>
        </row>
        <row r="110">
          <cell r="B110">
            <v>855</v>
          </cell>
          <cell r="C110">
            <v>29</v>
          </cell>
          <cell r="D110">
            <v>11.5</v>
          </cell>
          <cell r="E110">
            <v>76.974187999999998</v>
          </cell>
          <cell r="F110">
            <v>175.52974</v>
          </cell>
          <cell r="G110">
            <v>146.38347999999999</v>
          </cell>
          <cell r="H110">
            <v>90.5</v>
          </cell>
          <cell r="I110">
            <v>28.856757999999999</v>
          </cell>
          <cell r="J110">
            <v>180.10656881925101</v>
          </cell>
          <cell r="K110">
            <v>373.21395062401803</v>
          </cell>
          <cell r="L110">
            <v>342.51108355191201</v>
          </cell>
          <cell r="M110">
            <v>229.576729</v>
          </cell>
        </row>
        <row r="111">
          <cell r="B111">
            <v>872</v>
          </cell>
          <cell r="C111">
            <v>29</v>
          </cell>
          <cell r="D111">
            <v>5.0643750000000001</v>
          </cell>
          <cell r="E111">
            <v>27.403727</v>
          </cell>
          <cell r="F111">
            <v>73.903752999999995</v>
          </cell>
          <cell r="G111">
            <v>61.999668</v>
          </cell>
          <cell r="H111">
            <v>29.549427999999999</v>
          </cell>
          <cell r="I111">
            <v>10.960368793816</v>
          </cell>
          <cell r="J111">
            <v>49.883111807700999</v>
          </cell>
          <cell r="K111">
            <v>113.104601818584</v>
          </cell>
          <cell r="L111">
            <v>92.317459985810004</v>
          </cell>
          <cell r="M111">
            <v>52.855632148768997</v>
          </cell>
        </row>
        <row r="112">
          <cell r="B112">
            <v>978</v>
          </cell>
          <cell r="C112">
            <v>29</v>
          </cell>
          <cell r="D112">
            <v>0</v>
          </cell>
          <cell r="E112">
            <v>62.997548999999999</v>
          </cell>
          <cell r="F112">
            <v>0</v>
          </cell>
          <cell r="G112">
            <v>69.641005000000007</v>
          </cell>
          <cell r="H112">
            <v>0</v>
          </cell>
          <cell r="I112">
            <v>0</v>
          </cell>
          <cell r="J112">
            <v>173.38914288051399</v>
          </cell>
          <cell r="K112">
            <v>0</v>
          </cell>
          <cell r="L112">
            <v>157.909987316491</v>
          </cell>
          <cell r="M112">
            <v>0</v>
          </cell>
        </row>
        <row r="113">
          <cell r="B113">
            <v>276</v>
          </cell>
          <cell r="C113">
            <v>29</v>
          </cell>
          <cell r="D113">
            <v>22.807535999999999</v>
          </cell>
          <cell r="E113">
            <v>271.63771100000002</v>
          </cell>
          <cell r="F113">
            <v>519.024945</v>
          </cell>
          <cell r="G113">
            <v>276.48021999999997</v>
          </cell>
          <cell r="H113">
            <v>162.88038800000001</v>
          </cell>
          <cell r="I113">
            <v>37.736950667872001</v>
          </cell>
          <cell r="J113">
            <v>368.56548211511802</v>
          </cell>
          <cell r="K113">
            <v>639.70109609063002</v>
          </cell>
          <cell r="L113">
            <v>318.06142148798</v>
          </cell>
          <cell r="M113">
            <v>201.95294555005799</v>
          </cell>
        </row>
        <row r="114">
          <cell r="B114">
            <v>923</v>
          </cell>
          <cell r="C114">
            <v>29</v>
          </cell>
          <cell r="D114">
            <v>65.983942999999996</v>
          </cell>
          <cell r="E114">
            <v>333.085576</v>
          </cell>
          <cell r="F114">
            <v>491.60031700000002</v>
          </cell>
          <cell r="G114">
            <v>418.915527</v>
          </cell>
          <cell r="H114">
            <v>193.042663</v>
          </cell>
          <cell r="I114">
            <v>272.11382590335199</v>
          </cell>
          <cell r="J114">
            <v>1459.9822579852701</v>
          </cell>
          <cell r="K114">
            <v>2112.6531281722641</v>
          </cell>
          <cell r="L114">
            <v>1887.9818180127679</v>
          </cell>
          <cell r="M114">
            <v>843.252241650271</v>
          </cell>
        </row>
        <row r="115">
          <cell r="B115">
            <v>7</v>
          </cell>
          <cell r="C115">
            <v>29</v>
          </cell>
          <cell r="D115">
            <v>262.66648199999997</v>
          </cell>
          <cell r="E115">
            <v>1330.7456589999999</v>
          </cell>
          <cell r="F115">
            <v>2517.3924390000002</v>
          </cell>
          <cell r="G115">
            <v>2218.910363</v>
          </cell>
          <cell r="H115">
            <v>1140.7041340000001</v>
          </cell>
          <cell r="I115">
            <v>968.42394075814195</v>
          </cell>
          <cell r="J115">
            <v>4360.9730082230099</v>
          </cell>
          <cell r="K115">
            <v>7636.5099415612176</v>
          </cell>
          <cell r="L115">
            <v>6997.203013187429</v>
          </cell>
          <cell r="M115">
            <v>3354.1315547234221</v>
          </cell>
        </row>
        <row r="116">
          <cell r="B116">
            <v>316</v>
          </cell>
          <cell r="C116">
            <v>29</v>
          </cell>
          <cell r="D116">
            <v>3.5</v>
          </cell>
          <cell r="E116">
            <v>69.065889999999996</v>
          </cell>
          <cell r="F116">
            <v>159.85577900000001</v>
          </cell>
          <cell r="G116">
            <v>99.562184999999999</v>
          </cell>
          <cell r="H116">
            <v>76.246471</v>
          </cell>
          <cell r="I116">
            <v>5.6575614999999999</v>
          </cell>
          <cell r="J116">
            <v>146.00736316628999</v>
          </cell>
          <cell r="K116">
            <v>237.281343611604</v>
          </cell>
          <cell r="L116">
            <v>168.11902000203801</v>
          </cell>
          <cell r="M116">
            <v>136.74760486440499</v>
          </cell>
        </row>
        <row r="117">
          <cell r="B117">
            <v>955</v>
          </cell>
          <cell r="C117">
            <v>29</v>
          </cell>
          <cell r="D117">
            <v>100.264687</v>
          </cell>
          <cell r="E117">
            <v>718.06360600000005</v>
          </cell>
          <cell r="F117">
            <v>1446.5229979999999</v>
          </cell>
          <cell r="G117">
            <v>1093.083803</v>
          </cell>
          <cell r="H117">
            <v>653.31093799999996</v>
          </cell>
          <cell r="I117">
            <v>429.03845727657102</v>
          </cell>
          <cell r="J117">
            <v>2559.152884429363</v>
          </cell>
          <cell r="K117">
            <v>4987.7263741565966</v>
          </cell>
          <cell r="L117">
            <v>3463.1804185362448</v>
          </cell>
          <cell r="M117">
            <v>2310.9086220717941</v>
          </cell>
        </row>
        <row r="118">
          <cell r="B118">
            <v>11</v>
          </cell>
          <cell r="C118">
            <v>29</v>
          </cell>
          <cell r="D118">
            <v>218.38230300000001</v>
          </cell>
          <cell r="E118">
            <v>1189.186391</v>
          </cell>
          <cell r="F118">
            <v>2089.8442220000002</v>
          </cell>
          <cell r="G118">
            <v>1679.1213949999999</v>
          </cell>
          <cell r="H118">
            <v>967.46384899999998</v>
          </cell>
          <cell r="I118">
            <v>875.79062350402603</v>
          </cell>
          <cell r="J118">
            <v>4134.5817749230491</v>
          </cell>
          <cell r="K118">
            <v>6707.3728382044546</v>
          </cell>
          <cell r="L118">
            <v>5567.3302527412234</v>
          </cell>
          <cell r="M118">
            <v>3168.8757468302551</v>
          </cell>
        </row>
        <row r="119">
          <cell r="B119">
            <v>965</v>
          </cell>
          <cell r="C119">
            <v>29</v>
          </cell>
          <cell r="D119">
            <v>5.2194459999999996</v>
          </cell>
          <cell r="E119">
            <v>24.253222999999998</v>
          </cell>
          <cell r="F119">
            <v>48.742007000000001</v>
          </cell>
          <cell r="G119">
            <v>36.727795</v>
          </cell>
          <cell r="H119">
            <v>24.684667000000001</v>
          </cell>
          <cell r="I119">
            <v>14.201393773844</v>
          </cell>
          <cell r="J119">
            <v>50.481181398398</v>
          </cell>
          <cell r="K119">
            <v>98.270304748776994</v>
          </cell>
          <cell r="L119">
            <v>73.161998287143007</v>
          </cell>
          <cell r="M119">
            <v>41.953950940572</v>
          </cell>
        </row>
        <row r="120">
          <cell r="B120">
            <v>235</v>
          </cell>
          <cell r="C120">
            <v>25</v>
          </cell>
          <cell r="D120">
            <v>554.52622399999996</v>
          </cell>
          <cell r="E120">
            <v>1972.312248</v>
          </cell>
          <cell r="F120">
            <v>2423.2746419999999</v>
          </cell>
          <cell r="G120">
            <v>2602.4317019999999</v>
          </cell>
          <cell r="H120">
            <v>1179.448701</v>
          </cell>
          <cell r="I120">
            <v>9511.6150110010021</v>
          </cell>
          <cell r="J120">
            <v>23189.809295619481</v>
          </cell>
          <cell r="K120">
            <v>28570.507646757811</v>
          </cell>
          <cell r="L120">
            <v>30112.990948987299</v>
          </cell>
          <cell r="M120">
            <v>15509.623137532721</v>
          </cell>
        </row>
        <row r="121">
          <cell r="B121">
            <v>290</v>
          </cell>
          <cell r="C121">
            <v>25</v>
          </cell>
          <cell r="D121">
            <v>0</v>
          </cell>
          <cell r="E121">
            <v>156.142661</v>
          </cell>
          <cell r="F121">
            <v>0</v>
          </cell>
          <cell r="G121">
            <v>150.50926699999999</v>
          </cell>
          <cell r="H121">
            <v>0</v>
          </cell>
          <cell r="I121">
            <v>0</v>
          </cell>
          <cell r="J121">
            <v>2512.6134559346278</v>
          </cell>
          <cell r="K121">
            <v>0</v>
          </cell>
          <cell r="L121">
            <v>2741.9089360839521</v>
          </cell>
          <cell r="M121">
            <v>0</v>
          </cell>
        </row>
        <row r="122">
          <cell r="B122">
            <v>302</v>
          </cell>
          <cell r="C122">
            <v>29</v>
          </cell>
          <cell r="D122">
            <v>101.146079</v>
          </cell>
          <cell r="E122">
            <v>580.996126</v>
          </cell>
          <cell r="F122">
            <v>1215.8490509999999</v>
          </cell>
          <cell r="G122">
            <v>898.645622</v>
          </cell>
          <cell r="H122">
            <v>463.81141400000001</v>
          </cell>
          <cell r="I122">
            <v>439.85716419124498</v>
          </cell>
          <cell r="J122">
            <v>2697.9594266237468</v>
          </cell>
          <cell r="K122">
            <v>5029.6856885434663</v>
          </cell>
          <cell r="L122">
            <v>3853.405061982648</v>
          </cell>
          <cell r="M122">
            <v>1992.0602827004591</v>
          </cell>
        </row>
        <row r="123">
          <cell r="B123">
            <v>371</v>
          </cell>
          <cell r="C123">
            <v>29</v>
          </cell>
          <cell r="D123">
            <v>7.4836299999999998</v>
          </cell>
          <cell r="E123">
            <v>51.850064000000003</v>
          </cell>
          <cell r="F123">
            <v>29.560229</v>
          </cell>
          <cell r="G123">
            <v>69.040403999999995</v>
          </cell>
          <cell r="H123">
            <v>24.991032000000001</v>
          </cell>
          <cell r="I123">
            <v>81.641377617461004</v>
          </cell>
          <cell r="J123">
            <v>457.51362590964902</v>
          </cell>
          <cell r="K123">
            <v>184.02862565087301</v>
          </cell>
          <cell r="L123">
            <v>465.23889601574399</v>
          </cell>
          <cell r="M123">
            <v>148.90244885372701</v>
          </cell>
        </row>
        <row r="124">
          <cell r="B124">
            <v>520</v>
          </cell>
          <cell r="C124">
            <v>24</v>
          </cell>
          <cell r="D124">
            <v>823.912327</v>
          </cell>
          <cell r="E124">
            <v>3902.077554</v>
          </cell>
          <cell r="F124">
            <v>5918.1102870000004</v>
          </cell>
          <cell r="G124">
            <v>5408.6012899999996</v>
          </cell>
          <cell r="H124">
            <v>2936.9381480000002</v>
          </cell>
          <cell r="I124">
            <v>6345.5307158489932</v>
          </cell>
          <cell r="J124">
            <v>26970.856092266411</v>
          </cell>
          <cell r="K124">
            <v>31656.145652922951</v>
          </cell>
          <cell r="L124">
            <v>33016.629012223311</v>
          </cell>
          <cell r="M124">
            <v>17221.317331488532</v>
          </cell>
        </row>
        <row r="125">
          <cell r="B125">
            <v>202</v>
          </cell>
          <cell r="C125">
            <v>26</v>
          </cell>
          <cell r="D125">
            <v>38.088664999999999</v>
          </cell>
          <cell r="E125">
            <v>258.90601800000002</v>
          </cell>
          <cell r="F125">
            <v>628.35214599999995</v>
          </cell>
          <cell r="G125">
            <v>425.47461700000002</v>
          </cell>
          <cell r="H125">
            <v>253.14647500000001</v>
          </cell>
          <cell r="I125">
            <v>79.233971226969999</v>
          </cell>
          <cell r="J125">
            <v>513.70624972306803</v>
          </cell>
          <cell r="K125">
            <v>1029.1594463933959</v>
          </cell>
          <cell r="L125">
            <v>577.03859027214298</v>
          </cell>
          <cell r="M125">
            <v>345.108466675937</v>
          </cell>
        </row>
        <row r="126">
          <cell r="B126">
            <v>204</v>
          </cell>
          <cell r="C126">
            <v>26</v>
          </cell>
          <cell r="D126">
            <v>30.698606000000002</v>
          </cell>
          <cell r="E126">
            <v>134.96256</v>
          </cell>
          <cell r="F126">
            <v>294.75336600000003</v>
          </cell>
          <cell r="G126">
            <v>162.85504800000001</v>
          </cell>
          <cell r="H126">
            <v>103.82459900000001</v>
          </cell>
          <cell r="I126">
            <v>30.12463194039</v>
          </cell>
          <cell r="J126">
            <v>131.68144922055001</v>
          </cell>
          <cell r="K126">
            <v>319.44423985826</v>
          </cell>
          <cell r="L126">
            <v>197.21003511396</v>
          </cell>
          <cell r="M126">
            <v>122.74014607933999</v>
          </cell>
        </row>
        <row r="127">
          <cell r="B127">
            <v>357</v>
          </cell>
          <cell r="C127">
            <v>29</v>
          </cell>
          <cell r="D127">
            <v>14.885049</v>
          </cell>
          <cell r="E127">
            <v>84.699590999999998</v>
          </cell>
          <cell r="F127">
            <v>169.967558</v>
          </cell>
          <cell r="G127">
            <v>146.282149</v>
          </cell>
          <cell r="H127">
            <v>72.361031999999994</v>
          </cell>
          <cell r="I127">
            <v>54.634996201066002</v>
          </cell>
          <cell r="J127">
            <v>210.14435430625599</v>
          </cell>
          <cell r="K127">
            <v>427.72871453385301</v>
          </cell>
          <cell r="L127">
            <v>336.910477973377</v>
          </cell>
          <cell r="M127">
            <v>201.9570132819</v>
          </cell>
        </row>
        <row r="128">
          <cell r="B128">
            <v>704</v>
          </cell>
          <cell r="C128">
            <v>29</v>
          </cell>
          <cell r="D128">
            <v>64.048232999999996</v>
          </cell>
          <cell r="E128">
            <v>278.15364499999998</v>
          </cell>
          <cell r="F128">
            <v>579.57673299999999</v>
          </cell>
          <cell r="G128">
            <v>490.00456700000001</v>
          </cell>
          <cell r="H128">
            <v>286.43142799999998</v>
          </cell>
          <cell r="I128">
            <v>246.00495133979501</v>
          </cell>
          <cell r="J128">
            <v>871.65748029874396</v>
          </cell>
          <cell r="K128">
            <v>1763.7797314172749</v>
          </cell>
          <cell r="L128">
            <v>1478.4988767804359</v>
          </cell>
          <cell r="M128">
            <v>938.31064597921898</v>
          </cell>
        </row>
        <row r="129">
          <cell r="B129">
            <v>968</v>
          </cell>
          <cell r="C129">
            <v>29</v>
          </cell>
          <cell r="D129">
            <v>3.911775</v>
          </cell>
          <cell r="E129">
            <v>42.798741999999997</v>
          </cell>
          <cell r="F129">
            <v>69.636748999999995</v>
          </cell>
          <cell r="G129">
            <v>72.778469999999999</v>
          </cell>
          <cell r="H129">
            <v>39.144086999999999</v>
          </cell>
          <cell r="I129">
            <v>9.6481238392739996</v>
          </cell>
          <cell r="J129">
            <v>136.42091937100901</v>
          </cell>
          <cell r="K129">
            <v>161.40230944359701</v>
          </cell>
          <cell r="L129">
            <v>188.163905248243</v>
          </cell>
          <cell r="M129">
            <v>77.673442981704994</v>
          </cell>
        </row>
        <row r="130">
          <cell r="B130">
            <v>355</v>
          </cell>
          <cell r="C130">
            <v>29</v>
          </cell>
          <cell r="D130">
            <v>15.690848000000001</v>
          </cell>
          <cell r="E130">
            <v>73.057097999999996</v>
          </cell>
          <cell r="F130">
            <v>157.15633</v>
          </cell>
          <cell r="G130">
            <v>123.41014</v>
          </cell>
          <cell r="H130">
            <v>71.734701000000001</v>
          </cell>
          <cell r="I130">
            <v>33.202492999042001</v>
          </cell>
          <cell r="J130">
            <v>174.251724020186</v>
          </cell>
          <cell r="K130">
            <v>413.53424495674102</v>
          </cell>
          <cell r="L130">
            <v>342.09474003471598</v>
          </cell>
          <cell r="M130">
            <v>180.13369327593</v>
          </cell>
        </row>
        <row r="131">
          <cell r="B131">
            <v>110</v>
          </cell>
          <cell r="C131">
            <v>28</v>
          </cell>
          <cell r="D131">
            <v>0</v>
          </cell>
          <cell r="E131">
            <v>130.67126300000001</v>
          </cell>
          <cell r="F131">
            <v>0</v>
          </cell>
          <cell r="G131">
            <v>180.35547700000001</v>
          </cell>
          <cell r="H131">
            <v>0</v>
          </cell>
          <cell r="I131">
            <v>0</v>
          </cell>
          <cell r="J131">
            <v>1301.5789675799481</v>
          </cell>
          <cell r="K131">
            <v>0</v>
          </cell>
          <cell r="L131">
            <v>1289.335774185844</v>
          </cell>
          <cell r="M131">
            <v>0</v>
          </cell>
        </row>
        <row r="132">
          <cell r="B132">
            <v>356</v>
          </cell>
          <cell r="C132">
            <v>29</v>
          </cell>
          <cell r="D132">
            <v>12.782252</v>
          </cell>
          <cell r="E132">
            <v>69.255827999999994</v>
          </cell>
          <cell r="F132">
            <v>164.54755599999999</v>
          </cell>
          <cell r="G132">
            <v>139.79227299999999</v>
          </cell>
          <cell r="H132">
            <v>52.998666</v>
          </cell>
          <cell r="I132">
            <v>26.211208802811999</v>
          </cell>
          <cell r="J132">
            <v>126.542832780612</v>
          </cell>
          <cell r="K132">
            <v>271.114172107944</v>
          </cell>
          <cell r="L132">
            <v>222.65362118519201</v>
          </cell>
          <cell r="M132">
            <v>92.782289588658003</v>
          </cell>
        </row>
        <row r="133">
          <cell r="B133">
            <v>856</v>
          </cell>
          <cell r="C133">
            <v>29</v>
          </cell>
          <cell r="D133">
            <v>58.496006000000001</v>
          </cell>
          <cell r="E133">
            <v>476.36087300000003</v>
          </cell>
          <cell r="F133">
            <v>1104.754179</v>
          </cell>
          <cell r="G133">
            <v>794.46919800000001</v>
          </cell>
          <cell r="H133">
            <v>472.90413100000001</v>
          </cell>
          <cell r="I133">
            <v>347.99458680113497</v>
          </cell>
          <cell r="J133">
            <v>2836.1671439530542</v>
          </cell>
          <cell r="K133">
            <v>5778.6217331643129</v>
          </cell>
          <cell r="L133">
            <v>4108.6677108091053</v>
          </cell>
          <cell r="M133">
            <v>2310.5984487732148</v>
          </cell>
        </row>
        <row r="134">
          <cell r="B134">
            <v>9</v>
          </cell>
          <cell r="C134">
            <v>29</v>
          </cell>
          <cell r="D134">
            <v>18.176303999999998</v>
          </cell>
          <cell r="E134">
            <v>110.615578</v>
          </cell>
          <cell r="F134">
            <v>231.26101299999999</v>
          </cell>
          <cell r="G134">
            <v>212.371059</v>
          </cell>
          <cell r="H134">
            <v>120.16183599999999</v>
          </cell>
          <cell r="I134">
            <v>74.617430556634005</v>
          </cell>
          <cell r="J134">
            <v>332.85125719043202</v>
          </cell>
          <cell r="K134">
            <v>648.52603416872796</v>
          </cell>
          <cell r="L134">
            <v>636.55200532755396</v>
          </cell>
          <cell r="M134">
            <v>347.70744833037799</v>
          </cell>
        </row>
        <row r="135">
          <cell r="B135">
            <v>150</v>
          </cell>
          <cell r="C135">
            <v>28</v>
          </cell>
          <cell r="D135">
            <v>167.35362000000001</v>
          </cell>
          <cell r="E135">
            <v>806.69616099999996</v>
          </cell>
          <cell r="F135">
            <v>686.54650300000003</v>
          </cell>
          <cell r="G135">
            <v>877.570966</v>
          </cell>
          <cell r="H135">
            <v>333.21655800000002</v>
          </cell>
          <cell r="I135">
            <v>1942.6171149780009</v>
          </cell>
          <cell r="J135">
            <v>7635.159217266686</v>
          </cell>
          <cell r="K135">
            <v>6776.2679705088731</v>
          </cell>
          <cell r="L135">
            <v>7980.9543258822769</v>
          </cell>
          <cell r="M135">
            <v>3319.545246869945</v>
          </cell>
        </row>
        <row r="136">
          <cell r="B136">
            <v>967</v>
          </cell>
          <cell r="C136">
            <v>29</v>
          </cell>
          <cell r="D136">
            <v>3.1390910000000001</v>
          </cell>
          <cell r="E136">
            <v>33.004181000000003</v>
          </cell>
          <cell r="F136">
            <v>54.056719000000001</v>
          </cell>
          <cell r="G136">
            <v>43.861423000000002</v>
          </cell>
          <cell r="H136">
            <v>33.802188999999998</v>
          </cell>
          <cell r="I136">
            <v>5.0286068858749999</v>
          </cell>
          <cell r="J136">
            <v>77.614604771318</v>
          </cell>
          <cell r="K136">
            <v>102.20860931541201</v>
          </cell>
          <cell r="L136">
            <v>84.967182222426004</v>
          </cell>
          <cell r="M136">
            <v>55.727193462702999</v>
          </cell>
        </row>
        <row r="137">
          <cell r="B137">
            <v>315</v>
          </cell>
          <cell r="C137">
            <v>29</v>
          </cell>
          <cell r="D137">
            <v>21.085923000000001</v>
          </cell>
          <cell r="E137">
            <v>86.108315000000005</v>
          </cell>
          <cell r="F137">
            <v>172.347759</v>
          </cell>
          <cell r="G137">
            <v>145.449265</v>
          </cell>
          <cell r="H137">
            <v>79.719397000000001</v>
          </cell>
          <cell r="I137">
            <v>116.95817786283899</v>
          </cell>
          <cell r="J137">
            <v>455.33246216751098</v>
          </cell>
          <cell r="K137">
            <v>715.38974289657199</v>
          </cell>
          <cell r="L137">
            <v>613.19888171881996</v>
          </cell>
          <cell r="M137">
            <v>366.55506029274301</v>
          </cell>
        </row>
        <row r="138">
          <cell r="B138">
            <v>815</v>
          </cell>
          <cell r="C138">
            <v>29</v>
          </cell>
          <cell r="D138">
            <v>9.1141079999999999</v>
          </cell>
          <cell r="E138">
            <v>69.740253999999993</v>
          </cell>
          <cell r="F138">
            <v>151.69699</v>
          </cell>
          <cell r="G138">
            <v>135.707044</v>
          </cell>
          <cell r="H138">
            <v>65.852183999999994</v>
          </cell>
          <cell r="I138">
            <v>16.856004285337001</v>
          </cell>
          <cell r="J138">
            <v>129.58107985550399</v>
          </cell>
          <cell r="K138">
            <v>207.655127899863</v>
          </cell>
          <cell r="L138">
            <v>213.83451600547801</v>
          </cell>
          <cell r="M138">
            <v>104.035443968801</v>
          </cell>
        </row>
        <row r="139">
          <cell r="B139">
            <v>288</v>
          </cell>
          <cell r="C139">
            <v>25</v>
          </cell>
          <cell r="D139">
            <v>0</v>
          </cell>
          <cell r="E139">
            <v>148.59097499999999</v>
          </cell>
          <cell r="F139">
            <v>0</v>
          </cell>
          <cell r="G139">
            <v>88.601626999999993</v>
          </cell>
          <cell r="H139">
            <v>0</v>
          </cell>
          <cell r="I139">
            <v>0</v>
          </cell>
          <cell r="J139">
            <v>3698.6399254229832</v>
          </cell>
          <cell r="K139">
            <v>0</v>
          </cell>
          <cell r="L139">
            <v>2122.0650591241688</v>
          </cell>
          <cell r="M139">
            <v>0</v>
          </cell>
        </row>
      </sheetData>
      <sheetData sheetId="3"/>
      <sheetData sheetId="4"/>
      <sheetData sheetId="5"/>
      <sheetData sheetId="6"/>
    </sheetDataSet>
  </externalBook>
</externalLink>
</file>

<file path=xl/queryTables/queryTable1.xml><?xml version="1.0" encoding="utf-8"?>
<queryTable xmlns="http://schemas.openxmlformats.org/spreadsheetml/2006/main" name="sql2014a8.sandag.org ws Transit2015table" connectionId="2" autoFormatId="16" applyNumberFormats="0" applyBorderFormats="0" applyFontFormats="0" applyPatternFormats="0" applyAlignmentFormats="0" applyWidthHeightFormats="0">
  <queryTableRefresh nextId="16" unboundColumnsRight="1">
    <queryTableFields count="13">
      <queryTableField id="1" name="scenario_id" tableColumnId="1"/>
      <queryTableField id="2" name="route" tableColumnId="2"/>
      <queryTableField id="3" name="boarding_EA" tableColumnId="3"/>
      <queryTableField id="4" name="boarding_AM" tableColumnId="4"/>
      <queryTableField id="5" name="boarding_MD" tableColumnId="5"/>
      <queryTableField id="6" name="boarding_PM" tableColumnId="6"/>
      <queryTableField id="7" name="boarding_EV" tableColumnId="7"/>
      <queryTableField id="8" name="passenger_mile_EA" tableColumnId="8"/>
      <queryTableField id="9" name="passenger_mile_AM" tableColumnId="9"/>
      <queryTableField id="10" name="passenger_mile_MD" tableColumnId="10"/>
      <queryTableField id="11" name="passenger_mile_PM" tableColumnId="11"/>
      <queryTableField id="12" name="passenger_mile_EV" tableColumnId="12"/>
      <queryTableField id="14" dataBound="0" tableColumnId="13"/>
    </queryTableFields>
  </queryTableRefresh>
</queryTable>
</file>

<file path=xl/queryTables/queryTable2.xml><?xml version="1.0" encoding="utf-8"?>
<queryTable xmlns="http://schemas.openxmlformats.org/spreadsheetml/2006/main" name="socioeca8.sandag.org_abm2_trb" connectionId="1" autoFormatId="16" applyNumberFormats="0" applyBorderFormats="0" applyFontFormats="0" applyPatternFormats="0" applyAlignmentFormats="0" applyWidthHeightFormats="0">
  <queryTableRefresh nextId="15">
    <queryTableFields count="13">
      <queryTableField id="1" name="scenario_id" tableColumnId="1"/>
      <queryTableField id="2" name="route" tableColumnId="2"/>
      <queryTableField id="3" name="boarding_EA" tableColumnId="3"/>
      <queryTableField id="4" name="boarding_AM" tableColumnId="4"/>
      <queryTableField id="5" name="boarding_MD" tableColumnId="5"/>
      <queryTableField id="6" name="boarding_PM" tableColumnId="6"/>
      <queryTableField id="7" name="boarding_EV" tableColumnId="7"/>
      <queryTableField id="8" name="passenger_mile_EA" tableColumnId="8"/>
      <queryTableField id="9" name="passenger_mile_AM" tableColumnId="9"/>
      <queryTableField id="10" name="passenger_mile_MD" tableColumnId="10"/>
      <queryTableField id="11" name="passenger_mile_PM" tableColumnId="11"/>
      <queryTableField id="12" name="passenger_mile_EV" tableColumnId="12"/>
      <queryTableField id="14" name="mode_transit_route_id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md" displayName="md" ref="S1:AE139" tableType="queryTable" totalsRowShown="0">
  <autoFilter ref="S1:AE139"/>
  <tableColumns count="13">
    <tableColumn id="1" uniqueName="1" name="scenario_id" queryTableFieldId="1"/>
    <tableColumn id="2" uniqueName="2" name="route" queryTableFieldId="2"/>
    <tableColumn id="3" uniqueName="3" name="boarding_EA" queryTableFieldId="3" dataDxfId="36"/>
    <tableColumn id="4" uniqueName="4" name="boarding_AM" queryTableFieldId="4" dataDxfId="35"/>
    <tableColumn id="5" uniqueName="5" name="boarding_MD" queryTableFieldId="5" dataDxfId="34"/>
    <tableColumn id="6" uniqueName="6" name="boarding_PM" queryTableFieldId="6" dataDxfId="33"/>
    <tableColumn id="7" uniqueName="7" name="boarding_EV" queryTableFieldId="7" dataDxfId="32"/>
    <tableColumn id="8" uniqueName="8" name="passenger_mile_EA" queryTableFieldId="8" dataDxfId="31"/>
    <tableColumn id="9" uniqueName="9" name="passenger_mile_AM" queryTableFieldId="9" dataDxfId="30"/>
    <tableColumn id="10" uniqueName="10" name="passenger_mile_MD" queryTableFieldId="10" dataDxfId="29"/>
    <tableColumn id="11" uniqueName="11" name="passenger_mile_PM" queryTableFieldId="11" dataDxfId="28"/>
    <tableColumn id="12" uniqueName="12" name="passenger_mile_EV" queryTableFieldId="12" dataDxfId="27"/>
    <tableColumn id="13" uniqueName="13" name="mode_transit_route_id" queryTableFieldId="14" dataDxfId="26">
      <calculatedColumnFormula>Table_socioeca8.sandag.org_abm2_trb[[#This Row],[mode_transit_route_id]]</calculatedColumnFormula>
    </tableColumn>
  </tableColumns>
  <tableStyleInfo name="TableStyleLight6" showFirstColumn="0" showLastColumn="0" showRowStripes="1" showColumnStripes="0"/>
</table>
</file>

<file path=xl/tables/table2.xml><?xml version="1.0" encoding="utf-8"?>
<table xmlns="http://schemas.openxmlformats.org/spreadsheetml/2006/main" id="2" name="Table_socioeca8.sandag.org_abm2_trb" displayName="Table_socioeca8.sandag.org_abm2_trb" ref="E1:Q139" tableType="queryTable" totalsRowShown="0" headerRowDxfId="25" dataDxfId="24">
  <autoFilter ref="E1:Q139"/>
  <tableColumns count="13">
    <tableColumn id="1" uniqueName="1" name="scenario_id" queryTableFieldId="1" dataDxfId="23"/>
    <tableColumn id="2" uniqueName="2" name="route" queryTableFieldId="2" dataDxfId="22"/>
    <tableColumn id="3" uniqueName="3" name="boarding_EA" queryTableFieldId="3" dataDxfId="21"/>
    <tableColumn id="4" uniqueName="4" name="boarding_AM" queryTableFieldId="4" dataDxfId="20"/>
    <tableColumn id="5" uniqueName="5" name="boarding_MD" queryTableFieldId="5" dataDxfId="19"/>
    <tableColumn id="6" uniqueName="6" name="boarding_PM" queryTableFieldId="6" dataDxfId="18"/>
    <tableColumn id="7" uniqueName="7" name="boarding_EV" queryTableFieldId="7" dataDxfId="17"/>
    <tableColumn id="8" uniqueName="8" name="passenger_mile_EA" queryTableFieldId="8" dataDxfId="16"/>
    <tableColumn id="9" uniqueName="9" name="passenger_mile_AM" queryTableFieldId="9" dataDxfId="15"/>
    <tableColumn id="10" uniqueName="10" name="passenger_mile_MD" queryTableFieldId="10" dataDxfId="14"/>
    <tableColumn id="11" uniqueName="11" name="passenger_mile_PM" queryTableFieldId="11" dataDxfId="13"/>
    <tableColumn id="12" uniqueName="12" name="passenger_mile_EV" queryTableFieldId="12" dataDxfId="12"/>
    <tableColumn id="14" uniqueName="14" name="mode_transit_route_id" queryTableFieldId="14" dataDxfId="1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yma@sandag.org" TargetMode="Externa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 tint="4.9989318521683403E-2"/>
  </sheetPr>
  <dimension ref="A1:AF139"/>
  <sheetViews>
    <sheetView tabSelected="1" zoomScale="90" zoomScaleNormal="90" workbookViewId="0">
      <pane ySplit="1" topLeftCell="A2" activePane="bottomLeft" state="frozen"/>
      <selection pane="bottomLeft" activeCell="B17" sqref="B17"/>
    </sheetView>
  </sheetViews>
  <sheetFormatPr defaultRowHeight="15" x14ac:dyDescent="0.25"/>
  <cols>
    <col min="2" max="2" width="104.85546875" customWidth="1"/>
    <col min="3" max="3" width="11.140625" style="47" bestFit="1" customWidth="1"/>
    <col min="4" max="4" width="11.140625" style="47" customWidth="1"/>
    <col min="5" max="5" width="13.42578125" style="47" bestFit="1" customWidth="1"/>
    <col min="6" max="6" width="8.5703125" style="47" bestFit="1" customWidth="1"/>
    <col min="7" max="7" width="14.42578125" style="263" bestFit="1" customWidth="1"/>
    <col min="8" max="9" width="15.42578125" style="263" bestFit="1" customWidth="1"/>
    <col min="10" max="10" width="15.140625" style="263" bestFit="1" customWidth="1"/>
    <col min="11" max="11" width="14.42578125" style="263" bestFit="1" customWidth="1"/>
    <col min="12" max="12" width="20.85546875" style="263" bestFit="1" customWidth="1"/>
    <col min="13" max="14" width="21.7109375" style="263" bestFit="1" customWidth="1"/>
    <col min="15" max="15" width="21.5703125" style="263" bestFit="1" customWidth="1"/>
    <col min="16" max="16" width="20.85546875" style="263" bestFit="1" customWidth="1"/>
    <col min="17" max="17" width="24.140625" style="263" bestFit="1" customWidth="1"/>
    <col min="18" max="18" width="9.140625" customWidth="1"/>
    <col min="19" max="19" width="13.42578125" hidden="1" customWidth="1"/>
    <col min="20" max="20" width="8.140625" hidden="1" customWidth="1"/>
    <col min="21" max="21" width="9.140625" hidden="1" customWidth="1"/>
    <col min="22" max="22" width="14.42578125" style="3" hidden="1" customWidth="1"/>
    <col min="23" max="24" width="15.42578125" style="3" hidden="1" customWidth="1"/>
    <col min="25" max="25" width="15.140625" style="3" hidden="1" customWidth="1"/>
    <col min="26" max="26" width="14.42578125" style="3" hidden="1" customWidth="1"/>
    <col min="27" max="27" width="20.85546875" style="3" hidden="1" customWidth="1"/>
    <col min="28" max="29" width="21.7109375" style="3" hidden="1" customWidth="1"/>
    <col min="30" max="30" width="21.5703125" style="3" hidden="1" customWidth="1"/>
    <col min="31" max="31" width="20.85546875" style="3" hidden="1" customWidth="1"/>
    <col min="32" max="32" width="8.140625" style="5" customWidth="1"/>
    <col min="33" max="33" width="9.140625" customWidth="1"/>
  </cols>
  <sheetData>
    <row r="1" spans="1:32" x14ac:dyDescent="0.25">
      <c r="A1" s="5" t="s">
        <v>15</v>
      </c>
      <c r="B1" s="5"/>
      <c r="C1" s="47" t="s">
        <v>18</v>
      </c>
      <c r="E1" s="47" t="s">
        <v>18</v>
      </c>
      <c r="F1" s="47" t="s">
        <v>19</v>
      </c>
      <c r="G1" s="263" t="s">
        <v>20</v>
      </c>
      <c r="H1" s="263" t="s">
        <v>21</v>
      </c>
      <c r="I1" s="263" t="s">
        <v>22</v>
      </c>
      <c r="J1" s="263" t="s">
        <v>23</v>
      </c>
      <c r="K1" s="263" t="s">
        <v>24</v>
      </c>
      <c r="L1" s="263" t="s">
        <v>25</v>
      </c>
      <c r="M1" s="263" t="s">
        <v>26</v>
      </c>
      <c r="N1" s="263" t="s">
        <v>27</v>
      </c>
      <c r="O1" s="263" t="s">
        <v>28</v>
      </c>
      <c r="P1" s="263" t="s">
        <v>29</v>
      </c>
      <c r="Q1" s="263" t="s">
        <v>98</v>
      </c>
      <c r="S1" t="s">
        <v>18</v>
      </c>
      <c r="T1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  <c r="AC1" s="3" t="s">
        <v>28</v>
      </c>
      <c r="AD1" s="3" t="s">
        <v>29</v>
      </c>
      <c r="AE1" s="5" t="s">
        <v>98</v>
      </c>
      <c r="AF1"/>
    </row>
    <row r="2" spans="1:32" x14ac:dyDescent="0.25">
      <c r="A2" s="5">
        <v>1</v>
      </c>
      <c r="B2" s="5" t="s">
        <v>16</v>
      </c>
      <c r="C2" s="1">
        <f>[2]Settings!$B$3</f>
        <v>259</v>
      </c>
      <c r="E2" s="47">
        <f>C2</f>
        <v>259</v>
      </c>
      <c r="F2" s="47">
        <v>398</v>
      </c>
      <c r="G2" s="263">
        <f>IFERROR(VLOOKUP(Table_socioeca8.sandag.org_abm2_trb[[#This Row],[route]],[2]transit_general!$B$2:$M$139,3,FALSE),0)</f>
        <v>398.45176700000002</v>
      </c>
      <c r="H2" s="263">
        <f>IFERROR(VLOOKUP(Table_socioeca8.sandag.org_abm2_trb[[#This Row],[route]],[2]transit_general!$B$2:$M$139,4,FALSE),0)</f>
        <v>1890.0681440000001</v>
      </c>
      <c r="I2" s="263">
        <f>IFERROR(VLOOKUP(Table_socioeca8.sandag.org_abm2_trb[[#This Row],[route]],[2]transit_general!$B$2:$M$139,5,FALSE),0)</f>
        <v>753.40213100000005</v>
      </c>
      <c r="J2" s="263">
        <f>IFERROR(VLOOKUP(Table_socioeca8.sandag.org_abm2_trb[[#This Row],[route]],[2]transit_general!$B$2:$M$139,6,FALSE),0)</f>
        <v>1884.6275800000001</v>
      </c>
      <c r="K2" s="263">
        <f>IFERROR(VLOOKUP(Table_socioeca8.sandag.org_abm2_trb[[#This Row],[route]],[2]transit_general!$B$2:$M$139,7,FALSE),0)</f>
        <v>299</v>
      </c>
      <c r="L2" s="263">
        <f>IFERROR(VLOOKUP(Table_socioeca8.sandag.org_abm2_trb[[#This Row],[route]],[2]transit_general!$B$2:$M$139,8,FALSE),0)</f>
        <v>12334.416312448609</v>
      </c>
      <c r="M2" s="263">
        <f>IFERROR(VLOOKUP(Table_socioeca8.sandag.org_abm2_trb[[#This Row],[route]],[2]transit_general!$B$2:$M$139,9,FALSE),0)</f>
        <v>48430.055461573029</v>
      </c>
      <c r="N2" s="263">
        <f>IFERROR(VLOOKUP(Table_socioeca8.sandag.org_abm2_trb[[#This Row],[route]],[2]transit_general!$B$2:$M$139,10,FALSE),0)</f>
        <v>18617.489963306449</v>
      </c>
      <c r="O2" s="263">
        <f>IFERROR(VLOOKUP(Table_socioeca8.sandag.org_abm2_trb[[#This Row],[route]],[2]transit_general!$B$2:$M$139,11,FALSE),0)</f>
        <v>46658.746465500531</v>
      </c>
      <c r="P2" s="263">
        <f>IFERROR(VLOOKUP(Table_socioeca8.sandag.org_abm2_trb[[#This Row],[route]],[2]transit_general!$B$2:$M$139,12,FALSE),0)</f>
        <v>8194.0967520494196</v>
      </c>
      <c r="Q2" s="263">
        <f>IFERROR(VLOOKUP(Table_socioeca8.sandag.org_abm2_trb[[#This Row],[route]],[2]transit_general!$B$2:$M$139,2,FALSE),0)</f>
        <v>23</v>
      </c>
      <c r="S2" s="5">
        <f>Table_socioeca8.sandag.org_abm2_trb[[#This Row],[scenario_id]]</f>
        <v>259</v>
      </c>
      <c r="T2" s="5">
        <f>Table_socioeca8.sandag.org_abm2_trb[[#This Row],[route]]</f>
        <v>398</v>
      </c>
      <c r="U2" s="3">
        <f>Table_socioeca8.sandag.org_abm2_trb[[#This Row],[boarding_EA]]</f>
        <v>398.45176700000002</v>
      </c>
      <c r="V2" s="3">
        <f>Table_socioeca8.sandag.org_abm2_trb[[#This Row],[boarding_AM]]</f>
        <v>1890.0681440000001</v>
      </c>
      <c r="W2" s="3">
        <f>Table_socioeca8.sandag.org_abm2_trb[[#This Row],[boarding_MD]]</f>
        <v>753.40213100000005</v>
      </c>
      <c r="X2" s="3">
        <f>Table_socioeca8.sandag.org_abm2_trb[[#This Row],[boarding_PM]]</f>
        <v>1884.6275800000001</v>
      </c>
      <c r="Y2" s="3">
        <f>Table_socioeca8.sandag.org_abm2_trb[[#This Row],[boarding_EV]]</f>
        <v>299</v>
      </c>
      <c r="Z2" s="3">
        <f>Table_socioeca8.sandag.org_abm2_trb[[#This Row],[passenger_mile_EA]]</f>
        <v>12334.416312448609</v>
      </c>
      <c r="AA2" s="3">
        <f>Table_socioeca8.sandag.org_abm2_trb[[#This Row],[passenger_mile_AM]]</f>
        <v>48430.055461573029</v>
      </c>
      <c r="AB2" s="3">
        <f>Table_socioeca8.sandag.org_abm2_trb[[#This Row],[passenger_mile_MD]]</f>
        <v>18617.489963306449</v>
      </c>
      <c r="AC2" s="3">
        <f>Table_socioeca8.sandag.org_abm2_trb[[#This Row],[passenger_mile_PM]]</f>
        <v>46658.746465500531</v>
      </c>
      <c r="AD2" s="3">
        <f>Table_socioeca8.sandag.org_abm2_trb[[#This Row],[passenger_mile_EV]]</f>
        <v>8194.0967520494196</v>
      </c>
      <c r="AE2" s="5">
        <f>Table_socioeca8.sandag.org_abm2_trb[[#This Row],[mode_transit_route_id]]</f>
        <v>23</v>
      </c>
      <c r="AF2"/>
    </row>
    <row r="3" spans="1:32" x14ac:dyDescent="0.25">
      <c r="A3" s="5">
        <v>2</v>
      </c>
      <c r="B3" s="5" t="s">
        <v>17</v>
      </c>
      <c r="E3" s="47">
        <f>E2</f>
        <v>259</v>
      </c>
      <c r="F3" s="47">
        <v>399</v>
      </c>
      <c r="G3" s="263">
        <f>IFERROR(VLOOKUP(Table_socioeca8.sandag.org_abm2_trb[[#This Row],[route]],[2]transit_general!$B$2:$M$139,3,FALSE),0)</f>
        <v>591.90017999999998</v>
      </c>
      <c r="H3" s="263">
        <f>IFERROR(VLOOKUP(Table_socioeca8.sandag.org_abm2_trb[[#This Row],[route]],[2]transit_general!$B$2:$M$139,4,FALSE),0)</f>
        <v>3006.7300030000001</v>
      </c>
      <c r="I3" s="263">
        <f>IFERROR(VLOOKUP(Table_socioeca8.sandag.org_abm2_trb[[#This Row],[route]],[2]transit_general!$B$2:$M$139,5,FALSE),0)</f>
        <v>5378.7823269999999</v>
      </c>
      <c r="J3" s="263">
        <f>IFERROR(VLOOKUP(Table_socioeca8.sandag.org_abm2_trb[[#This Row],[route]],[2]transit_general!$B$2:$M$139,6,FALSE),0)</f>
        <v>4199.084989</v>
      </c>
      <c r="K3" s="263">
        <f>IFERROR(VLOOKUP(Table_socioeca8.sandag.org_abm2_trb[[#This Row],[route]],[2]transit_general!$B$2:$M$139,7,FALSE),0)</f>
        <v>2040.1960650000001</v>
      </c>
      <c r="L3" s="263">
        <f>IFERROR(VLOOKUP(Table_socioeca8.sandag.org_abm2_trb[[#This Row],[route]],[2]transit_general!$B$2:$M$139,8,FALSE),0)</f>
        <v>5382.745124811433</v>
      </c>
      <c r="M3" s="263">
        <f>IFERROR(VLOOKUP(Table_socioeca8.sandag.org_abm2_trb[[#This Row],[route]],[2]transit_general!$B$2:$M$139,9,FALSE),0)</f>
        <v>20974.0711608159</v>
      </c>
      <c r="N3" s="263">
        <f>IFERROR(VLOOKUP(Table_socioeca8.sandag.org_abm2_trb[[#This Row],[route]],[2]transit_general!$B$2:$M$139,10,FALSE),0)</f>
        <v>32802.877766086087</v>
      </c>
      <c r="O3" s="263">
        <f>IFERROR(VLOOKUP(Table_socioeca8.sandag.org_abm2_trb[[#This Row],[route]],[2]transit_general!$B$2:$M$139,11,FALSE),0)</f>
        <v>27243.137458553902</v>
      </c>
      <c r="P3" s="263">
        <f>IFERROR(VLOOKUP(Table_socioeca8.sandag.org_abm2_trb[[#This Row],[route]],[2]transit_general!$B$2:$M$139,12,FALSE),0)</f>
        <v>12283.161513701019</v>
      </c>
      <c r="Q3" s="263">
        <f>IFERROR(VLOOKUP(Table_socioeca8.sandag.org_abm2_trb[[#This Row],[route]],[2]transit_general!$B$2:$M$139,2,FALSE),0)</f>
        <v>24</v>
      </c>
      <c r="S3" s="5">
        <f>Table_socioeca8.sandag.org_abm2_trb[[#This Row],[scenario_id]]</f>
        <v>259</v>
      </c>
      <c r="T3" s="5">
        <f>Table_socioeca8.sandag.org_abm2_trb[[#This Row],[route]]</f>
        <v>399</v>
      </c>
      <c r="U3" s="3">
        <f>Table_socioeca8.sandag.org_abm2_trb[[#This Row],[boarding_EA]]</f>
        <v>591.90017999999998</v>
      </c>
      <c r="V3" s="3">
        <f>Table_socioeca8.sandag.org_abm2_trb[[#This Row],[boarding_AM]]</f>
        <v>3006.7300030000001</v>
      </c>
      <c r="W3" s="3">
        <f>Table_socioeca8.sandag.org_abm2_trb[[#This Row],[boarding_MD]]</f>
        <v>5378.7823269999999</v>
      </c>
      <c r="X3" s="3">
        <f>Table_socioeca8.sandag.org_abm2_trb[[#This Row],[boarding_PM]]</f>
        <v>4199.084989</v>
      </c>
      <c r="Y3" s="3">
        <f>Table_socioeca8.sandag.org_abm2_trb[[#This Row],[boarding_EV]]</f>
        <v>2040.1960650000001</v>
      </c>
      <c r="Z3" s="3">
        <f>Table_socioeca8.sandag.org_abm2_trb[[#This Row],[passenger_mile_EA]]</f>
        <v>5382.745124811433</v>
      </c>
      <c r="AA3" s="3">
        <f>Table_socioeca8.sandag.org_abm2_trb[[#This Row],[passenger_mile_AM]]</f>
        <v>20974.0711608159</v>
      </c>
      <c r="AB3" s="3">
        <f>Table_socioeca8.sandag.org_abm2_trb[[#This Row],[passenger_mile_MD]]</f>
        <v>32802.877766086087</v>
      </c>
      <c r="AC3" s="3">
        <f>Table_socioeca8.sandag.org_abm2_trb[[#This Row],[passenger_mile_PM]]</f>
        <v>27243.137458553902</v>
      </c>
      <c r="AD3" s="3">
        <f>Table_socioeca8.sandag.org_abm2_trb[[#This Row],[passenger_mile_EV]]</f>
        <v>12283.161513701019</v>
      </c>
      <c r="AE3" s="5">
        <f>Table_socioeca8.sandag.org_abm2_trb[[#This Row],[mode_transit_route_id]]</f>
        <v>24</v>
      </c>
      <c r="AF3"/>
    </row>
    <row r="4" spans="1:32" x14ac:dyDescent="0.25">
      <c r="A4" s="5"/>
      <c r="B4" s="5"/>
      <c r="E4" s="47">
        <f t="shared" ref="E4:E67" si="0">E3</f>
        <v>259</v>
      </c>
      <c r="F4" s="47">
        <v>510</v>
      </c>
      <c r="G4" s="263">
        <f>IFERROR(VLOOKUP(Table_socioeca8.sandag.org_abm2_trb[[#This Row],[route]],[2]transit_general!$B$2:$M$139,3,FALSE),0)</f>
        <v>3080.2747119999999</v>
      </c>
      <c r="H4" s="263">
        <f>IFERROR(VLOOKUP(Table_socioeca8.sandag.org_abm2_trb[[#This Row],[route]],[2]transit_general!$B$2:$M$139,4,FALSE),0)</f>
        <v>10880.991569</v>
      </c>
      <c r="I4" s="263">
        <f>IFERROR(VLOOKUP(Table_socioeca8.sandag.org_abm2_trb[[#This Row],[route]],[2]transit_general!$B$2:$M$139,5,FALSE),0)</f>
        <v>15182.725834999999</v>
      </c>
      <c r="J4" s="263">
        <f>IFERROR(VLOOKUP(Table_socioeca8.sandag.org_abm2_trb[[#This Row],[route]],[2]transit_general!$B$2:$M$139,6,FALSE),0)</f>
        <v>15659.637532999999</v>
      </c>
      <c r="K4" s="263">
        <f>IFERROR(VLOOKUP(Table_socioeca8.sandag.org_abm2_trb[[#This Row],[route]],[2]transit_general!$B$2:$M$139,7,FALSE),0)</f>
        <v>9723.0532409999996</v>
      </c>
      <c r="L4" s="263">
        <f>IFERROR(VLOOKUP(Table_socioeca8.sandag.org_abm2_trb[[#This Row],[route]],[2]transit_general!$B$2:$M$139,8,FALSE),0)</f>
        <v>29374.786309073901</v>
      </c>
      <c r="M4" s="263">
        <f>IFERROR(VLOOKUP(Table_socioeca8.sandag.org_abm2_trb[[#This Row],[route]],[2]transit_general!$B$2:$M$139,9,FALSE),0)</f>
        <v>87730.268332019637</v>
      </c>
      <c r="N4" s="263">
        <f>IFERROR(VLOOKUP(Table_socioeca8.sandag.org_abm2_trb[[#This Row],[route]],[2]transit_general!$B$2:$M$139,10,FALSE),0)</f>
        <v>119952.1802675597</v>
      </c>
      <c r="O4" s="263">
        <f>IFERROR(VLOOKUP(Table_socioeca8.sandag.org_abm2_trb[[#This Row],[route]],[2]transit_general!$B$2:$M$139,11,FALSE),0)</f>
        <v>120448.6673089018</v>
      </c>
      <c r="P4" s="263">
        <f>IFERROR(VLOOKUP(Table_socioeca8.sandag.org_abm2_trb[[#This Row],[route]],[2]transit_general!$B$2:$M$139,12,FALSE),0)</f>
        <v>81319.305545824318</v>
      </c>
      <c r="Q4" s="263">
        <f>IFERROR(VLOOKUP(Table_socioeca8.sandag.org_abm2_trb[[#This Row],[route]],[2]transit_general!$B$2:$M$139,2,FALSE),0)</f>
        <v>24</v>
      </c>
      <c r="S4" s="5">
        <f>Table_socioeca8.sandag.org_abm2_trb[[#This Row],[scenario_id]]</f>
        <v>259</v>
      </c>
      <c r="T4" s="5">
        <f>Table_socioeca8.sandag.org_abm2_trb[[#This Row],[route]]</f>
        <v>510</v>
      </c>
      <c r="U4" s="3">
        <f>Table_socioeca8.sandag.org_abm2_trb[[#This Row],[boarding_EA]]</f>
        <v>3080.2747119999999</v>
      </c>
      <c r="V4" s="3">
        <f>Table_socioeca8.sandag.org_abm2_trb[[#This Row],[boarding_AM]]</f>
        <v>10880.991569</v>
      </c>
      <c r="W4" s="3">
        <f>Table_socioeca8.sandag.org_abm2_trb[[#This Row],[boarding_MD]]</f>
        <v>15182.725834999999</v>
      </c>
      <c r="X4" s="3">
        <f>Table_socioeca8.sandag.org_abm2_trb[[#This Row],[boarding_PM]]</f>
        <v>15659.637532999999</v>
      </c>
      <c r="Y4" s="3">
        <f>Table_socioeca8.sandag.org_abm2_trb[[#This Row],[boarding_EV]]</f>
        <v>9723.0532409999996</v>
      </c>
      <c r="Z4" s="3">
        <f>Table_socioeca8.sandag.org_abm2_trb[[#This Row],[passenger_mile_EA]]</f>
        <v>29374.786309073901</v>
      </c>
      <c r="AA4" s="3">
        <f>Table_socioeca8.sandag.org_abm2_trb[[#This Row],[passenger_mile_AM]]</f>
        <v>87730.268332019637</v>
      </c>
      <c r="AB4" s="3">
        <f>Table_socioeca8.sandag.org_abm2_trb[[#This Row],[passenger_mile_MD]]</f>
        <v>119952.1802675597</v>
      </c>
      <c r="AC4" s="3">
        <f>Table_socioeca8.sandag.org_abm2_trb[[#This Row],[passenger_mile_PM]]</f>
        <v>120448.6673089018</v>
      </c>
      <c r="AD4" s="3">
        <f>Table_socioeca8.sandag.org_abm2_trb[[#This Row],[passenger_mile_EV]]</f>
        <v>81319.305545824318</v>
      </c>
      <c r="AE4" s="5">
        <f>Table_socioeca8.sandag.org_abm2_trb[[#This Row],[mode_transit_route_id]]</f>
        <v>24</v>
      </c>
      <c r="AF4"/>
    </row>
    <row r="5" spans="1:32" x14ac:dyDescent="0.25">
      <c r="A5" s="5"/>
      <c r="B5" s="5"/>
      <c r="E5" s="47">
        <f t="shared" si="0"/>
        <v>259</v>
      </c>
      <c r="F5" s="47">
        <v>520</v>
      </c>
      <c r="G5" s="263">
        <f>IFERROR(VLOOKUP(Table_socioeca8.sandag.org_abm2_trb[[#This Row],[route]],[2]transit_general!$B$2:$M$139,3,FALSE),0)</f>
        <v>823.912327</v>
      </c>
      <c r="H5" s="263">
        <f>IFERROR(VLOOKUP(Table_socioeca8.sandag.org_abm2_trb[[#This Row],[route]],[2]transit_general!$B$2:$M$139,4,FALSE),0)</f>
        <v>3902.077554</v>
      </c>
      <c r="I5" s="263">
        <f>IFERROR(VLOOKUP(Table_socioeca8.sandag.org_abm2_trb[[#This Row],[route]],[2]transit_general!$B$2:$M$139,5,FALSE),0)</f>
        <v>5918.1102870000004</v>
      </c>
      <c r="J5" s="263">
        <f>IFERROR(VLOOKUP(Table_socioeca8.sandag.org_abm2_trb[[#This Row],[route]],[2]transit_general!$B$2:$M$139,6,FALSE),0)</f>
        <v>5408.6012899999996</v>
      </c>
      <c r="K5" s="263">
        <f>IFERROR(VLOOKUP(Table_socioeca8.sandag.org_abm2_trb[[#This Row],[route]],[2]transit_general!$B$2:$M$139,7,FALSE),0)</f>
        <v>2936.9381480000002</v>
      </c>
      <c r="L5" s="263">
        <f>IFERROR(VLOOKUP(Table_socioeca8.sandag.org_abm2_trb[[#This Row],[route]],[2]transit_general!$B$2:$M$139,8,FALSE),0)</f>
        <v>6345.5307158489932</v>
      </c>
      <c r="M5" s="263">
        <f>IFERROR(VLOOKUP(Table_socioeca8.sandag.org_abm2_trb[[#This Row],[route]],[2]transit_general!$B$2:$M$139,9,FALSE),0)</f>
        <v>26970.856092266411</v>
      </c>
      <c r="N5" s="263">
        <f>IFERROR(VLOOKUP(Table_socioeca8.sandag.org_abm2_trb[[#This Row],[route]],[2]transit_general!$B$2:$M$139,10,FALSE),0)</f>
        <v>31656.145652922951</v>
      </c>
      <c r="O5" s="263">
        <f>IFERROR(VLOOKUP(Table_socioeca8.sandag.org_abm2_trb[[#This Row],[route]],[2]transit_general!$B$2:$M$139,11,FALSE),0)</f>
        <v>33016.629012223311</v>
      </c>
      <c r="P5" s="263">
        <f>IFERROR(VLOOKUP(Table_socioeca8.sandag.org_abm2_trb[[#This Row],[route]],[2]transit_general!$B$2:$M$139,12,FALSE),0)</f>
        <v>17221.317331488532</v>
      </c>
      <c r="Q5" s="263">
        <f>IFERROR(VLOOKUP(Table_socioeca8.sandag.org_abm2_trb[[#This Row],[route]],[2]transit_general!$B$2:$M$139,2,FALSE),0)</f>
        <v>24</v>
      </c>
      <c r="S5" s="5">
        <f>Table_socioeca8.sandag.org_abm2_trb[[#This Row],[scenario_id]]</f>
        <v>259</v>
      </c>
      <c r="T5" s="5">
        <f>Table_socioeca8.sandag.org_abm2_trb[[#This Row],[route]]</f>
        <v>520</v>
      </c>
      <c r="U5" s="3">
        <f>Table_socioeca8.sandag.org_abm2_trb[[#This Row],[boarding_EA]]</f>
        <v>823.912327</v>
      </c>
      <c r="V5" s="3">
        <f>Table_socioeca8.sandag.org_abm2_trb[[#This Row],[boarding_AM]]</f>
        <v>3902.077554</v>
      </c>
      <c r="W5" s="3">
        <f>Table_socioeca8.sandag.org_abm2_trb[[#This Row],[boarding_MD]]</f>
        <v>5918.1102870000004</v>
      </c>
      <c r="X5" s="3">
        <f>Table_socioeca8.sandag.org_abm2_trb[[#This Row],[boarding_PM]]</f>
        <v>5408.6012899999996</v>
      </c>
      <c r="Y5" s="3">
        <f>Table_socioeca8.sandag.org_abm2_trb[[#This Row],[boarding_EV]]</f>
        <v>2936.9381480000002</v>
      </c>
      <c r="Z5" s="3">
        <f>Table_socioeca8.sandag.org_abm2_trb[[#This Row],[passenger_mile_EA]]</f>
        <v>6345.5307158489932</v>
      </c>
      <c r="AA5" s="3">
        <f>Table_socioeca8.sandag.org_abm2_trb[[#This Row],[passenger_mile_AM]]</f>
        <v>26970.856092266411</v>
      </c>
      <c r="AB5" s="3">
        <f>Table_socioeca8.sandag.org_abm2_trb[[#This Row],[passenger_mile_MD]]</f>
        <v>31656.145652922951</v>
      </c>
      <c r="AC5" s="3">
        <f>Table_socioeca8.sandag.org_abm2_trb[[#This Row],[passenger_mile_PM]]</f>
        <v>33016.629012223311</v>
      </c>
      <c r="AD5" s="3">
        <f>Table_socioeca8.sandag.org_abm2_trb[[#This Row],[passenger_mile_EV]]</f>
        <v>17221.317331488532</v>
      </c>
      <c r="AE5" s="5">
        <f>Table_socioeca8.sandag.org_abm2_trb[[#This Row],[mode_transit_route_id]]</f>
        <v>24</v>
      </c>
      <c r="AF5"/>
    </row>
    <row r="6" spans="1:32" x14ac:dyDescent="0.25">
      <c r="A6" s="5"/>
      <c r="B6" s="5"/>
      <c r="E6" s="47">
        <f t="shared" si="0"/>
        <v>259</v>
      </c>
      <c r="F6" s="47">
        <v>530</v>
      </c>
      <c r="G6" s="263">
        <f>IFERROR(VLOOKUP(Table_socioeca8.sandag.org_abm2_trb[[#This Row],[route]],[2]transit_general!$B$2:$M$139,3,FALSE),0)</f>
        <v>1154.12032</v>
      </c>
      <c r="H6" s="263">
        <f>IFERROR(VLOOKUP(Table_socioeca8.sandag.org_abm2_trb[[#This Row],[route]],[2]transit_general!$B$2:$M$139,4,FALSE),0)</f>
        <v>5893.4777800000002</v>
      </c>
      <c r="I6" s="263">
        <f>IFERROR(VLOOKUP(Table_socioeca8.sandag.org_abm2_trb[[#This Row],[route]],[2]transit_general!$B$2:$M$139,5,FALSE),0)</f>
        <v>9034.5377229999995</v>
      </c>
      <c r="J6" s="263">
        <f>IFERROR(VLOOKUP(Table_socioeca8.sandag.org_abm2_trb[[#This Row],[route]],[2]transit_general!$B$2:$M$139,6,FALSE),0)</f>
        <v>8640.8577179999993</v>
      </c>
      <c r="K6" s="263">
        <f>IFERROR(VLOOKUP(Table_socioeca8.sandag.org_abm2_trb[[#This Row],[route]],[2]transit_general!$B$2:$M$139,7,FALSE),0)</f>
        <v>4596.444606</v>
      </c>
      <c r="L6" s="263">
        <f>IFERROR(VLOOKUP(Table_socioeca8.sandag.org_abm2_trb[[#This Row],[route]],[2]transit_general!$B$2:$M$139,8,FALSE),0)</f>
        <v>9443.0042180070232</v>
      </c>
      <c r="M6" s="263">
        <f>IFERROR(VLOOKUP(Table_socioeca8.sandag.org_abm2_trb[[#This Row],[route]],[2]transit_general!$B$2:$M$139,9,FALSE),0)</f>
        <v>39914.496244947542</v>
      </c>
      <c r="N6" s="263">
        <f>IFERROR(VLOOKUP(Table_socioeca8.sandag.org_abm2_trb[[#This Row],[route]],[2]transit_general!$B$2:$M$139,10,FALSE),0)</f>
        <v>51761.373359379693</v>
      </c>
      <c r="O6" s="263">
        <f>IFERROR(VLOOKUP(Table_socioeca8.sandag.org_abm2_trb[[#This Row],[route]],[2]transit_general!$B$2:$M$139,11,FALSE),0)</f>
        <v>52812.452718031833</v>
      </c>
      <c r="P6" s="263">
        <f>IFERROR(VLOOKUP(Table_socioeca8.sandag.org_abm2_trb[[#This Row],[route]],[2]transit_general!$B$2:$M$139,12,FALSE),0)</f>
        <v>26649.058786739981</v>
      </c>
      <c r="Q6" s="263">
        <f>IFERROR(VLOOKUP(Table_socioeca8.sandag.org_abm2_trb[[#This Row],[route]],[2]transit_general!$B$2:$M$139,2,FALSE),0)</f>
        <v>24</v>
      </c>
      <c r="S6" s="5">
        <f>Table_socioeca8.sandag.org_abm2_trb[[#This Row],[scenario_id]]</f>
        <v>259</v>
      </c>
      <c r="T6" s="5">
        <f>Table_socioeca8.sandag.org_abm2_trb[[#This Row],[route]]</f>
        <v>530</v>
      </c>
      <c r="U6" s="3">
        <f>Table_socioeca8.sandag.org_abm2_trb[[#This Row],[boarding_EA]]</f>
        <v>1154.12032</v>
      </c>
      <c r="V6" s="3">
        <f>Table_socioeca8.sandag.org_abm2_trb[[#This Row],[boarding_AM]]</f>
        <v>5893.4777800000002</v>
      </c>
      <c r="W6" s="3">
        <f>Table_socioeca8.sandag.org_abm2_trb[[#This Row],[boarding_MD]]</f>
        <v>9034.5377229999995</v>
      </c>
      <c r="X6" s="3">
        <f>Table_socioeca8.sandag.org_abm2_trb[[#This Row],[boarding_PM]]</f>
        <v>8640.8577179999993</v>
      </c>
      <c r="Y6" s="3">
        <f>Table_socioeca8.sandag.org_abm2_trb[[#This Row],[boarding_EV]]</f>
        <v>4596.444606</v>
      </c>
      <c r="Z6" s="3">
        <f>Table_socioeca8.sandag.org_abm2_trb[[#This Row],[passenger_mile_EA]]</f>
        <v>9443.0042180070232</v>
      </c>
      <c r="AA6" s="3">
        <f>Table_socioeca8.sandag.org_abm2_trb[[#This Row],[passenger_mile_AM]]</f>
        <v>39914.496244947542</v>
      </c>
      <c r="AB6" s="3">
        <f>Table_socioeca8.sandag.org_abm2_trb[[#This Row],[passenger_mile_MD]]</f>
        <v>51761.373359379693</v>
      </c>
      <c r="AC6" s="3">
        <f>Table_socioeca8.sandag.org_abm2_trb[[#This Row],[passenger_mile_PM]]</f>
        <v>52812.452718031833</v>
      </c>
      <c r="AD6" s="3">
        <f>Table_socioeca8.sandag.org_abm2_trb[[#This Row],[passenger_mile_EV]]</f>
        <v>26649.058786739981</v>
      </c>
      <c r="AE6" s="5">
        <f>Table_socioeca8.sandag.org_abm2_trb[[#This Row],[mode_transit_route_id]]</f>
        <v>24</v>
      </c>
      <c r="AF6"/>
    </row>
    <row r="7" spans="1:32" x14ac:dyDescent="0.25">
      <c r="A7" s="5"/>
      <c r="B7" s="5"/>
      <c r="E7" s="47">
        <f t="shared" si="0"/>
        <v>259</v>
      </c>
      <c r="F7" s="47">
        <v>235</v>
      </c>
      <c r="G7" s="263">
        <f>IFERROR(VLOOKUP(Table_socioeca8.sandag.org_abm2_trb[[#This Row],[route]],[2]transit_general!$B$2:$M$139,3,FALSE),0)</f>
        <v>554.52622399999996</v>
      </c>
      <c r="H7" s="263">
        <f>IFERROR(VLOOKUP(Table_socioeca8.sandag.org_abm2_trb[[#This Row],[route]],[2]transit_general!$B$2:$M$139,4,FALSE),0)</f>
        <v>1972.312248</v>
      </c>
      <c r="I7" s="263">
        <f>IFERROR(VLOOKUP(Table_socioeca8.sandag.org_abm2_trb[[#This Row],[route]],[2]transit_general!$B$2:$M$139,5,FALSE),0)</f>
        <v>2423.2746419999999</v>
      </c>
      <c r="J7" s="263">
        <f>IFERROR(VLOOKUP(Table_socioeca8.sandag.org_abm2_trb[[#This Row],[route]],[2]transit_general!$B$2:$M$139,6,FALSE),0)</f>
        <v>2602.4317019999999</v>
      </c>
      <c r="K7" s="263">
        <f>IFERROR(VLOOKUP(Table_socioeca8.sandag.org_abm2_trb[[#This Row],[route]],[2]transit_general!$B$2:$M$139,7,FALSE),0)</f>
        <v>1179.448701</v>
      </c>
      <c r="L7" s="263">
        <f>IFERROR(VLOOKUP(Table_socioeca8.sandag.org_abm2_trb[[#This Row],[route]],[2]transit_general!$B$2:$M$139,8,FALSE),0)</f>
        <v>9511.6150110010021</v>
      </c>
      <c r="M7" s="263">
        <f>IFERROR(VLOOKUP(Table_socioeca8.sandag.org_abm2_trb[[#This Row],[route]],[2]transit_general!$B$2:$M$139,9,FALSE),0)</f>
        <v>23189.809295619481</v>
      </c>
      <c r="N7" s="263">
        <f>IFERROR(VLOOKUP(Table_socioeca8.sandag.org_abm2_trb[[#This Row],[route]],[2]transit_general!$B$2:$M$139,10,FALSE),0)</f>
        <v>28570.507646757811</v>
      </c>
      <c r="O7" s="263">
        <f>IFERROR(VLOOKUP(Table_socioeca8.sandag.org_abm2_trb[[#This Row],[route]],[2]transit_general!$B$2:$M$139,11,FALSE),0)</f>
        <v>30112.990948987299</v>
      </c>
      <c r="P7" s="263">
        <f>IFERROR(VLOOKUP(Table_socioeca8.sandag.org_abm2_trb[[#This Row],[route]],[2]transit_general!$B$2:$M$139,12,FALSE),0)</f>
        <v>15509.623137532721</v>
      </c>
      <c r="Q7" s="263">
        <f>IFERROR(VLOOKUP(Table_socioeca8.sandag.org_abm2_trb[[#This Row],[route]],[2]transit_general!$B$2:$M$139,2,FALSE),0)</f>
        <v>25</v>
      </c>
      <c r="S7" s="5">
        <f>Table_socioeca8.sandag.org_abm2_trb[[#This Row],[scenario_id]]</f>
        <v>259</v>
      </c>
      <c r="T7" s="5">
        <f>Table_socioeca8.sandag.org_abm2_trb[[#This Row],[route]]</f>
        <v>235</v>
      </c>
      <c r="U7" s="3">
        <f>Table_socioeca8.sandag.org_abm2_trb[[#This Row],[boarding_EA]]</f>
        <v>554.52622399999996</v>
      </c>
      <c r="V7" s="3">
        <f>Table_socioeca8.sandag.org_abm2_trb[[#This Row],[boarding_AM]]</f>
        <v>1972.312248</v>
      </c>
      <c r="W7" s="3">
        <f>Table_socioeca8.sandag.org_abm2_trb[[#This Row],[boarding_MD]]</f>
        <v>2423.2746419999999</v>
      </c>
      <c r="X7" s="3">
        <f>Table_socioeca8.sandag.org_abm2_trb[[#This Row],[boarding_PM]]</f>
        <v>2602.4317019999999</v>
      </c>
      <c r="Y7" s="3">
        <f>Table_socioeca8.sandag.org_abm2_trb[[#This Row],[boarding_EV]]</f>
        <v>1179.448701</v>
      </c>
      <c r="Z7" s="3">
        <f>Table_socioeca8.sandag.org_abm2_trb[[#This Row],[passenger_mile_EA]]</f>
        <v>9511.6150110010021</v>
      </c>
      <c r="AA7" s="3">
        <f>Table_socioeca8.sandag.org_abm2_trb[[#This Row],[passenger_mile_AM]]</f>
        <v>23189.809295619481</v>
      </c>
      <c r="AB7" s="3">
        <f>Table_socioeca8.sandag.org_abm2_trb[[#This Row],[passenger_mile_MD]]</f>
        <v>28570.507646757811</v>
      </c>
      <c r="AC7" s="3">
        <f>Table_socioeca8.sandag.org_abm2_trb[[#This Row],[passenger_mile_PM]]</f>
        <v>30112.990948987299</v>
      </c>
      <c r="AD7" s="3">
        <f>Table_socioeca8.sandag.org_abm2_trb[[#This Row],[passenger_mile_EV]]</f>
        <v>15509.623137532721</v>
      </c>
      <c r="AE7" s="5">
        <f>Table_socioeca8.sandag.org_abm2_trb[[#This Row],[mode_transit_route_id]]</f>
        <v>25</v>
      </c>
      <c r="AF7"/>
    </row>
    <row r="8" spans="1:32" x14ac:dyDescent="0.25">
      <c r="A8" s="5"/>
      <c r="B8" s="5"/>
      <c r="E8" s="47">
        <f t="shared" si="0"/>
        <v>259</v>
      </c>
      <c r="F8" s="47">
        <v>237</v>
      </c>
      <c r="G8" s="263">
        <f>IFERROR(VLOOKUP(Table_socioeca8.sandag.org_abm2_trb[[#This Row],[route]],[2]transit_general!$B$2:$M$139,3,FALSE),0)</f>
        <v>23.065487999999998</v>
      </c>
      <c r="H8" s="263">
        <f>IFERROR(VLOOKUP(Table_socioeca8.sandag.org_abm2_trb[[#This Row],[route]],[2]transit_general!$B$2:$M$139,4,FALSE),0)</f>
        <v>690.95726100000002</v>
      </c>
      <c r="I8" s="263">
        <f>IFERROR(VLOOKUP(Table_socioeca8.sandag.org_abm2_trb[[#This Row],[route]],[2]transit_general!$B$2:$M$139,5,FALSE),0)</f>
        <v>257.426243</v>
      </c>
      <c r="J8" s="263">
        <f>IFERROR(VLOOKUP(Table_socioeca8.sandag.org_abm2_trb[[#This Row],[route]],[2]transit_general!$B$2:$M$139,6,FALSE),0)</f>
        <v>954.98750399999994</v>
      </c>
      <c r="K8" s="263">
        <f>IFERROR(VLOOKUP(Table_socioeca8.sandag.org_abm2_trb[[#This Row],[route]],[2]transit_general!$B$2:$M$139,7,FALSE),0)</f>
        <v>153.59904499999999</v>
      </c>
      <c r="L8" s="263">
        <f>IFERROR(VLOOKUP(Table_socioeca8.sandag.org_abm2_trb[[#This Row],[route]],[2]transit_general!$B$2:$M$139,8,FALSE),0)</f>
        <v>169.27716154360601</v>
      </c>
      <c r="M8" s="263">
        <f>IFERROR(VLOOKUP(Table_socioeca8.sandag.org_abm2_trb[[#This Row],[route]],[2]transit_general!$B$2:$M$139,9,FALSE),0)</f>
        <v>4942.757279116363</v>
      </c>
      <c r="N8" s="263">
        <f>IFERROR(VLOOKUP(Table_socioeca8.sandag.org_abm2_trb[[#This Row],[route]],[2]transit_general!$B$2:$M$139,10,FALSE),0)</f>
        <v>1818.179252338849</v>
      </c>
      <c r="O8" s="263">
        <f>IFERROR(VLOOKUP(Table_socioeca8.sandag.org_abm2_trb[[#This Row],[route]],[2]transit_general!$B$2:$M$139,11,FALSE),0)</f>
        <v>6401.3725152712686</v>
      </c>
      <c r="P8" s="263">
        <f>IFERROR(VLOOKUP(Table_socioeca8.sandag.org_abm2_trb[[#This Row],[route]],[2]transit_general!$B$2:$M$139,12,FALSE),0)</f>
        <v>1060.6783660653671</v>
      </c>
      <c r="Q8" s="263">
        <f>IFERROR(VLOOKUP(Table_socioeca8.sandag.org_abm2_trb[[#This Row],[route]],[2]transit_general!$B$2:$M$139,2,FALSE),0)</f>
        <v>25</v>
      </c>
      <c r="S8" s="5">
        <f>Table_socioeca8.sandag.org_abm2_trb[[#This Row],[scenario_id]]</f>
        <v>259</v>
      </c>
      <c r="T8" s="5">
        <f>Table_socioeca8.sandag.org_abm2_trb[[#This Row],[route]]</f>
        <v>237</v>
      </c>
      <c r="U8" s="3">
        <f>Table_socioeca8.sandag.org_abm2_trb[[#This Row],[boarding_EA]]</f>
        <v>23.065487999999998</v>
      </c>
      <c r="V8" s="3">
        <f>Table_socioeca8.sandag.org_abm2_trb[[#This Row],[boarding_AM]]</f>
        <v>690.95726100000002</v>
      </c>
      <c r="W8" s="3">
        <f>Table_socioeca8.sandag.org_abm2_trb[[#This Row],[boarding_MD]]</f>
        <v>257.426243</v>
      </c>
      <c r="X8" s="3">
        <f>Table_socioeca8.sandag.org_abm2_trb[[#This Row],[boarding_PM]]</f>
        <v>954.98750399999994</v>
      </c>
      <c r="Y8" s="3">
        <f>Table_socioeca8.sandag.org_abm2_trb[[#This Row],[boarding_EV]]</f>
        <v>153.59904499999999</v>
      </c>
      <c r="Z8" s="3">
        <f>Table_socioeca8.sandag.org_abm2_trb[[#This Row],[passenger_mile_EA]]</f>
        <v>169.27716154360601</v>
      </c>
      <c r="AA8" s="3">
        <f>Table_socioeca8.sandag.org_abm2_trb[[#This Row],[passenger_mile_AM]]</f>
        <v>4942.757279116363</v>
      </c>
      <c r="AB8" s="3">
        <f>Table_socioeca8.sandag.org_abm2_trb[[#This Row],[passenger_mile_MD]]</f>
        <v>1818.179252338849</v>
      </c>
      <c r="AC8" s="3">
        <f>Table_socioeca8.sandag.org_abm2_trb[[#This Row],[passenger_mile_PM]]</f>
        <v>6401.3725152712686</v>
      </c>
      <c r="AD8" s="3">
        <f>Table_socioeca8.sandag.org_abm2_trb[[#This Row],[passenger_mile_EV]]</f>
        <v>1060.6783660653671</v>
      </c>
      <c r="AE8" s="5">
        <f>Table_socioeca8.sandag.org_abm2_trb[[#This Row],[mode_transit_route_id]]</f>
        <v>25</v>
      </c>
      <c r="AF8"/>
    </row>
    <row r="9" spans="1:32" x14ac:dyDescent="0.25">
      <c r="A9" s="5"/>
      <c r="B9" s="5"/>
      <c r="E9" s="47">
        <f t="shared" si="0"/>
        <v>259</v>
      </c>
      <c r="F9" s="47">
        <v>288</v>
      </c>
      <c r="G9" s="263">
        <f>IFERROR(VLOOKUP(Table_socioeca8.sandag.org_abm2_trb[[#This Row],[route]],[2]transit_general!$B$2:$M$139,3,FALSE),0)</f>
        <v>0</v>
      </c>
      <c r="H9" s="263">
        <f>IFERROR(VLOOKUP(Table_socioeca8.sandag.org_abm2_trb[[#This Row],[route]],[2]transit_general!$B$2:$M$139,4,FALSE),0)</f>
        <v>148.59097499999999</v>
      </c>
      <c r="I9" s="263">
        <f>IFERROR(VLOOKUP(Table_socioeca8.sandag.org_abm2_trb[[#This Row],[route]],[2]transit_general!$B$2:$M$139,5,FALSE),0)</f>
        <v>0</v>
      </c>
      <c r="J9" s="263">
        <f>IFERROR(VLOOKUP(Table_socioeca8.sandag.org_abm2_trb[[#This Row],[route]],[2]transit_general!$B$2:$M$139,6,FALSE),0)</f>
        <v>88.601626999999993</v>
      </c>
      <c r="K9" s="263">
        <f>IFERROR(VLOOKUP(Table_socioeca8.sandag.org_abm2_trb[[#This Row],[route]],[2]transit_general!$B$2:$M$139,7,FALSE),0)</f>
        <v>0</v>
      </c>
      <c r="L9" s="263">
        <f>IFERROR(VLOOKUP(Table_socioeca8.sandag.org_abm2_trb[[#This Row],[route]],[2]transit_general!$B$2:$M$139,8,FALSE),0)</f>
        <v>0</v>
      </c>
      <c r="M9" s="263">
        <f>IFERROR(VLOOKUP(Table_socioeca8.sandag.org_abm2_trb[[#This Row],[route]],[2]transit_general!$B$2:$M$139,9,FALSE),0)</f>
        <v>3698.6399254229832</v>
      </c>
      <c r="N9" s="263">
        <f>IFERROR(VLOOKUP(Table_socioeca8.sandag.org_abm2_trb[[#This Row],[route]],[2]transit_general!$B$2:$M$139,10,FALSE),0)</f>
        <v>0</v>
      </c>
      <c r="O9" s="263">
        <f>IFERROR(VLOOKUP(Table_socioeca8.sandag.org_abm2_trb[[#This Row],[route]],[2]transit_general!$B$2:$M$139,11,FALSE),0)</f>
        <v>2122.0650591241688</v>
      </c>
      <c r="P9" s="263">
        <f>IFERROR(VLOOKUP(Table_socioeca8.sandag.org_abm2_trb[[#This Row],[route]],[2]transit_general!$B$2:$M$139,12,FALSE),0)</f>
        <v>0</v>
      </c>
      <c r="Q9" s="263">
        <f>IFERROR(VLOOKUP(Table_socioeca8.sandag.org_abm2_trb[[#This Row],[route]],[2]transit_general!$B$2:$M$139,2,FALSE),0)</f>
        <v>25</v>
      </c>
      <c r="S9" s="5">
        <f>Table_socioeca8.sandag.org_abm2_trb[[#This Row],[scenario_id]]</f>
        <v>259</v>
      </c>
      <c r="T9" s="5">
        <f>Table_socioeca8.sandag.org_abm2_trb[[#This Row],[route]]</f>
        <v>288</v>
      </c>
      <c r="U9" s="3">
        <f>Table_socioeca8.sandag.org_abm2_trb[[#This Row],[boarding_EA]]</f>
        <v>0</v>
      </c>
      <c r="V9" s="3">
        <f>Table_socioeca8.sandag.org_abm2_trb[[#This Row],[boarding_AM]]</f>
        <v>148.59097499999999</v>
      </c>
      <c r="W9" s="3">
        <f>Table_socioeca8.sandag.org_abm2_trb[[#This Row],[boarding_MD]]</f>
        <v>0</v>
      </c>
      <c r="X9" s="3">
        <f>Table_socioeca8.sandag.org_abm2_trb[[#This Row],[boarding_PM]]</f>
        <v>88.601626999999993</v>
      </c>
      <c r="Y9" s="3">
        <f>Table_socioeca8.sandag.org_abm2_trb[[#This Row],[boarding_EV]]</f>
        <v>0</v>
      </c>
      <c r="Z9" s="3">
        <f>Table_socioeca8.sandag.org_abm2_trb[[#This Row],[passenger_mile_EA]]</f>
        <v>0</v>
      </c>
      <c r="AA9" s="3">
        <f>Table_socioeca8.sandag.org_abm2_trb[[#This Row],[passenger_mile_AM]]</f>
        <v>3698.6399254229832</v>
      </c>
      <c r="AB9" s="3">
        <f>Table_socioeca8.sandag.org_abm2_trb[[#This Row],[passenger_mile_MD]]</f>
        <v>0</v>
      </c>
      <c r="AC9" s="3">
        <f>Table_socioeca8.sandag.org_abm2_trb[[#This Row],[passenger_mile_PM]]</f>
        <v>2122.0650591241688</v>
      </c>
      <c r="AD9" s="3">
        <f>Table_socioeca8.sandag.org_abm2_trb[[#This Row],[passenger_mile_EV]]</f>
        <v>0</v>
      </c>
      <c r="AE9" s="5">
        <f>Table_socioeca8.sandag.org_abm2_trb[[#This Row],[mode_transit_route_id]]</f>
        <v>25</v>
      </c>
      <c r="AF9"/>
    </row>
    <row r="10" spans="1:32" x14ac:dyDescent="0.25">
      <c r="A10" s="6"/>
      <c r="B10" s="5"/>
      <c r="E10" s="47">
        <f t="shared" si="0"/>
        <v>259</v>
      </c>
      <c r="F10" s="47">
        <v>290</v>
      </c>
      <c r="G10" s="263">
        <f>IFERROR(VLOOKUP(Table_socioeca8.sandag.org_abm2_trb[[#This Row],[route]],[2]transit_general!$B$2:$M$139,3,FALSE),0)</f>
        <v>0</v>
      </c>
      <c r="H10" s="263">
        <f>IFERROR(VLOOKUP(Table_socioeca8.sandag.org_abm2_trb[[#This Row],[route]],[2]transit_general!$B$2:$M$139,4,FALSE),0)</f>
        <v>156.142661</v>
      </c>
      <c r="I10" s="263">
        <f>IFERROR(VLOOKUP(Table_socioeca8.sandag.org_abm2_trb[[#This Row],[route]],[2]transit_general!$B$2:$M$139,5,FALSE),0)</f>
        <v>0</v>
      </c>
      <c r="J10" s="263">
        <f>IFERROR(VLOOKUP(Table_socioeca8.sandag.org_abm2_trb[[#This Row],[route]],[2]transit_general!$B$2:$M$139,6,FALSE),0)</f>
        <v>150.50926699999999</v>
      </c>
      <c r="K10" s="263">
        <f>IFERROR(VLOOKUP(Table_socioeca8.sandag.org_abm2_trb[[#This Row],[route]],[2]transit_general!$B$2:$M$139,7,FALSE),0)</f>
        <v>0</v>
      </c>
      <c r="L10" s="263">
        <f>IFERROR(VLOOKUP(Table_socioeca8.sandag.org_abm2_trb[[#This Row],[route]],[2]transit_general!$B$2:$M$139,8,FALSE),0)</f>
        <v>0</v>
      </c>
      <c r="M10" s="263">
        <f>IFERROR(VLOOKUP(Table_socioeca8.sandag.org_abm2_trb[[#This Row],[route]],[2]transit_general!$B$2:$M$139,9,FALSE),0)</f>
        <v>2512.6134559346278</v>
      </c>
      <c r="N10" s="263">
        <f>IFERROR(VLOOKUP(Table_socioeca8.sandag.org_abm2_trb[[#This Row],[route]],[2]transit_general!$B$2:$M$139,10,FALSE),0)</f>
        <v>0</v>
      </c>
      <c r="O10" s="263">
        <f>IFERROR(VLOOKUP(Table_socioeca8.sandag.org_abm2_trb[[#This Row],[route]],[2]transit_general!$B$2:$M$139,11,FALSE),0)</f>
        <v>2741.9089360839521</v>
      </c>
      <c r="P10" s="263">
        <f>IFERROR(VLOOKUP(Table_socioeca8.sandag.org_abm2_trb[[#This Row],[route]],[2]transit_general!$B$2:$M$139,12,FALSE),0)</f>
        <v>0</v>
      </c>
      <c r="Q10" s="263">
        <f>IFERROR(VLOOKUP(Table_socioeca8.sandag.org_abm2_trb[[#This Row],[route]],[2]transit_general!$B$2:$M$139,2,FALSE),0)</f>
        <v>25</v>
      </c>
      <c r="S10" s="5">
        <f>Table_socioeca8.sandag.org_abm2_trb[[#This Row],[scenario_id]]</f>
        <v>259</v>
      </c>
      <c r="T10" s="5">
        <f>Table_socioeca8.sandag.org_abm2_trb[[#This Row],[route]]</f>
        <v>290</v>
      </c>
      <c r="U10" s="3">
        <f>Table_socioeca8.sandag.org_abm2_trb[[#This Row],[boarding_EA]]</f>
        <v>0</v>
      </c>
      <c r="V10" s="3">
        <f>Table_socioeca8.sandag.org_abm2_trb[[#This Row],[boarding_AM]]</f>
        <v>156.142661</v>
      </c>
      <c r="W10" s="3">
        <f>Table_socioeca8.sandag.org_abm2_trb[[#This Row],[boarding_MD]]</f>
        <v>0</v>
      </c>
      <c r="X10" s="3">
        <f>Table_socioeca8.sandag.org_abm2_trb[[#This Row],[boarding_PM]]</f>
        <v>150.50926699999999</v>
      </c>
      <c r="Y10" s="3">
        <f>Table_socioeca8.sandag.org_abm2_trb[[#This Row],[boarding_EV]]</f>
        <v>0</v>
      </c>
      <c r="Z10" s="3">
        <f>Table_socioeca8.sandag.org_abm2_trb[[#This Row],[passenger_mile_EA]]</f>
        <v>0</v>
      </c>
      <c r="AA10" s="3">
        <f>Table_socioeca8.sandag.org_abm2_trb[[#This Row],[passenger_mile_AM]]</f>
        <v>2512.6134559346278</v>
      </c>
      <c r="AB10" s="3">
        <f>Table_socioeca8.sandag.org_abm2_trb[[#This Row],[passenger_mile_MD]]</f>
        <v>0</v>
      </c>
      <c r="AC10" s="3">
        <f>Table_socioeca8.sandag.org_abm2_trb[[#This Row],[passenger_mile_PM]]</f>
        <v>2741.9089360839521</v>
      </c>
      <c r="AD10" s="3">
        <f>Table_socioeca8.sandag.org_abm2_trb[[#This Row],[passenger_mile_EV]]</f>
        <v>0</v>
      </c>
      <c r="AE10" s="5">
        <f>Table_socioeca8.sandag.org_abm2_trb[[#This Row],[mode_transit_route_id]]</f>
        <v>25</v>
      </c>
      <c r="AF10"/>
    </row>
    <row r="11" spans="1:32" x14ac:dyDescent="0.25">
      <c r="E11" s="47">
        <f t="shared" si="0"/>
        <v>259</v>
      </c>
      <c r="F11" s="47">
        <v>201</v>
      </c>
      <c r="G11" s="263">
        <f>IFERROR(VLOOKUP(Table_socioeca8.sandag.org_abm2_trb[[#This Row],[route]],[2]transit_general!$B$2:$M$139,3,FALSE),0)</f>
        <v>37.454943</v>
      </c>
      <c r="H11" s="263">
        <f>IFERROR(VLOOKUP(Table_socioeca8.sandag.org_abm2_trb[[#This Row],[route]],[2]transit_general!$B$2:$M$139,4,FALSE),0)</f>
        <v>247.97586999999999</v>
      </c>
      <c r="I11" s="263">
        <f>IFERROR(VLOOKUP(Table_socioeca8.sandag.org_abm2_trb[[#This Row],[route]],[2]transit_general!$B$2:$M$139,5,FALSE),0)</f>
        <v>542.82273699999996</v>
      </c>
      <c r="J11" s="263">
        <f>IFERROR(VLOOKUP(Table_socioeca8.sandag.org_abm2_trb[[#This Row],[route]],[2]transit_general!$B$2:$M$139,6,FALSE),0)</f>
        <v>464.54761100000002</v>
      </c>
      <c r="K11" s="263">
        <f>IFERROR(VLOOKUP(Table_socioeca8.sandag.org_abm2_trb[[#This Row],[route]],[2]transit_general!$B$2:$M$139,7,FALSE),0)</f>
        <v>232.133668</v>
      </c>
      <c r="L11" s="263">
        <f>IFERROR(VLOOKUP(Table_socioeca8.sandag.org_abm2_trb[[#This Row],[route]],[2]transit_general!$B$2:$M$139,8,FALSE),0)</f>
        <v>46.995585762215001</v>
      </c>
      <c r="M11" s="263">
        <f>IFERROR(VLOOKUP(Table_socioeca8.sandag.org_abm2_trb[[#This Row],[route]],[2]transit_general!$B$2:$M$139,9,FALSE),0)</f>
        <v>340.56300600109802</v>
      </c>
      <c r="N11" s="263">
        <f>IFERROR(VLOOKUP(Table_socioeca8.sandag.org_abm2_trb[[#This Row],[route]],[2]transit_general!$B$2:$M$139,10,FALSE),0)</f>
        <v>883.24982874299701</v>
      </c>
      <c r="O11" s="263">
        <f>IFERROR(VLOOKUP(Table_socioeca8.sandag.org_abm2_trb[[#This Row],[route]],[2]transit_general!$B$2:$M$139,11,FALSE),0)</f>
        <v>816.59666294936005</v>
      </c>
      <c r="P11" s="263">
        <f>IFERROR(VLOOKUP(Table_socioeca8.sandag.org_abm2_trb[[#This Row],[route]],[2]transit_general!$B$2:$M$139,12,FALSE),0)</f>
        <v>391.80893861786302</v>
      </c>
      <c r="Q11" s="263">
        <f>IFERROR(VLOOKUP(Table_socioeca8.sandag.org_abm2_trb[[#This Row],[route]],[2]transit_general!$B$2:$M$139,2,FALSE),0)</f>
        <v>26</v>
      </c>
      <c r="S11" s="5">
        <f>Table_socioeca8.sandag.org_abm2_trb[[#This Row],[scenario_id]]</f>
        <v>259</v>
      </c>
      <c r="T11" s="5">
        <f>Table_socioeca8.sandag.org_abm2_trb[[#This Row],[route]]</f>
        <v>201</v>
      </c>
      <c r="U11" s="3">
        <f>Table_socioeca8.sandag.org_abm2_trb[[#This Row],[boarding_EA]]</f>
        <v>37.454943</v>
      </c>
      <c r="V11" s="3">
        <f>Table_socioeca8.sandag.org_abm2_trb[[#This Row],[boarding_AM]]</f>
        <v>247.97586999999999</v>
      </c>
      <c r="W11" s="3">
        <f>Table_socioeca8.sandag.org_abm2_trb[[#This Row],[boarding_MD]]</f>
        <v>542.82273699999996</v>
      </c>
      <c r="X11" s="3">
        <f>Table_socioeca8.sandag.org_abm2_trb[[#This Row],[boarding_PM]]</f>
        <v>464.54761100000002</v>
      </c>
      <c r="Y11" s="3">
        <f>Table_socioeca8.sandag.org_abm2_trb[[#This Row],[boarding_EV]]</f>
        <v>232.133668</v>
      </c>
      <c r="Z11" s="3">
        <f>Table_socioeca8.sandag.org_abm2_trb[[#This Row],[passenger_mile_EA]]</f>
        <v>46.995585762215001</v>
      </c>
      <c r="AA11" s="3">
        <f>Table_socioeca8.sandag.org_abm2_trb[[#This Row],[passenger_mile_AM]]</f>
        <v>340.56300600109802</v>
      </c>
      <c r="AB11" s="3">
        <f>Table_socioeca8.sandag.org_abm2_trb[[#This Row],[passenger_mile_MD]]</f>
        <v>883.24982874299701</v>
      </c>
      <c r="AC11" s="3">
        <f>Table_socioeca8.sandag.org_abm2_trb[[#This Row],[passenger_mile_PM]]</f>
        <v>816.59666294936005</v>
      </c>
      <c r="AD11" s="3">
        <f>Table_socioeca8.sandag.org_abm2_trb[[#This Row],[passenger_mile_EV]]</f>
        <v>391.80893861786302</v>
      </c>
      <c r="AE11" s="5">
        <f>Table_socioeca8.sandag.org_abm2_trb[[#This Row],[mode_transit_route_id]]</f>
        <v>26</v>
      </c>
      <c r="AF11"/>
    </row>
    <row r="12" spans="1:32" x14ac:dyDescent="0.25">
      <c r="E12" s="47">
        <f t="shared" si="0"/>
        <v>259</v>
      </c>
      <c r="F12" s="47">
        <v>202</v>
      </c>
      <c r="G12" s="263">
        <f>IFERROR(VLOOKUP(Table_socioeca8.sandag.org_abm2_trb[[#This Row],[route]],[2]transit_general!$B$2:$M$139,3,FALSE),0)</f>
        <v>38.088664999999999</v>
      </c>
      <c r="H12" s="263">
        <f>IFERROR(VLOOKUP(Table_socioeca8.sandag.org_abm2_trb[[#This Row],[route]],[2]transit_general!$B$2:$M$139,4,FALSE),0)</f>
        <v>258.90601800000002</v>
      </c>
      <c r="I12" s="263">
        <f>IFERROR(VLOOKUP(Table_socioeca8.sandag.org_abm2_trb[[#This Row],[route]],[2]transit_general!$B$2:$M$139,5,FALSE),0)</f>
        <v>628.35214599999995</v>
      </c>
      <c r="J12" s="263">
        <f>IFERROR(VLOOKUP(Table_socioeca8.sandag.org_abm2_trb[[#This Row],[route]],[2]transit_general!$B$2:$M$139,6,FALSE),0)</f>
        <v>425.47461700000002</v>
      </c>
      <c r="K12" s="263">
        <f>IFERROR(VLOOKUP(Table_socioeca8.sandag.org_abm2_trb[[#This Row],[route]],[2]transit_general!$B$2:$M$139,7,FALSE),0)</f>
        <v>253.14647500000001</v>
      </c>
      <c r="L12" s="263">
        <f>IFERROR(VLOOKUP(Table_socioeca8.sandag.org_abm2_trb[[#This Row],[route]],[2]transit_general!$B$2:$M$139,8,FALSE),0)</f>
        <v>79.233971226969999</v>
      </c>
      <c r="M12" s="263">
        <f>IFERROR(VLOOKUP(Table_socioeca8.sandag.org_abm2_trb[[#This Row],[route]],[2]transit_general!$B$2:$M$139,9,FALSE),0)</f>
        <v>513.70624972306803</v>
      </c>
      <c r="N12" s="263">
        <f>IFERROR(VLOOKUP(Table_socioeca8.sandag.org_abm2_trb[[#This Row],[route]],[2]transit_general!$B$2:$M$139,10,FALSE),0)</f>
        <v>1029.1594463933959</v>
      </c>
      <c r="O12" s="263">
        <f>IFERROR(VLOOKUP(Table_socioeca8.sandag.org_abm2_trb[[#This Row],[route]],[2]transit_general!$B$2:$M$139,11,FALSE),0)</f>
        <v>577.03859027214298</v>
      </c>
      <c r="P12" s="263">
        <f>IFERROR(VLOOKUP(Table_socioeca8.sandag.org_abm2_trb[[#This Row],[route]],[2]transit_general!$B$2:$M$139,12,FALSE),0)</f>
        <v>345.108466675937</v>
      </c>
      <c r="Q12" s="263">
        <f>IFERROR(VLOOKUP(Table_socioeca8.sandag.org_abm2_trb[[#This Row],[route]],[2]transit_general!$B$2:$M$139,2,FALSE),0)</f>
        <v>26</v>
      </c>
      <c r="S12" s="5">
        <f>Table_socioeca8.sandag.org_abm2_trb[[#This Row],[scenario_id]]</f>
        <v>259</v>
      </c>
      <c r="T12" s="5">
        <f>Table_socioeca8.sandag.org_abm2_trb[[#This Row],[route]]</f>
        <v>202</v>
      </c>
      <c r="U12" s="3">
        <f>Table_socioeca8.sandag.org_abm2_trb[[#This Row],[boarding_EA]]</f>
        <v>38.088664999999999</v>
      </c>
      <c r="V12" s="3">
        <f>Table_socioeca8.sandag.org_abm2_trb[[#This Row],[boarding_AM]]</f>
        <v>258.90601800000002</v>
      </c>
      <c r="W12" s="3">
        <f>Table_socioeca8.sandag.org_abm2_trb[[#This Row],[boarding_MD]]</f>
        <v>628.35214599999995</v>
      </c>
      <c r="X12" s="3">
        <f>Table_socioeca8.sandag.org_abm2_trb[[#This Row],[boarding_PM]]</f>
        <v>425.47461700000002</v>
      </c>
      <c r="Y12" s="3">
        <f>Table_socioeca8.sandag.org_abm2_trb[[#This Row],[boarding_EV]]</f>
        <v>253.14647500000001</v>
      </c>
      <c r="Z12" s="3">
        <f>Table_socioeca8.sandag.org_abm2_trb[[#This Row],[passenger_mile_EA]]</f>
        <v>79.233971226969999</v>
      </c>
      <c r="AA12" s="3">
        <f>Table_socioeca8.sandag.org_abm2_trb[[#This Row],[passenger_mile_AM]]</f>
        <v>513.70624972306803</v>
      </c>
      <c r="AB12" s="3">
        <f>Table_socioeca8.sandag.org_abm2_trb[[#This Row],[passenger_mile_MD]]</f>
        <v>1029.1594463933959</v>
      </c>
      <c r="AC12" s="3">
        <f>Table_socioeca8.sandag.org_abm2_trb[[#This Row],[passenger_mile_PM]]</f>
        <v>577.03859027214298</v>
      </c>
      <c r="AD12" s="3">
        <f>Table_socioeca8.sandag.org_abm2_trb[[#This Row],[passenger_mile_EV]]</f>
        <v>345.108466675937</v>
      </c>
      <c r="AE12" s="5">
        <f>Table_socioeca8.sandag.org_abm2_trb[[#This Row],[mode_transit_route_id]]</f>
        <v>26</v>
      </c>
      <c r="AF12"/>
    </row>
    <row r="13" spans="1:32" x14ac:dyDescent="0.25">
      <c r="E13" s="47">
        <f t="shared" si="0"/>
        <v>259</v>
      </c>
      <c r="F13" s="47">
        <v>204</v>
      </c>
      <c r="G13" s="263">
        <f>IFERROR(VLOOKUP(Table_socioeca8.sandag.org_abm2_trb[[#This Row],[route]],[2]transit_general!$B$2:$M$139,3,FALSE),0)</f>
        <v>30.698606000000002</v>
      </c>
      <c r="H13" s="263">
        <f>IFERROR(VLOOKUP(Table_socioeca8.sandag.org_abm2_trb[[#This Row],[route]],[2]transit_general!$B$2:$M$139,4,FALSE),0)</f>
        <v>134.96256</v>
      </c>
      <c r="I13" s="263">
        <f>IFERROR(VLOOKUP(Table_socioeca8.sandag.org_abm2_trb[[#This Row],[route]],[2]transit_general!$B$2:$M$139,5,FALSE),0)</f>
        <v>294.75336600000003</v>
      </c>
      <c r="J13" s="263">
        <f>IFERROR(VLOOKUP(Table_socioeca8.sandag.org_abm2_trb[[#This Row],[route]],[2]transit_general!$B$2:$M$139,6,FALSE),0)</f>
        <v>162.85504800000001</v>
      </c>
      <c r="K13" s="263">
        <f>IFERROR(VLOOKUP(Table_socioeca8.sandag.org_abm2_trb[[#This Row],[route]],[2]transit_general!$B$2:$M$139,7,FALSE),0)</f>
        <v>103.82459900000001</v>
      </c>
      <c r="L13" s="263">
        <f>IFERROR(VLOOKUP(Table_socioeca8.sandag.org_abm2_trb[[#This Row],[route]],[2]transit_general!$B$2:$M$139,8,FALSE),0)</f>
        <v>30.12463194039</v>
      </c>
      <c r="M13" s="263">
        <f>IFERROR(VLOOKUP(Table_socioeca8.sandag.org_abm2_trb[[#This Row],[route]],[2]transit_general!$B$2:$M$139,9,FALSE),0)</f>
        <v>131.68144922055001</v>
      </c>
      <c r="N13" s="263">
        <f>IFERROR(VLOOKUP(Table_socioeca8.sandag.org_abm2_trb[[#This Row],[route]],[2]transit_general!$B$2:$M$139,10,FALSE),0)</f>
        <v>319.44423985826</v>
      </c>
      <c r="O13" s="263">
        <f>IFERROR(VLOOKUP(Table_socioeca8.sandag.org_abm2_trb[[#This Row],[route]],[2]transit_general!$B$2:$M$139,11,FALSE),0)</f>
        <v>197.21003511396</v>
      </c>
      <c r="P13" s="263">
        <f>IFERROR(VLOOKUP(Table_socioeca8.sandag.org_abm2_trb[[#This Row],[route]],[2]transit_general!$B$2:$M$139,12,FALSE),0)</f>
        <v>122.74014607933999</v>
      </c>
      <c r="Q13" s="263">
        <f>IFERROR(VLOOKUP(Table_socioeca8.sandag.org_abm2_trb[[#This Row],[route]],[2]transit_general!$B$2:$M$139,2,FALSE),0)</f>
        <v>26</v>
      </c>
      <c r="S13" s="5">
        <f>Table_socioeca8.sandag.org_abm2_trb[[#This Row],[scenario_id]]</f>
        <v>259</v>
      </c>
      <c r="T13" s="5">
        <f>Table_socioeca8.sandag.org_abm2_trb[[#This Row],[route]]</f>
        <v>204</v>
      </c>
      <c r="U13" s="3">
        <f>Table_socioeca8.sandag.org_abm2_trb[[#This Row],[boarding_EA]]</f>
        <v>30.698606000000002</v>
      </c>
      <c r="V13" s="3">
        <f>Table_socioeca8.sandag.org_abm2_trb[[#This Row],[boarding_AM]]</f>
        <v>134.96256</v>
      </c>
      <c r="W13" s="3">
        <f>Table_socioeca8.sandag.org_abm2_trb[[#This Row],[boarding_MD]]</f>
        <v>294.75336600000003</v>
      </c>
      <c r="X13" s="3">
        <f>Table_socioeca8.sandag.org_abm2_trb[[#This Row],[boarding_PM]]</f>
        <v>162.85504800000001</v>
      </c>
      <c r="Y13" s="3">
        <f>Table_socioeca8.sandag.org_abm2_trb[[#This Row],[boarding_EV]]</f>
        <v>103.82459900000001</v>
      </c>
      <c r="Z13" s="3">
        <f>Table_socioeca8.sandag.org_abm2_trb[[#This Row],[passenger_mile_EA]]</f>
        <v>30.12463194039</v>
      </c>
      <c r="AA13" s="3">
        <f>Table_socioeca8.sandag.org_abm2_trb[[#This Row],[passenger_mile_AM]]</f>
        <v>131.68144922055001</v>
      </c>
      <c r="AB13" s="3">
        <f>Table_socioeca8.sandag.org_abm2_trb[[#This Row],[passenger_mile_MD]]</f>
        <v>319.44423985826</v>
      </c>
      <c r="AC13" s="3">
        <f>Table_socioeca8.sandag.org_abm2_trb[[#This Row],[passenger_mile_PM]]</f>
        <v>197.21003511396</v>
      </c>
      <c r="AD13" s="3">
        <f>Table_socioeca8.sandag.org_abm2_trb[[#This Row],[passenger_mile_EV]]</f>
        <v>122.74014607933999</v>
      </c>
      <c r="AE13" s="5">
        <f>Table_socioeca8.sandag.org_abm2_trb[[#This Row],[mode_transit_route_id]]</f>
        <v>26</v>
      </c>
      <c r="AF13"/>
    </row>
    <row r="14" spans="1:32" x14ac:dyDescent="0.25">
      <c r="E14" s="47">
        <f t="shared" si="0"/>
        <v>259</v>
      </c>
      <c r="F14" s="47">
        <v>215</v>
      </c>
      <c r="G14" s="263">
        <f>IFERROR(VLOOKUP(Table_socioeca8.sandag.org_abm2_trb[[#This Row],[route]],[2]transit_general!$B$2:$M$139,3,FALSE),0)</f>
        <v>305.239868</v>
      </c>
      <c r="H14" s="263">
        <f>IFERROR(VLOOKUP(Table_socioeca8.sandag.org_abm2_trb[[#This Row],[route]],[2]transit_general!$B$2:$M$139,4,FALSE),0)</f>
        <v>2038.6148250000001</v>
      </c>
      <c r="I14" s="263">
        <f>IFERROR(VLOOKUP(Table_socioeca8.sandag.org_abm2_trb[[#This Row],[route]],[2]transit_general!$B$2:$M$139,5,FALSE),0)</f>
        <v>2921.8637199999998</v>
      </c>
      <c r="J14" s="263">
        <f>IFERROR(VLOOKUP(Table_socioeca8.sandag.org_abm2_trb[[#This Row],[route]],[2]transit_general!$B$2:$M$139,6,FALSE),0)</f>
        <v>2891.864587</v>
      </c>
      <c r="K14" s="263">
        <f>IFERROR(VLOOKUP(Table_socioeca8.sandag.org_abm2_trb[[#This Row],[route]],[2]transit_general!$B$2:$M$139,7,FALSE),0)</f>
        <v>1317.591371</v>
      </c>
      <c r="L14" s="263">
        <f>IFERROR(VLOOKUP(Table_socioeca8.sandag.org_abm2_trb[[#This Row],[route]],[2]transit_general!$B$2:$M$139,8,FALSE),0)</f>
        <v>1089.943430587258</v>
      </c>
      <c r="M14" s="263">
        <f>IFERROR(VLOOKUP(Table_socioeca8.sandag.org_abm2_trb[[#This Row],[route]],[2]transit_general!$B$2:$M$139,9,FALSE),0)</f>
        <v>7001.2178361538681</v>
      </c>
      <c r="N14" s="263">
        <f>IFERROR(VLOOKUP(Table_socioeca8.sandag.org_abm2_trb[[#This Row],[route]],[2]transit_general!$B$2:$M$139,10,FALSE),0)</f>
        <v>9413.8623518970235</v>
      </c>
      <c r="O14" s="263">
        <f>IFERROR(VLOOKUP(Table_socioeca8.sandag.org_abm2_trb[[#This Row],[route]],[2]transit_general!$B$2:$M$139,11,FALSE),0)</f>
        <v>9357.4054546903826</v>
      </c>
      <c r="P14" s="263">
        <f>IFERROR(VLOOKUP(Table_socioeca8.sandag.org_abm2_trb[[#This Row],[route]],[2]transit_general!$B$2:$M$139,12,FALSE),0)</f>
        <v>4196.0282049416201</v>
      </c>
      <c r="Q14" s="263">
        <f>IFERROR(VLOOKUP(Table_socioeca8.sandag.org_abm2_trb[[#This Row],[route]],[2]transit_general!$B$2:$M$139,2,FALSE),0)</f>
        <v>26</v>
      </c>
      <c r="S14" s="5">
        <f>Table_socioeca8.sandag.org_abm2_trb[[#This Row],[scenario_id]]</f>
        <v>259</v>
      </c>
      <c r="T14" s="5">
        <f>Table_socioeca8.sandag.org_abm2_trb[[#This Row],[route]]</f>
        <v>215</v>
      </c>
      <c r="U14" s="3">
        <f>Table_socioeca8.sandag.org_abm2_trb[[#This Row],[boarding_EA]]</f>
        <v>305.239868</v>
      </c>
      <c r="V14" s="3">
        <f>Table_socioeca8.sandag.org_abm2_trb[[#This Row],[boarding_AM]]</f>
        <v>2038.6148250000001</v>
      </c>
      <c r="W14" s="3">
        <f>Table_socioeca8.sandag.org_abm2_trb[[#This Row],[boarding_MD]]</f>
        <v>2921.8637199999998</v>
      </c>
      <c r="X14" s="3">
        <f>Table_socioeca8.sandag.org_abm2_trb[[#This Row],[boarding_PM]]</f>
        <v>2891.864587</v>
      </c>
      <c r="Y14" s="3">
        <f>Table_socioeca8.sandag.org_abm2_trb[[#This Row],[boarding_EV]]</f>
        <v>1317.591371</v>
      </c>
      <c r="Z14" s="3">
        <f>Table_socioeca8.sandag.org_abm2_trb[[#This Row],[passenger_mile_EA]]</f>
        <v>1089.943430587258</v>
      </c>
      <c r="AA14" s="3">
        <f>Table_socioeca8.sandag.org_abm2_trb[[#This Row],[passenger_mile_AM]]</f>
        <v>7001.2178361538681</v>
      </c>
      <c r="AB14" s="3">
        <f>Table_socioeca8.sandag.org_abm2_trb[[#This Row],[passenger_mile_MD]]</f>
        <v>9413.8623518970235</v>
      </c>
      <c r="AC14" s="3">
        <f>Table_socioeca8.sandag.org_abm2_trb[[#This Row],[passenger_mile_PM]]</f>
        <v>9357.4054546903826</v>
      </c>
      <c r="AD14" s="3">
        <f>Table_socioeca8.sandag.org_abm2_trb[[#This Row],[passenger_mile_EV]]</f>
        <v>4196.0282049416201</v>
      </c>
      <c r="AE14" s="5">
        <f>Table_socioeca8.sandag.org_abm2_trb[[#This Row],[mode_transit_route_id]]</f>
        <v>26</v>
      </c>
      <c r="AF14"/>
    </row>
    <row r="15" spans="1:32" x14ac:dyDescent="0.25">
      <c r="E15" s="47">
        <f t="shared" si="0"/>
        <v>259</v>
      </c>
      <c r="F15" s="47">
        <v>350</v>
      </c>
      <c r="G15" s="263">
        <f>IFERROR(VLOOKUP(Table_socioeca8.sandag.org_abm2_trb[[#This Row],[route]],[2]transit_general!$B$2:$M$139,3,FALSE),0)</f>
        <v>44.287104999999997</v>
      </c>
      <c r="H15" s="263">
        <f>IFERROR(VLOOKUP(Table_socioeca8.sandag.org_abm2_trb[[#This Row],[route]],[2]transit_general!$B$2:$M$139,4,FALSE),0)</f>
        <v>309.52403700000002</v>
      </c>
      <c r="I15" s="263">
        <f>IFERROR(VLOOKUP(Table_socioeca8.sandag.org_abm2_trb[[#This Row],[route]],[2]transit_general!$B$2:$M$139,5,FALSE),0)</f>
        <v>631.97425999999996</v>
      </c>
      <c r="J15" s="263">
        <f>IFERROR(VLOOKUP(Table_socioeca8.sandag.org_abm2_trb[[#This Row],[route]],[2]transit_general!$B$2:$M$139,6,FALSE),0)</f>
        <v>527.57587999999998</v>
      </c>
      <c r="K15" s="263">
        <f>IFERROR(VLOOKUP(Table_socioeca8.sandag.org_abm2_trb[[#This Row],[route]],[2]transit_general!$B$2:$M$139,7,FALSE),0)</f>
        <v>371.80887200000001</v>
      </c>
      <c r="L15" s="263">
        <f>IFERROR(VLOOKUP(Table_socioeca8.sandag.org_abm2_trb[[#This Row],[route]],[2]transit_general!$B$2:$M$139,8,FALSE),0)</f>
        <v>97.355861924907003</v>
      </c>
      <c r="M15" s="263">
        <f>IFERROR(VLOOKUP(Table_socioeca8.sandag.org_abm2_trb[[#This Row],[route]],[2]transit_general!$B$2:$M$139,9,FALSE),0)</f>
        <v>615.63582256564405</v>
      </c>
      <c r="N15" s="263">
        <f>IFERROR(VLOOKUP(Table_socioeca8.sandag.org_abm2_trb[[#This Row],[route]],[2]transit_general!$B$2:$M$139,10,FALSE),0)</f>
        <v>1185.7195913879959</v>
      </c>
      <c r="O15" s="263">
        <f>IFERROR(VLOOKUP(Table_socioeca8.sandag.org_abm2_trb[[#This Row],[route]],[2]transit_general!$B$2:$M$139,11,FALSE),0)</f>
        <v>926.836853553129</v>
      </c>
      <c r="P15" s="263">
        <f>IFERROR(VLOOKUP(Table_socioeca8.sandag.org_abm2_trb[[#This Row],[route]],[2]transit_general!$B$2:$M$139,12,FALSE),0)</f>
        <v>600.07909681665501</v>
      </c>
      <c r="Q15" s="263">
        <f>IFERROR(VLOOKUP(Table_socioeca8.sandag.org_abm2_trb[[#This Row],[route]],[2]transit_general!$B$2:$M$139,2,FALSE),0)</f>
        <v>26</v>
      </c>
      <c r="S15" s="5">
        <f>Table_socioeca8.sandag.org_abm2_trb[[#This Row],[scenario_id]]</f>
        <v>259</v>
      </c>
      <c r="T15" s="5">
        <f>Table_socioeca8.sandag.org_abm2_trb[[#This Row],[route]]</f>
        <v>350</v>
      </c>
      <c r="U15" s="3">
        <f>Table_socioeca8.sandag.org_abm2_trb[[#This Row],[boarding_EA]]</f>
        <v>44.287104999999997</v>
      </c>
      <c r="V15" s="3">
        <f>Table_socioeca8.sandag.org_abm2_trb[[#This Row],[boarding_AM]]</f>
        <v>309.52403700000002</v>
      </c>
      <c r="W15" s="3">
        <f>Table_socioeca8.sandag.org_abm2_trb[[#This Row],[boarding_MD]]</f>
        <v>631.97425999999996</v>
      </c>
      <c r="X15" s="3">
        <f>Table_socioeca8.sandag.org_abm2_trb[[#This Row],[boarding_PM]]</f>
        <v>527.57587999999998</v>
      </c>
      <c r="Y15" s="3">
        <f>Table_socioeca8.sandag.org_abm2_trb[[#This Row],[boarding_EV]]</f>
        <v>371.80887200000001</v>
      </c>
      <c r="Z15" s="3">
        <f>Table_socioeca8.sandag.org_abm2_trb[[#This Row],[passenger_mile_EA]]</f>
        <v>97.355861924907003</v>
      </c>
      <c r="AA15" s="3">
        <f>Table_socioeca8.sandag.org_abm2_trb[[#This Row],[passenger_mile_AM]]</f>
        <v>615.63582256564405</v>
      </c>
      <c r="AB15" s="3">
        <f>Table_socioeca8.sandag.org_abm2_trb[[#This Row],[passenger_mile_MD]]</f>
        <v>1185.7195913879959</v>
      </c>
      <c r="AC15" s="3">
        <f>Table_socioeca8.sandag.org_abm2_trb[[#This Row],[passenger_mile_PM]]</f>
        <v>926.836853553129</v>
      </c>
      <c r="AD15" s="3">
        <f>Table_socioeca8.sandag.org_abm2_trb[[#This Row],[passenger_mile_EV]]</f>
        <v>600.07909681665501</v>
      </c>
      <c r="AE15" s="5">
        <f>Table_socioeca8.sandag.org_abm2_trb[[#This Row],[mode_transit_route_id]]</f>
        <v>26</v>
      </c>
      <c r="AF15"/>
    </row>
    <row r="16" spans="1:32" x14ac:dyDescent="0.25">
      <c r="E16" s="47">
        <f t="shared" si="0"/>
        <v>259</v>
      </c>
      <c r="F16" s="47">
        <v>870</v>
      </c>
      <c r="G16" s="263">
        <f>IFERROR(VLOOKUP(Table_socioeca8.sandag.org_abm2_trb[[#This Row],[route]],[2]transit_general!$B$2:$M$139,3,FALSE),0)</f>
        <v>0</v>
      </c>
      <c r="H16" s="263">
        <f>IFERROR(VLOOKUP(Table_socioeca8.sandag.org_abm2_trb[[#This Row],[route]],[2]transit_general!$B$2:$M$139,4,FALSE),0)</f>
        <v>44.993527</v>
      </c>
      <c r="I16" s="263">
        <f>IFERROR(VLOOKUP(Table_socioeca8.sandag.org_abm2_trb[[#This Row],[route]],[2]transit_general!$B$2:$M$139,5,FALSE),0)</f>
        <v>0</v>
      </c>
      <c r="J16" s="263">
        <f>IFERROR(VLOOKUP(Table_socioeca8.sandag.org_abm2_trb[[#This Row],[route]],[2]transit_general!$B$2:$M$139,6,FALSE),0)</f>
        <v>125.489087</v>
      </c>
      <c r="K16" s="263">
        <f>IFERROR(VLOOKUP(Table_socioeca8.sandag.org_abm2_trb[[#This Row],[route]],[2]transit_general!$B$2:$M$139,7,FALSE),0)</f>
        <v>0</v>
      </c>
      <c r="L16" s="263">
        <f>IFERROR(VLOOKUP(Table_socioeca8.sandag.org_abm2_trb[[#This Row],[route]],[2]transit_general!$B$2:$M$139,8,FALSE),0)</f>
        <v>0</v>
      </c>
      <c r="M16" s="263">
        <f>IFERROR(VLOOKUP(Table_socioeca8.sandag.org_abm2_trb[[#This Row],[route]],[2]transit_general!$B$2:$M$139,9,FALSE),0)</f>
        <v>319.43756424639002</v>
      </c>
      <c r="N16" s="263">
        <f>IFERROR(VLOOKUP(Table_socioeca8.sandag.org_abm2_trb[[#This Row],[route]],[2]transit_general!$B$2:$M$139,10,FALSE),0)</f>
        <v>0</v>
      </c>
      <c r="O16" s="263">
        <f>IFERROR(VLOOKUP(Table_socioeca8.sandag.org_abm2_trb[[#This Row],[route]],[2]transit_general!$B$2:$M$139,11,FALSE),0)</f>
        <v>819.481791565506</v>
      </c>
      <c r="P16" s="263">
        <f>IFERROR(VLOOKUP(Table_socioeca8.sandag.org_abm2_trb[[#This Row],[route]],[2]transit_general!$B$2:$M$139,12,FALSE),0)</f>
        <v>0</v>
      </c>
      <c r="Q16" s="263">
        <f>IFERROR(VLOOKUP(Table_socioeca8.sandag.org_abm2_trb[[#This Row],[route]],[2]transit_general!$B$2:$M$139,2,FALSE),0)</f>
        <v>27</v>
      </c>
      <c r="S16" s="5">
        <f>Table_socioeca8.sandag.org_abm2_trb[[#This Row],[scenario_id]]</f>
        <v>259</v>
      </c>
      <c r="T16" s="5">
        <f>Table_socioeca8.sandag.org_abm2_trb[[#This Row],[route]]</f>
        <v>870</v>
      </c>
      <c r="U16" s="3">
        <f>Table_socioeca8.sandag.org_abm2_trb[[#This Row],[boarding_EA]]</f>
        <v>0</v>
      </c>
      <c r="V16" s="3">
        <f>Table_socioeca8.sandag.org_abm2_trb[[#This Row],[boarding_AM]]</f>
        <v>44.993527</v>
      </c>
      <c r="W16" s="3">
        <f>Table_socioeca8.sandag.org_abm2_trb[[#This Row],[boarding_MD]]</f>
        <v>0</v>
      </c>
      <c r="X16" s="3">
        <f>Table_socioeca8.sandag.org_abm2_trb[[#This Row],[boarding_PM]]</f>
        <v>125.489087</v>
      </c>
      <c r="Y16" s="3">
        <f>Table_socioeca8.sandag.org_abm2_trb[[#This Row],[boarding_EV]]</f>
        <v>0</v>
      </c>
      <c r="Z16" s="3">
        <f>Table_socioeca8.sandag.org_abm2_trb[[#This Row],[passenger_mile_EA]]</f>
        <v>0</v>
      </c>
      <c r="AA16" s="3">
        <f>Table_socioeca8.sandag.org_abm2_trb[[#This Row],[passenger_mile_AM]]</f>
        <v>319.43756424639002</v>
      </c>
      <c r="AB16" s="3">
        <f>Table_socioeca8.sandag.org_abm2_trb[[#This Row],[passenger_mile_MD]]</f>
        <v>0</v>
      </c>
      <c r="AC16" s="3">
        <f>Table_socioeca8.sandag.org_abm2_trb[[#This Row],[passenger_mile_PM]]</f>
        <v>819.481791565506</v>
      </c>
      <c r="AD16" s="3">
        <f>Table_socioeca8.sandag.org_abm2_trb[[#This Row],[passenger_mile_EV]]</f>
        <v>0</v>
      </c>
      <c r="AE16" s="5">
        <f>Table_socioeca8.sandag.org_abm2_trb[[#This Row],[mode_transit_route_id]]</f>
        <v>27</v>
      </c>
      <c r="AF16"/>
    </row>
    <row r="17" spans="1:32" x14ac:dyDescent="0.25">
      <c r="E17" s="47">
        <f t="shared" si="0"/>
        <v>259</v>
      </c>
      <c r="F17" s="47">
        <v>10</v>
      </c>
      <c r="G17" s="263">
        <f>IFERROR(VLOOKUP(Table_socioeca8.sandag.org_abm2_trb[[#This Row],[route]],[2]transit_general!$B$2:$M$139,3,FALSE),0)</f>
        <v>152.92522299999999</v>
      </c>
      <c r="H17" s="263">
        <f>IFERROR(VLOOKUP(Table_socioeca8.sandag.org_abm2_trb[[#This Row],[route]],[2]transit_general!$B$2:$M$139,4,FALSE),0)</f>
        <v>692.051153</v>
      </c>
      <c r="I17" s="263">
        <f>IFERROR(VLOOKUP(Table_socioeca8.sandag.org_abm2_trb[[#This Row],[route]],[2]transit_general!$B$2:$M$139,5,FALSE),0)</f>
        <v>997.16736500000002</v>
      </c>
      <c r="J17" s="263">
        <f>IFERROR(VLOOKUP(Table_socioeca8.sandag.org_abm2_trb[[#This Row],[route]],[2]transit_general!$B$2:$M$139,6,FALSE),0)</f>
        <v>935.36874599999999</v>
      </c>
      <c r="K17" s="263">
        <f>IFERROR(VLOOKUP(Table_socioeca8.sandag.org_abm2_trb[[#This Row],[route]],[2]transit_general!$B$2:$M$139,7,FALSE),0)</f>
        <v>497.45863900000001</v>
      </c>
      <c r="L17" s="263">
        <f>IFERROR(VLOOKUP(Table_socioeca8.sandag.org_abm2_trb[[#This Row],[route]],[2]transit_general!$B$2:$M$139,8,FALSE),0)</f>
        <v>537.34845825963703</v>
      </c>
      <c r="M17" s="263">
        <f>IFERROR(VLOOKUP(Table_socioeca8.sandag.org_abm2_trb[[#This Row],[route]],[2]transit_general!$B$2:$M$139,9,FALSE),0)</f>
        <v>2250.3680956515068</v>
      </c>
      <c r="N17" s="263">
        <f>IFERROR(VLOOKUP(Table_socioeca8.sandag.org_abm2_trb[[#This Row],[route]],[2]transit_general!$B$2:$M$139,10,FALSE),0)</f>
        <v>2811.9957311922299</v>
      </c>
      <c r="O17" s="263">
        <f>IFERROR(VLOOKUP(Table_socioeca8.sandag.org_abm2_trb[[#This Row],[route]],[2]transit_general!$B$2:$M$139,11,FALSE),0)</f>
        <v>2803.6419826561619</v>
      </c>
      <c r="P17" s="263">
        <f>IFERROR(VLOOKUP(Table_socioeca8.sandag.org_abm2_trb[[#This Row],[route]],[2]transit_general!$B$2:$M$139,12,FALSE),0)</f>
        <v>1490.481093090184</v>
      </c>
      <c r="Q17" s="263">
        <f>IFERROR(VLOOKUP(Table_socioeca8.sandag.org_abm2_trb[[#This Row],[route]],[2]transit_general!$B$2:$M$139,2,FALSE),0)</f>
        <v>28</v>
      </c>
      <c r="S17" s="5">
        <f>Table_socioeca8.sandag.org_abm2_trb[[#This Row],[scenario_id]]</f>
        <v>259</v>
      </c>
      <c r="T17" s="5">
        <f>Table_socioeca8.sandag.org_abm2_trb[[#This Row],[route]]</f>
        <v>10</v>
      </c>
      <c r="U17" s="3">
        <f>Table_socioeca8.sandag.org_abm2_trb[[#This Row],[boarding_EA]]</f>
        <v>152.92522299999999</v>
      </c>
      <c r="V17" s="3">
        <f>Table_socioeca8.sandag.org_abm2_trb[[#This Row],[boarding_AM]]</f>
        <v>692.051153</v>
      </c>
      <c r="W17" s="3">
        <f>Table_socioeca8.sandag.org_abm2_trb[[#This Row],[boarding_MD]]</f>
        <v>997.16736500000002</v>
      </c>
      <c r="X17" s="3">
        <f>Table_socioeca8.sandag.org_abm2_trb[[#This Row],[boarding_PM]]</f>
        <v>935.36874599999999</v>
      </c>
      <c r="Y17" s="3">
        <f>Table_socioeca8.sandag.org_abm2_trb[[#This Row],[boarding_EV]]</f>
        <v>497.45863900000001</v>
      </c>
      <c r="Z17" s="3">
        <f>Table_socioeca8.sandag.org_abm2_trb[[#This Row],[passenger_mile_EA]]</f>
        <v>537.34845825963703</v>
      </c>
      <c r="AA17" s="3">
        <f>Table_socioeca8.sandag.org_abm2_trb[[#This Row],[passenger_mile_AM]]</f>
        <v>2250.3680956515068</v>
      </c>
      <c r="AB17" s="3">
        <f>Table_socioeca8.sandag.org_abm2_trb[[#This Row],[passenger_mile_MD]]</f>
        <v>2811.9957311922299</v>
      </c>
      <c r="AC17" s="3">
        <f>Table_socioeca8.sandag.org_abm2_trb[[#This Row],[passenger_mile_PM]]</f>
        <v>2803.6419826561619</v>
      </c>
      <c r="AD17" s="3">
        <f>Table_socioeca8.sandag.org_abm2_trb[[#This Row],[passenger_mile_EV]]</f>
        <v>1490.481093090184</v>
      </c>
      <c r="AE17" s="5">
        <f>Table_socioeca8.sandag.org_abm2_trb[[#This Row],[mode_transit_route_id]]</f>
        <v>28</v>
      </c>
      <c r="AF17"/>
    </row>
    <row r="18" spans="1:32" x14ac:dyDescent="0.25">
      <c r="E18" s="47">
        <f t="shared" si="0"/>
        <v>259</v>
      </c>
      <c r="F18" s="47">
        <v>20</v>
      </c>
      <c r="G18" s="263">
        <f>IFERROR(VLOOKUP(Table_socioeca8.sandag.org_abm2_trb[[#This Row],[route]],[2]transit_general!$B$2:$M$139,3,FALSE),0)</f>
        <v>158.97813400000001</v>
      </c>
      <c r="H18" s="263">
        <f>IFERROR(VLOOKUP(Table_socioeca8.sandag.org_abm2_trb[[#This Row],[route]],[2]transit_general!$B$2:$M$139,4,FALSE),0)</f>
        <v>833.00342799999999</v>
      </c>
      <c r="I18" s="263">
        <f>IFERROR(VLOOKUP(Table_socioeca8.sandag.org_abm2_trb[[#This Row],[route]],[2]transit_general!$B$2:$M$139,5,FALSE),0)</f>
        <v>1070.4604979999999</v>
      </c>
      <c r="J18" s="263">
        <f>IFERROR(VLOOKUP(Table_socioeca8.sandag.org_abm2_trb[[#This Row],[route]],[2]transit_general!$B$2:$M$139,6,FALSE),0)</f>
        <v>1135.4390840000001</v>
      </c>
      <c r="K18" s="263">
        <f>IFERROR(VLOOKUP(Table_socioeca8.sandag.org_abm2_trb[[#This Row],[route]],[2]transit_general!$B$2:$M$139,7,FALSE),0)</f>
        <v>591.07056999999998</v>
      </c>
      <c r="L18" s="263">
        <f>IFERROR(VLOOKUP(Table_socioeca8.sandag.org_abm2_trb[[#This Row],[route]],[2]transit_general!$B$2:$M$139,8,FALSE),0)</f>
        <v>1508.222396207369</v>
      </c>
      <c r="M18" s="263">
        <f>IFERROR(VLOOKUP(Table_socioeca8.sandag.org_abm2_trb[[#This Row],[route]],[2]transit_general!$B$2:$M$139,9,FALSE),0)</f>
        <v>4593.7517586338236</v>
      </c>
      <c r="N18" s="263">
        <f>IFERROR(VLOOKUP(Table_socioeca8.sandag.org_abm2_trb[[#This Row],[route]],[2]transit_general!$B$2:$M$139,10,FALSE),0)</f>
        <v>6283.6833953163832</v>
      </c>
      <c r="O18" s="263">
        <f>IFERROR(VLOOKUP(Table_socioeca8.sandag.org_abm2_trb[[#This Row],[route]],[2]transit_general!$B$2:$M$139,11,FALSE),0)</f>
        <v>6284.9976385313748</v>
      </c>
      <c r="P18" s="263">
        <f>IFERROR(VLOOKUP(Table_socioeca8.sandag.org_abm2_trb[[#This Row],[route]],[2]transit_general!$B$2:$M$139,12,FALSE),0)</f>
        <v>4246.2269015552993</v>
      </c>
      <c r="Q18" s="263">
        <f>IFERROR(VLOOKUP(Table_socioeca8.sandag.org_abm2_trb[[#This Row],[route]],[2]transit_general!$B$2:$M$139,2,FALSE),0)</f>
        <v>28</v>
      </c>
      <c r="S18" s="5">
        <f>Table_socioeca8.sandag.org_abm2_trb[[#This Row],[scenario_id]]</f>
        <v>259</v>
      </c>
      <c r="T18" s="5">
        <f>Table_socioeca8.sandag.org_abm2_trb[[#This Row],[route]]</f>
        <v>20</v>
      </c>
      <c r="U18" s="3">
        <f>Table_socioeca8.sandag.org_abm2_trb[[#This Row],[boarding_EA]]</f>
        <v>158.97813400000001</v>
      </c>
      <c r="V18" s="3">
        <f>Table_socioeca8.sandag.org_abm2_trb[[#This Row],[boarding_AM]]</f>
        <v>833.00342799999999</v>
      </c>
      <c r="W18" s="3">
        <f>Table_socioeca8.sandag.org_abm2_trb[[#This Row],[boarding_MD]]</f>
        <v>1070.4604979999999</v>
      </c>
      <c r="X18" s="3">
        <f>Table_socioeca8.sandag.org_abm2_trb[[#This Row],[boarding_PM]]</f>
        <v>1135.4390840000001</v>
      </c>
      <c r="Y18" s="3">
        <f>Table_socioeca8.sandag.org_abm2_trb[[#This Row],[boarding_EV]]</f>
        <v>591.07056999999998</v>
      </c>
      <c r="Z18" s="3">
        <f>Table_socioeca8.sandag.org_abm2_trb[[#This Row],[passenger_mile_EA]]</f>
        <v>1508.222396207369</v>
      </c>
      <c r="AA18" s="3">
        <f>Table_socioeca8.sandag.org_abm2_trb[[#This Row],[passenger_mile_AM]]</f>
        <v>4593.7517586338236</v>
      </c>
      <c r="AB18" s="3">
        <f>Table_socioeca8.sandag.org_abm2_trb[[#This Row],[passenger_mile_MD]]</f>
        <v>6283.6833953163832</v>
      </c>
      <c r="AC18" s="3">
        <f>Table_socioeca8.sandag.org_abm2_trb[[#This Row],[passenger_mile_PM]]</f>
        <v>6284.9976385313748</v>
      </c>
      <c r="AD18" s="3">
        <f>Table_socioeca8.sandag.org_abm2_trb[[#This Row],[passenger_mile_EV]]</f>
        <v>4246.2269015552993</v>
      </c>
      <c r="AE18" s="5">
        <f>Table_socioeca8.sandag.org_abm2_trb[[#This Row],[mode_transit_route_id]]</f>
        <v>28</v>
      </c>
      <c r="AF18"/>
    </row>
    <row r="19" spans="1:32" x14ac:dyDescent="0.25">
      <c r="E19" s="47">
        <f t="shared" si="0"/>
        <v>259</v>
      </c>
      <c r="F19" s="47">
        <v>50</v>
      </c>
      <c r="G19" s="263">
        <f>IFERROR(VLOOKUP(Table_socioeca8.sandag.org_abm2_trb[[#This Row],[route]],[2]transit_general!$B$2:$M$139,3,FALSE),0)</f>
        <v>53.153370000000002</v>
      </c>
      <c r="H19" s="263">
        <f>IFERROR(VLOOKUP(Table_socioeca8.sandag.org_abm2_trb[[#This Row],[route]],[2]transit_general!$B$2:$M$139,4,FALSE),0)</f>
        <v>256.82583399999999</v>
      </c>
      <c r="I19" s="263">
        <f>IFERROR(VLOOKUP(Table_socioeca8.sandag.org_abm2_trb[[#This Row],[route]],[2]transit_general!$B$2:$M$139,5,FALSE),0)</f>
        <v>247.660214</v>
      </c>
      <c r="J19" s="263">
        <f>IFERROR(VLOOKUP(Table_socioeca8.sandag.org_abm2_trb[[#This Row],[route]],[2]transit_general!$B$2:$M$139,6,FALSE),0)</f>
        <v>309.90147200000001</v>
      </c>
      <c r="K19" s="263">
        <f>IFERROR(VLOOKUP(Table_socioeca8.sandag.org_abm2_trb[[#This Row],[route]],[2]transit_general!$B$2:$M$139,7,FALSE),0)</f>
        <v>97.841425999999998</v>
      </c>
      <c r="L19" s="263">
        <f>IFERROR(VLOOKUP(Table_socioeca8.sandag.org_abm2_trb[[#This Row],[route]],[2]transit_general!$B$2:$M$139,8,FALSE),0)</f>
        <v>540.54495813028905</v>
      </c>
      <c r="M19" s="263">
        <f>IFERROR(VLOOKUP(Table_socioeca8.sandag.org_abm2_trb[[#This Row],[route]],[2]transit_general!$B$2:$M$139,9,FALSE),0)</f>
        <v>1999.359338123837</v>
      </c>
      <c r="N19" s="263">
        <f>IFERROR(VLOOKUP(Table_socioeca8.sandag.org_abm2_trb[[#This Row],[route]],[2]transit_general!$B$2:$M$139,10,FALSE),0)</f>
        <v>1843.393751374733</v>
      </c>
      <c r="O19" s="263">
        <f>IFERROR(VLOOKUP(Table_socioeca8.sandag.org_abm2_trb[[#This Row],[route]],[2]transit_general!$B$2:$M$139,11,FALSE),0)</f>
        <v>2159.7213549557332</v>
      </c>
      <c r="P19" s="263">
        <f>IFERROR(VLOOKUP(Table_socioeca8.sandag.org_abm2_trb[[#This Row],[route]],[2]transit_general!$B$2:$M$139,12,FALSE),0)</f>
        <v>670.58876843145902</v>
      </c>
      <c r="Q19" s="263">
        <f>IFERROR(VLOOKUP(Table_socioeca8.sandag.org_abm2_trb[[#This Row],[route]],[2]transit_general!$B$2:$M$139,2,FALSE),0)</f>
        <v>28</v>
      </c>
      <c r="S19" s="5">
        <f>Table_socioeca8.sandag.org_abm2_trb[[#This Row],[scenario_id]]</f>
        <v>259</v>
      </c>
      <c r="T19" s="5">
        <f>Table_socioeca8.sandag.org_abm2_trb[[#This Row],[route]]</f>
        <v>50</v>
      </c>
      <c r="U19" s="3">
        <f>Table_socioeca8.sandag.org_abm2_trb[[#This Row],[boarding_EA]]</f>
        <v>53.153370000000002</v>
      </c>
      <c r="V19" s="3">
        <f>Table_socioeca8.sandag.org_abm2_trb[[#This Row],[boarding_AM]]</f>
        <v>256.82583399999999</v>
      </c>
      <c r="W19" s="3">
        <f>Table_socioeca8.sandag.org_abm2_trb[[#This Row],[boarding_MD]]</f>
        <v>247.660214</v>
      </c>
      <c r="X19" s="3">
        <f>Table_socioeca8.sandag.org_abm2_trb[[#This Row],[boarding_PM]]</f>
        <v>309.90147200000001</v>
      </c>
      <c r="Y19" s="3">
        <f>Table_socioeca8.sandag.org_abm2_trb[[#This Row],[boarding_EV]]</f>
        <v>97.841425999999998</v>
      </c>
      <c r="Z19" s="3">
        <f>Table_socioeca8.sandag.org_abm2_trb[[#This Row],[passenger_mile_EA]]</f>
        <v>540.54495813028905</v>
      </c>
      <c r="AA19" s="3">
        <f>Table_socioeca8.sandag.org_abm2_trb[[#This Row],[passenger_mile_AM]]</f>
        <v>1999.359338123837</v>
      </c>
      <c r="AB19" s="3">
        <f>Table_socioeca8.sandag.org_abm2_trb[[#This Row],[passenger_mile_MD]]</f>
        <v>1843.393751374733</v>
      </c>
      <c r="AC19" s="3">
        <f>Table_socioeca8.sandag.org_abm2_trb[[#This Row],[passenger_mile_PM]]</f>
        <v>2159.7213549557332</v>
      </c>
      <c r="AD19" s="3">
        <f>Table_socioeca8.sandag.org_abm2_trb[[#This Row],[passenger_mile_EV]]</f>
        <v>670.58876843145902</v>
      </c>
      <c r="AE19" s="5">
        <f>Table_socioeca8.sandag.org_abm2_trb[[#This Row],[mode_transit_route_id]]</f>
        <v>28</v>
      </c>
      <c r="AF19"/>
    </row>
    <row r="20" spans="1:32" x14ac:dyDescent="0.25">
      <c r="A20" t="s">
        <v>90</v>
      </c>
      <c r="B20" s="262" t="s">
        <v>95</v>
      </c>
      <c r="E20" s="47">
        <f t="shared" si="0"/>
        <v>259</v>
      </c>
      <c r="F20" s="47">
        <v>60</v>
      </c>
      <c r="G20" s="263">
        <f>IFERROR(VLOOKUP(Table_socioeca8.sandag.org_abm2_trb[[#This Row],[route]],[2]transit_general!$B$2:$M$139,3,FALSE),0)</f>
        <v>0</v>
      </c>
      <c r="H20" s="263">
        <f>IFERROR(VLOOKUP(Table_socioeca8.sandag.org_abm2_trb[[#This Row],[route]],[2]transit_general!$B$2:$M$139,4,FALSE),0)</f>
        <v>209.48579100000001</v>
      </c>
      <c r="I20" s="263">
        <f>IFERROR(VLOOKUP(Table_socioeca8.sandag.org_abm2_trb[[#This Row],[route]],[2]transit_general!$B$2:$M$139,5,FALSE),0)</f>
        <v>0</v>
      </c>
      <c r="J20" s="263">
        <f>IFERROR(VLOOKUP(Table_socioeca8.sandag.org_abm2_trb[[#This Row],[route]],[2]transit_general!$B$2:$M$139,6,FALSE),0)</f>
        <v>295.22485799999998</v>
      </c>
      <c r="K20" s="263">
        <f>IFERROR(VLOOKUP(Table_socioeca8.sandag.org_abm2_trb[[#This Row],[route]],[2]transit_general!$B$2:$M$139,7,FALSE),0)</f>
        <v>0</v>
      </c>
      <c r="L20" s="263">
        <f>IFERROR(VLOOKUP(Table_socioeca8.sandag.org_abm2_trb[[#This Row],[route]],[2]transit_general!$B$2:$M$139,8,FALSE),0)</f>
        <v>0</v>
      </c>
      <c r="M20" s="263">
        <f>IFERROR(VLOOKUP(Table_socioeca8.sandag.org_abm2_trb[[#This Row],[route]],[2]transit_general!$B$2:$M$139,9,FALSE),0)</f>
        <v>1701.660894505399</v>
      </c>
      <c r="N20" s="263">
        <f>IFERROR(VLOOKUP(Table_socioeca8.sandag.org_abm2_trb[[#This Row],[route]],[2]transit_general!$B$2:$M$139,10,FALSE),0)</f>
        <v>0</v>
      </c>
      <c r="O20" s="263">
        <f>IFERROR(VLOOKUP(Table_socioeca8.sandag.org_abm2_trb[[#This Row],[route]],[2]transit_general!$B$2:$M$139,11,FALSE),0)</f>
        <v>2508.6479517321109</v>
      </c>
      <c r="P20" s="263">
        <f>IFERROR(VLOOKUP(Table_socioeca8.sandag.org_abm2_trb[[#This Row],[route]],[2]transit_general!$B$2:$M$139,12,FALSE),0)</f>
        <v>0</v>
      </c>
      <c r="Q20" s="263">
        <f>IFERROR(VLOOKUP(Table_socioeca8.sandag.org_abm2_trb[[#This Row],[route]],[2]transit_general!$B$2:$M$139,2,FALSE),0)</f>
        <v>28</v>
      </c>
      <c r="S20" s="5">
        <f>Table_socioeca8.sandag.org_abm2_trb[[#This Row],[scenario_id]]</f>
        <v>259</v>
      </c>
      <c r="T20" s="5">
        <f>Table_socioeca8.sandag.org_abm2_trb[[#This Row],[route]]</f>
        <v>60</v>
      </c>
      <c r="U20" s="3">
        <f>Table_socioeca8.sandag.org_abm2_trb[[#This Row],[boarding_EA]]</f>
        <v>0</v>
      </c>
      <c r="V20" s="3">
        <f>Table_socioeca8.sandag.org_abm2_trb[[#This Row],[boarding_AM]]</f>
        <v>209.48579100000001</v>
      </c>
      <c r="W20" s="3">
        <f>Table_socioeca8.sandag.org_abm2_trb[[#This Row],[boarding_MD]]</f>
        <v>0</v>
      </c>
      <c r="X20" s="3">
        <f>Table_socioeca8.sandag.org_abm2_trb[[#This Row],[boarding_PM]]</f>
        <v>295.22485799999998</v>
      </c>
      <c r="Y20" s="3">
        <f>Table_socioeca8.sandag.org_abm2_trb[[#This Row],[boarding_EV]]</f>
        <v>0</v>
      </c>
      <c r="Z20" s="3">
        <f>Table_socioeca8.sandag.org_abm2_trb[[#This Row],[passenger_mile_EA]]</f>
        <v>0</v>
      </c>
      <c r="AA20" s="3">
        <f>Table_socioeca8.sandag.org_abm2_trb[[#This Row],[passenger_mile_AM]]</f>
        <v>1701.660894505399</v>
      </c>
      <c r="AB20" s="3">
        <f>Table_socioeca8.sandag.org_abm2_trb[[#This Row],[passenger_mile_MD]]</f>
        <v>0</v>
      </c>
      <c r="AC20" s="3">
        <f>Table_socioeca8.sandag.org_abm2_trb[[#This Row],[passenger_mile_PM]]</f>
        <v>2508.6479517321109</v>
      </c>
      <c r="AD20" s="3">
        <f>Table_socioeca8.sandag.org_abm2_trb[[#This Row],[passenger_mile_EV]]</f>
        <v>0</v>
      </c>
      <c r="AE20" s="5">
        <f>Table_socioeca8.sandag.org_abm2_trb[[#This Row],[mode_transit_route_id]]</f>
        <v>28</v>
      </c>
      <c r="AF20"/>
    </row>
    <row r="21" spans="1:32" x14ac:dyDescent="0.25">
      <c r="E21" s="47">
        <f t="shared" si="0"/>
        <v>259</v>
      </c>
      <c r="F21" s="47">
        <v>110</v>
      </c>
      <c r="G21" s="263">
        <f>IFERROR(VLOOKUP(Table_socioeca8.sandag.org_abm2_trb[[#This Row],[route]],[2]transit_general!$B$2:$M$139,3,FALSE),0)</f>
        <v>0</v>
      </c>
      <c r="H21" s="263">
        <f>IFERROR(VLOOKUP(Table_socioeca8.sandag.org_abm2_trb[[#This Row],[route]],[2]transit_general!$B$2:$M$139,4,FALSE),0)</f>
        <v>130.67126300000001</v>
      </c>
      <c r="I21" s="263">
        <f>IFERROR(VLOOKUP(Table_socioeca8.sandag.org_abm2_trb[[#This Row],[route]],[2]transit_general!$B$2:$M$139,5,FALSE),0)</f>
        <v>0</v>
      </c>
      <c r="J21" s="263">
        <f>IFERROR(VLOOKUP(Table_socioeca8.sandag.org_abm2_trb[[#This Row],[route]],[2]transit_general!$B$2:$M$139,6,FALSE),0)</f>
        <v>180.35547700000001</v>
      </c>
      <c r="K21" s="263">
        <f>IFERROR(VLOOKUP(Table_socioeca8.sandag.org_abm2_trb[[#This Row],[route]],[2]transit_general!$B$2:$M$139,7,FALSE),0)</f>
        <v>0</v>
      </c>
      <c r="L21" s="263">
        <f>IFERROR(VLOOKUP(Table_socioeca8.sandag.org_abm2_trb[[#This Row],[route]],[2]transit_general!$B$2:$M$139,8,FALSE),0)</f>
        <v>0</v>
      </c>
      <c r="M21" s="263">
        <f>IFERROR(VLOOKUP(Table_socioeca8.sandag.org_abm2_trb[[#This Row],[route]],[2]transit_general!$B$2:$M$139,9,FALSE),0)</f>
        <v>1301.5789675799481</v>
      </c>
      <c r="N21" s="263">
        <f>IFERROR(VLOOKUP(Table_socioeca8.sandag.org_abm2_trb[[#This Row],[route]],[2]transit_general!$B$2:$M$139,10,FALSE),0)</f>
        <v>0</v>
      </c>
      <c r="O21" s="263">
        <f>IFERROR(VLOOKUP(Table_socioeca8.sandag.org_abm2_trb[[#This Row],[route]],[2]transit_general!$B$2:$M$139,11,FALSE),0)</f>
        <v>1289.335774185844</v>
      </c>
      <c r="P21" s="263">
        <f>IFERROR(VLOOKUP(Table_socioeca8.sandag.org_abm2_trb[[#This Row],[route]],[2]transit_general!$B$2:$M$139,12,FALSE),0)</f>
        <v>0</v>
      </c>
      <c r="Q21" s="263">
        <f>IFERROR(VLOOKUP(Table_socioeca8.sandag.org_abm2_trb[[#This Row],[route]],[2]transit_general!$B$2:$M$139,2,FALSE),0)</f>
        <v>28</v>
      </c>
      <c r="S21" s="5">
        <f>Table_socioeca8.sandag.org_abm2_trb[[#This Row],[scenario_id]]</f>
        <v>259</v>
      </c>
      <c r="T21" s="5">
        <f>Table_socioeca8.sandag.org_abm2_trb[[#This Row],[route]]</f>
        <v>110</v>
      </c>
      <c r="U21" s="3">
        <f>Table_socioeca8.sandag.org_abm2_trb[[#This Row],[boarding_EA]]</f>
        <v>0</v>
      </c>
      <c r="V21" s="3">
        <f>Table_socioeca8.sandag.org_abm2_trb[[#This Row],[boarding_AM]]</f>
        <v>130.67126300000001</v>
      </c>
      <c r="W21" s="3">
        <f>Table_socioeca8.sandag.org_abm2_trb[[#This Row],[boarding_MD]]</f>
        <v>0</v>
      </c>
      <c r="X21" s="3">
        <f>Table_socioeca8.sandag.org_abm2_trb[[#This Row],[boarding_PM]]</f>
        <v>180.35547700000001</v>
      </c>
      <c r="Y21" s="3">
        <f>Table_socioeca8.sandag.org_abm2_trb[[#This Row],[boarding_EV]]</f>
        <v>0</v>
      </c>
      <c r="Z21" s="3">
        <f>Table_socioeca8.sandag.org_abm2_trb[[#This Row],[passenger_mile_EA]]</f>
        <v>0</v>
      </c>
      <c r="AA21" s="3">
        <f>Table_socioeca8.sandag.org_abm2_trb[[#This Row],[passenger_mile_AM]]</f>
        <v>1301.5789675799481</v>
      </c>
      <c r="AB21" s="3">
        <f>Table_socioeca8.sandag.org_abm2_trb[[#This Row],[passenger_mile_MD]]</f>
        <v>0</v>
      </c>
      <c r="AC21" s="3">
        <f>Table_socioeca8.sandag.org_abm2_trb[[#This Row],[passenger_mile_PM]]</f>
        <v>1289.335774185844</v>
      </c>
      <c r="AD21" s="3">
        <f>Table_socioeca8.sandag.org_abm2_trb[[#This Row],[passenger_mile_EV]]</f>
        <v>0</v>
      </c>
      <c r="AE21" s="5">
        <f>Table_socioeca8.sandag.org_abm2_trb[[#This Row],[mode_transit_route_id]]</f>
        <v>28</v>
      </c>
      <c r="AF21"/>
    </row>
    <row r="22" spans="1:32" x14ac:dyDescent="0.25">
      <c r="E22" s="47">
        <f t="shared" si="0"/>
        <v>259</v>
      </c>
      <c r="F22" s="47">
        <v>120</v>
      </c>
      <c r="G22" s="263">
        <f>IFERROR(VLOOKUP(Table_socioeca8.sandag.org_abm2_trb[[#This Row],[route]],[2]transit_general!$B$2:$M$139,3,FALSE),0)</f>
        <v>196.996971</v>
      </c>
      <c r="H22" s="263">
        <f>IFERROR(VLOOKUP(Table_socioeca8.sandag.org_abm2_trb[[#This Row],[route]],[2]transit_general!$B$2:$M$139,4,FALSE),0)</f>
        <v>741.16663400000004</v>
      </c>
      <c r="I22" s="263">
        <f>IFERROR(VLOOKUP(Table_socioeca8.sandag.org_abm2_trb[[#This Row],[route]],[2]transit_general!$B$2:$M$139,5,FALSE),0)</f>
        <v>1312.2759430000001</v>
      </c>
      <c r="J22" s="263">
        <f>IFERROR(VLOOKUP(Table_socioeca8.sandag.org_abm2_trb[[#This Row],[route]],[2]transit_general!$B$2:$M$139,6,FALSE),0)</f>
        <v>1027.942348</v>
      </c>
      <c r="K22" s="263">
        <f>IFERROR(VLOOKUP(Table_socioeca8.sandag.org_abm2_trb[[#This Row],[route]],[2]transit_general!$B$2:$M$139,7,FALSE),0)</f>
        <v>677.80115599999999</v>
      </c>
      <c r="L22" s="263">
        <f>IFERROR(VLOOKUP(Table_socioeca8.sandag.org_abm2_trb[[#This Row],[route]],[2]transit_general!$B$2:$M$139,8,FALSE),0)</f>
        <v>732.63769578508095</v>
      </c>
      <c r="M22" s="263">
        <f>IFERROR(VLOOKUP(Table_socioeca8.sandag.org_abm2_trb[[#This Row],[route]],[2]transit_general!$B$2:$M$139,9,FALSE),0)</f>
        <v>2315.5594508888939</v>
      </c>
      <c r="N22" s="263">
        <f>IFERROR(VLOOKUP(Table_socioeca8.sandag.org_abm2_trb[[#This Row],[route]],[2]transit_general!$B$2:$M$139,10,FALSE),0)</f>
        <v>4334.7250808324688</v>
      </c>
      <c r="O22" s="263">
        <f>IFERROR(VLOOKUP(Table_socioeca8.sandag.org_abm2_trb[[#This Row],[route]],[2]transit_general!$B$2:$M$139,11,FALSE),0)</f>
        <v>3237.9647286382979</v>
      </c>
      <c r="P22" s="263">
        <f>IFERROR(VLOOKUP(Table_socioeca8.sandag.org_abm2_trb[[#This Row],[route]],[2]transit_general!$B$2:$M$139,12,FALSE),0)</f>
        <v>2287.411252166004</v>
      </c>
      <c r="Q22" s="263">
        <f>IFERROR(VLOOKUP(Table_socioeca8.sandag.org_abm2_trb[[#This Row],[route]],[2]transit_general!$B$2:$M$139,2,FALSE),0)</f>
        <v>28</v>
      </c>
      <c r="S22" s="5">
        <f>Table_socioeca8.sandag.org_abm2_trb[[#This Row],[scenario_id]]</f>
        <v>259</v>
      </c>
      <c r="T22" s="5">
        <f>Table_socioeca8.sandag.org_abm2_trb[[#This Row],[route]]</f>
        <v>120</v>
      </c>
      <c r="U22" s="3">
        <f>Table_socioeca8.sandag.org_abm2_trb[[#This Row],[boarding_EA]]</f>
        <v>196.996971</v>
      </c>
      <c r="V22" s="3">
        <f>Table_socioeca8.sandag.org_abm2_trb[[#This Row],[boarding_AM]]</f>
        <v>741.16663400000004</v>
      </c>
      <c r="W22" s="3">
        <f>Table_socioeca8.sandag.org_abm2_trb[[#This Row],[boarding_MD]]</f>
        <v>1312.2759430000001</v>
      </c>
      <c r="X22" s="3">
        <f>Table_socioeca8.sandag.org_abm2_trb[[#This Row],[boarding_PM]]</f>
        <v>1027.942348</v>
      </c>
      <c r="Y22" s="3">
        <f>Table_socioeca8.sandag.org_abm2_trb[[#This Row],[boarding_EV]]</f>
        <v>677.80115599999999</v>
      </c>
      <c r="Z22" s="3">
        <f>Table_socioeca8.sandag.org_abm2_trb[[#This Row],[passenger_mile_EA]]</f>
        <v>732.63769578508095</v>
      </c>
      <c r="AA22" s="3">
        <f>Table_socioeca8.sandag.org_abm2_trb[[#This Row],[passenger_mile_AM]]</f>
        <v>2315.5594508888939</v>
      </c>
      <c r="AB22" s="3">
        <f>Table_socioeca8.sandag.org_abm2_trb[[#This Row],[passenger_mile_MD]]</f>
        <v>4334.7250808324688</v>
      </c>
      <c r="AC22" s="3">
        <f>Table_socioeca8.sandag.org_abm2_trb[[#This Row],[passenger_mile_PM]]</f>
        <v>3237.9647286382979</v>
      </c>
      <c r="AD22" s="3">
        <f>Table_socioeca8.sandag.org_abm2_trb[[#This Row],[passenger_mile_EV]]</f>
        <v>2287.411252166004</v>
      </c>
      <c r="AE22" s="5">
        <f>Table_socioeca8.sandag.org_abm2_trb[[#This Row],[mode_transit_route_id]]</f>
        <v>28</v>
      </c>
      <c r="AF22"/>
    </row>
    <row r="23" spans="1:32" x14ac:dyDescent="0.25">
      <c r="E23" s="47">
        <f t="shared" si="0"/>
        <v>259</v>
      </c>
      <c r="F23" s="47">
        <v>150</v>
      </c>
      <c r="G23" s="263">
        <f>IFERROR(VLOOKUP(Table_socioeca8.sandag.org_abm2_trb[[#This Row],[route]],[2]transit_general!$B$2:$M$139,3,FALSE),0)</f>
        <v>167.35362000000001</v>
      </c>
      <c r="H23" s="263">
        <f>IFERROR(VLOOKUP(Table_socioeca8.sandag.org_abm2_trb[[#This Row],[route]],[2]transit_general!$B$2:$M$139,4,FALSE),0)</f>
        <v>806.69616099999996</v>
      </c>
      <c r="I23" s="263">
        <f>IFERROR(VLOOKUP(Table_socioeca8.sandag.org_abm2_trb[[#This Row],[route]],[2]transit_general!$B$2:$M$139,5,FALSE),0)</f>
        <v>686.54650300000003</v>
      </c>
      <c r="J23" s="263">
        <f>IFERROR(VLOOKUP(Table_socioeca8.sandag.org_abm2_trb[[#This Row],[route]],[2]transit_general!$B$2:$M$139,6,FALSE),0)</f>
        <v>877.570966</v>
      </c>
      <c r="K23" s="263">
        <f>IFERROR(VLOOKUP(Table_socioeca8.sandag.org_abm2_trb[[#This Row],[route]],[2]transit_general!$B$2:$M$139,7,FALSE),0)</f>
        <v>333.21655800000002</v>
      </c>
      <c r="L23" s="263">
        <f>IFERROR(VLOOKUP(Table_socioeca8.sandag.org_abm2_trb[[#This Row],[route]],[2]transit_general!$B$2:$M$139,8,FALSE),0)</f>
        <v>1942.6171149780009</v>
      </c>
      <c r="M23" s="263">
        <f>IFERROR(VLOOKUP(Table_socioeca8.sandag.org_abm2_trb[[#This Row],[route]],[2]transit_general!$B$2:$M$139,9,FALSE),0)</f>
        <v>7635.159217266686</v>
      </c>
      <c r="N23" s="263">
        <f>IFERROR(VLOOKUP(Table_socioeca8.sandag.org_abm2_trb[[#This Row],[route]],[2]transit_general!$B$2:$M$139,10,FALSE),0)</f>
        <v>6776.2679705088731</v>
      </c>
      <c r="O23" s="263">
        <f>IFERROR(VLOOKUP(Table_socioeca8.sandag.org_abm2_trb[[#This Row],[route]],[2]transit_general!$B$2:$M$139,11,FALSE),0)</f>
        <v>7980.9543258822769</v>
      </c>
      <c r="P23" s="263">
        <f>IFERROR(VLOOKUP(Table_socioeca8.sandag.org_abm2_trb[[#This Row],[route]],[2]transit_general!$B$2:$M$139,12,FALSE),0)</f>
        <v>3319.545246869945</v>
      </c>
      <c r="Q23" s="263">
        <f>IFERROR(VLOOKUP(Table_socioeca8.sandag.org_abm2_trb[[#This Row],[route]],[2]transit_general!$B$2:$M$139,2,FALSE),0)</f>
        <v>28</v>
      </c>
      <c r="S23" s="5">
        <f>Table_socioeca8.sandag.org_abm2_trb[[#This Row],[scenario_id]]</f>
        <v>259</v>
      </c>
      <c r="T23" s="5">
        <f>Table_socioeca8.sandag.org_abm2_trb[[#This Row],[route]]</f>
        <v>150</v>
      </c>
      <c r="U23" s="3">
        <f>Table_socioeca8.sandag.org_abm2_trb[[#This Row],[boarding_EA]]</f>
        <v>167.35362000000001</v>
      </c>
      <c r="V23" s="3">
        <f>Table_socioeca8.sandag.org_abm2_trb[[#This Row],[boarding_AM]]</f>
        <v>806.69616099999996</v>
      </c>
      <c r="W23" s="3">
        <f>Table_socioeca8.sandag.org_abm2_trb[[#This Row],[boarding_MD]]</f>
        <v>686.54650300000003</v>
      </c>
      <c r="X23" s="3">
        <f>Table_socioeca8.sandag.org_abm2_trb[[#This Row],[boarding_PM]]</f>
        <v>877.570966</v>
      </c>
      <c r="Y23" s="3">
        <f>Table_socioeca8.sandag.org_abm2_trb[[#This Row],[boarding_EV]]</f>
        <v>333.21655800000002</v>
      </c>
      <c r="Z23" s="3">
        <f>Table_socioeca8.sandag.org_abm2_trb[[#This Row],[passenger_mile_EA]]</f>
        <v>1942.6171149780009</v>
      </c>
      <c r="AA23" s="3">
        <f>Table_socioeca8.sandag.org_abm2_trb[[#This Row],[passenger_mile_AM]]</f>
        <v>7635.159217266686</v>
      </c>
      <c r="AB23" s="3">
        <f>Table_socioeca8.sandag.org_abm2_trb[[#This Row],[passenger_mile_MD]]</f>
        <v>6776.2679705088731</v>
      </c>
      <c r="AC23" s="3">
        <f>Table_socioeca8.sandag.org_abm2_trb[[#This Row],[passenger_mile_PM]]</f>
        <v>7980.9543258822769</v>
      </c>
      <c r="AD23" s="3">
        <f>Table_socioeca8.sandag.org_abm2_trb[[#This Row],[passenger_mile_EV]]</f>
        <v>3319.545246869945</v>
      </c>
      <c r="AE23" s="5">
        <f>Table_socioeca8.sandag.org_abm2_trb[[#This Row],[mode_transit_route_id]]</f>
        <v>28</v>
      </c>
      <c r="AF23"/>
    </row>
    <row r="24" spans="1:32" x14ac:dyDescent="0.25">
      <c r="E24" s="47">
        <f t="shared" si="0"/>
        <v>259</v>
      </c>
      <c r="F24" s="47">
        <v>709</v>
      </c>
      <c r="G24" s="263">
        <f>IFERROR(VLOOKUP(Table_socioeca8.sandag.org_abm2_trb[[#This Row],[route]],[2]transit_general!$B$2:$M$139,3,FALSE),0)</f>
        <v>109.664807</v>
      </c>
      <c r="H24" s="263">
        <f>IFERROR(VLOOKUP(Table_socioeca8.sandag.org_abm2_trb[[#This Row],[route]],[2]transit_general!$B$2:$M$139,4,FALSE),0)</f>
        <v>737.47344999999996</v>
      </c>
      <c r="I24" s="263">
        <f>IFERROR(VLOOKUP(Table_socioeca8.sandag.org_abm2_trb[[#This Row],[route]],[2]transit_general!$B$2:$M$139,5,FALSE),0)</f>
        <v>1471.065701</v>
      </c>
      <c r="J24" s="263">
        <f>IFERROR(VLOOKUP(Table_socioeca8.sandag.org_abm2_trb[[#This Row],[route]],[2]transit_general!$B$2:$M$139,6,FALSE),0)</f>
        <v>1157.6897799999999</v>
      </c>
      <c r="K24" s="263">
        <f>IFERROR(VLOOKUP(Table_socioeca8.sandag.org_abm2_trb[[#This Row],[route]],[2]transit_general!$B$2:$M$139,7,FALSE),0)</f>
        <v>624.13193999999999</v>
      </c>
      <c r="L24" s="263">
        <f>IFERROR(VLOOKUP(Table_socioeca8.sandag.org_abm2_trb[[#This Row],[route]],[2]transit_general!$B$2:$M$139,8,FALSE),0)</f>
        <v>512.30104885265803</v>
      </c>
      <c r="M24" s="263">
        <f>IFERROR(VLOOKUP(Table_socioeca8.sandag.org_abm2_trb[[#This Row],[route]],[2]transit_general!$B$2:$M$139,9,FALSE),0)</f>
        <v>3450.9408779719288</v>
      </c>
      <c r="N24" s="263">
        <f>IFERROR(VLOOKUP(Table_socioeca8.sandag.org_abm2_trb[[#This Row],[route]],[2]transit_general!$B$2:$M$139,10,FALSE),0)</f>
        <v>5897.5832433279802</v>
      </c>
      <c r="O24" s="263">
        <f>IFERROR(VLOOKUP(Table_socioeca8.sandag.org_abm2_trb[[#This Row],[route]],[2]transit_general!$B$2:$M$139,11,FALSE),0)</f>
        <v>4846.5975261868216</v>
      </c>
      <c r="P24" s="263">
        <f>IFERROR(VLOOKUP(Table_socioeca8.sandag.org_abm2_trb[[#This Row],[route]],[2]transit_general!$B$2:$M$139,12,FALSE),0)</f>
        <v>2558.4465087869071</v>
      </c>
      <c r="Q24" s="263">
        <f>IFERROR(VLOOKUP(Table_socioeca8.sandag.org_abm2_trb[[#This Row],[route]],[2]transit_general!$B$2:$M$139,2,FALSE),0)</f>
        <v>29</v>
      </c>
      <c r="S24" s="5">
        <f>Table_socioeca8.sandag.org_abm2_trb[[#This Row],[scenario_id]]</f>
        <v>259</v>
      </c>
      <c r="T24" s="5">
        <f>Table_socioeca8.sandag.org_abm2_trb[[#This Row],[route]]</f>
        <v>709</v>
      </c>
      <c r="U24" s="3">
        <f>Table_socioeca8.sandag.org_abm2_trb[[#This Row],[boarding_EA]]</f>
        <v>109.664807</v>
      </c>
      <c r="V24" s="3">
        <f>Table_socioeca8.sandag.org_abm2_trb[[#This Row],[boarding_AM]]</f>
        <v>737.47344999999996</v>
      </c>
      <c r="W24" s="3">
        <f>Table_socioeca8.sandag.org_abm2_trb[[#This Row],[boarding_MD]]</f>
        <v>1471.065701</v>
      </c>
      <c r="X24" s="3">
        <f>Table_socioeca8.sandag.org_abm2_trb[[#This Row],[boarding_PM]]</f>
        <v>1157.6897799999999</v>
      </c>
      <c r="Y24" s="3">
        <f>Table_socioeca8.sandag.org_abm2_trb[[#This Row],[boarding_EV]]</f>
        <v>624.13193999999999</v>
      </c>
      <c r="Z24" s="3">
        <f>Table_socioeca8.sandag.org_abm2_trb[[#This Row],[passenger_mile_EA]]</f>
        <v>512.30104885265803</v>
      </c>
      <c r="AA24" s="3">
        <f>Table_socioeca8.sandag.org_abm2_trb[[#This Row],[passenger_mile_AM]]</f>
        <v>3450.9408779719288</v>
      </c>
      <c r="AB24" s="3">
        <f>Table_socioeca8.sandag.org_abm2_trb[[#This Row],[passenger_mile_MD]]</f>
        <v>5897.5832433279802</v>
      </c>
      <c r="AC24" s="3">
        <f>Table_socioeca8.sandag.org_abm2_trb[[#This Row],[passenger_mile_PM]]</f>
        <v>4846.5975261868216</v>
      </c>
      <c r="AD24" s="3">
        <f>Table_socioeca8.sandag.org_abm2_trb[[#This Row],[passenger_mile_EV]]</f>
        <v>2558.4465087869071</v>
      </c>
      <c r="AE24" s="5">
        <f>Table_socioeca8.sandag.org_abm2_trb[[#This Row],[mode_transit_route_id]]</f>
        <v>29</v>
      </c>
      <c r="AF24"/>
    </row>
    <row r="25" spans="1:32" x14ac:dyDescent="0.25">
      <c r="E25" s="47">
        <f t="shared" si="0"/>
        <v>259</v>
      </c>
      <c r="F25" s="47">
        <v>950</v>
      </c>
      <c r="G25" s="263">
        <f>IFERROR(VLOOKUP(Table_socioeca8.sandag.org_abm2_trb[[#This Row],[route]],[2]transit_general!$B$2:$M$139,3,FALSE),0)</f>
        <v>264.59751999999997</v>
      </c>
      <c r="H25" s="263">
        <f>IFERROR(VLOOKUP(Table_socioeca8.sandag.org_abm2_trb[[#This Row],[route]],[2]transit_general!$B$2:$M$139,4,FALSE),0)</f>
        <v>581.53527999999994</v>
      </c>
      <c r="I25" s="263">
        <f>IFERROR(VLOOKUP(Table_socioeca8.sandag.org_abm2_trb[[#This Row],[route]],[2]transit_general!$B$2:$M$139,5,FALSE),0)</f>
        <v>892.00319999999999</v>
      </c>
      <c r="J25" s="263">
        <f>IFERROR(VLOOKUP(Table_socioeca8.sandag.org_abm2_trb[[#This Row],[route]],[2]transit_general!$B$2:$M$139,6,FALSE),0)</f>
        <v>862.87635399999999</v>
      </c>
      <c r="K25" s="263">
        <f>IFERROR(VLOOKUP(Table_socioeca8.sandag.org_abm2_trb[[#This Row],[route]],[2]transit_general!$B$2:$M$139,7,FALSE),0)</f>
        <v>136.55641</v>
      </c>
      <c r="L25" s="263">
        <f>IFERROR(VLOOKUP(Table_socioeca8.sandag.org_abm2_trb[[#This Row],[route]],[2]transit_general!$B$2:$M$139,8,FALSE),0)</f>
        <v>2220.7749232855999</v>
      </c>
      <c r="M25" s="263">
        <f>IFERROR(VLOOKUP(Table_socioeca8.sandag.org_abm2_trb[[#This Row],[route]],[2]transit_general!$B$2:$M$139,9,FALSE),0)</f>
        <v>4880.8430510983999</v>
      </c>
      <c r="N25" s="263">
        <f>IFERROR(VLOOKUP(Table_socioeca8.sandag.org_abm2_trb[[#This Row],[route]],[2]transit_general!$B$2:$M$139,10,FALSE),0)</f>
        <v>7486.609617696</v>
      </c>
      <c r="O25" s="263">
        <f>IFERROR(VLOOKUP(Table_socioeca8.sandag.org_abm2_trb[[#This Row],[route]],[2]transit_general!$B$2:$M$139,11,FALSE),0)</f>
        <v>7406.8227631917498</v>
      </c>
      <c r="P25" s="263">
        <f>IFERROR(VLOOKUP(Table_socioeca8.sandag.org_abm2_trb[[#This Row],[route]],[2]transit_general!$B$2:$M$139,12,FALSE),0)</f>
        <v>1146.1220458222999</v>
      </c>
      <c r="Q25" s="263">
        <f>IFERROR(VLOOKUP(Table_socioeca8.sandag.org_abm2_trb[[#This Row],[route]],[2]transit_general!$B$2:$M$139,2,FALSE),0)</f>
        <v>28</v>
      </c>
      <c r="S25" s="5">
        <f>Table_socioeca8.sandag.org_abm2_trb[[#This Row],[scenario_id]]</f>
        <v>259</v>
      </c>
      <c r="T25" s="5">
        <f>Table_socioeca8.sandag.org_abm2_trb[[#This Row],[route]]</f>
        <v>950</v>
      </c>
      <c r="U25" s="3">
        <f>Table_socioeca8.sandag.org_abm2_trb[[#This Row],[boarding_EA]]</f>
        <v>264.59751999999997</v>
      </c>
      <c r="V25" s="3">
        <f>Table_socioeca8.sandag.org_abm2_trb[[#This Row],[boarding_AM]]</f>
        <v>581.53527999999994</v>
      </c>
      <c r="W25" s="3">
        <f>Table_socioeca8.sandag.org_abm2_trb[[#This Row],[boarding_MD]]</f>
        <v>892.00319999999999</v>
      </c>
      <c r="X25" s="3">
        <f>Table_socioeca8.sandag.org_abm2_trb[[#This Row],[boarding_PM]]</f>
        <v>862.87635399999999</v>
      </c>
      <c r="Y25" s="3">
        <f>Table_socioeca8.sandag.org_abm2_trb[[#This Row],[boarding_EV]]</f>
        <v>136.55641</v>
      </c>
      <c r="Z25" s="3">
        <f>Table_socioeca8.sandag.org_abm2_trb[[#This Row],[passenger_mile_EA]]</f>
        <v>2220.7749232855999</v>
      </c>
      <c r="AA25" s="3">
        <f>Table_socioeca8.sandag.org_abm2_trb[[#This Row],[passenger_mile_AM]]</f>
        <v>4880.8430510983999</v>
      </c>
      <c r="AB25" s="3">
        <f>Table_socioeca8.sandag.org_abm2_trb[[#This Row],[passenger_mile_MD]]</f>
        <v>7486.609617696</v>
      </c>
      <c r="AC25" s="3">
        <f>Table_socioeca8.sandag.org_abm2_trb[[#This Row],[passenger_mile_PM]]</f>
        <v>7406.8227631917498</v>
      </c>
      <c r="AD25" s="3">
        <f>Table_socioeca8.sandag.org_abm2_trb[[#This Row],[passenger_mile_EV]]</f>
        <v>1146.1220458222999</v>
      </c>
      <c r="AE25" s="5">
        <f>Table_socioeca8.sandag.org_abm2_trb[[#This Row],[mode_transit_route_id]]</f>
        <v>28</v>
      </c>
      <c r="AF25"/>
    </row>
    <row r="26" spans="1:32" x14ac:dyDescent="0.25">
      <c r="E26" s="47">
        <f t="shared" si="0"/>
        <v>259</v>
      </c>
      <c r="F26" s="47">
        <v>1</v>
      </c>
      <c r="G26" s="263">
        <f>IFERROR(VLOOKUP(Table_socioeca8.sandag.org_abm2_trb[[#This Row],[route]],[2]transit_general!$B$2:$M$139,3,FALSE),0)</f>
        <v>152.12670399999999</v>
      </c>
      <c r="H26" s="263">
        <f>IFERROR(VLOOKUP(Table_socioeca8.sandag.org_abm2_trb[[#This Row],[route]],[2]transit_general!$B$2:$M$139,4,FALSE),0)</f>
        <v>774.82886199999996</v>
      </c>
      <c r="I26" s="263">
        <f>IFERROR(VLOOKUP(Table_socioeca8.sandag.org_abm2_trb[[#This Row],[route]],[2]transit_general!$B$2:$M$139,5,FALSE),0)</f>
        <v>1759.621907</v>
      </c>
      <c r="J26" s="263">
        <f>IFERROR(VLOOKUP(Table_socioeca8.sandag.org_abm2_trb[[#This Row],[route]],[2]transit_general!$B$2:$M$139,6,FALSE),0)</f>
        <v>1413.28495</v>
      </c>
      <c r="K26" s="263">
        <f>IFERROR(VLOOKUP(Table_socioeca8.sandag.org_abm2_trb[[#This Row],[route]],[2]transit_general!$B$2:$M$139,7,FALSE),0)</f>
        <v>806.53649900000005</v>
      </c>
      <c r="L26" s="263">
        <f>IFERROR(VLOOKUP(Table_socioeca8.sandag.org_abm2_trb[[#This Row],[route]],[2]transit_general!$B$2:$M$139,8,FALSE),0)</f>
        <v>444.53998635597998</v>
      </c>
      <c r="M26" s="263">
        <f>IFERROR(VLOOKUP(Table_socioeca8.sandag.org_abm2_trb[[#This Row],[route]],[2]transit_general!$B$2:$M$139,9,FALSE),0)</f>
        <v>1707.538022010496</v>
      </c>
      <c r="N26" s="263">
        <f>IFERROR(VLOOKUP(Table_socioeca8.sandag.org_abm2_trb[[#This Row],[route]],[2]transit_general!$B$2:$M$139,10,FALSE),0)</f>
        <v>3679.0929323964838</v>
      </c>
      <c r="O26" s="263">
        <f>IFERROR(VLOOKUP(Table_socioeca8.sandag.org_abm2_trb[[#This Row],[route]],[2]transit_general!$B$2:$M$139,11,FALSE),0)</f>
        <v>3093.5881289590661</v>
      </c>
      <c r="P26" s="263">
        <f>IFERROR(VLOOKUP(Table_socioeca8.sandag.org_abm2_trb[[#This Row],[route]],[2]transit_general!$B$2:$M$139,12,FALSE),0)</f>
        <v>1704.783022784464</v>
      </c>
      <c r="Q26" s="263">
        <f>IFERROR(VLOOKUP(Table_socioeca8.sandag.org_abm2_trb[[#This Row],[route]],[2]transit_general!$B$2:$M$139,2,FALSE),0)</f>
        <v>29</v>
      </c>
      <c r="S26" s="5">
        <f>Table_socioeca8.sandag.org_abm2_trb[[#This Row],[scenario_id]]</f>
        <v>259</v>
      </c>
      <c r="T26" s="5">
        <f>Table_socioeca8.sandag.org_abm2_trb[[#This Row],[route]]</f>
        <v>1</v>
      </c>
      <c r="U26" s="3">
        <f>Table_socioeca8.sandag.org_abm2_trb[[#This Row],[boarding_EA]]</f>
        <v>152.12670399999999</v>
      </c>
      <c r="V26" s="3">
        <f>Table_socioeca8.sandag.org_abm2_trb[[#This Row],[boarding_AM]]</f>
        <v>774.82886199999996</v>
      </c>
      <c r="W26" s="3">
        <f>Table_socioeca8.sandag.org_abm2_trb[[#This Row],[boarding_MD]]</f>
        <v>1759.621907</v>
      </c>
      <c r="X26" s="3">
        <f>Table_socioeca8.sandag.org_abm2_trb[[#This Row],[boarding_PM]]</f>
        <v>1413.28495</v>
      </c>
      <c r="Y26" s="3">
        <f>Table_socioeca8.sandag.org_abm2_trb[[#This Row],[boarding_EV]]</f>
        <v>806.53649900000005</v>
      </c>
      <c r="Z26" s="3">
        <f>Table_socioeca8.sandag.org_abm2_trb[[#This Row],[passenger_mile_EA]]</f>
        <v>444.53998635597998</v>
      </c>
      <c r="AA26" s="3">
        <f>Table_socioeca8.sandag.org_abm2_trb[[#This Row],[passenger_mile_AM]]</f>
        <v>1707.538022010496</v>
      </c>
      <c r="AB26" s="3">
        <f>Table_socioeca8.sandag.org_abm2_trb[[#This Row],[passenger_mile_MD]]</f>
        <v>3679.0929323964838</v>
      </c>
      <c r="AC26" s="3">
        <f>Table_socioeca8.sandag.org_abm2_trb[[#This Row],[passenger_mile_PM]]</f>
        <v>3093.5881289590661</v>
      </c>
      <c r="AD26" s="3">
        <f>Table_socioeca8.sandag.org_abm2_trb[[#This Row],[passenger_mile_EV]]</f>
        <v>1704.783022784464</v>
      </c>
      <c r="AE26" s="5">
        <f>Table_socioeca8.sandag.org_abm2_trb[[#This Row],[mode_transit_route_id]]</f>
        <v>29</v>
      </c>
      <c r="AF26"/>
    </row>
    <row r="27" spans="1:32" x14ac:dyDescent="0.25">
      <c r="E27" s="47">
        <f t="shared" si="0"/>
        <v>259</v>
      </c>
      <c r="F27" s="47">
        <v>2</v>
      </c>
      <c r="G27" s="263">
        <f>IFERROR(VLOOKUP(Table_socioeca8.sandag.org_abm2_trb[[#This Row],[route]],[2]transit_general!$B$2:$M$139,3,FALSE),0)</f>
        <v>79.491659999999996</v>
      </c>
      <c r="H27" s="263">
        <f>IFERROR(VLOOKUP(Table_socioeca8.sandag.org_abm2_trb[[#This Row],[route]],[2]transit_general!$B$2:$M$139,4,FALSE),0)</f>
        <v>483.30946899999998</v>
      </c>
      <c r="I27" s="263">
        <f>IFERROR(VLOOKUP(Table_socioeca8.sandag.org_abm2_trb[[#This Row],[route]],[2]transit_general!$B$2:$M$139,5,FALSE),0)</f>
        <v>838.20710599999995</v>
      </c>
      <c r="J27" s="263">
        <f>IFERROR(VLOOKUP(Table_socioeca8.sandag.org_abm2_trb[[#This Row],[route]],[2]transit_general!$B$2:$M$139,6,FALSE),0)</f>
        <v>748.30210499999998</v>
      </c>
      <c r="K27" s="263">
        <f>IFERROR(VLOOKUP(Table_socioeca8.sandag.org_abm2_trb[[#This Row],[route]],[2]transit_general!$B$2:$M$139,7,FALSE),0)</f>
        <v>418.30136599999997</v>
      </c>
      <c r="L27" s="263">
        <f>IFERROR(VLOOKUP(Table_socioeca8.sandag.org_abm2_trb[[#This Row],[route]],[2]transit_general!$B$2:$M$139,8,FALSE),0)</f>
        <v>192.62251881968101</v>
      </c>
      <c r="M27" s="263">
        <f>IFERROR(VLOOKUP(Table_socioeca8.sandag.org_abm2_trb[[#This Row],[route]],[2]transit_general!$B$2:$M$139,9,FALSE),0)</f>
        <v>1007.554707767349</v>
      </c>
      <c r="N27" s="263">
        <f>IFERROR(VLOOKUP(Table_socioeca8.sandag.org_abm2_trb[[#This Row],[route]],[2]transit_general!$B$2:$M$139,10,FALSE),0)</f>
        <v>1819.6814724132221</v>
      </c>
      <c r="O27" s="263">
        <f>IFERROR(VLOOKUP(Table_socioeca8.sandag.org_abm2_trb[[#This Row],[route]],[2]transit_general!$B$2:$M$139,11,FALSE),0)</f>
        <v>1676.1958407646091</v>
      </c>
      <c r="P27" s="263">
        <f>IFERROR(VLOOKUP(Table_socioeca8.sandag.org_abm2_trb[[#This Row],[route]],[2]transit_general!$B$2:$M$139,12,FALSE),0)</f>
        <v>910.51299017159704</v>
      </c>
      <c r="Q27" s="263">
        <f>IFERROR(VLOOKUP(Table_socioeca8.sandag.org_abm2_trb[[#This Row],[route]],[2]transit_general!$B$2:$M$139,2,FALSE),0)</f>
        <v>29</v>
      </c>
      <c r="S27" s="5">
        <f>Table_socioeca8.sandag.org_abm2_trb[[#This Row],[scenario_id]]</f>
        <v>259</v>
      </c>
      <c r="T27" s="5">
        <f>Table_socioeca8.sandag.org_abm2_trb[[#This Row],[route]]</f>
        <v>2</v>
      </c>
      <c r="U27" s="3">
        <f>Table_socioeca8.sandag.org_abm2_trb[[#This Row],[boarding_EA]]</f>
        <v>79.491659999999996</v>
      </c>
      <c r="V27" s="3">
        <f>Table_socioeca8.sandag.org_abm2_trb[[#This Row],[boarding_AM]]</f>
        <v>483.30946899999998</v>
      </c>
      <c r="W27" s="3">
        <f>Table_socioeca8.sandag.org_abm2_trb[[#This Row],[boarding_MD]]</f>
        <v>838.20710599999995</v>
      </c>
      <c r="X27" s="3">
        <f>Table_socioeca8.sandag.org_abm2_trb[[#This Row],[boarding_PM]]</f>
        <v>748.30210499999998</v>
      </c>
      <c r="Y27" s="3">
        <f>Table_socioeca8.sandag.org_abm2_trb[[#This Row],[boarding_EV]]</f>
        <v>418.30136599999997</v>
      </c>
      <c r="Z27" s="3">
        <f>Table_socioeca8.sandag.org_abm2_trb[[#This Row],[passenger_mile_EA]]</f>
        <v>192.62251881968101</v>
      </c>
      <c r="AA27" s="3">
        <f>Table_socioeca8.sandag.org_abm2_trb[[#This Row],[passenger_mile_AM]]</f>
        <v>1007.554707767349</v>
      </c>
      <c r="AB27" s="3">
        <f>Table_socioeca8.sandag.org_abm2_trb[[#This Row],[passenger_mile_MD]]</f>
        <v>1819.6814724132221</v>
      </c>
      <c r="AC27" s="3">
        <f>Table_socioeca8.sandag.org_abm2_trb[[#This Row],[passenger_mile_PM]]</f>
        <v>1676.1958407646091</v>
      </c>
      <c r="AD27" s="3">
        <f>Table_socioeca8.sandag.org_abm2_trb[[#This Row],[passenger_mile_EV]]</f>
        <v>910.51299017159704</v>
      </c>
      <c r="AE27" s="5">
        <f>Table_socioeca8.sandag.org_abm2_trb[[#This Row],[mode_transit_route_id]]</f>
        <v>29</v>
      </c>
      <c r="AF27"/>
    </row>
    <row r="28" spans="1:32" x14ac:dyDescent="0.25">
      <c r="E28" s="47">
        <f t="shared" si="0"/>
        <v>259</v>
      </c>
      <c r="F28" s="47">
        <v>3</v>
      </c>
      <c r="G28" s="263">
        <f>IFERROR(VLOOKUP(Table_socioeca8.sandag.org_abm2_trb[[#This Row],[route]],[2]transit_general!$B$2:$M$139,3,FALSE),0)</f>
        <v>127.03397200000001</v>
      </c>
      <c r="H28" s="263">
        <f>IFERROR(VLOOKUP(Table_socioeca8.sandag.org_abm2_trb[[#This Row],[route]],[2]transit_general!$B$2:$M$139,4,FALSE),0)</f>
        <v>505.85256399999997</v>
      </c>
      <c r="I28" s="263">
        <f>IFERROR(VLOOKUP(Table_socioeca8.sandag.org_abm2_trb[[#This Row],[route]],[2]transit_general!$B$2:$M$139,5,FALSE),0)</f>
        <v>1022.226621</v>
      </c>
      <c r="J28" s="263">
        <f>IFERROR(VLOOKUP(Table_socioeca8.sandag.org_abm2_trb[[#This Row],[route]],[2]transit_general!$B$2:$M$139,6,FALSE),0)</f>
        <v>696.67235800000003</v>
      </c>
      <c r="K28" s="263">
        <f>IFERROR(VLOOKUP(Table_socioeca8.sandag.org_abm2_trb[[#This Row],[route]],[2]transit_general!$B$2:$M$139,7,FALSE),0)</f>
        <v>455.95483400000001</v>
      </c>
      <c r="L28" s="263">
        <f>IFERROR(VLOOKUP(Table_socioeca8.sandag.org_abm2_trb[[#This Row],[route]],[2]transit_general!$B$2:$M$139,8,FALSE),0)</f>
        <v>361.25228923905303</v>
      </c>
      <c r="M28" s="263">
        <f>IFERROR(VLOOKUP(Table_socioeca8.sandag.org_abm2_trb[[#This Row],[route]],[2]transit_general!$B$2:$M$139,9,FALSE),0)</f>
        <v>1191.0205680066949</v>
      </c>
      <c r="N28" s="263">
        <f>IFERROR(VLOOKUP(Table_socioeca8.sandag.org_abm2_trb[[#This Row],[route]],[2]transit_general!$B$2:$M$139,10,FALSE),0)</f>
        <v>2309.6372441011031</v>
      </c>
      <c r="O28" s="263">
        <f>IFERROR(VLOOKUP(Table_socioeca8.sandag.org_abm2_trb[[#This Row],[route]],[2]transit_general!$B$2:$M$139,11,FALSE),0)</f>
        <v>1569.0172967891151</v>
      </c>
      <c r="P28" s="263">
        <f>IFERROR(VLOOKUP(Table_socioeca8.sandag.org_abm2_trb[[#This Row],[route]],[2]transit_general!$B$2:$M$139,12,FALSE),0)</f>
        <v>1022.019220671109</v>
      </c>
      <c r="Q28" s="263">
        <f>IFERROR(VLOOKUP(Table_socioeca8.sandag.org_abm2_trb[[#This Row],[route]],[2]transit_general!$B$2:$M$139,2,FALSE),0)</f>
        <v>29</v>
      </c>
      <c r="S28" s="5">
        <f>Table_socioeca8.sandag.org_abm2_trb[[#This Row],[scenario_id]]</f>
        <v>259</v>
      </c>
      <c r="T28" s="5">
        <f>Table_socioeca8.sandag.org_abm2_trb[[#This Row],[route]]</f>
        <v>3</v>
      </c>
      <c r="U28" s="3">
        <f>Table_socioeca8.sandag.org_abm2_trb[[#This Row],[boarding_EA]]</f>
        <v>127.03397200000001</v>
      </c>
      <c r="V28" s="3">
        <f>Table_socioeca8.sandag.org_abm2_trb[[#This Row],[boarding_AM]]</f>
        <v>505.85256399999997</v>
      </c>
      <c r="W28" s="3">
        <f>Table_socioeca8.sandag.org_abm2_trb[[#This Row],[boarding_MD]]</f>
        <v>1022.226621</v>
      </c>
      <c r="X28" s="3">
        <f>Table_socioeca8.sandag.org_abm2_trb[[#This Row],[boarding_PM]]</f>
        <v>696.67235800000003</v>
      </c>
      <c r="Y28" s="3">
        <f>Table_socioeca8.sandag.org_abm2_trb[[#This Row],[boarding_EV]]</f>
        <v>455.95483400000001</v>
      </c>
      <c r="Z28" s="3">
        <f>Table_socioeca8.sandag.org_abm2_trb[[#This Row],[passenger_mile_EA]]</f>
        <v>361.25228923905303</v>
      </c>
      <c r="AA28" s="3">
        <f>Table_socioeca8.sandag.org_abm2_trb[[#This Row],[passenger_mile_AM]]</f>
        <v>1191.0205680066949</v>
      </c>
      <c r="AB28" s="3">
        <f>Table_socioeca8.sandag.org_abm2_trb[[#This Row],[passenger_mile_MD]]</f>
        <v>2309.6372441011031</v>
      </c>
      <c r="AC28" s="3">
        <f>Table_socioeca8.sandag.org_abm2_trb[[#This Row],[passenger_mile_PM]]</f>
        <v>1569.0172967891151</v>
      </c>
      <c r="AD28" s="3">
        <f>Table_socioeca8.sandag.org_abm2_trb[[#This Row],[passenger_mile_EV]]</f>
        <v>1022.019220671109</v>
      </c>
      <c r="AE28" s="5">
        <f>Table_socioeca8.sandag.org_abm2_trb[[#This Row],[mode_transit_route_id]]</f>
        <v>29</v>
      </c>
      <c r="AF28"/>
    </row>
    <row r="29" spans="1:32" x14ac:dyDescent="0.25">
      <c r="E29" s="47">
        <f t="shared" si="0"/>
        <v>259</v>
      </c>
      <c r="F29" s="47">
        <v>4</v>
      </c>
      <c r="G29" s="263">
        <f>IFERROR(VLOOKUP(Table_socioeca8.sandag.org_abm2_trb[[#This Row],[route]],[2]transit_general!$B$2:$M$139,3,FALSE),0)</f>
        <v>41.510517</v>
      </c>
      <c r="H29" s="263">
        <f>IFERROR(VLOOKUP(Table_socioeca8.sandag.org_abm2_trb[[#This Row],[route]],[2]transit_general!$B$2:$M$139,4,FALSE),0)</f>
        <v>146.923607</v>
      </c>
      <c r="I29" s="263">
        <f>IFERROR(VLOOKUP(Table_socioeca8.sandag.org_abm2_trb[[#This Row],[route]],[2]transit_general!$B$2:$M$139,5,FALSE),0)</f>
        <v>403.81258700000001</v>
      </c>
      <c r="J29" s="263">
        <f>IFERROR(VLOOKUP(Table_socioeca8.sandag.org_abm2_trb[[#This Row],[route]],[2]transit_general!$B$2:$M$139,6,FALSE),0)</f>
        <v>293.07685300000003</v>
      </c>
      <c r="K29" s="263">
        <f>IFERROR(VLOOKUP(Table_socioeca8.sandag.org_abm2_trb[[#This Row],[route]],[2]transit_general!$B$2:$M$139,7,FALSE),0)</f>
        <v>204.02490599999999</v>
      </c>
      <c r="L29" s="263">
        <f>IFERROR(VLOOKUP(Table_socioeca8.sandag.org_abm2_trb[[#This Row],[route]],[2]transit_general!$B$2:$M$139,8,FALSE),0)</f>
        <v>171.529204147173</v>
      </c>
      <c r="M29" s="263">
        <f>IFERROR(VLOOKUP(Table_socioeca8.sandag.org_abm2_trb[[#This Row],[route]],[2]transit_general!$B$2:$M$139,9,FALSE),0)</f>
        <v>430.05863227514902</v>
      </c>
      <c r="N29" s="263">
        <f>IFERROR(VLOOKUP(Table_socioeca8.sandag.org_abm2_trb[[#This Row],[route]],[2]transit_general!$B$2:$M$139,10,FALSE),0)</f>
        <v>1188.60338737799</v>
      </c>
      <c r="O29" s="263">
        <f>IFERROR(VLOOKUP(Table_socioeca8.sandag.org_abm2_trb[[#This Row],[route]],[2]transit_general!$B$2:$M$139,11,FALSE),0)</f>
        <v>837.91632862449899</v>
      </c>
      <c r="P29" s="263">
        <f>IFERROR(VLOOKUP(Table_socioeca8.sandag.org_abm2_trb[[#This Row],[route]],[2]transit_general!$B$2:$M$139,12,FALSE),0)</f>
        <v>686.77830833276005</v>
      </c>
      <c r="Q29" s="263">
        <f>IFERROR(VLOOKUP(Table_socioeca8.sandag.org_abm2_trb[[#This Row],[route]],[2]transit_general!$B$2:$M$139,2,FALSE),0)</f>
        <v>29</v>
      </c>
      <c r="S29" s="5">
        <f>Table_socioeca8.sandag.org_abm2_trb[[#This Row],[scenario_id]]</f>
        <v>259</v>
      </c>
      <c r="T29" s="5">
        <f>Table_socioeca8.sandag.org_abm2_trb[[#This Row],[route]]</f>
        <v>4</v>
      </c>
      <c r="U29" s="3">
        <f>Table_socioeca8.sandag.org_abm2_trb[[#This Row],[boarding_EA]]</f>
        <v>41.510517</v>
      </c>
      <c r="V29" s="3">
        <f>Table_socioeca8.sandag.org_abm2_trb[[#This Row],[boarding_AM]]</f>
        <v>146.923607</v>
      </c>
      <c r="W29" s="3">
        <f>Table_socioeca8.sandag.org_abm2_trb[[#This Row],[boarding_MD]]</f>
        <v>403.81258700000001</v>
      </c>
      <c r="X29" s="3">
        <f>Table_socioeca8.sandag.org_abm2_trb[[#This Row],[boarding_PM]]</f>
        <v>293.07685300000003</v>
      </c>
      <c r="Y29" s="3">
        <f>Table_socioeca8.sandag.org_abm2_trb[[#This Row],[boarding_EV]]</f>
        <v>204.02490599999999</v>
      </c>
      <c r="Z29" s="3">
        <f>Table_socioeca8.sandag.org_abm2_trb[[#This Row],[passenger_mile_EA]]</f>
        <v>171.529204147173</v>
      </c>
      <c r="AA29" s="3">
        <f>Table_socioeca8.sandag.org_abm2_trb[[#This Row],[passenger_mile_AM]]</f>
        <v>430.05863227514902</v>
      </c>
      <c r="AB29" s="3">
        <f>Table_socioeca8.sandag.org_abm2_trb[[#This Row],[passenger_mile_MD]]</f>
        <v>1188.60338737799</v>
      </c>
      <c r="AC29" s="3">
        <f>Table_socioeca8.sandag.org_abm2_trb[[#This Row],[passenger_mile_PM]]</f>
        <v>837.91632862449899</v>
      </c>
      <c r="AD29" s="3">
        <f>Table_socioeca8.sandag.org_abm2_trb[[#This Row],[passenger_mile_EV]]</f>
        <v>686.77830833276005</v>
      </c>
      <c r="AE29" s="5">
        <f>Table_socioeca8.sandag.org_abm2_trb[[#This Row],[mode_transit_route_id]]</f>
        <v>29</v>
      </c>
      <c r="AF29"/>
    </row>
    <row r="30" spans="1:32" x14ac:dyDescent="0.25">
      <c r="E30" s="47">
        <f t="shared" si="0"/>
        <v>259</v>
      </c>
      <c r="F30" s="47">
        <v>5</v>
      </c>
      <c r="G30" s="263">
        <f>IFERROR(VLOOKUP(Table_socioeca8.sandag.org_abm2_trb[[#This Row],[route]],[2]transit_general!$B$2:$M$139,3,FALSE),0)</f>
        <v>50.322212</v>
      </c>
      <c r="H30" s="263">
        <f>IFERROR(VLOOKUP(Table_socioeca8.sandag.org_abm2_trb[[#This Row],[route]],[2]transit_general!$B$2:$M$139,4,FALSE),0)</f>
        <v>288.53101900000001</v>
      </c>
      <c r="I30" s="263">
        <f>IFERROR(VLOOKUP(Table_socioeca8.sandag.org_abm2_trb[[#This Row],[route]],[2]transit_general!$B$2:$M$139,5,FALSE),0)</f>
        <v>574.91911500000003</v>
      </c>
      <c r="J30" s="263">
        <f>IFERROR(VLOOKUP(Table_socioeca8.sandag.org_abm2_trb[[#This Row],[route]],[2]transit_general!$B$2:$M$139,6,FALSE),0)</f>
        <v>395.872367</v>
      </c>
      <c r="K30" s="263">
        <f>IFERROR(VLOOKUP(Table_socioeca8.sandag.org_abm2_trb[[#This Row],[route]],[2]transit_general!$B$2:$M$139,7,FALSE),0)</f>
        <v>237.32362599999999</v>
      </c>
      <c r="L30" s="263">
        <f>IFERROR(VLOOKUP(Table_socioeca8.sandag.org_abm2_trb[[#This Row],[route]],[2]transit_general!$B$2:$M$139,8,FALSE),0)</f>
        <v>109.716488577444</v>
      </c>
      <c r="M30" s="263">
        <f>IFERROR(VLOOKUP(Table_socioeca8.sandag.org_abm2_trb[[#This Row],[route]],[2]transit_general!$B$2:$M$139,9,FALSE),0)</f>
        <v>684.98483457825103</v>
      </c>
      <c r="N30" s="263">
        <f>IFERROR(VLOOKUP(Table_socioeca8.sandag.org_abm2_trb[[#This Row],[route]],[2]transit_general!$B$2:$M$139,10,FALSE),0)</f>
        <v>1384.2679113647221</v>
      </c>
      <c r="O30" s="263">
        <f>IFERROR(VLOOKUP(Table_socioeca8.sandag.org_abm2_trb[[#This Row],[route]],[2]transit_general!$B$2:$M$139,11,FALSE),0)</f>
        <v>887.58965350292499</v>
      </c>
      <c r="P30" s="263">
        <f>IFERROR(VLOOKUP(Table_socioeca8.sandag.org_abm2_trb[[#This Row],[route]],[2]transit_general!$B$2:$M$139,12,FALSE),0)</f>
        <v>519.41237684893099</v>
      </c>
      <c r="Q30" s="263">
        <f>IFERROR(VLOOKUP(Table_socioeca8.sandag.org_abm2_trb[[#This Row],[route]],[2]transit_general!$B$2:$M$139,2,FALSE),0)</f>
        <v>29</v>
      </c>
      <c r="S30" s="5">
        <f>Table_socioeca8.sandag.org_abm2_trb[[#This Row],[scenario_id]]</f>
        <v>259</v>
      </c>
      <c r="T30" s="5">
        <f>Table_socioeca8.sandag.org_abm2_trb[[#This Row],[route]]</f>
        <v>5</v>
      </c>
      <c r="U30" s="3">
        <f>Table_socioeca8.sandag.org_abm2_trb[[#This Row],[boarding_EA]]</f>
        <v>50.322212</v>
      </c>
      <c r="V30" s="3">
        <f>Table_socioeca8.sandag.org_abm2_trb[[#This Row],[boarding_AM]]</f>
        <v>288.53101900000001</v>
      </c>
      <c r="W30" s="3">
        <f>Table_socioeca8.sandag.org_abm2_trb[[#This Row],[boarding_MD]]</f>
        <v>574.91911500000003</v>
      </c>
      <c r="X30" s="3">
        <f>Table_socioeca8.sandag.org_abm2_trb[[#This Row],[boarding_PM]]</f>
        <v>395.872367</v>
      </c>
      <c r="Y30" s="3">
        <f>Table_socioeca8.sandag.org_abm2_trb[[#This Row],[boarding_EV]]</f>
        <v>237.32362599999999</v>
      </c>
      <c r="Z30" s="3">
        <f>Table_socioeca8.sandag.org_abm2_trb[[#This Row],[passenger_mile_EA]]</f>
        <v>109.716488577444</v>
      </c>
      <c r="AA30" s="3">
        <f>Table_socioeca8.sandag.org_abm2_trb[[#This Row],[passenger_mile_AM]]</f>
        <v>684.98483457825103</v>
      </c>
      <c r="AB30" s="3">
        <f>Table_socioeca8.sandag.org_abm2_trb[[#This Row],[passenger_mile_MD]]</f>
        <v>1384.2679113647221</v>
      </c>
      <c r="AC30" s="3">
        <f>Table_socioeca8.sandag.org_abm2_trb[[#This Row],[passenger_mile_PM]]</f>
        <v>887.58965350292499</v>
      </c>
      <c r="AD30" s="3">
        <f>Table_socioeca8.sandag.org_abm2_trb[[#This Row],[passenger_mile_EV]]</f>
        <v>519.41237684893099</v>
      </c>
      <c r="AE30" s="5">
        <f>Table_socioeca8.sandag.org_abm2_trb[[#This Row],[mode_transit_route_id]]</f>
        <v>29</v>
      </c>
      <c r="AF30"/>
    </row>
    <row r="31" spans="1:32" x14ac:dyDescent="0.25">
      <c r="E31" s="47">
        <f t="shared" si="0"/>
        <v>259</v>
      </c>
      <c r="F31" s="47">
        <v>6</v>
      </c>
      <c r="G31" s="263">
        <f>IFERROR(VLOOKUP(Table_socioeca8.sandag.org_abm2_trb[[#This Row],[route]],[2]transit_general!$B$2:$M$139,3,FALSE),0)</f>
        <v>80.204154000000003</v>
      </c>
      <c r="H31" s="263">
        <f>IFERROR(VLOOKUP(Table_socioeca8.sandag.org_abm2_trb[[#This Row],[route]],[2]transit_general!$B$2:$M$139,4,FALSE),0)</f>
        <v>477.69708000000003</v>
      </c>
      <c r="I31" s="263">
        <f>IFERROR(VLOOKUP(Table_socioeca8.sandag.org_abm2_trb[[#This Row],[route]],[2]transit_general!$B$2:$M$139,5,FALSE),0)</f>
        <v>992.33434</v>
      </c>
      <c r="J31" s="263">
        <f>IFERROR(VLOOKUP(Table_socioeca8.sandag.org_abm2_trb[[#This Row],[route]],[2]transit_general!$B$2:$M$139,6,FALSE),0)</f>
        <v>736.44446400000004</v>
      </c>
      <c r="K31" s="263">
        <f>IFERROR(VLOOKUP(Table_socioeca8.sandag.org_abm2_trb[[#This Row],[route]],[2]transit_general!$B$2:$M$139,7,FALSE),0)</f>
        <v>395.65986900000001</v>
      </c>
      <c r="L31" s="263">
        <f>IFERROR(VLOOKUP(Table_socioeca8.sandag.org_abm2_trb[[#This Row],[route]],[2]transit_general!$B$2:$M$139,8,FALSE),0)</f>
        <v>186.37382660758601</v>
      </c>
      <c r="M31" s="263">
        <f>IFERROR(VLOOKUP(Table_socioeca8.sandag.org_abm2_trb[[#This Row],[route]],[2]transit_general!$B$2:$M$139,9,FALSE),0)</f>
        <v>958.16192622829999</v>
      </c>
      <c r="N31" s="263">
        <f>IFERROR(VLOOKUP(Table_socioeca8.sandag.org_abm2_trb[[#This Row],[route]],[2]transit_general!$B$2:$M$139,10,FALSE),0)</f>
        <v>1863.7635817132179</v>
      </c>
      <c r="O31" s="263">
        <f>IFERROR(VLOOKUP(Table_socioeca8.sandag.org_abm2_trb[[#This Row],[route]],[2]transit_general!$B$2:$M$139,11,FALSE),0)</f>
        <v>1360.7539479040529</v>
      </c>
      <c r="P31" s="263">
        <f>IFERROR(VLOOKUP(Table_socioeca8.sandag.org_abm2_trb[[#This Row],[route]],[2]transit_general!$B$2:$M$139,12,FALSE),0)</f>
        <v>802.19360461246004</v>
      </c>
      <c r="Q31" s="263">
        <f>IFERROR(VLOOKUP(Table_socioeca8.sandag.org_abm2_trb[[#This Row],[route]],[2]transit_general!$B$2:$M$139,2,FALSE),0)</f>
        <v>29</v>
      </c>
      <c r="S31" s="5">
        <f>Table_socioeca8.sandag.org_abm2_trb[[#This Row],[scenario_id]]</f>
        <v>259</v>
      </c>
      <c r="T31" s="5">
        <f>Table_socioeca8.sandag.org_abm2_trb[[#This Row],[route]]</f>
        <v>6</v>
      </c>
      <c r="U31" s="3">
        <f>Table_socioeca8.sandag.org_abm2_trb[[#This Row],[boarding_EA]]</f>
        <v>80.204154000000003</v>
      </c>
      <c r="V31" s="3">
        <f>Table_socioeca8.sandag.org_abm2_trb[[#This Row],[boarding_AM]]</f>
        <v>477.69708000000003</v>
      </c>
      <c r="W31" s="3">
        <f>Table_socioeca8.sandag.org_abm2_trb[[#This Row],[boarding_MD]]</f>
        <v>992.33434</v>
      </c>
      <c r="X31" s="3">
        <f>Table_socioeca8.sandag.org_abm2_trb[[#This Row],[boarding_PM]]</f>
        <v>736.44446400000004</v>
      </c>
      <c r="Y31" s="3">
        <f>Table_socioeca8.sandag.org_abm2_trb[[#This Row],[boarding_EV]]</f>
        <v>395.65986900000001</v>
      </c>
      <c r="Z31" s="3">
        <f>Table_socioeca8.sandag.org_abm2_trb[[#This Row],[passenger_mile_EA]]</f>
        <v>186.37382660758601</v>
      </c>
      <c r="AA31" s="3">
        <f>Table_socioeca8.sandag.org_abm2_trb[[#This Row],[passenger_mile_AM]]</f>
        <v>958.16192622829999</v>
      </c>
      <c r="AB31" s="3">
        <f>Table_socioeca8.sandag.org_abm2_trb[[#This Row],[passenger_mile_MD]]</f>
        <v>1863.7635817132179</v>
      </c>
      <c r="AC31" s="3">
        <f>Table_socioeca8.sandag.org_abm2_trb[[#This Row],[passenger_mile_PM]]</f>
        <v>1360.7539479040529</v>
      </c>
      <c r="AD31" s="3">
        <f>Table_socioeca8.sandag.org_abm2_trb[[#This Row],[passenger_mile_EV]]</f>
        <v>802.19360461246004</v>
      </c>
      <c r="AE31" s="5">
        <f>Table_socioeca8.sandag.org_abm2_trb[[#This Row],[mode_transit_route_id]]</f>
        <v>29</v>
      </c>
      <c r="AF31"/>
    </row>
    <row r="32" spans="1:32" x14ac:dyDescent="0.25">
      <c r="E32" s="47">
        <f t="shared" si="0"/>
        <v>259</v>
      </c>
      <c r="F32" s="47">
        <v>7</v>
      </c>
      <c r="G32" s="263">
        <f>IFERROR(VLOOKUP(Table_socioeca8.sandag.org_abm2_trb[[#This Row],[route]],[2]transit_general!$B$2:$M$139,3,FALSE),0)</f>
        <v>262.66648199999997</v>
      </c>
      <c r="H32" s="263">
        <f>IFERROR(VLOOKUP(Table_socioeca8.sandag.org_abm2_trb[[#This Row],[route]],[2]transit_general!$B$2:$M$139,4,FALSE),0)</f>
        <v>1330.7456589999999</v>
      </c>
      <c r="I32" s="263">
        <f>IFERROR(VLOOKUP(Table_socioeca8.sandag.org_abm2_trb[[#This Row],[route]],[2]transit_general!$B$2:$M$139,5,FALSE),0)</f>
        <v>2517.3924390000002</v>
      </c>
      <c r="J32" s="263">
        <f>IFERROR(VLOOKUP(Table_socioeca8.sandag.org_abm2_trb[[#This Row],[route]],[2]transit_general!$B$2:$M$139,6,FALSE),0)</f>
        <v>2218.910363</v>
      </c>
      <c r="K32" s="263">
        <f>IFERROR(VLOOKUP(Table_socioeca8.sandag.org_abm2_trb[[#This Row],[route]],[2]transit_general!$B$2:$M$139,7,FALSE),0)</f>
        <v>1140.7041340000001</v>
      </c>
      <c r="L32" s="263">
        <f>IFERROR(VLOOKUP(Table_socioeca8.sandag.org_abm2_trb[[#This Row],[route]],[2]transit_general!$B$2:$M$139,8,FALSE),0)</f>
        <v>968.42394075814195</v>
      </c>
      <c r="M32" s="263">
        <f>IFERROR(VLOOKUP(Table_socioeca8.sandag.org_abm2_trb[[#This Row],[route]],[2]transit_general!$B$2:$M$139,9,FALSE),0)</f>
        <v>4360.9730082230099</v>
      </c>
      <c r="N32" s="263">
        <f>IFERROR(VLOOKUP(Table_socioeca8.sandag.org_abm2_trb[[#This Row],[route]],[2]transit_general!$B$2:$M$139,10,FALSE),0)</f>
        <v>7636.5099415612176</v>
      </c>
      <c r="O32" s="263">
        <f>IFERROR(VLOOKUP(Table_socioeca8.sandag.org_abm2_trb[[#This Row],[route]],[2]transit_general!$B$2:$M$139,11,FALSE),0)</f>
        <v>6997.203013187429</v>
      </c>
      <c r="P32" s="263">
        <f>IFERROR(VLOOKUP(Table_socioeca8.sandag.org_abm2_trb[[#This Row],[route]],[2]transit_general!$B$2:$M$139,12,FALSE),0)</f>
        <v>3354.1315547234221</v>
      </c>
      <c r="Q32" s="263">
        <f>IFERROR(VLOOKUP(Table_socioeca8.sandag.org_abm2_trb[[#This Row],[route]],[2]transit_general!$B$2:$M$139,2,FALSE),0)</f>
        <v>29</v>
      </c>
      <c r="S32" s="5">
        <f>Table_socioeca8.sandag.org_abm2_trb[[#This Row],[scenario_id]]</f>
        <v>259</v>
      </c>
      <c r="T32" s="5">
        <f>Table_socioeca8.sandag.org_abm2_trb[[#This Row],[route]]</f>
        <v>7</v>
      </c>
      <c r="U32" s="3">
        <f>Table_socioeca8.sandag.org_abm2_trb[[#This Row],[boarding_EA]]</f>
        <v>262.66648199999997</v>
      </c>
      <c r="V32" s="3">
        <f>Table_socioeca8.sandag.org_abm2_trb[[#This Row],[boarding_AM]]</f>
        <v>1330.7456589999999</v>
      </c>
      <c r="W32" s="3">
        <f>Table_socioeca8.sandag.org_abm2_trb[[#This Row],[boarding_MD]]</f>
        <v>2517.3924390000002</v>
      </c>
      <c r="X32" s="3">
        <f>Table_socioeca8.sandag.org_abm2_trb[[#This Row],[boarding_PM]]</f>
        <v>2218.910363</v>
      </c>
      <c r="Y32" s="3">
        <f>Table_socioeca8.sandag.org_abm2_trb[[#This Row],[boarding_EV]]</f>
        <v>1140.7041340000001</v>
      </c>
      <c r="Z32" s="3">
        <f>Table_socioeca8.sandag.org_abm2_trb[[#This Row],[passenger_mile_EA]]</f>
        <v>968.42394075814195</v>
      </c>
      <c r="AA32" s="3">
        <f>Table_socioeca8.sandag.org_abm2_trb[[#This Row],[passenger_mile_AM]]</f>
        <v>4360.9730082230099</v>
      </c>
      <c r="AB32" s="3">
        <f>Table_socioeca8.sandag.org_abm2_trb[[#This Row],[passenger_mile_MD]]</f>
        <v>7636.5099415612176</v>
      </c>
      <c r="AC32" s="3">
        <f>Table_socioeca8.sandag.org_abm2_trb[[#This Row],[passenger_mile_PM]]</f>
        <v>6997.203013187429</v>
      </c>
      <c r="AD32" s="3">
        <f>Table_socioeca8.sandag.org_abm2_trb[[#This Row],[passenger_mile_EV]]</f>
        <v>3354.1315547234221</v>
      </c>
      <c r="AE32" s="5">
        <f>Table_socioeca8.sandag.org_abm2_trb[[#This Row],[mode_transit_route_id]]</f>
        <v>29</v>
      </c>
      <c r="AF32"/>
    </row>
    <row r="33" spans="5:32" x14ac:dyDescent="0.25">
      <c r="E33" s="47">
        <f t="shared" si="0"/>
        <v>259</v>
      </c>
      <c r="F33" s="47">
        <v>8</v>
      </c>
      <c r="G33" s="263">
        <f>IFERROR(VLOOKUP(Table_socioeca8.sandag.org_abm2_trb[[#This Row],[route]],[2]transit_general!$B$2:$M$139,3,FALSE),0)</f>
        <v>14.290800000000001</v>
      </c>
      <c r="H33" s="263">
        <f>IFERROR(VLOOKUP(Table_socioeca8.sandag.org_abm2_trb[[#This Row],[route]],[2]transit_general!$B$2:$M$139,4,FALSE),0)</f>
        <v>79.724562000000006</v>
      </c>
      <c r="I33" s="263">
        <f>IFERROR(VLOOKUP(Table_socioeca8.sandag.org_abm2_trb[[#This Row],[route]],[2]transit_general!$B$2:$M$139,5,FALSE),0)</f>
        <v>192.762373</v>
      </c>
      <c r="J33" s="263">
        <f>IFERROR(VLOOKUP(Table_socioeca8.sandag.org_abm2_trb[[#This Row],[route]],[2]transit_general!$B$2:$M$139,6,FALSE),0)</f>
        <v>168.18568999999999</v>
      </c>
      <c r="K33" s="263">
        <f>IFERROR(VLOOKUP(Table_socioeca8.sandag.org_abm2_trb[[#This Row],[route]],[2]transit_general!$B$2:$M$139,7,FALSE),0)</f>
        <v>92.498653000000004</v>
      </c>
      <c r="L33" s="263">
        <f>IFERROR(VLOOKUP(Table_socioeca8.sandag.org_abm2_trb[[#This Row],[route]],[2]transit_general!$B$2:$M$139,8,FALSE),0)</f>
        <v>44.443785119692997</v>
      </c>
      <c r="M33" s="263">
        <f>IFERROR(VLOOKUP(Table_socioeca8.sandag.org_abm2_trb[[#This Row],[route]],[2]transit_general!$B$2:$M$139,9,FALSE),0)</f>
        <v>223.92655715434699</v>
      </c>
      <c r="N33" s="263">
        <f>IFERROR(VLOOKUP(Table_socioeca8.sandag.org_abm2_trb[[#This Row],[route]],[2]transit_general!$B$2:$M$139,10,FALSE),0)</f>
        <v>501.14763259081798</v>
      </c>
      <c r="O33" s="263">
        <f>IFERROR(VLOOKUP(Table_socioeca8.sandag.org_abm2_trb[[#This Row],[route]],[2]transit_general!$B$2:$M$139,11,FALSE),0)</f>
        <v>491.98246235087998</v>
      </c>
      <c r="P33" s="263">
        <f>IFERROR(VLOOKUP(Table_socioeca8.sandag.org_abm2_trb[[#This Row],[route]],[2]transit_general!$B$2:$M$139,12,FALSE),0)</f>
        <v>262.45616521583497</v>
      </c>
      <c r="Q33" s="263">
        <f>IFERROR(VLOOKUP(Table_socioeca8.sandag.org_abm2_trb[[#This Row],[route]],[2]transit_general!$B$2:$M$139,2,FALSE),0)</f>
        <v>29</v>
      </c>
      <c r="S33" s="5">
        <f>Table_socioeca8.sandag.org_abm2_trb[[#This Row],[scenario_id]]</f>
        <v>259</v>
      </c>
      <c r="T33" s="5">
        <f>Table_socioeca8.sandag.org_abm2_trb[[#This Row],[route]]</f>
        <v>8</v>
      </c>
      <c r="U33" s="3">
        <f>Table_socioeca8.sandag.org_abm2_trb[[#This Row],[boarding_EA]]</f>
        <v>14.290800000000001</v>
      </c>
      <c r="V33" s="3">
        <f>Table_socioeca8.sandag.org_abm2_trb[[#This Row],[boarding_AM]]</f>
        <v>79.724562000000006</v>
      </c>
      <c r="W33" s="3">
        <f>Table_socioeca8.sandag.org_abm2_trb[[#This Row],[boarding_MD]]</f>
        <v>192.762373</v>
      </c>
      <c r="X33" s="3">
        <f>Table_socioeca8.sandag.org_abm2_trb[[#This Row],[boarding_PM]]</f>
        <v>168.18568999999999</v>
      </c>
      <c r="Y33" s="3">
        <f>Table_socioeca8.sandag.org_abm2_trb[[#This Row],[boarding_EV]]</f>
        <v>92.498653000000004</v>
      </c>
      <c r="Z33" s="3">
        <f>Table_socioeca8.sandag.org_abm2_trb[[#This Row],[passenger_mile_EA]]</f>
        <v>44.443785119692997</v>
      </c>
      <c r="AA33" s="3">
        <f>Table_socioeca8.sandag.org_abm2_trb[[#This Row],[passenger_mile_AM]]</f>
        <v>223.92655715434699</v>
      </c>
      <c r="AB33" s="3">
        <f>Table_socioeca8.sandag.org_abm2_trb[[#This Row],[passenger_mile_MD]]</f>
        <v>501.14763259081798</v>
      </c>
      <c r="AC33" s="3">
        <f>Table_socioeca8.sandag.org_abm2_trb[[#This Row],[passenger_mile_PM]]</f>
        <v>491.98246235087998</v>
      </c>
      <c r="AD33" s="3">
        <f>Table_socioeca8.sandag.org_abm2_trb[[#This Row],[passenger_mile_EV]]</f>
        <v>262.45616521583497</v>
      </c>
      <c r="AE33" s="5">
        <f>Table_socioeca8.sandag.org_abm2_trb[[#This Row],[mode_transit_route_id]]</f>
        <v>29</v>
      </c>
      <c r="AF33"/>
    </row>
    <row r="34" spans="5:32" x14ac:dyDescent="0.25">
      <c r="E34" s="47">
        <f t="shared" si="0"/>
        <v>259</v>
      </c>
      <c r="F34" s="47">
        <v>9</v>
      </c>
      <c r="G34" s="263">
        <f>IFERROR(VLOOKUP(Table_socioeca8.sandag.org_abm2_trb[[#This Row],[route]],[2]transit_general!$B$2:$M$139,3,FALSE),0)</f>
        <v>18.176303999999998</v>
      </c>
      <c r="H34" s="263">
        <f>IFERROR(VLOOKUP(Table_socioeca8.sandag.org_abm2_trb[[#This Row],[route]],[2]transit_general!$B$2:$M$139,4,FALSE),0)</f>
        <v>110.615578</v>
      </c>
      <c r="I34" s="263">
        <f>IFERROR(VLOOKUP(Table_socioeca8.sandag.org_abm2_trb[[#This Row],[route]],[2]transit_general!$B$2:$M$139,5,FALSE),0)</f>
        <v>231.26101299999999</v>
      </c>
      <c r="J34" s="263">
        <f>IFERROR(VLOOKUP(Table_socioeca8.sandag.org_abm2_trb[[#This Row],[route]],[2]transit_general!$B$2:$M$139,6,FALSE),0)</f>
        <v>212.371059</v>
      </c>
      <c r="K34" s="263">
        <f>IFERROR(VLOOKUP(Table_socioeca8.sandag.org_abm2_trb[[#This Row],[route]],[2]transit_general!$B$2:$M$139,7,FALSE),0)</f>
        <v>120.16183599999999</v>
      </c>
      <c r="L34" s="263">
        <f>IFERROR(VLOOKUP(Table_socioeca8.sandag.org_abm2_trb[[#This Row],[route]],[2]transit_general!$B$2:$M$139,8,FALSE),0)</f>
        <v>74.617430556634005</v>
      </c>
      <c r="M34" s="263">
        <f>IFERROR(VLOOKUP(Table_socioeca8.sandag.org_abm2_trb[[#This Row],[route]],[2]transit_general!$B$2:$M$139,9,FALSE),0)</f>
        <v>332.85125719043202</v>
      </c>
      <c r="N34" s="263">
        <f>IFERROR(VLOOKUP(Table_socioeca8.sandag.org_abm2_trb[[#This Row],[route]],[2]transit_general!$B$2:$M$139,10,FALSE),0)</f>
        <v>648.52603416872796</v>
      </c>
      <c r="O34" s="263">
        <f>IFERROR(VLOOKUP(Table_socioeca8.sandag.org_abm2_trb[[#This Row],[route]],[2]transit_general!$B$2:$M$139,11,FALSE),0)</f>
        <v>636.55200532755396</v>
      </c>
      <c r="P34" s="263">
        <f>IFERROR(VLOOKUP(Table_socioeca8.sandag.org_abm2_trb[[#This Row],[route]],[2]transit_general!$B$2:$M$139,12,FALSE),0)</f>
        <v>347.70744833037799</v>
      </c>
      <c r="Q34" s="263">
        <f>IFERROR(VLOOKUP(Table_socioeca8.sandag.org_abm2_trb[[#This Row],[route]],[2]transit_general!$B$2:$M$139,2,FALSE),0)</f>
        <v>29</v>
      </c>
      <c r="S34" s="5">
        <f>Table_socioeca8.sandag.org_abm2_trb[[#This Row],[scenario_id]]</f>
        <v>259</v>
      </c>
      <c r="T34" s="5">
        <f>Table_socioeca8.sandag.org_abm2_trb[[#This Row],[route]]</f>
        <v>9</v>
      </c>
      <c r="U34" s="3">
        <f>Table_socioeca8.sandag.org_abm2_trb[[#This Row],[boarding_EA]]</f>
        <v>18.176303999999998</v>
      </c>
      <c r="V34" s="3">
        <f>Table_socioeca8.sandag.org_abm2_trb[[#This Row],[boarding_AM]]</f>
        <v>110.615578</v>
      </c>
      <c r="W34" s="3">
        <f>Table_socioeca8.sandag.org_abm2_trb[[#This Row],[boarding_MD]]</f>
        <v>231.26101299999999</v>
      </c>
      <c r="X34" s="3">
        <f>Table_socioeca8.sandag.org_abm2_trb[[#This Row],[boarding_PM]]</f>
        <v>212.371059</v>
      </c>
      <c r="Y34" s="3">
        <f>Table_socioeca8.sandag.org_abm2_trb[[#This Row],[boarding_EV]]</f>
        <v>120.16183599999999</v>
      </c>
      <c r="Z34" s="3">
        <f>Table_socioeca8.sandag.org_abm2_trb[[#This Row],[passenger_mile_EA]]</f>
        <v>74.617430556634005</v>
      </c>
      <c r="AA34" s="3">
        <f>Table_socioeca8.sandag.org_abm2_trb[[#This Row],[passenger_mile_AM]]</f>
        <v>332.85125719043202</v>
      </c>
      <c r="AB34" s="3">
        <f>Table_socioeca8.sandag.org_abm2_trb[[#This Row],[passenger_mile_MD]]</f>
        <v>648.52603416872796</v>
      </c>
      <c r="AC34" s="3">
        <f>Table_socioeca8.sandag.org_abm2_trb[[#This Row],[passenger_mile_PM]]</f>
        <v>636.55200532755396</v>
      </c>
      <c r="AD34" s="3">
        <f>Table_socioeca8.sandag.org_abm2_trb[[#This Row],[passenger_mile_EV]]</f>
        <v>347.70744833037799</v>
      </c>
      <c r="AE34" s="5">
        <f>Table_socioeca8.sandag.org_abm2_trb[[#This Row],[mode_transit_route_id]]</f>
        <v>29</v>
      </c>
      <c r="AF34"/>
    </row>
    <row r="35" spans="5:32" x14ac:dyDescent="0.25">
      <c r="E35" s="47">
        <f t="shared" si="0"/>
        <v>259</v>
      </c>
      <c r="F35" s="47">
        <v>11</v>
      </c>
      <c r="G35" s="263">
        <f>IFERROR(VLOOKUP(Table_socioeca8.sandag.org_abm2_trb[[#This Row],[route]],[2]transit_general!$B$2:$M$139,3,FALSE),0)</f>
        <v>218.38230300000001</v>
      </c>
      <c r="H35" s="263">
        <f>IFERROR(VLOOKUP(Table_socioeca8.sandag.org_abm2_trb[[#This Row],[route]],[2]transit_general!$B$2:$M$139,4,FALSE),0)</f>
        <v>1189.186391</v>
      </c>
      <c r="I35" s="263">
        <f>IFERROR(VLOOKUP(Table_socioeca8.sandag.org_abm2_trb[[#This Row],[route]],[2]transit_general!$B$2:$M$139,5,FALSE),0)</f>
        <v>2089.8442220000002</v>
      </c>
      <c r="J35" s="263">
        <f>IFERROR(VLOOKUP(Table_socioeca8.sandag.org_abm2_trb[[#This Row],[route]],[2]transit_general!$B$2:$M$139,6,FALSE),0)</f>
        <v>1679.1213949999999</v>
      </c>
      <c r="K35" s="263">
        <f>IFERROR(VLOOKUP(Table_socioeca8.sandag.org_abm2_trb[[#This Row],[route]],[2]transit_general!$B$2:$M$139,7,FALSE),0)</f>
        <v>967.46384899999998</v>
      </c>
      <c r="L35" s="263">
        <f>IFERROR(VLOOKUP(Table_socioeca8.sandag.org_abm2_trb[[#This Row],[route]],[2]transit_general!$B$2:$M$139,8,FALSE),0)</f>
        <v>875.79062350402603</v>
      </c>
      <c r="M35" s="263">
        <f>IFERROR(VLOOKUP(Table_socioeca8.sandag.org_abm2_trb[[#This Row],[route]],[2]transit_general!$B$2:$M$139,9,FALSE),0)</f>
        <v>4134.5817749230491</v>
      </c>
      <c r="N35" s="263">
        <f>IFERROR(VLOOKUP(Table_socioeca8.sandag.org_abm2_trb[[#This Row],[route]],[2]transit_general!$B$2:$M$139,10,FALSE),0)</f>
        <v>6707.3728382044546</v>
      </c>
      <c r="O35" s="263">
        <f>IFERROR(VLOOKUP(Table_socioeca8.sandag.org_abm2_trb[[#This Row],[route]],[2]transit_general!$B$2:$M$139,11,FALSE),0)</f>
        <v>5567.3302527412234</v>
      </c>
      <c r="P35" s="263">
        <f>IFERROR(VLOOKUP(Table_socioeca8.sandag.org_abm2_trb[[#This Row],[route]],[2]transit_general!$B$2:$M$139,12,FALSE),0)</f>
        <v>3168.8757468302551</v>
      </c>
      <c r="Q35" s="263">
        <f>IFERROR(VLOOKUP(Table_socioeca8.sandag.org_abm2_trb[[#This Row],[route]],[2]transit_general!$B$2:$M$139,2,FALSE),0)</f>
        <v>29</v>
      </c>
      <c r="S35" s="5">
        <f>Table_socioeca8.sandag.org_abm2_trb[[#This Row],[scenario_id]]</f>
        <v>259</v>
      </c>
      <c r="T35" s="5">
        <f>Table_socioeca8.sandag.org_abm2_trb[[#This Row],[route]]</f>
        <v>11</v>
      </c>
      <c r="U35" s="3">
        <f>Table_socioeca8.sandag.org_abm2_trb[[#This Row],[boarding_EA]]</f>
        <v>218.38230300000001</v>
      </c>
      <c r="V35" s="3">
        <f>Table_socioeca8.sandag.org_abm2_trb[[#This Row],[boarding_AM]]</f>
        <v>1189.186391</v>
      </c>
      <c r="W35" s="3">
        <f>Table_socioeca8.sandag.org_abm2_trb[[#This Row],[boarding_MD]]</f>
        <v>2089.8442220000002</v>
      </c>
      <c r="X35" s="3">
        <f>Table_socioeca8.sandag.org_abm2_trb[[#This Row],[boarding_PM]]</f>
        <v>1679.1213949999999</v>
      </c>
      <c r="Y35" s="3">
        <f>Table_socioeca8.sandag.org_abm2_trb[[#This Row],[boarding_EV]]</f>
        <v>967.46384899999998</v>
      </c>
      <c r="Z35" s="3">
        <f>Table_socioeca8.sandag.org_abm2_trb[[#This Row],[passenger_mile_EA]]</f>
        <v>875.79062350402603</v>
      </c>
      <c r="AA35" s="3">
        <f>Table_socioeca8.sandag.org_abm2_trb[[#This Row],[passenger_mile_AM]]</f>
        <v>4134.5817749230491</v>
      </c>
      <c r="AB35" s="3">
        <f>Table_socioeca8.sandag.org_abm2_trb[[#This Row],[passenger_mile_MD]]</f>
        <v>6707.3728382044546</v>
      </c>
      <c r="AC35" s="3">
        <f>Table_socioeca8.sandag.org_abm2_trb[[#This Row],[passenger_mile_PM]]</f>
        <v>5567.3302527412234</v>
      </c>
      <c r="AD35" s="3">
        <f>Table_socioeca8.sandag.org_abm2_trb[[#This Row],[passenger_mile_EV]]</f>
        <v>3168.8757468302551</v>
      </c>
      <c r="AE35" s="5">
        <f>Table_socioeca8.sandag.org_abm2_trb[[#This Row],[mode_transit_route_id]]</f>
        <v>29</v>
      </c>
      <c r="AF35"/>
    </row>
    <row r="36" spans="5:32" x14ac:dyDescent="0.25">
      <c r="E36" s="47">
        <f t="shared" si="0"/>
        <v>259</v>
      </c>
      <c r="F36" s="47">
        <v>13</v>
      </c>
      <c r="G36" s="263">
        <f>IFERROR(VLOOKUP(Table_socioeca8.sandag.org_abm2_trb[[#This Row],[route]],[2]transit_general!$B$2:$M$139,3,FALSE),0)</f>
        <v>182.74007399999999</v>
      </c>
      <c r="H36" s="263">
        <f>IFERROR(VLOOKUP(Table_socioeca8.sandag.org_abm2_trb[[#This Row],[route]],[2]transit_general!$B$2:$M$139,4,FALSE),0)</f>
        <v>824.84550200000001</v>
      </c>
      <c r="I36" s="263">
        <f>IFERROR(VLOOKUP(Table_socioeca8.sandag.org_abm2_trb[[#This Row],[route]],[2]transit_general!$B$2:$M$139,5,FALSE),0)</f>
        <v>1767.0304020000001</v>
      </c>
      <c r="J36" s="263">
        <f>IFERROR(VLOOKUP(Table_socioeca8.sandag.org_abm2_trb[[#This Row],[route]],[2]transit_general!$B$2:$M$139,6,FALSE),0)</f>
        <v>1423.1983</v>
      </c>
      <c r="K36" s="263">
        <f>IFERROR(VLOOKUP(Table_socioeca8.sandag.org_abm2_trb[[#This Row],[route]],[2]transit_general!$B$2:$M$139,7,FALSE),0)</f>
        <v>823.99565800000005</v>
      </c>
      <c r="L36" s="263">
        <f>IFERROR(VLOOKUP(Table_socioeca8.sandag.org_abm2_trb[[#This Row],[route]],[2]transit_general!$B$2:$M$139,8,FALSE),0)</f>
        <v>741.47443381819096</v>
      </c>
      <c r="M36" s="263">
        <f>IFERROR(VLOOKUP(Table_socioeca8.sandag.org_abm2_trb[[#This Row],[route]],[2]transit_general!$B$2:$M$139,9,FALSE),0)</f>
        <v>2688.8488844059302</v>
      </c>
      <c r="N36" s="263">
        <f>IFERROR(VLOOKUP(Table_socioeca8.sandag.org_abm2_trb[[#This Row],[route]],[2]transit_general!$B$2:$M$139,10,FALSE),0)</f>
        <v>5286.0679663808842</v>
      </c>
      <c r="O36" s="263">
        <f>IFERROR(VLOOKUP(Table_socioeca8.sandag.org_abm2_trb[[#This Row],[route]],[2]transit_general!$B$2:$M$139,11,FALSE),0)</f>
        <v>4438.5234593648256</v>
      </c>
      <c r="P36" s="263">
        <f>IFERROR(VLOOKUP(Table_socioeca8.sandag.org_abm2_trb[[#This Row],[route]],[2]transit_general!$B$2:$M$139,12,FALSE),0)</f>
        <v>2838.4295994033728</v>
      </c>
      <c r="Q36" s="263">
        <f>IFERROR(VLOOKUP(Table_socioeca8.sandag.org_abm2_trb[[#This Row],[route]],[2]transit_general!$B$2:$M$139,2,FALSE),0)</f>
        <v>29</v>
      </c>
      <c r="S36" s="5">
        <f>Table_socioeca8.sandag.org_abm2_trb[[#This Row],[scenario_id]]</f>
        <v>259</v>
      </c>
      <c r="T36" s="5">
        <f>Table_socioeca8.sandag.org_abm2_trb[[#This Row],[route]]</f>
        <v>13</v>
      </c>
      <c r="U36" s="3">
        <f>Table_socioeca8.sandag.org_abm2_trb[[#This Row],[boarding_EA]]</f>
        <v>182.74007399999999</v>
      </c>
      <c r="V36" s="3">
        <f>Table_socioeca8.sandag.org_abm2_trb[[#This Row],[boarding_AM]]</f>
        <v>824.84550200000001</v>
      </c>
      <c r="W36" s="3">
        <f>Table_socioeca8.sandag.org_abm2_trb[[#This Row],[boarding_MD]]</f>
        <v>1767.0304020000001</v>
      </c>
      <c r="X36" s="3">
        <f>Table_socioeca8.sandag.org_abm2_trb[[#This Row],[boarding_PM]]</f>
        <v>1423.1983</v>
      </c>
      <c r="Y36" s="3">
        <f>Table_socioeca8.sandag.org_abm2_trb[[#This Row],[boarding_EV]]</f>
        <v>823.99565800000005</v>
      </c>
      <c r="Z36" s="3">
        <f>Table_socioeca8.sandag.org_abm2_trb[[#This Row],[passenger_mile_EA]]</f>
        <v>741.47443381819096</v>
      </c>
      <c r="AA36" s="3">
        <f>Table_socioeca8.sandag.org_abm2_trb[[#This Row],[passenger_mile_AM]]</f>
        <v>2688.8488844059302</v>
      </c>
      <c r="AB36" s="3">
        <f>Table_socioeca8.sandag.org_abm2_trb[[#This Row],[passenger_mile_MD]]</f>
        <v>5286.0679663808842</v>
      </c>
      <c r="AC36" s="3">
        <f>Table_socioeca8.sandag.org_abm2_trb[[#This Row],[passenger_mile_PM]]</f>
        <v>4438.5234593648256</v>
      </c>
      <c r="AD36" s="3">
        <f>Table_socioeca8.sandag.org_abm2_trb[[#This Row],[passenger_mile_EV]]</f>
        <v>2838.4295994033728</v>
      </c>
      <c r="AE36" s="5">
        <f>Table_socioeca8.sandag.org_abm2_trb[[#This Row],[mode_transit_route_id]]</f>
        <v>29</v>
      </c>
      <c r="AF36"/>
    </row>
    <row r="37" spans="5:32" x14ac:dyDescent="0.25">
      <c r="E37" s="47">
        <f t="shared" si="0"/>
        <v>259</v>
      </c>
      <c r="F37" s="47">
        <v>14</v>
      </c>
      <c r="G37" s="263">
        <f>IFERROR(VLOOKUP(Table_socioeca8.sandag.org_abm2_trb[[#This Row],[route]],[2]transit_general!$B$2:$M$139,3,FALSE),0)</f>
        <v>12.931895000000001</v>
      </c>
      <c r="H37" s="263">
        <f>IFERROR(VLOOKUP(Table_socioeca8.sandag.org_abm2_trb[[#This Row],[route]],[2]transit_general!$B$2:$M$139,4,FALSE),0)</f>
        <v>110.841072</v>
      </c>
      <c r="I37" s="263">
        <f>IFERROR(VLOOKUP(Table_socioeca8.sandag.org_abm2_trb[[#This Row],[route]],[2]transit_general!$B$2:$M$139,5,FALSE),0)</f>
        <v>201.78100000000001</v>
      </c>
      <c r="J37" s="263">
        <f>IFERROR(VLOOKUP(Table_socioeca8.sandag.org_abm2_trb[[#This Row],[route]],[2]transit_general!$B$2:$M$139,6,FALSE),0)</f>
        <v>183.263823</v>
      </c>
      <c r="K37" s="263">
        <f>IFERROR(VLOOKUP(Table_socioeca8.sandag.org_abm2_trb[[#This Row],[route]],[2]transit_general!$B$2:$M$139,7,FALSE),0)</f>
        <v>124.796712</v>
      </c>
      <c r="L37" s="263">
        <f>IFERROR(VLOOKUP(Table_socioeca8.sandag.org_abm2_trb[[#This Row],[route]],[2]transit_general!$B$2:$M$139,8,FALSE),0)</f>
        <v>30.661383940267001</v>
      </c>
      <c r="M37" s="263">
        <f>IFERROR(VLOOKUP(Table_socioeca8.sandag.org_abm2_trb[[#This Row],[route]],[2]transit_general!$B$2:$M$139,9,FALSE),0)</f>
        <v>298.98324372672801</v>
      </c>
      <c r="N37" s="263">
        <f>IFERROR(VLOOKUP(Table_socioeca8.sandag.org_abm2_trb[[#This Row],[route]],[2]transit_general!$B$2:$M$139,10,FALSE),0)</f>
        <v>444.86156466236099</v>
      </c>
      <c r="O37" s="263">
        <f>IFERROR(VLOOKUP(Table_socioeca8.sandag.org_abm2_trb[[#This Row],[route]],[2]transit_general!$B$2:$M$139,11,FALSE),0)</f>
        <v>383.92816930590197</v>
      </c>
      <c r="P37" s="263">
        <f>IFERROR(VLOOKUP(Table_socioeca8.sandag.org_abm2_trb[[#This Row],[route]],[2]transit_general!$B$2:$M$139,12,FALSE),0)</f>
        <v>296.81090757072201</v>
      </c>
      <c r="Q37" s="263">
        <f>IFERROR(VLOOKUP(Table_socioeca8.sandag.org_abm2_trb[[#This Row],[route]],[2]transit_general!$B$2:$M$139,2,FALSE),0)</f>
        <v>29</v>
      </c>
      <c r="S37" s="5">
        <f>Table_socioeca8.sandag.org_abm2_trb[[#This Row],[scenario_id]]</f>
        <v>259</v>
      </c>
      <c r="T37" s="5">
        <f>Table_socioeca8.sandag.org_abm2_trb[[#This Row],[route]]</f>
        <v>14</v>
      </c>
      <c r="U37" s="3">
        <f>Table_socioeca8.sandag.org_abm2_trb[[#This Row],[boarding_EA]]</f>
        <v>12.931895000000001</v>
      </c>
      <c r="V37" s="3">
        <f>Table_socioeca8.sandag.org_abm2_trb[[#This Row],[boarding_AM]]</f>
        <v>110.841072</v>
      </c>
      <c r="W37" s="3">
        <f>Table_socioeca8.sandag.org_abm2_trb[[#This Row],[boarding_MD]]</f>
        <v>201.78100000000001</v>
      </c>
      <c r="X37" s="3">
        <f>Table_socioeca8.sandag.org_abm2_trb[[#This Row],[boarding_PM]]</f>
        <v>183.263823</v>
      </c>
      <c r="Y37" s="3">
        <f>Table_socioeca8.sandag.org_abm2_trb[[#This Row],[boarding_EV]]</f>
        <v>124.796712</v>
      </c>
      <c r="Z37" s="3">
        <f>Table_socioeca8.sandag.org_abm2_trb[[#This Row],[passenger_mile_EA]]</f>
        <v>30.661383940267001</v>
      </c>
      <c r="AA37" s="3">
        <f>Table_socioeca8.sandag.org_abm2_trb[[#This Row],[passenger_mile_AM]]</f>
        <v>298.98324372672801</v>
      </c>
      <c r="AB37" s="3">
        <f>Table_socioeca8.sandag.org_abm2_trb[[#This Row],[passenger_mile_MD]]</f>
        <v>444.86156466236099</v>
      </c>
      <c r="AC37" s="3">
        <f>Table_socioeca8.sandag.org_abm2_trb[[#This Row],[passenger_mile_PM]]</f>
        <v>383.92816930590197</v>
      </c>
      <c r="AD37" s="3">
        <f>Table_socioeca8.sandag.org_abm2_trb[[#This Row],[passenger_mile_EV]]</f>
        <v>296.81090757072201</v>
      </c>
      <c r="AE37" s="5">
        <f>Table_socioeca8.sandag.org_abm2_trb[[#This Row],[mode_transit_route_id]]</f>
        <v>29</v>
      </c>
      <c r="AF37"/>
    </row>
    <row r="38" spans="5:32" x14ac:dyDescent="0.25">
      <c r="E38" s="47">
        <f t="shared" si="0"/>
        <v>259</v>
      </c>
      <c r="F38" s="47">
        <v>18</v>
      </c>
      <c r="G38" s="263">
        <f>IFERROR(VLOOKUP(Table_socioeca8.sandag.org_abm2_trb[[#This Row],[route]],[2]transit_general!$B$2:$M$139,3,FALSE),0)</f>
        <v>21.207291999999999</v>
      </c>
      <c r="H38" s="263">
        <f>IFERROR(VLOOKUP(Table_socioeca8.sandag.org_abm2_trb[[#This Row],[route]],[2]transit_general!$B$2:$M$139,4,FALSE),0)</f>
        <v>80.948364999999995</v>
      </c>
      <c r="I38" s="263">
        <f>IFERROR(VLOOKUP(Table_socioeca8.sandag.org_abm2_trb[[#This Row],[route]],[2]transit_general!$B$2:$M$139,5,FALSE),0)</f>
        <v>110.779973</v>
      </c>
      <c r="J38" s="263">
        <f>IFERROR(VLOOKUP(Table_socioeca8.sandag.org_abm2_trb[[#This Row],[route]],[2]transit_general!$B$2:$M$139,6,FALSE),0)</f>
        <v>79.528291999999993</v>
      </c>
      <c r="K38" s="263">
        <f>IFERROR(VLOOKUP(Table_socioeca8.sandag.org_abm2_trb[[#This Row],[route]],[2]transit_general!$B$2:$M$139,7,FALSE),0)</f>
        <v>64.175556</v>
      </c>
      <c r="L38" s="263">
        <f>IFERROR(VLOOKUP(Table_socioeca8.sandag.org_abm2_trb[[#This Row],[route]],[2]transit_general!$B$2:$M$139,8,FALSE),0)</f>
        <v>45.791061789205997</v>
      </c>
      <c r="M38" s="263">
        <f>IFERROR(VLOOKUP(Table_socioeca8.sandag.org_abm2_trb[[#This Row],[route]],[2]transit_general!$B$2:$M$139,9,FALSE),0)</f>
        <v>158.50823596190301</v>
      </c>
      <c r="N38" s="263">
        <f>IFERROR(VLOOKUP(Table_socioeca8.sandag.org_abm2_trb[[#This Row],[route]],[2]transit_general!$B$2:$M$139,10,FALSE),0)</f>
        <v>233.01139311556301</v>
      </c>
      <c r="O38" s="263">
        <f>IFERROR(VLOOKUP(Table_socioeca8.sandag.org_abm2_trb[[#This Row],[route]],[2]transit_general!$B$2:$M$139,11,FALSE),0)</f>
        <v>193.535326439312</v>
      </c>
      <c r="P38" s="263">
        <f>IFERROR(VLOOKUP(Table_socioeca8.sandag.org_abm2_trb[[#This Row],[route]],[2]transit_general!$B$2:$M$139,12,FALSE),0)</f>
        <v>142.58405629677799</v>
      </c>
      <c r="Q38" s="263">
        <f>IFERROR(VLOOKUP(Table_socioeca8.sandag.org_abm2_trb[[#This Row],[route]],[2]transit_general!$B$2:$M$139,2,FALSE),0)</f>
        <v>29</v>
      </c>
      <c r="S38" s="5">
        <f>Table_socioeca8.sandag.org_abm2_trb[[#This Row],[scenario_id]]</f>
        <v>259</v>
      </c>
      <c r="T38" s="5">
        <f>Table_socioeca8.sandag.org_abm2_trb[[#This Row],[route]]</f>
        <v>18</v>
      </c>
      <c r="U38" s="3">
        <f>Table_socioeca8.sandag.org_abm2_trb[[#This Row],[boarding_EA]]</f>
        <v>21.207291999999999</v>
      </c>
      <c r="V38" s="3">
        <f>Table_socioeca8.sandag.org_abm2_trb[[#This Row],[boarding_AM]]</f>
        <v>80.948364999999995</v>
      </c>
      <c r="W38" s="3">
        <f>Table_socioeca8.sandag.org_abm2_trb[[#This Row],[boarding_MD]]</f>
        <v>110.779973</v>
      </c>
      <c r="X38" s="3">
        <f>Table_socioeca8.sandag.org_abm2_trb[[#This Row],[boarding_PM]]</f>
        <v>79.528291999999993</v>
      </c>
      <c r="Y38" s="3">
        <f>Table_socioeca8.sandag.org_abm2_trb[[#This Row],[boarding_EV]]</f>
        <v>64.175556</v>
      </c>
      <c r="Z38" s="3">
        <f>Table_socioeca8.sandag.org_abm2_trb[[#This Row],[passenger_mile_EA]]</f>
        <v>45.791061789205997</v>
      </c>
      <c r="AA38" s="3">
        <f>Table_socioeca8.sandag.org_abm2_trb[[#This Row],[passenger_mile_AM]]</f>
        <v>158.50823596190301</v>
      </c>
      <c r="AB38" s="3">
        <f>Table_socioeca8.sandag.org_abm2_trb[[#This Row],[passenger_mile_MD]]</f>
        <v>233.01139311556301</v>
      </c>
      <c r="AC38" s="3">
        <f>Table_socioeca8.sandag.org_abm2_trb[[#This Row],[passenger_mile_PM]]</f>
        <v>193.535326439312</v>
      </c>
      <c r="AD38" s="3">
        <f>Table_socioeca8.sandag.org_abm2_trb[[#This Row],[passenger_mile_EV]]</f>
        <v>142.58405629677799</v>
      </c>
      <c r="AE38" s="5">
        <f>Table_socioeca8.sandag.org_abm2_trb[[#This Row],[mode_transit_route_id]]</f>
        <v>29</v>
      </c>
      <c r="AF38"/>
    </row>
    <row r="39" spans="5:32" x14ac:dyDescent="0.25">
      <c r="E39" s="47">
        <f t="shared" si="0"/>
        <v>259</v>
      </c>
      <c r="F39" s="47">
        <v>25</v>
      </c>
      <c r="G39" s="263">
        <f>IFERROR(VLOOKUP(Table_socioeca8.sandag.org_abm2_trb[[#This Row],[route]],[2]transit_general!$B$2:$M$139,3,FALSE),0)</f>
        <v>38.621395</v>
      </c>
      <c r="H39" s="263">
        <f>IFERROR(VLOOKUP(Table_socioeca8.sandag.org_abm2_trb[[#This Row],[route]],[2]transit_general!$B$2:$M$139,4,FALSE),0)</f>
        <v>237.26635899999999</v>
      </c>
      <c r="I39" s="263">
        <f>IFERROR(VLOOKUP(Table_socioeca8.sandag.org_abm2_trb[[#This Row],[route]],[2]transit_general!$B$2:$M$139,5,FALSE),0)</f>
        <v>451.37437999999997</v>
      </c>
      <c r="J39" s="263">
        <f>IFERROR(VLOOKUP(Table_socioeca8.sandag.org_abm2_trb[[#This Row],[route]],[2]transit_general!$B$2:$M$139,6,FALSE),0)</f>
        <v>388.91366900000003</v>
      </c>
      <c r="K39" s="263">
        <f>IFERROR(VLOOKUP(Table_socioeca8.sandag.org_abm2_trb[[#This Row],[route]],[2]transit_general!$B$2:$M$139,7,FALSE),0)</f>
        <v>211.73290299999999</v>
      </c>
      <c r="L39" s="263">
        <f>IFERROR(VLOOKUP(Table_socioeca8.sandag.org_abm2_trb[[#This Row],[route]],[2]transit_general!$B$2:$M$139,8,FALSE),0)</f>
        <v>188.186421822059</v>
      </c>
      <c r="M39" s="263">
        <f>IFERROR(VLOOKUP(Table_socioeca8.sandag.org_abm2_trb[[#This Row],[route]],[2]transit_general!$B$2:$M$139,9,FALSE),0)</f>
        <v>863.06263458454396</v>
      </c>
      <c r="N39" s="263">
        <f>IFERROR(VLOOKUP(Table_socioeca8.sandag.org_abm2_trb[[#This Row],[route]],[2]transit_general!$B$2:$M$139,10,FALSE),0)</f>
        <v>1745.1414102243341</v>
      </c>
      <c r="O39" s="263">
        <f>IFERROR(VLOOKUP(Table_socioeca8.sandag.org_abm2_trb[[#This Row],[route]],[2]transit_general!$B$2:$M$139,11,FALSE),0)</f>
        <v>1428.545839720821</v>
      </c>
      <c r="P39" s="263">
        <f>IFERROR(VLOOKUP(Table_socioeca8.sandag.org_abm2_trb[[#This Row],[route]],[2]transit_general!$B$2:$M$139,12,FALSE),0)</f>
        <v>767.77049693655795</v>
      </c>
      <c r="Q39" s="263">
        <f>IFERROR(VLOOKUP(Table_socioeca8.sandag.org_abm2_trb[[#This Row],[route]],[2]transit_general!$B$2:$M$139,2,FALSE),0)</f>
        <v>29</v>
      </c>
      <c r="S39" s="5">
        <f>Table_socioeca8.sandag.org_abm2_trb[[#This Row],[scenario_id]]</f>
        <v>259</v>
      </c>
      <c r="T39" s="5">
        <f>Table_socioeca8.sandag.org_abm2_trb[[#This Row],[route]]</f>
        <v>25</v>
      </c>
      <c r="U39" s="3">
        <f>Table_socioeca8.sandag.org_abm2_trb[[#This Row],[boarding_EA]]</f>
        <v>38.621395</v>
      </c>
      <c r="V39" s="3">
        <f>Table_socioeca8.sandag.org_abm2_trb[[#This Row],[boarding_AM]]</f>
        <v>237.26635899999999</v>
      </c>
      <c r="W39" s="3">
        <f>Table_socioeca8.sandag.org_abm2_trb[[#This Row],[boarding_MD]]</f>
        <v>451.37437999999997</v>
      </c>
      <c r="X39" s="3">
        <f>Table_socioeca8.sandag.org_abm2_trb[[#This Row],[boarding_PM]]</f>
        <v>388.91366900000003</v>
      </c>
      <c r="Y39" s="3">
        <f>Table_socioeca8.sandag.org_abm2_trb[[#This Row],[boarding_EV]]</f>
        <v>211.73290299999999</v>
      </c>
      <c r="Z39" s="3">
        <f>Table_socioeca8.sandag.org_abm2_trb[[#This Row],[passenger_mile_EA]]</f>
        <v>188.186421822059</v>
      </c>
      <c r="AA39" s="3">
        <f>Table_socioeca8.sandag.org_abm2_trb[[#This Row],[passenger_mile_AM]]</f>
        <v>863.06263458454396</v>
      </c>
      <c r="AB39" s="3">
        <f>Table_socioeca8.sandag.org_abm2_trb[[#This Row],[passenger_mile_MD]]</f>
        <v>1745.1414102243341</v>
      </c>
      <c r="AC39" s="3">
        <f>Table_socioeca8.sandag.org_abm2_trb[[#This Row],[passenger_mile_PM]]</f>
        <v>1428.545839720821</v>
      </c>
      <c r="AD39" s="3">
        <f>Table_socioeca8.sandag.org_abm2_trb[[#This Row],[passenger_mile_EV]]</f>
        <v>767.77049693655795</v>
      </c>
      <c r="AE39" s="5">
        <f>Table_socioeca8.sandag.org_abm2_trb[[#This Row],[mode_transit_route_id]]</f>
        <v>29</v>
      </c>
      <c r="AF39"/>
    </row>
    <row r="40" spans="5:32" x14ac:dyDescent="0.25">
      <c r="E40" s="47">
        <f t="shared" si="0"/>
        <v>259</v>
      </c>
      <c r="F40" s="47">
        <v>27</v>
      </c>
      <c r="G40" s="263">
        <f>IFERROR(VLOOKUP(Table_socioeca8.sandag.org_abm2_trb[[#This Row],[route]],[2]transit_general!$B$2:$M$139,3,FALSE),0)</f>
        <v>67.743601999999996</v>
      </c>
      <c r="H40" s="263">
        <f>IFERROR(VLOOKUP(Table_socioeca8.sandag.org_abm2_trb[[#This Row],[route]],[2]transit_general!$B$2:$M$139,4,FALSE),0)</f>
        <v>320.13649900000001</v>
      </c>
      <c r="I40" s="263">
        <f>IFERROR(VLOOKUP(Table_socioeca8.sandag.org_abm2_trb[[#This Row],[route]],[2]transit_general!$B$2:$M$139,5,FALSE),0)</f>
        <v>602.73022100000003</v>
      </c>
      <c r="J40" s="263">
        <f>IFERROR(VLOOKUP(Table_socioeca8.sandag.org_abm2_trb[[#This Row],[route]],[2]transit_general!$B$2:$M$139,6,FALSE),0)</f>
        <v>493.161091</v>
      </c>
      <c r="K40" s="263">
        <f>IFERROR(VLOOKUP(Table_socioeca8.sandag.org_abm2_trb[[#This Row],[route]],[2]transit_general!$B$2:$M$139,7,FALSE),0)</f>
        <v>279.91736400000002</v>
      </c>
      <c r="L40" s="263">
        <f>IFERROR(VLOOKUP(Table_socioeca8.sandag.org_abm2_trb[[#This Row],[route]],[2]transit_general!$B$2:$M$139,8,FALSE),0)</f>
        <v>283.00844891915699</v>
      </c>
      <c r="M40" s="263">
        <f>IFERROR(VLOOKUP(Table_socioeca8.sandag.org_abm2_trb[[#This Row],[route]],[2]transit_general!$B$2:$M$139,9,FALSE),0)</f>
        <v>1153.110817793714</v>
      </c>
      <c r="N40" s="263">
        <f>IFERROR(VLOOKUP(Table_socioeca8.sandag.org_abm2_trb[[#This Row],[route]],[2]transit_general!$B$2:$M$139,10,FALSE),0)</f>
        <v>1665.9643871302451</v>
      </c>
      <c r="O40" s="263">
        <f>IFERROR(VLOOKUP(Table_socioeca8.sandag.org_abm2_trb[[#This Row],[route]],[2]transit_general!$B$2:$M$139,11,FALSE),0)</f>
        <v>1587.5923302759779</v>
      </c>
      <c r="P40" s="263">
        <f>IFERROR(VLOOKUP(Table_socioeca8.sandag.org_abm2_trb[[#This Row],[route]],[2]transit_general!$B$2:$M$139,12,FALSE),0)</f>
        <v>801.64510787983795</v>
      </c>
      <c r="Q40" s="263">
        <f>IFERROR(VLOOKUP(Table_socioeca8.sandag.org_abm2_trb[[#This Row],[route]],[2]transit_general!$B$2:$M$139,2,FALSE),0)</f>
        <v>29</v>
      </c>
      <c r="S40" s="5">
        <f>Table_socioeca8.sandag.org_abm2_trb[[#This Row],[scenario_id]]</f>
        <v>259</v>
      </c>
      <c r="T40" s="5">
        <f>Table_socioeca8.sandag.org_abm2_trb[[#This Row],[route]]</f>
        <v>27</v>
      </c>
      <c r="U40" s="3">
        <f>Table_socioeca8.sandag.org_abm2_trb[[#This Row],[boarding_EA]]</f>
        <v>67.743601999999996</v>
      </c>
      <c r="V40" s="3">
        <f>Table_socioeca8.sandag.org_abm2_trb[[#This Row],[boarding_AM]]</f>
        <v>320.13649900000001</v>
      </c>
      <c r="W40" s="3">
        <f>Table_socioeca8.sandag.org_abm2_trb[[#This Row],[boarding_MD]]</f>
        <v>602.73022100000003</v>
      </c>
      <c r="X40" s="3">
        <f>Table_socioeca8.sandag.org_abm2_trb[[#This Row],[boarding_PM]]</f>
        <v>493.161091</v>
      </c>
      <c r="Y40" s="3">
        <f>Table_socioeca8.sandag.org_abm2_trb[[#This Row],[boarding_EV]]</f>
        <v>279.91736400000002</v>
      </c>
      <c r="Z40" s="3">
        <f>Table_socioeca8.sandag.org_abm2_trb[[#This Row],[passenger_mile_EA]]</f>
        <v>283.00844891915699</v>
      </c>
      <c r="AA40" s="3">
        <f>Table_socioeca8.sandag.org_abm2_trb[[#This Row],[passenger_mile_AM]]</f>
        <v>1153.110817793714</v>
      </c>
      <c r="AB40" s="3">
        <f>Table_socioeca8.sandag.org_abm2_trb[[#This Row],[passenger_mile_MD]]</f>
        <v>1665.9643871302451</v>
      </c>
      <c r="AC40" s="3">
        <f>Table_socioeca8.sandag.org_abm2_trb[[#This Row],[passenger_mile_PM]]</f>
        <v>1587.5923302759779</v>
      </c>
      <c r="AD40" s="3">
        <f>Table_socioeca8.sandag.org_abm2_trb[[#This Row],[passenger_mile_EV]]</f>
        <v>801.64510787983795</v>
      </c>
      <c r="AE40" s="5">
        <f>Table_socioeca8.sandag.org_abm2_trb[[#This Row],[mode_transit_route_id]]</f>
        <v>29</v>
      </c>
      <c r="AF40"/>
    </row>
    <row r="41" spans="5:32" x14ac:dyDescent="0.25">
      <c r="E41" s="47">
        <f t="shared" si="0"/>
        <v>259</v>
      </c>
      <c r="F41" s="47">
        <v>28</v>
      </c>
      <c r="G41" s="263">
        <f>IFERROR(VLOOKUP(Table_socioeca8.sandag.org_abm2_trb[[#This Row],[route]],[2]transit_general!$B$2:$M$139,3,FALSE),0)</f>
        <v>18.737064</v>
      </c>
      <c r="H41" s="263">
        <f>IFERROR(VLOOKUP(Table_socioeca8.sandag.org_abm2_trb[[#This Row],[route]],[2]transit_general!$B$2:$M$139,4,FALSE),0)</f>
        <v>182.70408699999999</v>
      </c>
      <c r="I41" s="263">
        <f>IFERROR(VLOOKUP(Table_socioeca8.sandag.org_abm2_trb[[#This Row],[route]],[2]transit_general!$B$2:$M$139,5,FALSE),0)</f>
        <v>237.638745</v>
      </c>
      <c r="J41" s="263">
        <f>IFERROR(VLOOKUP(Table_socioeca8.sandag.org_abm2_trb[[#This Row],[route]],[2]transit_general!$B$2:$M$139,6,FALSE),0)</f>
        <v>215.23405099999999</v>
      </c>
      <c r="K41" s="263">
        <f>IFERROR(VLOOKUP(Table_socioeca8.sandag.org_abm2_trb[[#This Row],[route]],[2]transit_general!$B$2:$M$139,7,FALSE),0)</f>
        <v>107.78004300000001</v>
      </c>
      <c r="L41" s="263">
        <f>IFERROR(VLOOKUP(Table_socioeca8.sandag.org_abm2_trb[[#This Row],[route]],[2]transit_general!$B$2:$M$139,8,FALSE),0)</f>
        <v>37.916953616881997</v>
      </c>
      <c r="M41" s="263">
        <f>IFERROR(VLOOKUP(Table_socioeca8.sandag.org_abm2_trb[[#This Row],[route]],[2]transit_general!$B$2:$M$139,9,FALSE),0)</f>
        <v>415.33559891924301</v>
      </c>
      <c r="N41" s="263">
        <f>IFERROR(VLOOKUP(Table_socioeca8.sandag.org_abm2_trb[[#This Row],[route]],[2]transit_general!$B$2:$M$139,10,FALSE),0)</f>
        <v>487.47887851194702</v>
      </c>
      <c r="O41" s="263">
        <f>IFERROR(VLOOKUP(Table_socioeca8.sandag.org_abm2_trb[[#This Row],[route]],[2]transit_general!$B$2:$M$139,11,FALSE),0)</f>
        <v>452.77478896166502</v>
      </c>
      <c r="P41" s="263">
        <f>IFERROR(VLOOKUP(Table_socioeca8.sandag.org_abm2_trb[[#This Row],[route]],[2]transit_general!$B$2:$M$139,12,FALSE),0)</f>
        <v>274.20634208098602</v>
      </c>
      <c r="Q41" s="263">
        <f>IFERROR(VLOOKUP(Table_socioeca8.sandag.org_abm2_trb[[#This Row],[route]],[2]transit_general!$B$2:$M$139,2,FALSE),0)</f>
        <v>29</v>
      </c>
      <c r="S41" s="5">
        <f>Table_socioeca8.sandag.org_abm2_trb[[#This Row],[scenario_id]]</f>
        <v>259</v>
      </c>
      <c r="T41" s="5">
        <f>Table_socioeca8.sandag.org_abm2_trb[[#This Row],[route]]</f>
        <v>28</v>
      </c>
      <c r="U41" s="3">
        <f>Table_socioeca8.sandag.org_abm2_trb[[#This Row],[boarding_EA]]</f>
        <v>18.737064</v>
      </c>
      <c r="V41" s="3">
        <f>Table_socioeca8.sandag.org_abm2_trb[[#This Row],[boarding_AM]]</f>
        <v>182.70408699999999</v>
      </c>
      <c r="W41" s="3">
        <f>Table_socioeca8.sandag.org_abm2_trb[[#This Row],[boarding_MD]]</f>
        <v>237.638745</v>
      </c>
      <c r="X41" s="3">
        <f>Table_socioeca8.sandag.org_abm2_trb[[#This Row],[boarding_PM]]</f>
        <v>215.23405099999999</v>
      </c>
      <c r="Y41" s="3">
        <f>Table_socioeca8.sandag.org_abm2_trb[[#This Row],[boarding_EV]]</f>
        <v>107.78004300000001</v>
      </c>
      <c r="Z41" s="3">
        <f>Table_socioeca8.sandag.org_abm2_trb[[#This Row],[passenger_mile_EA]]</f>
        <v>37.916953616881997</v>
      </c>
      <c r="AA41" s="3">
        <f>Table_socioeca8.sandag.org_abm2_trb[[#This Row],[passenger_mile_AM]]</f>
        <v>415.33559891924301</v>
      </c>
      <c r="AB41" s="3">
        <f>Table_socioeca8.sandag.org_abm2_trb[[#This Row],[passenger_mile_MD]]</f>
        <v>487.47887851194702</v>
      </c>
      <c r="AC41" s="3">
        <f>Table_socioeca8.sandag.org_abm2_trb[[#This Row],[passenger_mile_PM]]</f>
        <v>452.77478896166502</v>
      </c>
      <c r="AD41" s="3">
        <f>Table_socioeca8.sandag.org_abm2_trb[[#This Row],[passenger_mile_EV]]</f>
        <v>274.20634208098602</v>
      </c>
      <c r="AE41" s="5">
        <f>Table_socioeca8.sandag.org_abm2_trb[[#This Row],[mode_transit_route_id]]</f>
        <v>29</v>
      </c>
      <c r="AF41"/>
    </row>
    <row r="42" spans="5:32" x14ac:dyDescent="0.25">
      <c r="E42" s="47">
        <f t="shared" si="0"/>
        <v>259</v>
      </c>
      <c r="F42" s="47">
        <v>30</v>
      </c>
      <c r="G42" s="263">
        <f>IFERROR(VLOOKUP(Table_socioeca8.sandag.org_abm2_trb[[#This Row],[route]],[2]transit_general!$B$2:$M$139,3,FALSE),0)</f>
        <v>362.004795</v>
      </c>
      <c r="H42" s="263">
        <f>IFERROR(VLOOKUP(Table_socioeca8.sandag.org_abm2_trb[[#This Row],[route]],[2]transit_general!$B$2:$M$139,4,FALSE),0)</f>
        <v>1481.5806789999999</v>
      </c>
      <c r="I42" s="263">
        <f>IFERROR(VLOOKUP(Table_socioeca8.sandag.org_abm2_trb[[#This Row],[route]],[2]transit_general!$B$2:$M$139,5,FALSE),0)</f>
        <v>2271.7678190000001</v>
      </c>
      <c r="J42" s="263">
        <f>IFERROR(VLOOKUP(Table_socioeca8.sandag.org_abm2_trb[[#This Row],[route]],[2]transit_general!$B$2:$M$139,6,FALSE),0)</f>
        <v>2068.6065130000002</v>
      </c>
      <c r="K42" s="263">
        <f>IFERROR(VLOOKUP(Table_socioeca8.sandag.org_abm2_trb[[#This Row],[route]],[2]transit_general!$B$2:$M$139,7,FALSE),0)</f>
        <v>1080.642793</v>
      </c>
      <c r="L42" s="263">
        <f>IFERROR(VLOOKUP(Table_socioeca8.sandag.org_abm2_trb[[#This Row],[route]],[2]transit_general!$B$2:$M$139,8,FALSE),0)</f>
        <v>3006.6506678584278</v>
      </c>
      <c r="M42" s="263">
        <f>IFERROR(VLOOKUP(Table_socioeca8.sandag.org_abm2_trb[[#This Row],[route]],[2]transit_general!$B$2:$M$139,9,FALSE),0)</f>
        <v>10298.06502641221</v>
      </c>
      <c r="N42" s="263">
        <f>IFERROR(VLOOKUP(Table_socioeca8.sandag.org_abm2_trb[[#This Row],[route]],[2]transit_general!$B$2:$M$139,10,FALSE),0)</f>
        <v>13630.49533465431</v>
      </c>
      <c r="O42" s="263">
        <f>IFERROR(VLOOKUP(Table_socioeca8.sandag.org_abm2_trb[[#This Row],[route]],[2]transit_general!$B$2:$M$139,11,FALSE),0)</f>
        <v>13598.384727994689</v>
      </c>
      <c r="P42" s="263">
        <f>IFERROR(VLOOKUP(Table_socioeca8.sandag.org_abm2_trb[[#This Row],[route]],[2]transit_general!$B$2:$M$139,12,FALSE),0)</f>
        <v>6855.2490888291231</v>
      </c>
      <c r="Q42" s="263">
        <f>IFERROR(VLOOKUP(Table_socioeca8.sandag.org_abm2_trb[[#This Row],[route]],[2]transit_general!$B$2:$M$139,2,FALSE),0)</f>
        <v>29</v>
      </c>
      <c r="S42" s="5">
        <f>Table_socioeca8.sandag.org_abm2_trb[[#This Row],[scenario_id]]</f>
        <v>259</v>
      </c>
      <c r="T42" s="5">
        <f>Table_socioeca8.sandag.org_abm2_trb[[#This Row],[route]]</f>
        <v>30</v>
      </c>
      <c r="U42" s="3">
        <f>Table_socioeca8.sandag.org_abm2_trb[[#This Row],[boarding_EA]]</f>
        <v>362.004795</v>
      </c>
      <c r="V42" s="3">
        <f>Table_socioeca8.sandag.org_abm2_trb[[#This Row],[boarding_AM]]</f>
        <v>1481.5806789999999</v>
      </c>
      <c r="W42" s="3">
        <f>Table_socioeca8.sandag.org_abm2_trb[[#This Row],[boarding_MD]]</f>
        <v>2271.7678190000001</v>
      </c>
      <c r="X42" s="3">
        <f>Table_socioeca8.sandag.org_abm2_trb[[#This Row],[boarding_PM]]</f>
        <v>2068.6065130000002</v>
      </c>
      <c r="Y42" s="3">
        <f>Table_socioeca8.sandag.org_abm2_trb[[#This Row],[boarding_EV]]</f>
        <v>1080.642793</v>
      </c>
      <c r="Z42" s="3">
        <f>Table_socioeca8.sandag.org_abm2_trb[[#This Row],[passenger_mile_EA]]</f>
        <v>3006.6506678584278</v>
      </c>
      <c r="AA42" s="3">
        <f>Table_socioeca8.sandag.org_abm2_trb[[#This Row],[passenger_mile_AM]]</f>
        <v>10298.06502641221</v>
      </c>
      <c r="AB42" s="3">
        <f>Table_socioeca8.sandag.org_abm2_trb[[#This Row],[passenger_mile_MD]]</f>
        <v>13630.49533465431</v>
      </c>
      <c r="AC42" s="3">
        <f>Table_socioeca8.sandag.org_abm2_trb[[#This Row],[passenger_mile_PM]]</f>
        <v>13598.384727994689</v>
      </c>
      <c r="AD42" s="3">
        <f>Table_socioeca8.sandag.org_abm2_trb[[#This Row],[passenger_mile_EV]]</f>
        <v>6855.2490888291231</v>
      </c>
      <c r="AE42" s="5">
        <f>Table_socioeca8.sandag.org_abm2_trb[[#This Row],[mode_transit_route_id]]</f>
        <v>29</v>
      </c>
      <c r="AF42"/>
    </row>
    <row r="43" spans="5:32" x14ac:dyDescent="0.25">
      <c r="E43" s="47">
        <f t="shared" si="0"/>
        <v>259</v>
      </c>
      <c r="F43" s="47">
        <v>31</v>
      </c>
      <c r="G43" s="263">
        <f>IFERROR(VLOOKUP(Table_socioeca8.sandag.org_abm2_trb[[#This Row],[route]],[2]transit_general!$B$2:$M$139,3,FALSE),0)</f>
        <v>0</v>
      </c>
      <c r="H43" s="263">
        <f>IFERROR(VLOOKUP(Table_socioeca8.sandag.org_abm2_trb[[#This Row],[route]],[2]transit_general!$B$2:$M$139,4,FALSE),0)</f>
        <v>288.24662999999998</v>
      </c>
      <c r="I43" s="263">
        <f>IFERROR(VLOOKUP(Table_socioeca8.sandag.org_abm2_trb[[#This Row],[route]],[2]transit_general!$B$2:$M$139,5,FALSE),0)</f>
        <v>0</v>
      </c>
      <c r="J43" s="263">
        <f>IFERROR(VLOOKUP(Table_socioeca8.sandag.org_abm2_trb[[#This Row],[route]],[2]transit_general!$B$2:$M$139,6,FALSE),0)</f>
        <v>441.34868999999998</v>
      </c>
      <c r="K43" s="263">
        <f>IFERROR(VLOOKUP(Table_socioeca8.sandag.org_abm2_trb[[#This Row],[route]],[2]transit_general!$B$2:$M$139,7,FALSE),0)</f>
        <v>0</v>
      </c>
      <c r="L43" s="263">
        <f>IFERROR(VLOOKUP(Table_socioeca8.sandag.org_abm2_trb[[#This Row],[route]],[2]transit_general!$B$2:$M$139,8,FALSE),0)</f>
        <v>0</v>
      </c>
      <c r="M43" s="263">
        <f>IFERROR(VLOOKUP(Table_socioeca8.sandag.org_abm2_trb[[#This Row],[route]],[2]transit_general!$B$2:$M$139,9,FALSE),0)</f>
        <v>1215.3949453217399</v>
      </c>
      <c r="N43" s="263">
        <f>IFERROR(VLOOKUP(Table_socioeca8.sandag.org_abm2_trb[[#This Row],[route]],[2]transit_general!$B$2:$M$139,10,FALSE),0)</f>
        <v>0</v>
      </c>
      <c r="O43" s="263">
        <f>IFERROR(VLOOKUP(Table_socioeca8.sandag.org_abm2_trb[[#This Row],[route]],[2]transit_general!$B$2:$M$139,11,FALSE),0)</f>
        <v>1816.1852171978389</v>
      </c>
      <c r="P43" s="263">
        <f>IFERROR(VLOOKUP(Table_socioeca8.sandag.org_abm2_trb[[#This Row],[route]],[2]transit_general!$B$2:$M$139,12,FALSE),0)</f>
        <v>0</v>
      </c>
      <c r="Q43" s="263">
        <f>IFERROR(VLOOKUP(Table_socioeca8.sandag.org_abm2_trb[[#This Row],[route]],[2]transit_general!$B$2:$M$139,2,FALSE),0)</f>
        <v>29</v>
      </c>
      <c r="S43" s="5">
        <f>Table_socioeca8.sandag.org_abm2_trb[[#This Row],[scenario_id]]</f>
        <v>259</v>
      </c>
      <c r="T43" s="5">
        <f>Table_socioeca8.sandag.org_abm2_trb[[#This Row],[route]]</f>
        <v>31</v>
      </c>
      <c r="U43" s="3">
        <f>Table_socioeca8.sandag.org_abm2_trb[[#This Row],[boarding_EA]]</f>
        <v>0</v>
      </c>
      <c r="V43" s="3">
        <f>Table_socioeca8.sandag.org_abm2_trb[[#This Row],[boarding_AM]]</f>
        <v>288.24662999999998</v>
      </c>
      <c r="W43" s="3">
        <f>Table_socioeca8.sandag.org_abm2_trb[[#This Row],[boarding_MD]]</f>
        <v>0</v>
      </c>
      <c r="X43" s="3">
        <f>Table_socioeca8.sandag.org_abm2_trb[[#This Row],[boarding_PM]]</f>
        <v>441.34868999999998</v>
      </c>
      <c r="Y43" s="3">
        <f>Table_socioeca8.sandag.org_abm2_trb[[#This Row],[boarding_EV]]</f>
        <v>0</v>
      </c>
      <c r="Z43" s="3">
        <f>Table_socioeca8.sandag.org_abm2_trb[[#This Row],[passenger_mile_EA]]</f>
        <v>0</v>
      </c>
      <c r="AA43" s="3">
        <f>Table_socioeca8.sandag.org_abm2_trb[[#This Row],[passenger_mile_AM]]</f>
        <v>1215.3949453217399</v>
      </c>
      <c r="AB43" s="3">
        <f>Table_socioeca8.sandag.org_abm2_trb[[#This Row],[passenger_mile_MD]]</f>
        <v>0</v>
      </c>
      <c r="AC43" s="3">
        <f>Table_socioeca8.sandag.org_abm2_trb[[#This Row],[passenger_mile_PM]]</f>
        <v>1816.1852171978389</v>
      </c>
      <c r="AD43" s="3">
        <f>Table_socioeca8.sandag.org_abm2_trb[[#This Row],[passenger_mile_EV]]</f>
        <v>0</v>
      </c>
      <c r="AE43" s="5">
        <f>Table_socioeca8.sandag.org_abm2_trb[[#This Row],[mode_transit_route_id]]</f>
        <v>29</v>
      </c>
      <c r="AF43"/>
    </row>
    <row r="44" spans="5:32" x14ac:dyDescent="0.25">
      <c r="E44" s="47">
        <f t="shared" si="0"/>
        <v>259</v>
      </c>
      <c r="F44" s="47">
        <v>35</v>
      </c>
      <c r="G44" s="263">
        <f>IFERROR(VLOOKUP(Table_socioeca8.sandag.org_abm2_trb[[#This Row],[route]],[2]transit_general!$B$2:$M$139,3,FALSE),0)</f>
        <v>28.181508999999998</v>
      </c>
      <c r="H44" s="263">
        <f>IFERROR(VLOOKUP(Table_socioeca8.sandag.org_abm2_trb[[#This Row],[route]],[2]transit_general!$B$2:$M$139,4,FALSE),0)</f>
        <v>135.45627099999999</v>
      </c>
      <c r="I44" s="263">
        <f>IFERROR(VLOOKUP(Table_socioeca8.sandag.org_abm2_trb[[#This Row],[route]],[2]transit_general!$B$2:$M$139,5,FALSE),0)</f>
        <v>260.38767100000001</v>
      </c>
      <c r="J44" s="263">
        <f>IFERROR(VLOOKUP(Table_socioeca8.sandag.org_abm2_trb[[#This Row],[route]],[2]transit_general!$B$2:$M$139,6,FALSE),0)</f>
        <v>323.83864199999999</v>
      </c>
      <c r="K44" s="263">
        <f>IFERROR(VLOOKUP(Table_socioeca8.sandag.org_abm2_trb[[#This Row],[route]],[2]transit_general!$B$2:$M$139,7,FALSE),0)</f>
        <v>120.64332</v>
      </c>
      <c r="L44" s="263">
        <f>IFERROR(VLOOKUP(Table_socioeca8.sandag.org_abm2_trb[[#This Row],[route]],[2]transit_general!$B$2:$M$139,8,FALSE),0)</f>
        <v>73.609257405009998</v>
      </c>
      <c r="M44" s="263">
        <f>IFERROR(VLOOKUP(Table_socioeca8.sandag.org_abm2_trb[[#This Row],[route]],[2]transit_general!$B$2:$M$139,9,FALSE),0)</f>
        <v>345.333814274796</v>
      </c>
      <c r="N44" s="263">
        <f>IFERROR(VLOOKUP(Table_socioeca8.sandag.org_abm2_trb[[#This Row],[route]],[2]transit_general!$B$2:$M$139,10,FALSE),0)</f>
        <v>584.41298435463398</v>
      </c>
      <c r="O44" s="263">
        <f>IFERROR(VLOOKUP(Table_socioeca8.sandag.org_abm2_trb[[#This Row],[route]],[2]transit_general!$B$2:$M$139,11,FALSE),0)</f>
        <v>727.70112593448903</v>
      </c>
      <c r="P44" s="263">
        <f>IFERROR(VLOOKUP(Table_socioeca8.sandag.org_abm2_trb[[#This Row],[route]],[2]transit_general!$B$2:$M$139,12,FALSE),0)</f>
        <v>295.39943436137901</v>
      </c>
      <c r="Q44" s="263">
        <f>IFERROR(VLOOKUP(Table_socioeca8.sandag.org_abm2_trb[[#This Row],[route]],[2]transit_general!$B$2:$M$139,2,FALSE),0)</f>
        <v>29</v>
      </c>
      <c r="S44" s="5">
        <f>Table_socioeca8.sandag.org_abm2_trb[[#This Row],[scenario_id]]</f>
        <v>259</v>
      </c>
      <c r="T44" s="5">
        <f>Table_socioeca8.sandag.org_abm2_trb[[#This Row],[route]]</f>
        <v>35</v>
      </c>
      <c r="U44" s="3">
        <f>Table_socioeca8.sandag.org_abm2_trb[[#This Row],[boarding_EA]]</f>
        <v>28.181508999999998</v>
      </c>
      <c r="V44" s="3">
        <f>Table_socioeca8.sandag.org_abm2_trb[[#This Row],[boarding_AM]]</f>
        <v>135.45627099999999</v>
      </c>
      <c r="W44" s="3">
        <f>Table_socioeca8.sandag.org_abm2_trb[[#This Row],[boarding_MD]]</f>
        <v>260.38767100000001</v>
      </c>
      <c r="X44" s="3">
        <f>Table_socioeca8.sandag.org_abm2_trb[[#This Row],[boarding_PM]]</f>
        <v>323.83864199999999</v>
      </c>
      <c r="Y44" s="3">
        <f>Table_socioeca8.sandag.org_abm2_trb[[#This Row],[boarding_EV]]</f>
        <v>120.64332</v>
      </c>
      <c r="Z44" s="3">
        <f>Table_socioeca8.sandag.org_abm2_trb[[#This Row],[passenger_mile_EA]]</f>
        <v>73.609257405009998</v>
      </c>
      <c r="AA44" s="3">
        <f>Table_socioeca8.sandag.org_abm2_trb[[#This Row],[passenger_mile_AM]]</f>
        <v>345.333814274796</v>
      </c>
      <c r="AB44" s="3">
        <f>Table_socioeca8.sandag.org_abm2_trb[[#This Row],[passenger_mile_MD]]</f>
        <v>584.41298435463398</v>
      </c>
      <c r="AC44" s="3">
        <f>Table_socioeca8.sandag.org_abm2_trb[[#This Row],[passenger_mile_PM]]</f>
        <v>727.70112593448903</v>
      </c>
      <c r="AD44" s="3">
        <f>Table_socioeca8.sandag.org_abm2_trb[[#This Row],[passenger_mile_EV]]</f>
        <v>295.39943436137901</v>
      </c>
      <c r="AE44" s="5">
        <f>Table_socioeca8.sandag.org_abm2_trb[[#This Row],[mode_transit_route_id]]</f>
        <v>29</v>
      </c>
      <c r="AF44"/>
    </row>
    <row r="45" spans="5:32" x14ac:dyDescent="0.25">
      <c r="E45" s="47">
        <f t="shared" si="0"/>
        <v>259</v>
      </c>
      <c r="F45" s="47">
        <v>41</v>
      </c>
      <c r="G45" s="263">
        <f>IFERROR(VLOOKUP(Table_socioeca8.sandag.org_abm2_trb[[#This Row],[route]],[2]transit_general!$B$2:$M$139,3,FALSE),0)</f>
        <v>159.76442599999999</v>
      </c>
      <c r="H45" s="263">
        <f>IFERROR(VLOOKUP(Table_socioeca8.sandag.org_abm2_trb[[#This Row],[route]],[2]transit_general!$B$2:$M$139,4,FALSE),0)</f>
        <v>960.00046099999997</v>
      </c>
      <c r="I45" s="263">
        <f>IFERROR(VLOOKUP(Table_socioeca8.sandag.org_abm2_trb[[#This Row],[route]],[2]transit_general!$B$2:$M$139,5,FALSE),0)</f>
        <v>1798.9167749999999</v>
      </c>
      <c r="J45" s="263">
        <f>IFERROR(VLOOKUP(Table_socioeca8.sandag.org_abm2_trb[[#This Row],[route]],[2]transit_general!$B$2:$M$139,6,FALSE),0)</f>
        <v>1390.311414</v>
      </c>
      <c r="K45" s="263">
        <f>IFERROR(VLOOKUP(Table_socioeca8.sandag.org_abm2_trb[[#This Row],[route]],[2]transit_general!$B$2:$M$139,7,FALSE),0)</f>
        <v>753.90103299999998</v>
      </c>
      <c r="L45" s="263">
        <f>IFERROR(VLOOKUP(Table_socioeca8.sandag.org_abm2_trb[[#This Row],[route]],[2]transit_general!$B$2:$M$139,8,FALSE),0)</f>
        <v>968.74965863806199</v>
      </c>
      <c r="M45" s="263">
        <f>IFERROR(VLOOKUP(Table_socioeca8.sandag.org_abm2_trb[[#This Row],[route]],[2]transit_general!$B$2:$M$139,9,FALSE),0)</f>
        <v>4363.177485826307</v>
      </c>
      <c r="N45" s="263">
        <f>IFERROR(VLOOKUP(Table_socioeca8.sandag.org_abm2_trb[[#This Row],[route]],[2]transit_general!$B$2:$M$139,10,FALSE),0)</f>
        <v>7868.238853593587</v>
      </c>
      <c r="O45" s="263">
        <f>IFERROR(VLOOKUP(Table_socioeca8.sandag.org_abm2_trb[[#This Row],[route]],[2]transit_general!$B$2:$M$139,11,FALSE),0)</f>
        <v>6091.5987322559322</v>
      </c>
      <c r="P45" s="263">
        <f>IFERROR(VLOOKUP(Table_socioeca8.sandag.org_abm2_trb[[#This Row],[route]],[2]transit_general!$B$2:$M$139,12,FALSE),0)</f>
        <v>3497.9991751762118</v>
      </c>
      <c r="Q45" s="263">
        <f>IFERROR(VLOOKUP(Table_socioeca8.sandag.org_abm2_trb[[#This Row],[route]],[2]transit_general!$B$2:$M$139,2,FALSE),0)</f>
        <v>29</v>
      </c>
      <c r="S45" s="5">
        <f>Table_socioeca8.sandag.org_abm2_trb[[#This Row],[scenario_id]]</f>
        <v>259</v>
      </c>
      <c r="T45" s="5">
        <f>Table_socioeca8.sandag.org_abm2_trb[[#This Row],[route]]</f>
        <v>41</v>
      </c>
      <c r="U45" s="3">
        <f>Table_socioeca8.sandag.org_abm2_trb[[#This Row],[boarding_EA]]</f>
        <v>159.76442599999999</v>
      </c>
      <c r="V45" s="3">
        <f>Table_socioeca8.sandag.org_abm2_trb[[#This Row],[boarding_AM]]</f>
        <v>960.00046099999997</v>
      </c>
      <c r="W45" s="3">
        <f>Table_socioeca8.sandag.org_abm2_trb[[#This Row],[boarding_MD]]</f>
        <v>1798.9167749999999</v>
      </c>
      <c r="X45" s="3">
        <f>Table_socioeca8.sandag.org_abm2_trb[[#This Row],[boarding_PM]]</f>
        <v>1390.311414</v>
      </c>
      <c r="Y45" s="3">
        <f>Table_socioeca8.sandag.org_abm2_trb[[#This Row],[boarding_EV]]</f>
        <v>753.90103299999998</v>
      </c>
      <c r="Z45" s="3">
        <f>Table_socioeca8.sandag.org_abm2_trb[[#This Row],[passenger_mile_EA]]</f>
        <v>968.74965863806199</v>
      </c>
      <c r="AA45" s="3">
        <f>Table_socioeca8.sandag.org_abm2_trb[[#This Row],[passenger_mile_AM]]</f>
        <v>4363.177485826307</v>
      </c>
      <c r="AB45" s="3">
        <f>Table_socioeca8.sandag.org_abm2_trb[[#This Row],[passenger_mile_MD]]</f>
        <v>7868.238853593587</v>
      </c>
      <c r="AC45" s="3">
        <f>Table_socioeca8.sandag.org_abm2_trb[[#This Row],[passenger_mile_PM]]</f>
        <v>6091.5987322559322</v>
      </c>
      <c r="AD45" s="3">
        <f>Table_socioeca8.sandag.org_abm2_trb[[#This Row],[passenger_mile_EV]]</f>
        <v>3497.9991751762118</v>
      </c>
      <c r="AE45" s="5">
        <f>Table_socioeca8.sandag.org_abm2_trb[[#This Row],[mode_transit_route_id]]</f>
        <v>29</v>
      </c>
      <c r="AF45"/>
    </row>
    <row r="46" spans="5:32" x14ac:dyDescent="0.25">
      <c r="E46" s="47">
        <f t="shared" si="0"/>
        <v>259</v>
      </c>
      <c r="F46" s="47">
        <v>44</v>
      </c>
      <c r="G46" s="263">
        <f>IFERROR(VLOOKUP(Table_socioeca8.sandag.org_abm2_trb[[#This Row],[route]],[2]transit_general!$B$2:$M$139,3,FALSE),0)</f>
        <v>134.10689500000001</v>
      </c>
      <c r="H46" s="263">
        <f>IFERROR(VLOOKUP(Table_socioeca8.sandag.org_abm2_trb[[#This Row],[route]],[2]transit_general!$B$2:$M$139,4,FALSE),0)</f>
        <v>1136.079074</v>
      </c>
      <c r="I46" s="263">
        <f>IFERROR(VLOOKUP(Table_socioeca8.sandag.org_abm2_trb[[#This Row],[route]],[2]transit_general!$B$2:$M$139,5,FALSE),0)</f>
        <v>1997.723009</v>
      </c>
      <c r="J46" s="263">
        <f>IFERROR(VLOOKUP(Table_socioeca8.sandag.org_abm2_trb[[#This Row],[route]],[2]transit_general!$B$2:$M$139,6,FALSE),0)</f>
        <v>1369.9365600000001</v>
      </c>
      <c r="K46" s="263">
        <f>IFERROR(VLOOKUP(Table_socioeca8.sandag.org_abm2_trb[[#This Row],[route]],[2]transit_general!$B$2:$M$139,7,FALSE),0)</f>
        <v>767.90404699999999</v>
      </c>
      <c r="L46" s="263">
        <f>IFERROR(VLOOKUP(Table_socioeca8.sandag.org_abm2_trb[[#This Row],[route]],[2]transit_general!$B$2:$M$139,8,FALSE),0)</f>
        <v>480.64172296005898</v>
      </c>
      <c r="M46" s="263">
        <f>IFERROR(VLOOKUP(Table_socioeca8.sandag.org_abm2_trb[[#This Row],[route]],[2]transit_general!$B$2:$M$139,9,FALSE),0)</f>
        <v>3315.7928517157311</v>
      </c>
      <c r="N46" s="263">
        <f>IFERROR(VLOOKUP(Table_socioeca8.sandag.org_abm2_trb[[#This Row],[route]],[2]transit_general!$B$2:$M$139,10,FALSE),0)</f>
        <v>5968.209790259546</v>
      </c>
      <c r="O46" s="263">
        <f>IFERROR(VLOOKUP(Table_socioeca8.sandag.org_abm2_trb[[#This Row],[route]],[2]transit_general!$B$2:$M$139,11,FALSE),0)</f>
        <v>3844.1449370862379</v>
      </c>
      <c r="P46" s="263">
        <f>IFERROR(VLOOKUP(Table_socioeca8.sandag.org_abm2_trb[[#This Row],[route]],[2]transit_general!$B$2:$M$139,12,FALSE),0)</f>
        <v>2255.9508897575029</v>
      </c>
      <c r="Q46" s="263">
        <f>IFERROR(VLOOKUP(Table_socioeca8.sandag.org_abm2_trb[[#This Row],[route]],[2]transit_general!$B$2:$M$139,2,FALSE),0)</f>
        <v>29</v>
      </c>
      <c r="S46" s="5">
        <f>Table_socioeca8.sandag.org_abm2_trb[[#This Row],[scenario_id]]</f>
        <v>259</v>
      </c>
      <c r="T46" s="5">
        <f>Table_socioeca8.sandag.org_abm2_trb[[#This Row],[route]]</f>
        <v>44</v>
      </c>
      <c r="U46" s="3">
        <f>Table_socioeca8.sandag.org_abm2_trb[[#This Row],[boarding_EA]]</f>
        <v>134.10689500000001</v>
      </c>
      <c r="V46" s="3">
        <f>Table_socioeca8.sandag.org_abm2_trb[[#This Row],[boarding_AM]]</f>
        <v>1136.079074</v>
      </c>
      <c r="W46" s="3">
        <f>Table_socioeca8.sandag.org_abm2_trb[[#This Row],[boarding_MD]]</f>
        <v>1997.723009</v>
      </c>
      <c r="X46" s="3">
        <f>Table_socioeca8.sandag.org_abm2_trb[[#This Row],[boarding_PM]]</f>
        <v>1369.9365600000001</v>
      </c>
      <c r="Y46" s="3">
        <f>Table_socioeca8.sandag.org_abm2_trb[[#This Row],[boarding_EV]]</f>
        <v>767.90404699999999</v>
      </c>
      <c r="Z46" s="3">
        <f>Table_socioeca8.sandag.org_abm2_trb[[#This Row],[passenger_mile_EA]]</f>
        <v>480.64172296005898</v>
      </c>
      <c r="AA46" s="3">
        <f>Table_socioeca8.sandag.org_abm2_trb[[#This Row],[passenger_mile_AM]]</f>
        <v>3315.7928517157311</v>
      </c>
      <c r="AB46" s="3">
        <f>Table_socioeca8.sandag.org_abm2_trb[[#This Row],[passenger_mile_MD]]</f>
        <v>5968.209790259546</v>
      </c>
      <c r="AC46" s="3">
        <f>Table_socioeca8.sandag.org_abm2_trb[[#This Row],[passenger_mile_PM]]</f>
        <v>3844.1449370862379</v>
      </c>
      <c r="AD46" s="3">
        <f>Table_socioeca8.sandag.org_abm2_trb[[#This Row],[passenger_mile_EV]]</f>
        <v>2255.9508897575029</v>
      </c>
      <c r="AE46" s="5">
        <f>Table_socioeca8.sandag.org_abm2_trb[[#This Row],[mode_transit_route_id]]</f>
        <v>29</v>
      </c>
      <c r="AF46"/>
    </row>
    <row r="47" spans="5:32" x14ac:dyDescent="0.25">
      <c r="E47" s="47">
        <f t="shared" si="0"/>
        <v>259</v>
      </c>
      <c r="F47" s="47">
        <v>83</v>
      </c>
      <c r="G47" s="263">
        <f>IFERROR(VLOOKUP(Table_socioeca8.sandag.org_abm2_trb[[#This Row],[route]],[2]transit_general!$B$2:$M$139,3,FALSE),0)</f>
        <v>5.6099690000000004</v>
      </c>
      <c r="H47" s="263">
        <f>IFERROR(VLOOKUP(Table_socioeca8.sandag.org_abm2_trb[[#This Row],[route]],[2]transit_general!$B$2:$M$139,4,FALSE),0)</f>
        <v>41.43242</v>
      </c>
      <c r="I47" s="263">
        <f>IFERROR(VLOOKUP(Table_socioeca8.sandag.org_abm2_trb[[#This Row],[route]],[2]transit_general!$B$2:$M$139,5,FALSE),0)</f>
        <v>49.890225000000001</v>
      </c>
      <c r="J47" s="263">
        <f>IFERROR(VLOOKUP(Table_socioeca8.sandag.org_abm2_trb[[#This Row],[route]],[2]transit_general!$B$2:$M$139,6,FALSE),0)</f>
        <v>37.668042999999997</v>
      </c>
      <c r="K47" s="263">
        <f>IFERROR(VLOOKUP(Table_socioeca8.sandag.org_abm2_trb[[#This Row],[route]],[2]transit_general!$B$2:$M$139,7,FALSE),0)</f>
        <v>21.903926999999999</v>
      </c>
      <c r="L47" s="263">
        <f>IFERROR(VLOOKUP(Table_socioeca8.sandag.org_abm2_trb[[#This Row],[route]],[2]transit_general!$B$2:$M$139,8,FALSE),0)</f>
        <v>5.323484847314</v>
      </c>
      <c r="M47" s="263">
        <f>IFERROR(VLOOKUP(Table_socioeca8.sandag.org_abm2_trb[[#This Row],[route]],[2]transit_general!$B$2:$M$139,9,FALSE),0)</f>
        <v>53.126581698258001</v>
      </c>
      <c r="N47" s="263">
        <f>IFERROR(VLOOKUP(Table_socioeca8.sandag.org_abm2_trb[[#This Row],[route]],[2]transit_general!$B$2:$M$139,10,FALSE),0)</f>
        <v>67.112883459440994</v>
      </c>
      <c r="O47" s="263">
        <f>IFERROR(VLOOKUP(Table_socioeca8.sandag.org_abm2_trb[[#This Row],[route]],[2]transit_general!$B$2:$M$139,11,FALSE),0)</f>
        <v>55.092926012440998</v>
      </c>
      <c r="P47" s="263">
        <f>IFERROR(VLOOKUP(Table_socioeca8.sandag.org_abm2_trb[[#This Row],[route]],[2]transit_general!$B$2:$M$139,12,FALSE),0)</f>
        <v>43.974544611498999</v>
      </c>
      <c r="Q47" s="263">
        <f>IFERROR(VLOOKUP(Table_socioeca8.sandag.org_abm2_trb[[#This Row],[route]],[2]transit_general!$B$2:$M$139,2,FALSE),0)</f>
        <v>29</v>
      </c>
      <c r="S47" s="5">
        <f>Table_socioeca8.sandag.org_abm2_trb[[#This Row],[scenario_id]]</f>
        <v>259</v>
      </c>
      <c r="T47" s="5">
        <f>Table_socioeca8.sandag.org_abm2_trb[[#This Row],[route]]</f>
        <v>83</v>
      </c>
      <c r="U47" s="3">
        <f>Table_socioeca8.sandag.org_abm2_trb[[#This Row],[boarding_EA]]</f>
        <v>5.6099690000000004</v>
      </c>
      <c r="V47" s="3">
        <f>Table_socioeca8.sandag.org_abm2_trb[[#This Row],[boarding_AM]]</f>
        <v>41.43242</v>
      </c>
      <c r="W47" s="3">
        <f>Table_socioeca8.sandag.org_abm2_trb[[#This Row],[boarding_MD]]</f>
        <v>49.890225000000001</v>
      </c>
      <c r="X47" s="3">
        <f>Table_socioeca8.sandag.org_abm2_trb[[#This Row],[boarding_PM]]</f>
        <v>37.668042999999997</v>
      </c>
      <c r="Y47" s="3">
        <f>Table_socioeca8.sandag.org_abm2_trb[[#This Row],[boarding_EV]]</f>
        <v>21.903926999999999</v>
      </c>
      <c r="Z47" s="3">
        <f>Table_socioeca8.sandag.org_abm2_trb[[#This Row],[passenger_mile_EA]]</f>
        <v>5.323484847314</v>
      </c>
      <c r="AA47" s="3">
        <f>Table_socioeca8.sandag.org_abm2_trb[[#This Row],[passenger_mile_AM]]</f>
        <v>53.126581698258001</v>
      </c>
      <c r="AB47" s="3">
        <f>Table_socioeca8.sandag.org_abm2_trb[[#This Row],[passenger_mile_MD]]</f>
        <v>67.112883459440994</v>
      </c>
      <c r="AC47" s="3">
        <f>Table_socioeca8.sandag.org_abm2_trb[[#This Row],[passenger_mile_PM]]</f>
        <v>55.092926012440998</v>
      </c>
      <c r="AD47" s="3">
        <f>Table_socioeca8.sandag.org_abm2_trb[[#This Row],[passenger_mile_EV]]</f>
        <v>43.974544611498999</v>
      </c>
      <c r="AE47" s="5">
        <f>Table_socioeca8.sandag.org_abm2_trb[[#This Row],[mode_transit_route_id]]</f>
        <v>29</v>
      </c>
      <c r="AF47"/>
    </row>
    <row r="48" spans="5:32" x14ac:dyDescent="0.25">
      <c r="E48" s="47">
        <f t="shared" si="0"/>
        <v>259</v>
      </c>
      <c r="F48" s="47">
        <v>84</v>
      </c>
      <c r="G48" s="263">
        <f>IFERROR(VLOOKUP(Table_socioeca8.sandag.org_abm2_trb[[#This Row],[route]],[2]transit_general!$B$2:$M$139,3,FALSE),0)</f>
        <v>2</v>
      </c>
      <c r="H48" s="263">
        <f>IFERROR(VLOOKUP(Table_socioeca8.sandag.org_abm2_trb[[#This Row],[route]],[2]transit_general!$B$2:$M$139,4,FALSE),0)</f>
        <v>37</v>
      </c>
      <c r="I48" s="263">
        <f>IFERROR(VLOOKUP(Table_socioeca8.sandag.org_abm2_trb[[#This Row],[route]],[2]transit_general!$B$2:$M$139,5,FALSE),0)</f>
        <v>91</v>
      </c>
      <c r="J48" s="263">
        <f>IFERROR(VLOOKUP(Table_socioeca8.sandag.org_abm2_trb[[#This Row],[route]],[2]transit_general!$B$2:$M$139,6,FALSE),0)</f>
        <v>57</v>
      </c>
      <c r="K48" s="263">
        <f>IFERROR(VLOOKUP(Table_socioeca8.sandag.org_abm2_trb[[#This Row],[route]],[2]transit_general!$B$2:$M$139,7,FALSE),0)</f>
        <v>39</v>
      </c>
      <c r="L48" s="263">
        <f>IFERROR(VLOOKUP(Table_socioeca8.sandag.org_abm2_trb[[#This Row],[route]],[2]transit_general!$B$2:$M$139,8,FALSE),0)</f>
        <v>4.8326349999999998</v>
      </c>
      <c r="M48" s="263">
        <f>IFERROR(VLOOKUP(Table_socioeca8.sandag.org_abm2_trb[[#This Row],[route]],[2]transit_general!$B$2:$M$139,9,FALSE),0)</f>
        <v>68.335675499999994</v>
      </c>
      <c r="N48" s="263">
        <f>IFERROR(VLOOKUP(Table_socioeca8.sandag.org_abm2_trb[[#This Row],[route]],[2]transit_general!$B$2:$M$139,10,FALSE),0)</f>
        <v>147.76228649999999</v>
      </c>
      <c r="O48" s="263">
        <f>IFERROR(VLOOKUP(Table_socioeca8.sandag.org_abm2_trb[[#This Row],[route]],[2]transit_general!$B$2:$M$139,11,FALSE),0)</f>
        <v>95.978190999999995</v>
      </c>
      <c r="P48" s="263">
        <f>IFERROR(VLOOKUP(Table_socioeca8.sandag.org_abm2_trb[[#This Row],[route]],[2]transit_general!$B$2:$M$139,12,FALSE),0)</f>
        <v>67.955481500000005</v>
      </c>
      <c r="Q48" s="263">
        <f>IFERROR(VLOOKUP(Table_socioeca8.sandag.org_abm2_trb[[#This Row],[route]],[2]transit_general!$B$2:$M$139,2,FALSE),0)</f>
        <v>29</v>
      </c>
      <c r="S48" s="5">
        <f>Table_socioeca8.sandag.org_abm2_trb[[#This Row],[scenario_id]]</f>
        <v>259</v>
      </c>
      <c r="T48" s="5">
        <f>Table_socioeca8.sandag.org_abm2_trb[[#This Row],[route]]</f>
        <v>84</v>
      </c>
      <c r="U48" s="3">
        <f>Table_socioeca8.sandag.org_abm2_trb[[#This Row],[boarding_EA]]</f>
        <v>2</v>
      </c>
      <c r="V48" s="3">
        <f>Table_socioeca8.sandag.org_abm2_trb[[#This Row],[boarding_AM]]</f>
        <v>37</v>
      </c>
      <c r="W48" s="3">
        <f>Table_socioeca8.sandag.org_abm2_trb[[#This Row],[boarding_MD]]</f>
        <v>91</v>
      </c>
      <c r="X48" s="3">
        <f>Table_socioeca8.sandag.org_abm2_trb[[#This Row],[boarding_PM]]</f>
        <v>57</v>
      </c>
      <c r="Y48" s="3">
        <f>Table_socioeca8.sandag.org_abm2_trb[[#This Row],[boarding_EV]]</f>
        <v>39</v>
      </c>
      <c r="Z48" s="3">
        <f>Table_socioeca8.sandag.org_abm2_trb[[#This Row],[passenger_mile_EA]]</f>
        <v>4.8326349999999998</v>
      </c>
      <c r="AA48" s="3">
        <f>Table_socioeca8.sandag.org_abm2_trb[[#This Row],[passenger_mile_AM]]</f>
        <v>68.335675499999994</v>
      </c>
      <c r="AB48" s="3">
        <f>Table_socioeca8.sandag.org_abm2_trb[[#This Row],[passenger_mile_MD]]</f>
        <v>147.76228649999999</v>
      </c>
      <c r="AC48" s="3">
        <f>Table_socioeca8.sandag.org_abm2_trb[[#This Row],[passenger_mile_PM]]</f>
        <v>95.978190999999995</v>
      </c>
      <c r="AD48" s="3">
        <f>Table_socioeca8.sandag.org_abm2_trb[[#This Row],[passenger_mile_EV]]</f>
        <v>67.955481500000005</v>
      </c>
      <c r="AE48" s="5">
        <f>Table_socioeca8.sandag.org_abm2_trb[[#This Row],[mode_transit_route_id]]</f>
        <v>29</v>
      </c>
      <c r="AF48"/>
    </row>
    <row r="49" spans="3:32" x14ac:dyDescent="0.25">
      <c r="E49" s="47">
        <f t="shared" si="0"/>
        <v>259</v>
      </c>
      <c r="F49" s="47">
        <v>88</v>
      </c>
      <c r="G49" s="263">
        <f>IFERROR(VLOOKUP(Table_socioeca8.sandag.org_abm2_trb[[#This Row],[route]],[2]transit_general!$B$2:$M$139,3,FALSE),0)</f>
        <v>21.371098</v>
      </c>
      <c r="H49" s="263">
        <f>IFERROR(VLOOKUP(Table_socioeca8.sandag.org_abm2_trb[[#This Row],[route]],[2]transit_general!$B$2:$M$139,4,FALSE),0)</f>
        <v>93.574664999999996</v>
      </c>
      <c r="I49" s="263">
        <f>IFERROR(VLOOKUP(Table_socioeca8.sandag.org_abm2_trb[[#This Row],[route]],[2]transit_general!$B$2:$M$139,5,FALSE),0)</f>
        <v>115.683938</v>
      </c>
      <c r="J49" s="263">
        <f>IFERROR(VLOOKUP(Table_socioeca8.sandag.org_abm2_trb[[#This Row],[route]],[2]transit_general!$B$2:$M$139,6,FALSE),0)</f>
        <v>90.912495000000007</v>
      </c>
      <c r="K49" s="263">
        <f>IFERROR(VLOOKUP(Table_socioeca8.sandag.org_abm2_trb[[#This Row],[route]],[2]transit_general!$B$2:$M$139,7,FALSE),0)</f>
        <v>62.831485999999998</v>
      </c>
      <c r="L49" s="263">
        <f>IFERROR(VLOOKUP(Table_socioeca8.sandag.org_abm2_trb[[#This Row],[route]],[2]transit_general!$B$2:$M$139,8,FALSE),0)</f>
        <v>31.618311847217001</v>
      </c>
      <c r="M49" s="263">
        <f>IFERROR(VLOOKUP(Table_socioeca8.sandag.org_abm2_trb[[#This Row],[route]],[2]transit_general!$B$2:$M$139,9,FALSE),0)</f>
        <v>158.52344100128201</v>
      </c>
      <c r="N49" s="263">
        <f>IFERROR(VLOOKUP(Table_socioeca8.sandag.org_abm2_trb[[#This Row],[route]],[2]transit_general!$B$2:$M$139,10,FALSE),0)</f>
        <v>190.40453564976801</v>
      </c>
      <c r="O49" s="263">
        <f>IFERROR(VLOOKUP(Table_socioeca8.sandag.org_abm2_trb[[#This Row],[route]],[2]transit_general!$B$2:$M$139,11,FALSE),0)</f>
        <v>163.305726927736</v>
      </c>
      <c r="P49" s="263">
        <f>IFERROR(VLOOKUP(Table_socioeca8.sandag.org_abm2_trb[[#This Row],[route]],[2]transit_general!$B$2:$M$139,12,FALSE),0)</f>
        <v>104.61454196479799</v>
      </c>
      <c r="Q49" s="263">
        <f>IFERROR(VLOOKUP(Table_socioeca8.sandag.org_abm2_trb[[#This Row],[route]],[2]transit_general!$B$2:$M$139,2,FALSE),0)</f>
        <v>29</v>
      </c>
      <c r="S49" s="5">
        <f>Table_socioeca8.sandag.org_abm2_trb[[#This Row],[scenario_id]]</f>
        <v>259</v>
      </c>
      <c r="T49" s="5">
        <f>Table_socioeca8.sandag.org_abm2_trb[[#This Row],[route]]</f>
        <v>88</v>
      </c>
      <c r="U49" s="3">
        <f>Table_socioeca8.sandag.org_abm2_trb[[#This Row],[boarding_EA]]</f>
        <v>21.371098</v>
      </c>
      <c r="V49" s="3">
        <f>Table_socioeca8.sandag.org_abm2_trb[[#This Row],[boarding_AM]]</f>
        <v>93.574664999999996</v>
      </c>
      <c r="W49" s="3">
        <f>Table_socioeca8.sandag.org_abm2_trb[[#This Row],[boarding_MD]]</f>
        <v>115.683938</v>
      </c>
      <c r="X49" s="3">
        <f>Table_socioeca8.sandag.org_abm2_trb[[#This Row],[boarding_PM]]</f>
        <v>90.912495000000007</v>
      </c>
      <c r="Y49" s="3">
        <f>Table_socioeca8.sandag.org_abm2_trb[[#This Row],[boarding_EV]]</f>
        <v>62.831485999999998</v>
      </c>
      <c r="Z49" s="3">
        <f>Table_socioeca8.sandag.org_abm2_trb[[#This Row],[passenger_mile_EA]]</f>
        <v>31.618311847217001</v>
      </c>
      <c r="AA49" s="3">
        <f>Table_socioeca8.sandag.org_abm2_trb[[#This Row],[passenger_mile_AM]]</f>
        <v>158.52344100128201</v>
      </c>
      <c r="AB49" s="3">
        <f>Table_socioeca8.sandag.org_abm2_trb[[#This Row],[passenger_mile_MD]]</f>
        <v>190.40453564976801</v>
      </c>
      <c r="AC49" s="3">
        <f>Table_socioeca8.sandag.org_abm2_trb[[#This Row],[passenger_mile_PM]]</f>
        <v>163.305726927736</v>
      </c>
      <c r="AD49" s="3">
        <f>Table_socioeca8.sandag.org_abm2_trb[[#This Row],[passenger_mile_EV]]</f>
        <v>104.61454196479799</v>
      </c>
      <c r="AE49" s="5">
        <f>Table_socioeca8.sandag.org_abm2_trb[[#This Row],[mode_transit_route_id]]</f>
        <v>29</v>
      </c>
      <c r="AF49"/>
    </row>
    <row r="50" spans="3:32" x14ac:dyDescent="0.25">
      <c r="E50" s="47">
        <f t="shared" si="0"/>
        <v>259</v>
      </c>
      <c r="F50" s="47">
        <v>101</v>
      </c>
      <c r="G50" s="263">
        <f>IFERROR(VLOOKUP(Table_socioeca8.sandag.org_abm2_trb[[#This Row],[route]],[2]transit_general!$B$2:$M$139,3,FALSE),0)</f>
        <v>197.82924199999999</v>
      </c>
      <c r="H50" s="263">
        <f>IFERROR(VLOOKUP(Table_socioeca8.sandag.org_abm2_trb[[#This Row],[route]],[2]transit_general!$B$2:$M$139,4,FALSE),0)</f>
        <v>603.11623099999997</v>
      </c>
      <c r="I50" s="263">
        <f>IFERROR(VLOOKUP(Table_socioeca8.sandag.org_abm2_trb[[#This Row],[route]],[2]transit_general!$B$2:$M$139,5,FALSE),0)</f>
        <v>958.22043099999996</v>
      </c>
      <c r="J50" s="263">
        <f>IFERROR(VLOOKUP(Table_socioeca8.sandag.org_abm2_trb[[#This Row],[route]],[2]transit_general!$B$2:$M$139,6,FALSE),0)</f>
        <v>1064.0671689999999</v>
      </c>
      <c r="K50" s="263">
        <f>IFERROR(VLOOKUP(Table_socioeca8.sandag.org_abm2_trb[[#This Row],[route]],[2]transit_general!$B$2:$M$139,7,FALSE),0)</f>
        <v>524.61037299999998</v>
      </c>
      <c r="L50" s="263">
        <f>IFERROR(VLOOKUP(Table_socioeca8.sandag.org_abm2_trb[[#This Row],[route]],[2]transit_general!$B$2:$M$139,8,FALSE),0)</f>
        <v>2401.4775043867289</v>
      </c>
      <c r="M50" s="263">
        <f>IFERROR(VLOOKUP(Table_socioeca8.sandag.org_abm2_trb[[#This Row],[route]],[2]transit_general!$B$2:$M$139,9,FALSE),0)</f>
        <v>5013.5954661959531</v>
      </c>
      <c r="N50" s="263">
        <f>IFERROR(VLOOKUP(Table_socioeca8.sandag.org_abm2_trb[[#This Row],[route]],[2]transit_general!$B$2:$M$139,10,FALSE),0)</f>
        <v>6410.9117584242567</v>
      </c>
      <c r="O50" s="263">
        <f>IFERROR(VLOOKUP(Table_socioeca8.sandag.org_abm2_trb[[#This Row],[route]],[2]transit_general!$B$2:$M$139,11,FALSE),0)</f>
        <v>7943.8284000092763</v>
      </c>
      <c r="P50" s="263">
        <f>IFERROR(VLOOKUP(Table_socioeca8.sandag.org_abm2_trb[[#This Row],[route]],[2]transit_general!$B$2:$M$139,12,FALSE),0)</f>
        <v>4428.1721735269721</v>
      </c>
      <c r="Q50" s="263">
        <f>IFERROR(VLOOKUP(Table_socioeca8.sandag.org_abm2_trb[[#This Row],[route]],[2]transit_general!$B$2:$M$139,2,FALSE),0)</f>
        <v>29</v>
      </c>
      <c r="S50" s="5">
        <f>Table_socioeca8.sandag.org_abm2_trb[[#This Row],[scenario_id]]</f>
        <v>259</v>
      </c>
      <c r="T50" s="5">
        <f>Table_socioeca8.sandag.org_abm2_trb[[#This Row],[route]]</f>
        <v>101</v>
      </c>
      <c r="U50" s="3">
        <f>Table_socioeca8.sandag.org_abm2_trb[[#This Row],[boarding_EA]]</f>
        <v>197.82924199999999</v>
      </c>
      <c r="V50" s="3">
        <f>Table_socioeca8.sandag.org_abm2_trb[[#This Row],[boarding_AM]]</f>
        <v>603.11623099999997</v>
      </c>
      <c r="W50" s="3">
        <f>Table_socioeca8.sandag.org_abm2_trb[[#This Row],[boarding_MD]]</f>
        <v>958.22043099999996</v>
      </c>
      <c r="X50" s="3">
        <f>Table_socioeca8.sandag.org_abm2_trb[[#This Row],[boarding_PM]]</f>
        <v>1064.0671689999999</v>
      </c>
      <c r="Y50" s="3">
        <f>Table_socioeca8.sandag.org_abm2_trb[[#This Row],[boarding_EV]]</f>
        <v>524.61037299999998</v>
      </c>
      <c r="Z50" s="3">
        <f>Table_socioeca8.sandag.org_abm2_trb[[#This Row],[passenger_mile_EA]]</f>
        <v>2401.4775043867289</v>
      </c>
      <c r="AA50" s="3">
        <f>Table_socioeca8.sandag.org_abm2_trb[[#This Row],[passenger_mile_AM]]</f>
        <v>5013.5954661959531</v>
      </c>
      <c r="AB50" s="3">
        <f>Table_socioeca8.sandag.org_abm2_trb[[#This Row],[passenger_mile_MD]]</f>
        <v>6410.9117584242567</v>
      </c>
      <c r="AC50" s="3">
        <f>Table_socioeca8.sandag.org_abm2_trb[[#This Row],[passenger_mile_PM]]</f>
        <v>7943.8284000092763</v>
      </c>
      <c r="AD50" s="3">
        <f>Table_socioeca8.sandag.org_abm2_trb[[#This Row],[passenger_mile_EV]]</f>
        <v>4428.1721735269721</v>
      </c>
      <c r="AE50" s="5">
        <f>Table_socioeca8.sandag.org_abm2_trb[[#This Row],[mode_transit_route_id]]</f>
        <v>29</v>
      </c>
      <c r="AF50"/>
    </row>
    <row r="51" spans="3:32" x14ac:dyDescent="0.25">
      <c r="E51" s="47">
        <f t="shared" si="0"/>
        <v>259</v>
      </c>
      <c r="F51" s="47">
        <v>105</v>
      </c>
      <c r="G51" s="263">
        <f>IFERROR(VLOOKUP(Table_socioeca8.sandag.org_abm2_trb[[#This Row],[route]],[2]transit_general!$B$2:$M$139,3,FALSE),0)</f>
        <v>48.585841000000002</v>
      </c>
      <c r="H51" s="263">
        <f>IFERROR(VLOOKUP(Table_socioeca8.sandag.org_abm2_trb[[#This Row],[route]],[2]transit_general!$B$2:$M$139,4,FALSE),0)</f>
        <v>234.31177199999999</v>
      </c>
      <c r="I51" s="263">
        <f>IFERROR(VLOOKUP(Table_socioeca8.sandag.org_abm2_trb[[#This Row],[route]],[2]transit_general!$B$2:$M$139,5,FALSE),0)</f>
        <v>531.78320900000006</v>
      </c>
      <c r="J51" s="263">
        <f>IFERROR(VLOOKUP(Table_socioeca8.sandag.org_abm2_trb[[#This Row],[route]],[2]transit_general!$B$2:$M$139,6,FALSE),0)</f>
        <v>351.31557099999998</v>
      </c>
      <c r="K51" s="263">
        <f>IFERROR(VLOOKUP(Table_socioeca8.sandag.org_abm2_trb[[#This Row],[route]],[2]transit_general!$B$2:$M$139,7,FALSE),0)</f>
        <v>216.55853500000001</v>
      </c>
      <c r="L51" s="263">
        <f>IFERROR(VLOOKUP(Table_socioeca8.sandag.org_abm2_trb[[#This Row],[route]],[2]transit_general!$B$2:$M$139,8,FALSE),0)</f>
        <v>201.07464601224299</v>
      </c>
      <c r="M51" s="263">
        <f>IFERROR(VLOOKUP(Table_socioeca8.sandag.org_abm2_trb[[#This Row],[route]],[2]transit_general!$B$2:$M$139,9,FALSE),0)</f>
        <v>827.48887959326498</v>
      </c>
      <c r="N51" s="263">
        <f>IFERROR(VLOOKUP(Table_socioeca8.sandag.org_abm2_trb[[#This Row],[route]],[2]transit_general!$B$2:$M$139,10,FALSE),0)</f>
        <v>1653.428192887344</v>
      </c>
      <c r="O51" s="263">
        <f>IFERROR(VLOOKUP(Table_socioeca8.sandag.org_abm2_trb[[#This Row],[route]],[2]transit_general!$B$2:$M$139,11,FALSE),0)</f>
        <v>1182.6535915507191</v>
      </c>
      <c r="P51" s="263">
        <f>IFERROR(VLOOKUP(Table_socioeca8.sandag.org_abm2_trb[[#This Row],[route]],[2]transit_general!$B$2:$M$139,12,FALSE),0)</f>
        <v>710.28118785836602</v>
      </c>
      <c r="Q51" s="263">
        <f>IFERROR(VLOOKUP(Table_socioeca8.sandag.org_abm2_trb[[#This Row],[route]],[2]transit_general!$B$2:$M$139,2,FALSE),0)</f>
        <v>29</v>
      </c>
      <c r="S51" s="5">
        <f>Table_socioeca8.sandag.org_abm2_trb[[#This Row],[scenario_id]]</f>
        <v>259</v>
      </c>
      <c r="T51" s="5">
        <f>Table_socioeca8.sandag.org_abm2_trb[[#This Row],[route]]</f>
        <v>105</v>
      </c>
      <c r="U51" s="3">
        <f>Table_socioeca8.sandag.org_abm2_trb[[#This Row],[boarding_EA]]</f>
        <v>48.585841000000002</v>
      </c>
      <c r="V51" s="3">
        <f>Table_socioeca8.sandag.org_abm2_trb[[#This Row],[boarding_AM]]</f>
        <v>234.31177199999999</v>
      </c>
      <c r="W51" s="3">
        <f>Table_socioeca8.sandag.org_abm2_trb[[#This Row],[boarding_MD]]</f>
        <v>531.78320900000006</v>
      </c>
      <c r="X51" s="3">
        <f>Table_socioeca8.sandag.org_abm2_trb[[#This Row],[boarding_PM]]</f>
        <v>351.31557099999998</v>
      </c>
      <c r="Y51" s="3">
        <f>Table_socioeca8.sandag.org_abm2_trb[[#This Row],[boarding_EV]]</f>
        <v>216.55853500000001</v>
      </c>
      <c r="Z51" s="3">
        <f>Table_socioeca8.sandag.org_abm2_trb[[#This Row],[passenger_mile_EA]]</f>
        <v>201.07464601224299</v>
      </c>
      <c r="AA51" s="3">
        <f>Table_socioeca8.sandag.org_abm2_trb[[#This Row],[passenger_mile_AM]]</f>
        <v>827.48887959326498</v>
      </c>
      <c r="AB51" s="3">
        <f>Table_socioeca8.sandag.org_abm2_trb[[#This Row],[passenger_mile_MD]]</f>
        <v>1653.428192887344</v>
      </c>
      <c r="AC51" s="3">
        <f>Table_socioeca8.sandag.org_abm2_trb[[#This Row],[passenger_mile_PM]]</f>
        <v>1182.6535915507191</v>
      </c>
      <c r="AD51" s="3">
        <f>Table_socioeca8.sandag.org_abm2_trb[[#This Row],[passenger_mile_EV]]</f>
        <v>710.28118785836602</v>
      </c>
      <c r="AE51" s="5">
        <f>Table_socioeca8.sandag.org_abm2_trb[[#This Row],[mode_transit_route_id]]</f>
        <v>29</v>
      </c>
      <c r="AF51"/>
    </row>
    <row r="52" spans="3:32" x14ac:dyDescent="0.25">
      <c r="E52" s="47">
        <f t="shared" si="0"/>
        <v>259</v>
      </c>
      <c r="F52" s="47">
        <v>115</v>
      </c>
      <c r="G52" s="263">
        <f>IFERROR(VLOOKUP(Table_socioeca8.sandag.org_abm2_trb[[#This Row],[route]],[2]transit_general!$B$2:$M$139,3,FALSE),0)</f>
        <v>48.162328000000002</v>
      </c>
      <c r="H52" s="263">
        <f>IFERROR(VLOOKUP(Table_socioeca8.sandag.org_abm2_trb[[#This Row],[route]],[2]transit_general!$B$2:$M$139,4,FALSE),0)</f>
        <v>478.64643999999998</v>
      </c>
      <c r="I52" s="263">
        <f>IFERROR(VLOOKUP(Table_socioeca8.sandag.org_abm2_trb[[#This Row],[route]],[2]transit_general!$B$2:$M$139,5,FALSE),0)</f>
        <v>887.70364400000005</v>
      </c>
      <c r="J52" s="263">
        <f>IFERROR(VLOOKUP(Table_socioeca8.sandag.org_abm2_trb[[#This Row],[route]],[2]transit_general!$B$2:$M$139,6,FALSE),0)</f>
        <v>691.37731499999995</v>
      </c>
      <c r="K52" s="263">
        <f>IFERROR(VLOOKUP(Table_socioeca8.sandag.org_abm2_trb[[#This Row],[route]],[2]transit_general!$B$2:$M$139,7,FALSE),0)</f>
        <v>450.58495799999997</v>
      </c>
      <c r="L52" s="263">
        <f>IFERROR(VLOOKUP(Table_socioeca8.sandag.org_abm2_trb[[#This Row],[route]],[2]transit_general!$B$2:$M$139,8,FALSE),0)</f>
        <v>191.41904890859999</v>
      </c>
      <c r="M52" s="263">
        <f>IFERROR(VLOOKUP(Table_socioeca8.sandag.org_abm2_trb[[#This Row],[route]],[2]transit_general!$B$2:$M$139,9,FALSE),0)</f>
        <v>2199.1000829740969</v>
      </c>
      <c r="N52" s="263">
        <f>IFERROR(VLOOKUP(Table_socioeca8.sandag.org_abm2_trb[[#This Row],[route]],[2]transit_general!$B$2:$M$139,10,FALSE),0)</f>
        <v>4071.5772489275628</v>
      </c>
      <c r="O52" s="263">
        <f>IFERROR(VLOOKUP(Table_socioeca8.sandag.org_abm2_trb[[#This Row],[route]],[2]transit_general!$B$2:$M$139,11,FALSE),0)</f>
        <v>2956.7484288377918</v>
      </c>
      <c r="P52" s="263">
        <f>IFERROR(VLOOKUP(Table_socioeca8.sandag.org_abm2_trb[[#This Row],[route]],[2]transit_general!$B$2:$M$139,12,FALSE),0)</f>
        <v>1920.080994687416</v>
      </c>
      <c r="Q52" s="263">
        <f>IFERROR(VLOOKUP(Table_socioeca8.sandag.org_abm2_trb[[#This Row],[route]],[2]transit_general!$B$2:$M$139,2,FALSE),0)</f>
        <v>29</v>
      </c>
      <c r="S52" s="5">
        <f>Table_socioeca8.sandag.org_abm2_trb[[#This Row],[scenario_id]]</f>
        <v>259</v>
      </c>
      <c r="T52" s="5">
        <f>Table_socioeca8.sandag.org_abm2_trb[[#This Row],[route]]</f>
        <v>115</v>
      </c>
      <c r="U52" s="3">
        <f>Table_socioeca8.sandag.org_abm2_trb[[#This Row],[boarding_EA]]</f>
        <v>48.162328000000002</v>
      </c>
      <c r="V52" s="3">
        <f>Table_socioeca8.sandag.org_abm2_trb[[#This Row],[boarding_AM]]</f>
        <v>478.64643999999998</v>
      </c>
      <c r="W52" s="3">
        <f>Table_socioeca8.sandag.org_abm2_trb[[#This Row],[boarding_MD]]</f>
        <v>887.70364400000005</v>
      </c>
      <c r="X52" s="3">
        <f>Table_socioeca8.sandag.org_abm2_trb[[#This Row],[boarding_PM]]</f>
        <v>691.37731499999995</v>
      </c>
      <c r="Y52" s="3">
        <f>Table_socioeca8.sandag.org_abm2_trb[[#This Row],[boarding_EV]]</f>
        <v>450.58495799999997</v>
      </c>
      <c r="Z52" s="3">
        <f>Table_socioeca8.sandag.org_abm2_trb[[#This Row],[passenger_mile_EA]]</f>
        <v>191.41904890859999</v>
      </c>
      <c r="AA52" s="3">
        <f>Table_socioeca8.sandag.org_abm2_trb[[#This Row],[passenger_mile_AM]]</f>
        <v>2199.1000829740969</v>
      </c>
      <c r="AB52" s="3">
        <f>Table_socioeca8.sandag.org_abm2_trb[[#This Row],[passenger_mile_MD]]</f>
        <v>4071.5772489275628</v>
      </c>
      <c r="AC52" s="3">
        <f>Table_socioeca8.sandag.org_abm2_trb[[#This Row],[passenger_mile_PM]]</f>
        <v>2956.7484288377918</v>
      </c>
      <c r="AD52" s="3">
        <f>Table_socioeca8.sandag.org_abm2_trb[[#This Row],[passenger_mile_EV]]</f>
        <v>1920.080994687416</v>
      </c>
      <c r="AE52" s="5">
        <f>Table_socioeca8.sandag.org_abm2_trb[[#This Row],[mode_transit_route_id]]</f>
        <v>29</v>
      </c>
      <c r="AF52"/>
    </row>
    <row r="53" spans="3:32" s="248" customFormat="1" x14ac:dyDescent="0.25">
      <c r="C53" s="288"/>
      <c r="D53" s="288"/>
      <c r="E53" s="47">
        <f t="shared" si="0"/>
        <v>259</v>
      </c>
      <c r="F53" s="288">
        <v>276</v>
      </c>
      <c r="G53" s="263">
        <f>IFERROR(VLOOKUP(Table_socioeca8.sandag.org_abm2_trb[[#This Row],[route]],[2]transit_general!$B$2:$M$139,3,FALSE),0)</f>
        <v>22.807535999999999</v>
      </c>
      <c r="H53" s="263">
        <f>IFERROR(VLOOKUP(Table_socioeca8.sandag.org_abm2_trb[[#This Row],[route]],[2]transit_general!$B$2:$M$139,4,FALSE),0)</f>
        <v>271.63771100000002</v>
      </c>
      <c r="I53" s="263">
        <f>IFERROR(VLOOKUP(Table_socioeca8.sandag.org_abm2_trb[[#This Row],[route]],[2]transit_general!$B$2:$M$139,5,FALSE),0)</f>
        <v>519.024945</v>
      </c>
      <c r="J53" s="263">
        <f>IFERROR(VLOOKUP(Table_socioeca8.sandag.org_abm2_trb[[#This Row],[route]],[2]transit_general!$B$2:$M$139,6,FALSE),0)</f>
        <v>276.48021999999997</v>
      </c>
      <c r="K53" s="263">
        <f>IFERROR(VLOOKUP(Table_socioeca8.sandag.org_abm2_trb[[#This Row],[route]],[2]transit_general!$B$2:$M$139,7,FALSE),0)</f>
        <v>162.88038800000001</v>
      </c>
      <c r="L53" s="263">
        <f>IFERROR(VLOOKUP(Table_socioeca8.sandag.org_abm2_trb[[#This Row],[route]],[2]transit_general!$B$2:$M$139,8,FALSE),0)</f>
        <v>37.736950667872001</v>
      </c>
      <c r="M53" s="263">
        <f>IFERROR(VLOOKUP(Table_socioeca8.sandag.org_abm2_trb[[#This Row],[route]],[2]transit_general!$B$2:$M$139,9,FALSE),0)</f>
        <v>368.56548211511802</v>
      </c>
      <c r="N53" s="263">
        <f>IFERROR(VLOOKUP(Table_socioeca8.sandag.org_abm2_trb[[#This Row],[route]],[2]transit_general!$B$2:$M$139,10,FALSE),0)</f>
        <v>639.70109609063002</v>
      </c>
      <c r="O53" s="263">
        <f>IFERROR(VLOOKUP(Table_socioeca8.sandag.org_abm2_trb[[#This Row],[route]],[2]transit_general!$B$2:$M$139,11,FALSE),0)</f>
        <v>318.06142148798</v>
      </c>
      <c r="P53" s="263">
        <f>IFERROR(VLOOKUP(Table_socioeca8.sandag.org_abm2_trb[[#This Row],[route]],[2]transit_general!$B$2:$M$139,12,FALSE),0)</f>
        <v>201.95294555005799</v>
      </c>
      <c r="Q53" s="263">
        <f>IFERROR(VLOOKUP(Table_socioeca8.sandag.org_abm2_trb[[#This Row],[route]],[2]transit_general!$B$2:$M$139,2,FALSE),0)</f>
        <v>29</v>
      </c>
      <c r="S53" s="248">
        <f>Table_socioeca8.sandag.org_abm2_trb[[#This Row],[scenario_id]]</f>
        <v>259</v>
      </c>
      <c r="T53" s="248">
        <f>Table_socioeca8.sandag.org_abm2_trb[[#This Row],[route]]</f>
        <v>276</v>
      </c>
      <c r="U53" s="294">
        <f>Table_socioeca8.sandag.org_abm2_trb[[#This Row],[boarding_EA]]</f>
        <v>22.807535999999999</v>
      </c>
      <c r="V53" s="294">
        <f>Table_socioeca8.sandag.org_abm2_trb[[#This Row],[boarding_AM]]</f>
        <v>271.63771100000002</v>
      </c>
      <c r="W53" s="294">
        <f>Table_socioeca8.sandag.org_abm2_trb[[#This Row],[boarding_MD]]</f>
        <v>519.024945</v>
      </c>
      <c r="X53" s="294">
        <f>Table_socioeca8.sandag.org_abm2_trb[[#This Row],[boarding_PM]]</f>
        <v>276.48021999999997</v>
      </c>
      <c r="Y53" s="294">
        <f>Table_socioeca8.sandag.org_abm2_trb[[#This Row],[boarding_EV]]</f>
        <v>162.88038800000001</v>
      </c>
      <c r="Z53" s="294">
        <f>Table_socioeca8.sandag.org_abm2_trb[[#This Row],[passenger_mile_EA]]</f>
        <v>37.736950667872001</v>
      </c>
      <c r="AA53" s="294">
        <f>Table_socioeca8.sandag.org_abm2_trb[[#This Row],[passenger_mile_AM]]</f>
        <v>368.56548211511802</v>
      </c>
      <c r="AB53" s="294">
        <f>Table_socioeca8.sandag.org_abm2_trb[[#This Row],[passenger_mile_MD]]</f>
        <v>639.70109609063002</v>
      </c>
      <c r="AC53" s="294">
        <f>Table_socioeca8.sandag.org_abm2_trb[[#This Row],[passenger_mile_PM]]</f>
        <v>318.06142148798</v>
      </c>
      <c r="AD53" s="294">
        <f>Table_socioeca8.sandag.org_abm2_trb[[#This Row],[passenger_mile_EV]]</f>
        <v>201.95294555005799</v>
      </c>
      <c r="AE53" s="248">
        <f>Table_socioeca8.sandag.org_abm2_trb[[#This Row],[mode_transit_route_id]]</f>
        <v>29</v>
      </c>
    </row>
    <row r="54" spans="3:32" x14ac:dyDescent="0.25">
      <c r="E54" s="47">
        <f t="shared" si="0"/>
        <v>259</v>
      </c>
      <c r="F54" s="47">
        <v>302</v>
      </c>
      <c r="G54" s="263">
        <f>IFERROR(VLOOKUP(Table_socioeca8.sandag.org_abm2_trb[[#This Row],[route]],[2]transit_general!$B$2:$M$139,3,FALSE),0)</f>
        <v>101.146079</v>
      </c>
      <c r="H54" s="263">
        <f>IFERROR(VLOOKUP(Table_socioeca8.sandag.org_abm2_trb[[#This Row],[route]],[2]transit_general!$B$2:$M$139,4,FALSE),0)</f>
        <v>580.996126</v>
      </c>
      <c r="I54" s="263">
        <f>IFERROR(VLOOKUP(Table_socioeca8.sandag.org_abm2_trb[[#This Row],[route]],[2]transit_general!$B$2:$M$139,5,FALSE),0)</f>
        <v>1215.8490509999999</v>
      </c>
      <c r="J54" s="263">
        <f>IFERROR(VLOOKUP(Table_socioeca8.sandag.org_abm2_trb[[#This Row],[route]],[2]transit_general!$B$2:$M$139,6,FALSE),0)</f>
        <v>898.645622</v>
      </c>
      <c r="K54" s="263">
        <f>IFERROR(VLOOKUP(Table_socioeca8.sandag.org_abm2_trb[[#This Row],[route]],[2]transit_general!$B$2:$M$139,7,FALSE),0)</f>
        <v>463.81141400000001</v>
      </c>
      <c r="L54" s="263">
        <f>IFERROR(VLOOKUP(Table_socioeca8.sandag.org_abm2_trb[[#This Row],[route]],[2]transit_general!$B$2:$M$139,8,FALSE),0)</f>
        <v>439.85716419124498</v>
      </c>
      <c r="M54" s="263">
        <f>IFERROR(VLOOKUP(Table_socioeca8.sandag.org_abm2_trb[[#This Row],[route]],[2]transit_general!$B$2:$M$139,9,FALSE),0)</f>
        <v>2697.9594266237468</v>
      </c>
      <c r="N54" s="263">
        <f>IFERROR(VLOOKUP(Table_socioeca8.sandag.org_abm2_trb[[#This Row],[route]],[2]transit_general!$B$2:$M$139,10,FALSE),0)</f>
        <v>5029.6856885434663</v>
      </c>
      <c r="O54" s="263">
        <f>IFERROR(VLOOKUP(Table_socioeca8.sandag.org_abm2_trb[[#This Row],[route]],[2]transit_general!$B$2:$M$139,11,FALSE),0)</f>
        <v>3853.405061982648</v>
      </c>
      <c r="P54" s="263">
        <f>IFERROR(VLOOKUP(Table_socioeca8.sandag.org_abm2_trb[[#This Row],[route]],[2]transit_general!$B$2:$M$139,12,FALSE),0)</f>
        <v>1992.0602827004591</v>
      </c>
      <c r="Q54" s="263">
        <f>IFERROR(VLOOKUP(Table_socioeca8.sandag.org_abm2_trb[[#This Row],[route]],[2]transit_general!$B$2:$M$139,2,FALSE),0)</f>
        <v>29</v>
      </c>
      <c r="S54" s="5">
        <f>Table_socioeca8.sandag.org_abm2_trb[[#This Row],[scenario_id]]</f>
        <v>259</v>
      </c>
      <c r="T54" s="5">
        <f>Table_socioeca8.sandag.org_abm2_trb[[#This Row],[route]]</f>
        <v>302</v>
      </c>
      <c r="U54" s="3">
        <f>Table_socioeca8.sandag.org_abm2_trb[[#This Row],[boarding_EA]]</f>
        <v>101.146079</v>
      </c>
      <c r="V54" s="3">
        <f>Table_socioeca8.sandag.org_abm2_trb[[#This Row],[boarding_AM]]</f>
        <v>580.996126</v>
      </c>
      <c r="W54" s="3">
        <f>Table_socioeca8.sandag.org_abm2_trb[[#This Row],[boarding_MD]]</f>
        <v>1215.8490509999999</v>
      </c>
      <c r="X54" s="3">
        <f>Table_socioeca8.sandag.org_abm2_trb[[#This Row],[boarding_PM]]</f>
        <v>898.645622</v>
      </c>
      <c r="Y54" s="3">
        <f>Table_socioeca8.sandag.org_abm2_trb[[#This Row],[boarding_EV]]</f>
        <v>463.81141400000001</v>
      </c>
      <c r="Z54" s="3">
        <f>Table_socioeca8.sandag.org_abm2_trb[[#This Row],[passenger_mile_EA]]</f>
        <v>439.85716419124498</v>
      </c>
      <c r="AA54" s="3">
        <f>Table_socioeca8.sandag.org_abm2_trb[[#This Row],[passenger_mile_AM]]</f>
        <v>2697.9594266237468</v>
      </c>
      <c r="AB54" s="3">
        <f>Table_socioeca8.sandag.org_abm2_trb[[#This Row],[passenger_mile_MD]]</f>
        <v>5029.6856885434663</v>
      </c>
      <c r="AC54" s="3">
        <f>Table_socioeca8.sandag.org_abm2_trb[[#This Row],[passenger_mile_PM]]</f>
        <v>3853.405061982648</v>
      </c>
      <c r="AD54" s="3">
        <f>Table_socioeca8.sandag.org_abm2_trb[[#This Row],[passenger_mile_EV]]</f>
        <v>1992.0602827004591</v>
      </c>
      <c r="AE54" s="5">
        <f>Table_socioeca8.sandag.org_abm2_trb[[#This Row],[mode_transit_route_id]]</f>
        <v>29</v>
      </c>
      <c r="AF54"/>
    </row>
    <row r="55" spans="3:32" x14ac:dyDescent="0.25">
      <c r="E55" s="47">
        <f t="shared" si="0"/>
        <v>259</v>
      </c>
      <c r="F55" s="47">
        <v>303</v>
      </c>
      <c r="G55" s="263">
        <f>IFERROR(VLOOKUP(Table_socioeca8.sandag.org_abm2_trb[[#This Row],[route]],[2]transit_general!$B$2:$M$139,3,FALSE),0)</f>
        <v>115.052649</v>
      </c>
      <c r="H55" s="263">
        <f>IFERROR(VLOOKUP(Table_socioeca8.sandag.org_abm2_trb[[#This Row],[route]],[2]transit_general!$B$2:$M$139,4,FALSE),0)</f>
        <v>566.28318200000001</v>
      </c>
      <c r="I55" s="263">
        <f>IFERROR(VLOOKUP(Table_socioeca8.sandag.org_abm2_trb[[#This Row],[route]],[2]transit_general!$B$2:$M$139,5,FALSE),0)</f>
        <v>1049.4143509999999</v>
      </c>
      <c r="J55" s="263">
        <f>IFERROR(VLOOKUP(Table_socioeca8.sandag.org_abm2_trb[[#This Row],[route]],[2]transit_general!$B$2:$M$139,6,FALSE),0)</f>
        <v>878.33117300000004</v>
      </c>
      <c r="K55" s="263">
        <f>IFERROR(VLOOKUP(Table_socioeca8.sandag.org_abm2_trb[[#This Row],[route]],[2]transit_general!$B$2:$M$139,7,FALSE),0)</f>
        <v>407.74846000000002</v>
      </c>
      <c r="L55" s="263">
        <f>IFERROR(VLOOKUP(Table_socioeca8.sandag.org_abm2_trb[[#This Row],[route]],[2]transit_general!$B$2:$M$139,8,FALSE),0)</f>
        <v>502.32856681926501</v>
      </c>
      <c r="M55" s="263">
        <f>IFERROR(VLOOKUP(Table_socioeca8.sandag.org_abm2_trb[[#This Row],[route]],[2]transit_general!$B$2:$M$139,9,FALSE),0)</f>
        <v>2007.84284141332</v>
      </c>
      <c r="N55" s="263">
        <f>IFERROR(VLOOKUP(Table_socioeca8.sandag.org_abm2_trb[[#This Row],[route]],[2]transit_general!$B$2:$M$139,10,FALSE),0)</f>
        <v>3405.0184624749049</v>
      </c>
      <c r="O55" s="263">
        <f>IFERROR(VLOOKUP(Table_socioeca8.sandag.org_abm2_trb[[#This Row],[route]],[2]transit_general!$B$2:$M$139,11,FALSE),0)</f>
        <v>3100.5082486324131</v>
      </c>
      <c r="P55" s="263">
        <f>IFERROR(VLOOKUP(Table_socioeca8.sandag.org_abm2_trb[[#This Row],[route]],[2]transit_general!$B$2:$M$139,12,FALSE),0)</f>
        <v>1479.369309435488</v>
      </c>
      <c r="Q55" s="263">
        <f>IFERROR(VLOOKUP(Table_socioeca8.sandag.org_abm2_trb[[#This Row],[route]],[2]transit_general!$B$2:$M$139,2,FALSE),0)</f>
        <v>29</v>
      </c>
      <c r="S55" s="5">
        <f>Table_socioeca8.sandag.org_abm2_trb[[#This Row],[scenario_id]]</f>
        <v>259</v>
      </c>
      <c r="T55" s="5">
        <f>Table_socioeca8.sandag.org_abm2_trb[[#This Row],[route]]</f>
        <v>303</v>
      </c>
      <c r="U55" s="3">
        <f>Table_socioeca8.sandag.org_abm2_trb[[#This Row],[boarding_EA]]</f>
        <v>115.052649</v>
      </c>
      <c r="V55" s="3">
        <f>Table_socioeca8.sandag.org_abm2_trb[[#This Row],[boarding_AM]]</f>
        <v>566.28318200000001</v>
      </c>
      <c r="W55" s="3">
        <f>Table_socioeca8.sandag.org_abm2_trb[[#This Row],[boarding_MD]]</f>
        <v>1049.4143509999999</v>
      </c>
      <c r="X55" s="3">
        <f>Table_socioeca8.sandag.org_abm2_trb[[#This Row],[boarding_PM]]</f>
        <v>878.33117300000004</v>
      </c>
      <c r="Y55" s="3">
        <f>Table_socioeca8.sandag.org_abm2_trb[[#This Row],[boarding_EV]]</f>
        <v>407.74846000000002</v>
      </c>
      <c r="Z55" s="3">
        <f>Table_socioeca8.sandag.org_abm2_trb[[#This Row],[passenger_mile_EA]]</f>
        <v>502.32856681926501</v>
      </c>
      <c r="AA55" s="3">
        <f>Table_socioeca8.sandag.org_abm2_trb[[#This Row],[passenger_mile_AM]]</f>
        <v>2007.84284141332</v>
      </c>
      <c r="AB55" s="3">
        <f>Table_socioeca8.sandag.org_abm2_trb[[#This Row],[passenger_mile_MD]]</f>
        <v>3405.0184624749049</v>
      </c>
      <c r="AC55" s="3">
        <f>Table_socioeca8.sandag.org_abm2_trb[[#This Row],[passenger_mile_PM]]</f>
        <v>3100.5082486324131</v>
      </c>
      <c r="AD55" s="3">
        <f>Table_socioeca8.sandag.org_abm2_trb[[#This Row],[passenger_mile_EV]]</f>
        <v>1479.369309435488</v>
      </c>
      <c r="AE55" s="5">
        <f>Table_socioeca8.sandag.org_abm2_trb[[#This Row],[mode_transit_route_id]]</f>
        <v>29</v>
      </c>
      <c r="AF55"/>
    </row>
    <row r="56" spans="3:32" x14ac:dyDescent="0.25">
      <c r="E56" s="47">
        <f t="shared" si="0"/>
        <v>259</v>
      </c>
      <c r="F56" s="47">
        <v>304</v>
      </c>
      <c r="G56" s="263">
        <f>IFERROR(VLOOKUP(Table_socioeca8.sandag.org_abm2_trb[[#This Row],[route]],[2]transit_general!$B$2:$M$139,3,FALSE),0)</f>
        <v>60.559710000000003</v>
      </c>
      <c r="H56" s="263">
        <f>IFERROR(VLOOKUP(Table_socioeca8.sandag.org_abm2_trb[[#This Row],[route]],[2]transit_general!$B$2:$M$139,4,FALSE),0)</f>
        <v>371.89923800000003</v>
      </c>
      <c r="I56" s="263">
        <f>IFERROR(VLOOKUP(Table_socioeca8.sandag.org_abm2_trb[[#This Row],[route]],[2]transit_general!$B$2:$M$139,5,FALSE),0)</f>
        <v>518.81462199999999</v>
      </c>
      <c r="J56" s="263">
        <f>IFERROR(VLOOKUP(Table_socioeca8.sandag.org_abm2_trb[[#This Row],[route]],[2]transit_general!$B$2:$M$139,6,FALSE),0)</f>
        <v>621.01545399999998</v>
      </c>
      <c r="K56" s="263">
        <f>IFERROR(VLOOKUP(Table_socioeca8.sandag.org_abm2_trb[[#This Row],[route]],[2]transit_general!$B$2:$M$139,7,FALSE),0)</f>
        <v>241.70176699999999</v>
      </c>
      <c r="L56" s="263">
        <f>IFERROR(VLOOKUP(Table_socioeca8.sandag.org_abm2_trb[[#This Row],[route]],[2]transit_general!$B$2:$M$139,8,FALSE),0)</f>
        <v>329.339760732576</v>
      </c>
      <c r="M56" s="263">
        <f>IFERROR(VLOOKUP(Table_socioeca8.sandag.org_abm2_trb[[#This Row],[route]],[2]transit_general!$B$2:$M$139,9,FALSE),0)</f>
        <v>2036.2690207273899</v>
      </c>
      <c r="N56" s="263">
        <f>IFERROR(VLOOKUP(Table_socioeca8.sandag.org_abm2_trb[[#This Row],[route]],[2]transit_general!$B$2:$M$139,10,FALSE),0)</f>
        <v>2573.9405593787419</v>
      </c>
      <c r="O56" s="263">
        <f>IFERROR(VLOOKUP(Table_socioeca8.sandag.org_abm2_trb[[#This Row],[route]],[2]transit_general!$B$2:$M$139,11,FALSE),0)</f>
        <v>2894.122177312141</v>
      </c>
      <c r="P56" s="263">
        <f>IFERROR(VLOOKUP(Table_socioeca8.sandag.org_abm2_trb[[#This Row],[route]],[2]transit_general!$B$2:$M$139,12,FALSE),0)</f>
        <v>1251.46452237484</v>
      </c>
      <c r="Q56" s="263">
        <f>IFERROR(VLOOKUP(Table_socioeca8.sandag.org_abm2_trb[[#This Row],[route]],[2]transit_general!$B$2:$M$139,2,FALSE),0)</f>
        <v>29</v>
      </c>
      <c r="S56" s="5">
        <f>Table_socioeca8.sandag.org_abm2_trb[[#This Row],[scenario_id]]</f>
        <v>259</v>
      </c>
      <c r="T56" s="5">
        <f>Table_socioeca8.sandag.org_abm2_trb[[#This Row],[route]]</f>
        <v>304</v>
      </c>
      <c r="U56" s="3">
        <f>Table_socioeca8.sandag.org_abm2_trb[[#This Row],[boarding_EA]]</f>
        <v>60.559710000000003</v>
      </c>
      <c r="V56" s="3">
        <f>Table_socioeca8.sandag.org_abm2_trb[[#This Row],[boarding_AM]]</f>
        <v>371.89923800000003</v>
      </c>
      <c r="W56" s="3">
        <f>Table_socioeca8.sandag.org_abm2_trb[[#This Row],[boarding_MD]]</f>
        <v>518.81462199999999</v>
      </c>
      <c r="X56" s="3">
        <f>Table_socioeca8.sandag.org_abm2_trb[[#This Row],[boarding_PM]]</f>
        <v>621.01545399999998</v>
      </c>
      <c r="Y56" s="3">
        <f>Table_socioeca8.sandag.org_abm2_trb[[#This Row],[boarding_EV]]</f>
        <v>241.70176699999999</v>
      </c>
      <c r="Z56" s="3">
        <f>Table_socioeca8.sandag.org_abm2_trb[[#This Row],[passenger_mile_EA]]</f>
        <v>329.339760732576</v>
      </c>
      <c r="AA56" s="3">
        <f>Table_socioeca8.sandag.org_abm2_trb[[#This Row],[passenger_mile_AM]]</f>
        <v>2036.2690207273899</v>
      </c>
      <c r="AB56" s="3">
        <f>Table_socioeca8.sandag.org_abm2_trb[[#This Row],[passenger_mile_MD]]</f>
        <v>2573.9405593787419</v>
      </c>
      <c r="AC56" s="3">
        <f>Table_socioeca8.sandag.org_abm2_trb[[#This Row],[passenger_mile_PM]]</f>
        <v>2894.122177312141</v>
      </c>
      <c r="AD56" s="3">
        <f>Table_socioeca8.sandag.org_abm2_trb[[#This Row],[passenger_mile_EV]]</f>
        <v>1251.46452237484</v>
      </c>
      <c r="AE56" s="5">
        <f>Table_socioeca8.sandag.org_abm2_trb[[#This Row],[mode_transit_route_id]]</f>
        <v>29</v>
      </c>
      <c r="AF56"/>
    </row>
    <row r="57" spans="3:32" x14ac:dyDescent="0.25">
      <c r="E57" s="47">
        <f t="shared" si="0"/>
        <v>259</v>
      </c>
      <c r="F57" s="47">
        <v>305</v>
      </c>
      <c r="G57" s="263">
        <f>IFERROR(VLOOKUP(Table_socioeca8.sandag.org_abm2_trb[[#This Row],[route]],[2]transit_general!$B$2:$M$139,3,FALSE),0)</f>
        <v>95.436670000000007</v>
      </c>
      <c r="H57" s="263">
        <f>IFERROR(VLOOKUP(Table_socioeca8.sandag.org_abm2_trb[[#This Row],[route]],[2]transit_general!$B$2:$M$139,4,FALSE),0)</f>
        <v>687.68743800000004</v>
      </c>
      <c r="I57" s="263">
        <f>IFERROR(VLOOKUP(Table_socioeca8.sandag.org_abm2_trb[[#This Row],[route]],[2]transit_general!$B$2:$M$139,5,FALSE),0)</f>
        <v>1346.2424980000001</v>
      </c>
      <c r="J57" s="263">
        <f>IFERROR(VLOOKUP(Table_socioeca8.sandag.org_abm2_trb[[#This Row],[route]],[2]transit_general!$B$2:$M$139,6,FALSE),0)</f>
        <v>1063.789352</v>
      </c>
      <c r="K57" s="263">
        <f>IFERROR(VLOOKUP(Table_socioeca8.sandag.org_abm2_trb[[#This Row],[route]],[2]transit_general!$B$2:$M$139,7,FALSE),0)</f>
        <v>507.49555900000001</v>
      </c>
      <c r="L57" s="263">
        <f>IFERROR(VLOOKUP(Table_socioeca8.sandag.org_abm2_trb[[#This Row],[route]],[2]transit_general!$B$2:$M$139,8,FALSE),0)</f>
        <v>471.45722007926798</v>
      </c>
      <c r="M57" s="263">
        <f>IFERROR(VLOOKUP(Table_socioeca8.sandag.org_abm2_trb[[#This Row],[route]],[2]transit_general!$B$2:$M$139,9,FALSE),0)</f>
        <v>2662.227078458413</v>
      </c>
      <c r="N57" s="263">
        <f>IFERROR(VLOOKUP(Table_socioeca8.sandag.org_abm2_trb[[#This Row],[route]],[2]transit_general!$B$2:$M$139,10,FALSE),0)</f>
        <v>4694.0643166477312</v>
      </c>
      <c r="O57" s="263">
        <f>IFERROR(VLOOKUP(Table_socioeca8.sandag.org_abm2_trb[[#This Row],[route]],[2]transit_general!$B$2:$M$139,11,FALSE),0)</f>
        <v>3798.8925366097951</v>
      </c>
      <c r="P57" s="263">
        <f>IFERROR(VLOOKUP(Table_socioeca8.sandag.org_abm2_trb[[#This Row],[route]],[2]transit_general!$B$2:$M$139,12,FALSE),0)</f>
        <v>1808.5571800426751</v>
      </c>
      <c r="Q57" s="263">
        <f>IFERROR(VLOOKUP(Table_socioeca8.sandag.org_abm2_trb[[#This Row],[route]],[2]transit_general!$B$2:$M$139,2,FALSE),0)</f>
        <v>29</v>
      </c>
      <c r="S57" s="5">
        <f>Table_socioeca8.sandag.org_abm2_trb[[#This Row],[scenario_id]]</f>
        <v>259</v>
      </c>
      <c r="T57" s="5">
        <f>Table_socioeca8.sandag.org_abm2_trb[[#This Row],[route]]</f>
        <v>305</v>
      </c>
      <c r="U57" s="3">
        <f>Table_socioeca8.sandag.org_abm2_trb[[#This Row],[boarding_EA]]</f>
        <v>95.436670000000007</v>
      </c>
      <c r="V57" s="3">
        <f>Table_socioeca8.sandag.org_abm2_trb[[#This Row],[boarding_AM]]</f>
        <v>687.68743800000004</v>
      </c>
      <c r="W57" s="3">
        <f>Table_socioeca8.sandag.org_abm2_trb[[#This Row],[boarding_MD]]</f>
        <v>1346.2424980000001</v>
      </c>
      <c r="X57" s="3">
        <f>Table_socioeca8.sandag.org_abm2_trb[[#This Row],[boarding_PM]]</f>
        <v>1063.789352</v>
      </c>
      <c r="Y57" s="3">
        <f>Table_socioeca8.sandag.org_abm2_trb[[#This Row],[boarding_EV]]</f>
        <v>507.49555900000001</v>
      </c>
      <c r="Z57" s="3">
        <f>Table_socioeca8.sandag.org_abm2_trb[[#This Row],[passenger_mile_EA]]</f>
        <v>471.45722007926798</v>
      </c>
      <c r="AA57" s="3">
        <f>Table_socioeca8.sandag.org_abm2_trb[[#This Row],[passenger_mile_AM]]</f>
        <v>2662.227078458413</v>
      </c>
      <c r="AB57" s="3">
        <f>Table_socioeca8.sandag.org_abm2_trb[[#This Row],[passenger_mile_MD]]</f>
        <v>4694.0643166477312</v>
      </c>
      <c r="AC57" s="3">
        <f>Table_socioeca8.sandag.org_abm2_trb[[#This Row],[passenger_mile_PM]]</f>
        <v>3798.8925366097951</v>
      </c>
      <c r="AD57" s="3">
        <f>Table_socioeca8.sandag.org_abm2_trb[[#This Row],[passenger_mile_EV]]</f>
        <v>1808.5571800426751</v>
      </c>
      <c r="AE57" s="5">
        <f>Table_socioeca8.sandag.org_abm2_trb[[#This Row],[mode_transit_route_id]]</f>
        <v>29</v>
      </c>
      <c r="AF57"/>
    </row>
    <row r="58" spans="3:32" x14ac:dyDescent="0.25">
      <c r="E58" s="47">
        <f t="shared" si="0"/>
        <v>259</v>
      </c>
      <c r="F58" s="47">
        <v>306</v>
      </c>
      <c r="G58" s="263">
        <f>IFERROR(VLOOKUP(Table_socioeca8.sandag.org_abm2_trb[[#This Row],[route]],[2]transit_general!$B$2:$M$139,3,FALSE),0)</f>
        <v>20.333331999999999</v>
      </c>
      <c r="H58" s="263">
        <f>IFERROR(VLOOKUP(Table_socioeca8.sandag.org_abm2_trb[[#This Row],[route]],[2]transit_general!$B$2:$M$139,4,FALSE),0)</f>
        <v>133.871647</v>
      </c>
      <c r="I58" s="263">
        <f>IFERROR(VLOOKUP(Table_socioeca8.sandag.org_abm2_trb[[#This Row],[route]],[2]transit_general!$B$2:$M$139,5,FALSE),0)</f>
        <v>205.76749899999999</v>
      </c>
      <c r="J58" s="263">
        <f>IFERROR(VLOOKUP(Table_socioeca8.sandag.org_abm2_trb[[#This Row],[route]],[2]transit_general!$B$2:$M$139,6,FALSE),0)</f>
        <v>230.73366100000001</v>
      </c>
      <c r="K58" s="263">
        <f>IFERROR(VLOOKUP(Table_socioeca8.sandag.org_abm2_trb[[#This Row],[route]],[2]transit_general!$B$2:$M$139,7,FALSE),0)</f>
        <v>86.896586999999997</v>
      </c>
      <c r="L58" s="263">
        <f>IFERROR(VLOOKUP(Table_socioeca8.sandag.org_abm2_trb[[#This Row],[route]],[2]transit_general!$B$2:$M$139,8,FALSE),0)</f>
        <v>178.98128932314</v>
      </c>
      <c r="M58" s="263">
        <f>IFERROR(VLOOKUP(Table_socioeca8.sandag.org_abm2_trb[[#This Row],[route]],[2]transit_general!$B$2:$M$139,9,FALSE),0)</f>
        <v>845.132959601072</v>
      </c>
      <c r="N58" s="263">
        <f>IFERROR(VLOOKUP(Table_socioeca8.sandag.org_abm2_trb[[#This Row],[route]],[2]transit_general!$B$2:$M$139,10,FALSE),0)</f>
        <v>1125.4197129700819</v>
      </c>
      <c r="O58" s="263">
        <f>IFERROR(VLOOKUP(Table_socioeca8.sandag.org_abm2_trb[[#This Row],[route]],[2]transit_general!$B$2:$M$139,11,FALSE),0)</f>
        <v>1385.2321745712959</v>
      </c>
      <c r="P58" s="263">
        <f>IFERROR(VLOOKUP(Table_socioeca8.sandag.org_abm2_trb[[#This Row],[route]],[2]transit_general!$B$2:$M$139,12,FALSE),0)</f>
        <v>588.07645829937405</v>
      </c>
      <c r="Q58" s="263">
        <f>IFERROR(VLOOKUP(Table_socioeca8.sandag.org_abm2_trb[[#This Row],[route]],[2]transit_general!$B$2:$M$139,2,FALSE),0)</f>
        <v>29</v>
      </c>
      <c r="S58" s="5">
        <f>Table_socioeca8.sandag.org_abm2_trb[[#This Row],[scenario_id]]</f>
        <v>259</v>
      </c>
      <c r="T58" s="5">
        <f>Table_socioeca8.sandag.org_abm2_trb[[#This Row],[route]]</f>
        <v>306</v>
      </c>
      <c r="U58" s="3">
        <f>Table_socioeca8.sandag.org_abm2_trb[[#This Row],[boarding_EA]]</f>
        <v>20.333331999999999</v>
      </c>
      <c r="V58" s="3">
        <f>Table_socioeca8.sandag.org_abm2_trb[[#This Row],[boarding_AM]]</f>
        <v>133.871647</v>
      </c>
      <c r="W58" s="3">
        <f>Table_socioeca8.sandag.org_abm2_trb[[#This Row],[boarding_MD]]</f>
        <v>205.76749899999999</v>
      </c>
      <c r="X58" s="3">
        <f>Table_socioeca8.sandag.org_abm2_trb[[#This Row],[boarding_PM]]</f>
        <v>230.73366100000001</v>
      </c>
      <c r="Y58" s="3">
        <f>Table_socioeca8.sandag.org_abm2_trb[[#This Row],[boarding_EV]]</f>
        <v>86.896586999999997</v>
      </c>
      <c r="Z58" s="3">
        <f>Table_socioeca8.sandag.org_abm2_trb[[#This Row],[passenger_mile_EA]]</f>
        <v>178.98128932314</v>
      </c>
      <c r="AA58" s="3">
        <f>Table_socioeca8.sandag.org_abm2_trb[[#This Row],[passenger_mile_AM]]</f>
        <v>845.132959601072</v>
      </c>
      <c r="AB58" s="3">
        <f>Table_socioeca8.sandag.org_abm2_trb[[#This Row],[passenger_mile_MD]]</f>
        <v>1125.4197129700819</v>
      </c>
      <c r="AC58" s="3">
        <f>Table_socioeca8.sandag.org_abm2_trb[[#This Row],[passenger_mile_PM]]</f>
        <v>1385.2321745712959</v>
      </c>
      <c r="AD58" s="3">
        <f>Table_socioeca8.sandag.org_abm2_trb[[#This Row],[passenger_mile_EV]]</f>
        <v>588.07645829937405</v>
      </c>
      <c r="AE58" s="5">
        <f>Table_socioeca8.sandag.org_abm2_trb[[#This Row],[mode_transit_route_id]]</f>
        <v>29</v>
      </c>
      <c r="AF58"/>
    </row>
    <row r="59" spans="3:32" x14ac:dyDescent="0.25">
      <c r="E59" s="47">
        <f t="shared" si="0"/>
        <v>259</v>
      </c>
      <c r="F59" s="47">
        <v>308</v>
      </c>
      <c r="G59" s="263">
        <f>IFERROR(VLOOKUP(Table_socioeca8.sandag.org_abm2_trb[[#This Row],[route]],[2]transit_general!$B$2:$M$139,3,FALSE),0)</f>
        <v>31.489832</v>
      </c>
      <c r="H59" s="263">
        <f>IFERROR(VLOOKUP(Table_socioeca8.sandag.org_abm2_trb[[#This Row],[route]],[2]transit_general!$B$2:$M$139,4,FALSE),0)</f>
        <v>109.66295599999999</v>
      </c>
      <c r="I59" s="263">
        <f>IFERROR(VLOOKUP(Table_socioeca8.sandag.org_abm2_trb[[#This Row],[route]],[2]transit_general!$B$2:$M$139,5,FALSE),0)</f>
        <v>156.40495300000001</v>
      </c>
      <c r="J59" s="263">
        <f>IFERROR(VLOOKUP(Table_socioeca8.sandag.org_abm2_trb[[#This Row],[route]],[2]transit_general!$B$2:$M$139,6,FALSE),0)</f>
        <v>164.30628999999999</v>
      </c>
      <c r="K59" s="263">
        <f>IFERROR(VLOOKUP(Table_socioeca8.sandag.org_abm2_trb[[#This Row],[route]],[2]transit_general!$B$2:$M$139,7,FALSE),0)</f>
        <v>79.405212000000006</v>
      </c>
      <c r="L59" s="263">
        <f>IFERROR(VLOOKUP(Table_socioeca8.sandag.org_abm2_trb[[#This Row],[route]],[2]transit_general!$B$2:$M$139,8,FALSE),0)</f>
        <v>343.72730425217901</v>
      </c>
      <c r="M59" s="263">
        <f>IFERROR(VLOOKUP(Table_socioeca8.sandag.org_abm2_trb[[#This Row],[route]],[2]transit_general!$B$2:$M$139,9,FALSE),0)</f>
        <v>879.24446999686904</v>
      </c>
      <c r="N59" s="263">
        <f>IFERROR(VLOOKUP(Table_socioeca8.sandag.org_abm2_trb[[#This Row],[route]],[2]transit_general!$B$2:$M$139,10,FALSE),0)</f>
        <v>762.41113994262003</v>
      </c>
      <c r="O59" s="263">
        <f>IFERROR(VLOOKUP(Table_socioeca8.sandag.org_abm2_trb[[#This Row],[route]],[2]transit_general!$B$2:$M$139,11,FALSE),0)</f>
        <v>1079.601869861106</v>
      </c>
      <c r="P59" s="263">
        <f>IFERROR(VLOOKUP(Table_socioeca8.sandag.org_abm2_trb[[#This Row],[route]],[2]transit_general!$B$2:$M$139,12,FALSE),0)</f>
        <v>548.45412315905105</v>
      </c>
      <c r="Q59" s="263">
        <f>IFERROR(VLOOKUP(Table_socioeca8.sandag.org_abm2_trb[[#This Row],[route]],[2]transit_general!$B$2:$M$139,2,FALSE),0)</f>
        <v>29</v>
      </c>
      <c r="S59" s="5">
        <f>Table_socioeca8.sandag.org_abm2_trb[[#This Row],[scenario_id]]</f>
        <v>259</v>
      </c>
      <c r="T59" s="5">
        <f>Table_socioeca8.sandag.org_abm2_trb[[#This Row],[route]]</f>
        <v>308</v>
      </c>
      <c r="U59" s="3">
        <f>Table_socioeca8.sandag.org_abm2_trb[[#This Row],[boarding_EA]]</f>
        <v>31.489832</v>
      </c>
      <c r="V59" s="3">
        <f>Table_socioeca8.sandag.org_abm2_trb[[#This Row],[boarding_AM]]</f>
        <v>109.66295599999999</v>
      </c>
      <c r="W59" s="3">
        <f>Table_socioeca8.sandag.org_abm2_trb[[#This Row],[boarding_MD]]</f>
        <v>156.40495300000001</v>
      </c>
      <c r="X59" s="3">
        <f>Table_socioeca8.sandag.org_abm2_trb[[#This Row],[boarding_PM]]</f>
        <v>164.30628999999999</v>
      </c>
      <c r="Y59" s="3">
        <f>Table_socioeca8.sandag.org_abm2_trb[[#This Row],[boarding_EV]]</f>
        <v>79.405212000000006</v>
      </c>
      <c r="Z59" s="3">
        <f>Table_socioeca8.sandag.org_abm2_trb[[#This Row],[passenger_mile_EA]]</f>
        <v>343.72730425217901</v>
      </c>
      <c r="AA59" s="3">
        <f>Table_socioeca8.sandag.org_abm2_trb[[#This Row],[passenger_mile_AM]]</f>
        <v>879.24446999686904</v>
      </c>
      <c r="AB59" s="3">
        <f>Table_socioeca8.sandag.org_abm2_trb[[#This Row],[passenger_mile_MD]]</f>
        <v>762.41113994262003</v>
      </c>
      <c r="AC59" s="3">
        <f>Table_socioeca8.sandag.org_abm2_trb[[#This Row],[passenger_mile_PM]]</f>
        <v>1079.601869861106</v>
      </c>
      <c r="AD59" s="3">
        <f>Table_socioeca8.sandag.org_abm2_trb[[#This Row],[passenger_mile_EV]]</f>
        <v>548.45412315905105</v>
      </c>
      <c r="AE59" s="5">
        <f>Table_socioeca8.sandag.org_abm2_trb[[#This Row],[mode_transit_route_id]]</f>
        <v>29</v>
      </c>
      <c r="AF59"/>
    </row>
    <row r="60" spans="3:32" x14ac:dyDescent="0.25">
      <c r="E60" s="47">
        <f t="shared" si="0"/>
        <v>259</v>
      </c>
      <c r="F60" s="47">
        <v>309</v>
      </c>
      <c r="G60" s="263">
        <f>IFERROR(VLOOKUP(Table_socioeca8.sandag.org_abm2_trb[[#This Row],[route]],[2]transit_general!$B$2:$M$139,3,FALSE),0)</f>
        <v>126.599825</v>
      </c>
      <c r="H60" s="263">
        <f>IFERROR(VLOOKUP(Table_socioeca8.sandag.org_abm2_trb[[#This Row],[route]],[2]transit_general!$B$2:$M$139,4,FALSE),0)</f>
        <v>530.98639500000002</v>
      </c>
      <c r="I60" s="263">
        <f>IFERROR(VLOOKUP(Table_socioeca8.sandag.org_abm2_trb[[#This Row],[route]],[2]transit_general!$B$2:$M$139,5,FALSE),0)</f>
        <v>996.39015300000005</v>
      </c>
      <c r="J60" s="263">
        <f>IFERROR(VLOOKUP(Table_socioeca8.sandag.org_abm2_trb[[#This Row],[route]],[2]transit_general!$B$2:$M$139,6,FALSE),0)</f>
        <v>860.63560500000006</v>
      </c>
      <c r="K60" s="263">
        <f>IFERROR(VLOOKUP(Table_socioeca8.sandag.org_abm2_trb[[#This Row],[route]],[2]transit_general!$B$2:$M$139,7,FALSE),0)</f>
        <v>399.84022399999998</v>
      </c>
      <c r="L60" s="263">
        <f>IFERROR(VLOOKUP(Table_socioeca8.sandag.org_abm2_trb[[#This Row],[route]],[2]transit_general!$B$2:$M$139,8,FALSE),0)</f>
        <v>898.54709066692999</v>
      </c>
      <c r="M60" s="263">
        <f>IFERROR(VLOOKUP(Table_socioeca8.sandag.org_abm2_trb[[#This Row],[route]],[2]transit_general!$B$2:$M$139,9,FALSE),0)</f>
        <v>3122.791883461819</v>
      </c>
      <c r="N60" s="263">
        <f>IFERROR(VLOOKUP(Table_socioeca8.sandag.org_abm2_trb[[#This Row],[route]],[2]transit_general!$B$2:$M$139,10,FALSE),0)</f>
        <v>4817.0232237033342</v>
      </c>
      <c r="O60" s="263">
        <f>IFERROR(VLOOKUP(Table_socioeca8.sandag.org_abm2_trb[[#This Row],[route]],[2]transit_general!$B$2:$M$139,11,FALSE),0)</f>
        <v>4527.4475366748884</v>
      </c>
      <c r="P60" s="263">
        <f>IFERROR(VLOOKUP(Table_socioeca8.sandag.org_abm2_trb[[#This Row],[route]],[2]transit_general!$B$2:$M$139,12,FALSE),0)</f>
        <v>2375.5814007659578</v>
      </c>
      <c r="Q60" s="263">
        <f>IFERROR(VLOOKUP(Table_socioeca8.sandag.org_abm2_trb[[#This Row],[route]],[2]transit_general!$B$2:$M$139,2,FALSE),0)</f>
        <v>29</v>
      </c>
      <c r="S60" s="5">
        <f>Table_socioeca8.sandag.org_abm2_trb[[#This Row],[scenario_id]]</f>
        <v>259</v>
      </c>
      <c r="T60" s="5">
        <f>Table_socioeca8.sandag.org_abm2_trb[[#This Row],[route]]</f>
        <v>309</v>
      </c>
      <c r="U60" s="3">
        <f>Table_socioeca8.sandag.org_abm2_trb[[#This Row],[boarding_EA]]</f>
        <v>126.599825</v>
      </c>
      <c r="V60" s="3">
        <f>Table_socioeca8.sandag.org_abm2_trb[[#This Row],[boarding_AM]]</f>
        <v>530.98639500000002</v>
      </c>
      <c r="W60" s="3">
        <f>Table_socioeca8.sandag.org_abm2_trb[[#This Row],[boarding_MD]]</f>
        <v>996.39015300000005</v>
      </c>
      <c r="X60" s="3">
        <f>Table_socioeca8.sandag.org_abm2_trb[[#This Row],[boarding_PM]]</f>
        <v>860.63560500000006</v>
      </c>
      <c r="Y60" s="3">
        <f>Table_socioeca8.sandag.org_abm2_trb[[#This Row],[boarding_EV]]</f>
        <v>399.84022399999998</v>
      </c>
      <c r="Z60" s="3">
        <f>Table_socioeca8.sandag.org_abm2_trb[[#This Row],[passenger_mile_EA]]</f>
        <v>898.54709066692999</v>
      </c>
      <c r="AA60" s="3">
        <f>Table_socioeca8.sandag.org_abm2_trb[[#This Row],[passenger_mile_AM]]</f>
        <v>3122.791883461819</v>
      </c>
      <c r="AB60" s="3">
        <f>Table_socioeca8.sandag.org_abm2_trb[[#This Row],[passenger_mile_MD]]</f>
        <v>4817.0232237033342</v>
      </c>
      <c r="AC60" s="3">
        <f>Table_socioeca8.sandag.org_abm2_trb[[#This Row],[passenger_mile_PM]]</f>
        <v>4527.4475366748884</v>
      </c>
      <c r="AD60" s="3">
        <f>Table_socioeca8.sandag.org_abm2_trb[[#This Row],[passenger_mile_EV]]</f>
        <v>2375.5814007659578</v>
      </c>
      <c r="AE60" s="5">
        <f>Table_socioeca8.sandag.org_abm2_trb[[#This Row],[mode_transit_route_id]]</f>
        <v>29</v>
      </c>
      <c r="AF60"/>
    </row>
    <row r="61" spans="3:32" x14ac:dyDescent="0.25">
      <c r="E61" s="47">
        <f t="shared" si="0"/>
        <v>259</v>
      </c>
      <c r="F61" s="47">
        <v>311</v>
      </c>
      <c r="G61" s="263">
        <f>IFERROR(VLOOKUP(Table_socioeca8.sandag.org_abm2_trb[[#This Row],[route]],[2]transit_general!$B$2:$M$139,3,FALSE),0)</f>
        <v>1.6397139999999999</v>
      </c>
      <c r="H61" s="263">
        <f>IFERROR(VLOOKUP(Table_socioeca8.sandag.org_abm2_trb[[#This Row],[route]],[2]transit_general!$B$2:$M$139,4,FALSE),0)</f>
        <v>72.474430999999996</v>
      </c>
      <c r="I61" s="263">
        <f>IFERROR(VLOOKUP(Table_socioeca8.sandag.org_abm2_trb[[#This Row],[route]],[2]transit_general!$B$2:$M$139,5,FALSE),0)</f>
        <v>33.870863</v>
      </c>
      <c r="J61" s="263">
        <f>IFERROR(VLOOKUP(Table_socioeca8.sandag.org_abm2_trb[[#This Row],[route]],[2]transit_general!$B$2:$M$139,6,FALSE),0)</f>
        <v>93.364464999999996</v>
      </c>
      <c r="K61" s="263">
        <f>IFERROR(VLOOKUP(Table_socioeca8.sandag.org_abm2_trb[[#This Row],[route]],[2]transit_general!$B$2:$M$139,7,FALSE),0)</f>
        <v>17.643039999999999</v>
      </c>
      <c r="L61" s="263">
        <f>IFERROR(VLOOKUP(Table_socioeca8.sandag.org_abm2_trb[[#This Row],[route]],[2]transit_general!$B$2:$M$139,8,FALSE),0)</f>
        <v>3.9887047843190002</v>
      </c>
      <c r="M61" s="263">
        <f>IFERROR(VLOOKUP(Table_socioeca8.sandag.org_abm2_trb[[#This Row],[route]],[2]transit_general!$B$2:$M$139,9,FALSE),0)</f>
        <v>242.19482289487499</v>
      </c>
      <c r="N61" s="263">
        <f>IFERROR(VLOOKUP(Table_socioeca8.sandag.org_abm2_trb[[#This Row],[route]],[2]transit_general!$B$2:$M$139,10,FALSE),0)</f>
        <v>94.148877843210002</v>
      </c>
      <c r="O61" s="263">
        <f>IFERROR(VLOOKUP(Table_socioeca8.sandag.org_abm2_trb[[#This Row],[route]],[2]transit_general!$B$2:$M$139,11,FALSE),0)</f>
        <v>270.63275731273501</v>
      </c>
      <c r="P61" s="263">
        <f>IFERROR(VLOOKUP(Table_socioeca8.sandag.org_abm2_trb[[#This Row],[route]],[2]transit_general!$B$2:$M$139,12,FALSE),0)</f>
        <v>60.296031379726003</v>
      </c>
      <c r="Q61" s="263">
        <f>IFERROR(VLOOKUP(Table_socioeca8.sandag.org_abm2_trb[[#This Row],[route]],[2]transit_general!$B$2:$M$139,2,FALSE),0)</f>
        <v>29</v>
      </c>
      <c r="S61" s="5">
        <f>Table_socioeca8.sandag.org_abm2_trb[[#This Row],[scenario_id]]</f>
        <v>259</v>
      </c>
      <c r="T61" s="5">
        <f>Table_socioeca8.sandag.org_abm2_trb[[#This Row],[route]]</f>
        <v>311</v>
      </c>
      <c r="U61" s="3">
        <f>Table_socioeca8.sandag.org_abm2_trb[[#This Row],[boarding_EA]]</f>
        <v>1.6397139999999999</v>
      </c>
      <c r="V61" s="3">
        <f>Table_socioeca8.sandag.org_abm2_trb[[#This Row],[boarding_AM]]</f>
        <v>72.474430999999996</v>
      </c>
      <c r="W61" s="3">
        <f>Table_socioeca8.sandag.org_abm2_trb[[#This Row],[boarding_MD]]</f>
        <v>33.870863</v>
      </c>
      <c r="X61" s="3">
        <f>Table_socioeca8.sandag.org_abm2_trb[[#This Row],[boarding_PM]]</f>
        <v>93.364464999999996</v>
      </c>
      <c r="Y61" s="3">
        <f>Table_socioeca8.sandag.org_abm2_trb[[#This Row],[boarding_EV]]</f>
        <v>17.643039999999999</v>
      </c>
      <c r="Z61" s="3">
        <f>Table_socioeca8.sandag.org_abm2_trb[[#This Row],[passenger_mile_EA]]</f>
        <v>3.9887047843190002</v>
      </c>
      <c r="AA61" s="3">
        <f>Table_socioeca8.sandag.org_abm2_trb[[#This Row],[passenger_mile_AM]]</f>
        <v>242.19482289487499</v>
      </c>
      <c r="AB61" s="3">
        <f>Table_socioeca8.sandag.org_abm2_trb[[#This Row],[passenger_mile_MD]]</f>
        <v>94.148877843210002</v>
      </c>
      <c r="AC61" s="3">
        <f>Table_socioeca8.sandag.org_abm2_trb[[#This Row],[passenger_mile_PM]]</f>
        <v>270.63275731273501</v>
      </c>
      <c r="AD61" s="3">
        <f>Table_socioeca8.sandag.org_abm2_trb[[#This Row],[passenger_mile_EV]]</f>
        <v>60.296031379726003</v>
      </c>
      <c r="AE61" s="5">
        <f>Table_socioeca8.sandag.org_abm2_trb[[#This Row],[mode_transit_route_id]]</f>
        <v>29</v>
      </c>
      <c r="AF61"/>
    </row>
    <row r="62" spans="3:32" x14ac:dyDescent="0.25">
      <c r="E62" s="47">
        <f t="shared" si="0"/>
        <v>259</v>
      </c>
      <c r="F62" s="47">
        <v>313</v>
      </c>
      <c r="G62" s="263">
        <f>IFERROR(VLOOKUP(Table_socioeca8.sandag.org_abm2_trb[[#This Row],[route]],[2]transit_general!$B$2:$M$139,3,FALSE),0)</f>
        <v>7.6633570000000004</v>
      </c>
      <c r="H62" s="263">
        <f>IFERROR(VLOOKUP(Table_socioeca8.sandag.org_abm2_trb[[#This Row],[route]],[2]transit_general!$B$2:$M$139,4,FALSE),0)</f>
        <v>97.013502000000003</v>
      </c>
      <c r="I62" s="263">
        <f>IFERROR(VLOOKUP(Table_socioeca8.sandag.org_abm2_trb[[#This Row],[route]],[2]transit_general!$B$2:$M$139,5,FALSE),0)</f>
        <v>149.45410100000001</v>
      </c>
      <c r="J62" s="263">
        <f>IFERROR(VLOOKUP(Table_socioeca8.sandag.org_abm2_trb[[#This Row],[route]],[2]transit_general!$B$2:$M$139,6,FALSE),0)</f>
        <v>111.971277</v>
      </c>
      <c r="K62" s="263">
        <f>IFERROR(VLOOKUP(Table_socioeca8.sandag.org_abm2_trb[[#This Row],[route]],[2]transit_general!$B$2:$M$139,7,FALSE),0)</f>
        <v>44.387467000000001</v>
      </c>
      <c r="L62" s="263">
        <f>IFERROR(VLOOKUP(Table_socioeca8.sandag.org_abm2_trb[[#This Row],[route]],[2]transit_general!$B$2:$M$139,8,FALSE),0)</f>
        <v>25.388323816145999</v>
      </c>
      <c r="M62" s="263">
        <f>IFERROR(VLOOKUP(Table_socioeca8.sandag.org_abm2_trb[[#This Row],[route]],[2]transit_general!$B$2:$M$139,9,FALSE),0)</f>
        <v>278.17318408814498</v>
      </c>
      <c r="N62" s="263">
        <f>IFERROR(VLOOKUP(Table_socioeca8.sandag.org_abm2_trb[[#This Row],[route]],[2]transit_general!$B$2:$M$139,10,FALSE),0)</f>
        <v>399.17657990723802</v>
      </c>
      <c r="O62" s="263">
        <f>IFERROR(VLOOKUP(Table_socioeca8.sandag.org_abm2_trb[[#This Row],[route]],[2]transit_general!$B$2:$M$139,11,FALSE),0)</f>
        <v>361.94964132838999</v>
      </c>
      <c r="P62" s="263">
        <f>IFERROR(VLOOKUP(Table_socioeca8.sandag.org_abm2_trb[[#This Row],[route]],[2]transit_general!$B$2:$M$139,12,FALSE),0)</f>
        <v>113.84639076658</v>
      </c>
      <c r="Q62" s="263">
        <f>IFERROR(VLOOKUP(Table_socioeca8.sandag.org_abm2_trb[[#This Row],[route]],[2]transit_general!$B$2:$M$139,2,FALSE),0)</f>
        <v>29</v>
      </c>
      <c r="S62" s="5">
        <f>Table_socioeca8.sandag.org_abm2_trb[[#This Row],[scenario_id]]</f>
        <v>259</v>
      </c>
      <c r="T62" s="5">
        <f>Table_socioeca8.sandag.org_abm2_trb[[#This Row],[route]]</f>
        <v>313</v>
      </c>
      <c r="U62" s="3">
        <f>Table_socioeca8.sandag.org_abm2_trb[[#This Row],[boarding_EA]]</f>
        <v>7.6633570000000004</v>
      </c>
      <c r="V62" s="3">
        <f>Table_socioeca8.sandag.org_abm2_trb[[#This Row],[boarding_AM]]</f>
        <v>97.013502000000003</v>
      </c>
      <c r="W62" s="3">
        <f>Table_socioeca8.sandag.org_abm2_trb[[#This Row],[boarding_MD]]</f>
        <v>149.45410100000001</v>
      </c>
      <c r="X62" s="3">
        <f>Table_socioeca8.sandag.org_abm2_trb[[#This Row],[boarding_PM]]</f>
        <v>111.971277</v>
      </c>
      <c r="Y62" s="3">
        <f>Table_socioeca8.sandag.org_abm2_trb[[#This Row],[boarding_EV]]</f>
        <v>44.387467000000001</v>
      </c>
      <c r="Z62" s="3">
        <f>Table_socioeca8.sandag.org_abm2_trb[[#This Row],[passenger_mile_EA]]</f>
        <v>25.388323816145999</v>
      </c>
      <c r="AA62" s="3">
        <f>Table_socioeca8.sandag.org_abm2_trb[[#This Row],[passenger_mile_AM]]</f>
        <v>278.17318408814498</v>
      </c>
      <c r="AB62" s="3">
        <f>Table_socioeca8.sandag.org_abm2_trb[[#This Row],[passenger_mile_MD]]</f>
        <v>399.17657990723802</v>
      </c>
      <c r="AC62" s="3">
        <f>Table_socioeca8.sandag.org_abm2_trb[[#This Row],[passenger_mile_PM]]</f>
        <v>361.94964132838999</v>
      </c>
      <c r="AD62" s="3">
        <f>Table_socioeca8.sandag.org_abm2_trb[[#This Row],[passenger_mile_EV]]</f>
        <v>113.84639076658</v>
      </c>
      <c r="AE62" s="5">
        <f>Table_socioeca8.sandag.org_abm2_trb[[#This Row],[mode_transit_route_id]]</f>
        <v>29</v>
      </c>
      <c r="AF62"/>
    </row>
    <row r="63" spans="3:32" x14ac:dyDescent="0.25">
      <c r="E63" s="47">
        <f t="shared" si="0"/>
        <v>259</v>
      </c>
      <c r="F63" s="47">
        <v>315</v>
      </c>
      <c r="G63" s="263">
        <f>IFERROR(VLOOKUP(Table_socioeca8.sandag.org_abm2_trb[[#This Row],[route]],[2]transit_general!$B$2:$M$139,3,FALSE),0)</f>
        <v>21.085923000000001</v>
      </c>
      <c r="H63" s="263">
        <f>IFERROR(VLOOKUP(Table_socioeca8.sandag.org_abm2_trb[[#This Row],[route]],[2]transit_general!$B$2:$M$139,4,FALSE),0)</f>
        <v>86.108315000000005</v>
      </c>
      <c r="I63" s="263">
        <f>IFERROR(VLOOKUP(Table_socioeca8.sandag.org_abm2_trb[[#This Row],[route]],[2]transit_general!$B$2:$M$139,5,FALSE),0)</f>
        <v>172.347759</v>
      </c>
      <c r="J63" s="263">
        <f>IFERROR(VLOOKUP(Table_socioeca8.sandag.org_abm2_trb[[#This Row],[route]],[2]transit_general!$B$2:$M$139,6,FALSE),0)</f>
        <v>145.449265</v>
      </c>
      <c r="K63" s="263">
        <f>IFERROR(VLOOKUP(Table_socioeca8.sandag.org_abm2_trb[[#This Row],[route]],[2]transit_general!$B$2:$M$139,7,FALSE),0)</f>
        <v>79.719397000000001</v>
      </c>
      <c r="L63" s="263">
        <f>IFERROR(VLOOKUP(Table_socioeca8.sandag.org_abm2_trb[[#This Row],[route]],[2]transit_general!$B$2:$M$139,8,FALSE),0)</f>
        <v>116.95817786283899</v>
      </c>
      <c r="M63" s="263">
        <f>IFERROR(VLOOKUP(Table_socioeca8.sandag.org_abm2_trb[[#This Row],[route]],[2]transit_general!$B$2:$M$139,9,FALSE),0)</f>
        <v>455.33246216751098</v>
      </c>
      <c r="N63" s="263">
        <f>IFERROR(VLOOKUP(Table_socioeca8.sandag.org_abm2_trb[[#This Row],[route]],[2]transit_general!$B$2:$M$139,10,FALSE),0)</f>
        <v>715.38974289657199</v>
      </c>
      <c r="O63" s="263">
        <f>IFERROR(VLOOKUP(Table_socioeca8.sandag.org_abm2_trb[[#This Row],[route]],[2]transit_general!$B$2:$M$139,11,FALSE),0)</f>
        <v>613.19888171881996</v>
      </c>
      <c r="P63" s="263">
        <f>IFERROR(VLOOKUP(Table_socioeca8.sandag.org_abm2_trb[[#This Row],[route]],[2]transit_general!$B$2:$M$139,12,FALSE),0)</f>
        <v>366.55506029274301</v>
      </c>
      <c r="Q63" s="263">
        <f>IFERROR(VLOOKUP(Table_socioeca8.sandag.org_abm2_trb[[#This Row],[route]],[2]transit_general!$B$2:$M$139,2,FALSE),0)</f>
        <v>29</v>
      </c>
      <c r="S63" s="5">
        <f>Table_socioeca8.sandag.org_abm2_trb[[#This Row],[scenario_id]]</f>
        <v>259</v>
      </c>
      <c r="T63" s="5">
        <f>Table_socioeca8.sandag.org_abm2_trb[[#This Row],[route]]</f>
        <v>315</v>
      </c>
      <c r="U63" s="3">
        <f>Table_socioeca8.sandag.org_abm2_trb[[#This Row],[boarding_EA]]</f>
        <v>21.085923000000001</v>
      </c>
      <c r="V63" s="3">
        <f>Table_socioeca8.sandag.org_abm2_trb[[#This Row],[boarding_AM]]</f>
        <v>86.108315000000005</v>
      </c>
      <c r="W63" s="3">
        <f>Table_socioeca8.sandag.org_abm2_trb[[#This Row],[boarding_MD]]</f>
        <v>172.347759</v>
      </c>
      <c r="X63" s="3">
        <f>Table_socioeca8.sandag.org_abm2_trb[[#This Row],[boarding_PM]]</f>
        <v>145.449265</v>
      </c>
      <c r="Y63" s="3">
        <f>Table_socioeca8.sandag.org_abm2_trb[[#This Row],[boarding_EV]]</f>
        <v>79.719397000000001</v>
      </c>
      <c r="Z63" s="3">
        <f>Table_socioeca8.sandag.org_abm2_trb[[#This Row],[passenger_mile_EA]]</f>
        <v>116.95817786283899</v>
      </c>
      <c r="AA63" s="3">
        <f>Table_socioeca8.sandag.org_abm2_trb[[#This Row],[passenger_mile_AM]]</f>
        <v>455.33246216751098</v>
      </c>
      <c r="AB63" s="3">
        <f>Table_socioeca8.sandag.org_abm2_trb[[#This Row],[passenger_mile_MD]]</f>
        <v>715.38974289657199</v>
      </c>
      <c r="AC63" s="3">
        <f>Table_socioeca8.sandag.org_abm2_trb[[#This Row],[passenger_mile_PM]]</f>
        <v>613.19888171881996</v>
      </c>
      <c r="AD63" s="3">
        <f>Table_socioeca8.sandag.org_abm2_trb[[#This Row],[passenger_mile_EV]]</f>
        <v>366.55506029274301</v>
      </c>
      <c r="AE63" s="5">
        <f>Table_socioeca8.sandag.org_abm2_trb[[#This Row],[mode_transit_route_id]]</f>
        <v>29</v>
      </c>
      <c r="AF63"/>
    </row>
    <row r="64" spans="3:32" x14ac:dyDescent="0.25">
      <c r="E64" s="47">
        <f t="shared" si="0"/>
        <v>259</v>
      </c>
      <c r="F64" s="47">
        <v>316</v>
      </c>
      <c r="G64" s="263">
        <f>IFERROR(VLOOKUP(Table_socioeca8.sandag.org_abm2_trb[[#This Row],[route]],[2]transit_general!$B$2:$M$139,3,FALSE),0)</f>
        <v>3.5</v>
      </c>
      <c r="H64" s="263">
        <f>IFERROR(VLOOKUP(Table_socioeca8.sandag.org_abm2_trb[[#This Row],[route]],[2]transit_general!$B$2:$M$139,4,FALSE),0)</f>
        <v>69.065889999999996</v>
      </c>
      <c r="I64" s="263">
        <f>IFERROR(VLOOKUP(Table_socioeca8.sandag.org_abm2_trb[[#This Row],[route]],[2]transit_general!$B$2:$M$139,5,FALSE),0)</f>
        <v>159.85577900000001</v>
      </c>
      <c r="J64" s="263">
        <f>IFERROR(VLOOKUP(Table_socioeca8.sandag.org_abm2_trb[[#This Row],[route]],[2]transit_general!$B$2:$M$139,6,FALSE),0)</f>
        <v>99.562184999999999</v>
      </c>
      <c r="K64" s="263">
        <f>IFERROR(VLOOKUP(Table_socioeca8.sandag.org_abm2_trb[[#This Row],[route]],[2]transit_general!$B$2:$M$139,7,FALSE),0)</f>
        <v>76.246471</v>
      </c>
      <c r="L64" s="263">
        <f>IFERROR(VLOOKUP(Table_socioeca8.sandag.org_abm2_trb[[#This Row],[route]],[2]transit_general!$B$2:$M$139,8,FALSE),0)</f>
        <v>5.6575614999999999</v>
      </c>
      <c r="M64" s="263">
        <f>IFERROR(VLOOKUP(Table_socioeca8.sandag.org_abm2_trb[[#This Row],[route]],[2]transit_general!$B$2:$M$139,9,FALSE),0)</f>
        <v>146.00736316628999</v>
      </c>
      <c r="N64" s="263">
        <f>IFERROR(VLOOKUP(Table_socioeca8.sandag.org_abm2_trb[[#This Row],[route]],[2]transit_general!$B$2:$M$139,10,FALSE),0)</f>
        <v>237.281343611604</v>
      </c>
      <c r="O64" s="263">
        <f>IFERROR(VLOOKUP(Table_socioeca8.sandag.org_abm2_trb[[#This Row],[route]],[2]transit_general!$B$2:$M$139,11,FALSE),0)</f>
        <v>168.11902000203801</v>
      </c>
      <c r="P64" s="263">
        <f>IFERROR(VLOOKUP(Table_socioeca8.sandag.org_abm2_trb[[#This Row],[route]],[2]transit_general!$B$2:$M$139,12,FALSE),0)</f>
        <v>136.74760486440499</v>
      </c>
      <c r="Q64" s="263">
        <f>IFERROR(VLOOKUP(Table_socioeca8.sandag.org_abm2_trb[[#This Row],[route]],[2]transit_general!$B$2:$M$139,2,FALSE),0)</f>
        <v>29</v>
      </c>
      <c r="S64" s="5">
        <f>Table_socioeca8.sandag.org_abm2_trb[[#This Row],[scenario_id]]</f>
        <v>259</v>
      </c>
      <c r="T64" s="5">
        <f>Table_socioeca8.sandag.org_abm2_trb[[#This Row],[route]]</f>
        <v>316</v>
      </c>
      <c r="U64" s="3">
        <f>Table_socioeca8.sandag.org_abm2_trb[[#This Row],[boarding_EA]]</f>
        <v>3.5</v>
      </c>
      <c r="V64" s="3">
        <f>Table_socioeca8.sandag.org_abm2_trb[[#This Row],[boarding_AM]]</f>
        <v>69.065889999999996</v>
      </c>
      <c r="W64" s="3">
        <f>Table_socioeca8.sandag.org_abm2_trb[[#This Row],[boarding_MD]]</f>
        <v>159.85577900000001</v>
      </c>
      <c r="X64" s="3">
        <f>Table_socioeca8.sandag.org_abm2_trb[[#This Row],[boarding_PM]]</f>
        <v>99.562184999999999</v>
      </c>
      <c r="Y64" s="3">
        <f>Table_socioeca8.sandag.org_abm2_trb[[#This Row],[boarding_EV]]</f>
        <v>76.246471</v>
      </c>
      <c r="Z64" s="3">
        <f>Table_socioeca8.sandag.org_abm2_trb[[#This Row],[passenger_mile_EA]]</f>
        <v>5.6575614999999999</v>
      </c>
      <c r="AA64" s="3">
        <f>Table_socioeca8.sandag.org_abm2_trb[[#This Row],[passenger_mile_AM]]</f>
        <v>146.00736316628999</v>
      </c>
      <c r="AB64" s="3">
        <f>Table_socioeca8.sandag.org_abm2_trb[[#This Row],[passenger_mile_MD]]</f>
        <v>237.281343611604</v>
      </c>
      <c r="AC64" s="3">
        <f>Table_socioeca8.sandag.org_abm2_trb[[#This Row],[passenger_mile_PM]]</f>
        <v>168.11902000203801</v>
      </c>
      <c r="AD64" s="3">
        <f>Table_socioeca8.sandag.org_abm2_trb[[#This Row],[passenger_mile_EV]]</f>
        <v>136.74760486440499</v>
      </c>
      <c r="AE64" s="5">
        <f>Table_socioeca8.sandag.org_abm2_trb[[#This Row],[mode_transit_route_id]]</f>
        <v>29</v>
      </c>
      <c r="AF64"/>
    </row>
    <row r="65" spans="5:32" x14ac:dyDescent="0.25">
      <c r="E65" s="47">
        <f t="shared" si="0"/>
        <v>259</v>
      </c>
      <c r="F65" s="47">
        <v>318</v>
      </c>
      <c r="G65" s="263">
        <f>IFERROR(VLOOKUP(Table_socioeca8.sandag.org_abm2_trb[[#This Row],[route]],[2]transit_general!$B$2:$M$139,3,FALSE),0)</f>
        <v>50.021945000000002</v>
      </c>
      <c r="H65" s="263">
        <f>IFERROR(VLOOKUP(Table_socioeca8.sandag.org_abm2_trb[[#This Row],[route]],[2]transit_general!$B$2:$M$139,4,FALSE),0)</f>
        <v>247.695078</v>
      </c>
      <c r="I65" s="263">
        <f>IFERROR(VLOOKUP(Table_socioeca8.sandag.org_abm2_trb[[#This Row],[route]],[2]transit_general!$B$2:$M$139,5,FALSE),0)</f>
        <v>497.04201999999998</v>
      </c>
      <c r="J65" s="263">
        <f>IFERROR(VLOOKUP(Table_socioeca8.sandag.org_abm2_trb[[#This Row],[route]],[2]transit_general!$B$2:$M$139,6,FALSE),0)</f>
        <v>345.81933099999998</v>
      </c>
      <c r="K65" s="263">
        <f>IFERROR(VLOOKUP(Table_socioeca8.sandag.org_abm2_trb[[#This Row],[route]],[2]transit_general!$B$2:$M$139,7,FALSE),0)</f>
        <v>203.076537</v>
      </c>
      <c r="L65" s="263">
        <f>IFERROR(VLOOKUP(Table_socioeca8.sandag.org_abm2_trb[[#This Row],[route]],[2]transit_general!$B$2:$M$139,8,FALSE),0)</f>
        <v>203.65081458095901</v>
      </c>
      <c r="M65" s="263">
        <f>IFERROR(VLOOKUP(Table_socioeca8.sandag.org_abm2_trb[[#This Row],[route]],[2]transit_general!$B$2:$M$139,9,FALSE),0)</f>
        <v>828.60955714167596</v>
      </c>
      <c r="N65" s="263">
        <f>IFERROR(VLOOKUP(Table_socioeca8.sandag.org_abm2_trb[[#This Row],[route]],[2]transit_general!$B$2:$M$139,10,FALSE),0)</f>
        <v>1413.2489408236211</v>
      </c>
      <c r="O65" s="263">
        <f>IFERROR(VLOOKUP(Table_socioeca8.sandag.org_abm2_trb[[#This Row],[route]],[2]transit_general!$B$2:$M$139,11,FALSE),0)</f>
        <v>1054.4952436113131</v>
      </c>
      <c r="P65" s="263">
        <f>IFERROR(VLOOKUP(Table_socioeca8.sandag.org_abm2_trb[[#This Row],[route]],[2]transit_general!$B$2:$M$139,12,FALSE),0)</f>
        <v>610.21472974680501</v>
      </c>
      <c r="Q65" s="263">
        <f>IFERROR(VLOOKUP(Table_socioeca8.sandag.org_abm2_trb[[#This Row],[route]],[2]transit_general!$B$2:$M$139,2,FALSE),0)</f>
        <v>29</v>
      </c>
      <c r="S65" s="5">
        <f>Table_socioeca8.sandag.org_abm2_trb[[#This Row],[scenario_id]]</f>
        <v>259</v>
      </c>
      <c r="T65" s="5">
        <f>Table_socioeca8.sandag.org_abm2_trb[[#This Row],[route]]</f>
        <v>318</v>
      </c>
      <c r="U65" s="3">
        <f>Table_socioeca8.sandag.org_abm2_trb[[#This Row],[boarding_EA]]</f>
        <v>50.021945000000002</v>
      </c>
      <c r="V65" s="3">
        <f>Table_socioeca8.sandag.org_abm2_trb[[#This Row],[boarding_AM]]</f>
        <v>247.695078</v>
      </c>
      <c r="W65" s="3">
        <f>Table_socioeca8.sandag.org_abm2_trb[[#This Row],[boarding_MD]]</f>
        <v>497.04201999999998</v>
      </c>
      <c r="X65" s="3">
        <f>Table_socioeca8.sandag.org_abm2_trb[[#This Row],[boarding_PM]]</f>
        <v>345.81933099999998</v>
      </c>
      <c r="Y65" s="3">
        <f>Table_socioeca8.sandag.org_abm2_trb[[#This Row],[boarding_EV]]</f>
        <v>203.076537</v>
      </c>
      <c r="Z65" s="3">
        <f>Table_socioeca8.sandag.org_abm2_trb[[#This Row],[passenger_mile_EA]]</f>
        <v>203.65081458095901</v>
      </c>
      <c r="AA65" s="3">
        <f>Table_socioeca8.sandag.org_abm2_trb[[#This Row],[passenger_mile_AM]]</f>
        <v>828.60955714167596</v>
      </c>
      <c r="AB65" s="3">
        <f>Table_socioeca8.sandag.org_abm2_trb[[#This Row],[passenger_mile_MD]]</f>
        <v>1413.2489408236211</v>
      </c>
      <c r="AC65" s="3">
        <f>Table_socioeca8.sandag.org_abm2_trb[[#This Row],[passenger_mile_PM]]</f>
        <v>1054.4952436113131</v>
      </c>
      <c r="AD65" s="3">
        <f>Table_socioeca8.sandag.org_abm2_trb[[#This Row],[passenger_mile_EV]]</f>
        <v>610.21472974680501</v>
      </c>
      <c r="AE65" s="5">
        <f>Table_socioeca8.sandag.org_abm2_trb[[#This Row],[mode_transit_route_id]]</f>
        <v>29</v>
      </c>
      <c r="AF65"/>
    </row>
    <row r="66" spans="5:32" x14ac:dyDescent="0.25">
      <c r="E66" s="47">
        <f t="shared" si="0"/>
        <v>259</v>
      </c>
      <c r="F66" s="47">
        <v>323</v>
      </c>
      <c r="G66" s="263">
        <f>IFERROR(VLOOKUP(Table_socioeca8.sandag.org_abm2_trb[[#This Row],[route]],[2]transit_general!$B$2:$M$139,3,FALSE),0)</f>
        <v>4.589207</v>
      </c>
      <c r="H66" s="263">
        <f>IFERROR(VLOOKUP(Table_socioeca8.sandag.org_abm2_trb[[#This Row],[route]],[2]transit_general!$B$2:$M$139,4,FALSE),0)</f>
        <v>27.201627999999999</v>
      </c>
      <c r="I66" s="263">
        <f>IFERROR(VLOOKUP(Table_socioeca8.sandag.org_abm2_trb[[#This Row],[route]],[2]transit_general!$B$2:$M$139,5,FALSE),0)</f>
        <v>55.372785999999998</v>
      </c>
      <c r="J66" s="263">
        <f>IFERROR(VLOOKUP(Table_socioeca8.sandag.org_abm2_trb[[#This Row],[route]],[2]transit_general!$B$2:$M$139,6,FALSE),0)</f>
        <v>59.769919999999999</v>
      </c>
      <c r="K66" s="263">
        <f>IFERROR(VLOOKUP(Table_socioeca8.sandag.org_abm2_trb[[#This Row],[route]],[2]transit_general!$B$2:$M$139,7,FALSE),0)</f>
        <v>33.191811999999999</v>
      </c>
      <c r="L66" s="263">
        <f>IFERROR(VLOOKUP(Table_socioeca8.sandag.org_abm2_trb[[#This Row],[route]],[2]transit_general!$B$2:$M$139,8,FALSE),0)</f>
        <v>14.24115671272</v>
      </c>
      <c r="M66" s="263">
        <f>IFERROR(VLOOKUP(Table_socioeca8.sandag.org_abm2_trb[[#This Row],[route]],[2]transit_general!$B$2:$M$139,9,FALSE),0)</f>
        <v>45.822373576947001</v>
      </c>
      <c r="N66" s="263">
        <f>IFERROR(VLOOKUP(Table_socioeca8.sandag.org_abm2_trb[[#This Row],[route]],[2]transit_general!$B$2:$M$139,10,FALSE),0)</f>
        <v>133.261225455849</v>
      </c>
      <c r="O66" s="263">
        <f>IFERROR(VLOOKUP(Table_socioeca8.sandag.org_abm2_trb[[#This Row],[route]],[2]transit_general!$B$2:$M$139,11,FALSE),0)</f>
        <v>69.791786869283996</v>
      </c>
      <c r="P66" s="263">
        <f>IFERROR(VLOOKUP(Table_socioeca8.sandag.org_abm2_trb[[#This Row],[route]],[2]transit_general!$B$2:$M$139,12,FALSE),0)</f>
        <v>78.175421714837995</v>
      </c>
      <c r="Q66" s="263">
        <f>IFERROR(VLOOKUP(Table_socioeca8.sandag.org_abm2_trb[[#This Row],[route]],[2]transit_general!$B$2:$M$139,2,FALSE),0)</f>
        <v>29</v>
      </c>
      <c r="S66" s="5">
        <f>Table_socioeca8.sandag.org_abm2_trb[[#This Row],[scenario_id]]</f>
        <v>259</v>
      </c>
      <c r="T66" s="5">
        <f>Table_socioeca8.sandag.org_abm2_trb[[#This Row],[route]]</f>
        <v>323</v>
      </c>
      <c r="U66" s="3">
        <f>Table_socioeca8.sandag.org_abm2_trb[[#This Row],[boarding_EA]]</f>
        <v>4.589207</v>
      </c>
      <c r="V66" s="3">
        <f>Table_socioeca8.sandag.org_abm2_trb[[#This Row],[boarding_AM]]</f>
        <v>27.201627999999999</v>
      </c>
      <c r="W66" s="3">
        <f>Table_socioeca8.sandag.org_abm2_trb[[#This Row],[boarding_MD]]</f>
        <v>55.372785999999998</v>
      </c>
      <c r="X66" s="3">
        <f>Table_socioeca8.sandag.org_abm2_trb[[#This Row],[boarding_PM]]</f>
        <v>59.769919999999999</v>
      </c>
      <c r="Y66" s="3">
        <f>Table_socioeca8.sandag.org_abm2_trb[[#This Row],[boarding_EV]]</f>
        <v>33.191811999999999</v>
      </c>
      <c r="Z66" s="3">
        <f>Table_socioeca8.sandag.org_abm2_trb[[#This Row],[passenger_mile_EA]]</f>
        <v>14.24115671272</v>
      </c>
      <c r="AA66" s="3">
        <f>Table_socioeca8.sandag.org_abm2_trb[[#This Row],[passenger_mile_AM]]</f>
        <v>45.822373576947001</v>
      </c>
      <c r="AB66" s="3">
        <f>Table_socioeca8.sandag.org_abm2_trb[[#This Row],[passenger_mile_MD]]</f>
        <v>133.261225455849</v>
      </c>
      <c r="AC66" s="3">
        <f>Table_socioeca8.sandag.org_abm2_trb[[#This Row],[passenger_mile_PM]]</f>
        <v>69.791786869283996</v>
      </c>
      <c r="AD66" s="3">
        <f>Table_socioeca8.sandag.org_abm2_trb[[#This Row],[passenger_mile_EV]]</f>
        <v>78.175421714837995</v>
      </c>
      <c r="AE66" s="5">
        <f>Table_socioeca8.sandag.org_abm2_trb[[#This Row],[mode_transit_route_id]]</f>
        <v>29</v>
      </c>
      <c r="AF66"/>
    </row>
    <row r="67" spans="5:32" x14ac:dyDescent="0.25">
      <c r="E67" s="47">
        <f t="shared" si="0"/>
        <v>259</v>
      </c>
      <c r="F67" s="47">
        <v>325</v>
      </c>
      <c r="G67" s="263">
        <f>IFERROR(VLOOKUP(Table_socioeca8.sandag.org_abm2_trb[[#This Row],[route]],[2]transit_general!$B$2:$M$139,3,FALSE),0)</f>
        <v>29.687626999999999</v>
      </c>
      <c r="H67" s="263">
        <f>IFERROR(VLOOKUP(Table_socioeca8.sandag.org_abm2_trb[[#This Row],[route]],[2]transit_general!$B$2:$M$139,4,FALSE),0)</f>
        <v>251.18530699999999</v>
      </c>
      <c r="I67" s="263">
        <f>IFERROR(VLOOKUP(Table_socioeca8.sandag.org_abm2_trb[[#This Row],[route]],[2]transit_general!$B$2:$M$139,5,FALSE),0)</f>
        <v>529.40777200000002</v>
      </c>
      <c r="J67" s="263">
        <f>IFERROR(VLOOKUP(Table_socioeca8.sandag.org_abm2_trb[[#This Row],[route]],[2]transit_general!$B$2:$M$139,6,FALSE),0)</f>
        <v>379.35213099999999</v>
      </c>
      <c r="K67" s="263">
        <f>IFERROR(VLOOKUP(Table_socioeca8.sandag.org_abm2_trb[[#This Row],[route]],[2]transit_general!$B$2:$M$139,7,FALSE),0)</f>
        <v>192.50143299999999</v>
      </c>
      <c r="L67" s="263">
        <f>IFERROR(VLOOKUP(Table_socioeca8.sandag.org_abm2_trb[[#This Row],[route]],[2]transit_general!$B$2:$M$139,8,FALSE),0)</f>
        <v>88.762233760822994</v>
      </c>
      <c r="M67" s="263">
        <f>IFERROR(VLOOKUP(Table_socioeca8.sandag.org_abm2_trb[[#This Row],[route]],[2]transit_general!$B$2:$M$139,9,FALSE),0)</f>
        <v>862.32430647792501</v>
      </c>
      <c r="N67" s="263">
        <f>IFERROR(VLOOKUP(Table_socioeca8.sandag.org_abm2_trb[[#This Row],[route]],[2]transit_general!$B$2:$M$139,10,FALSE),0)</f>
        <v>1498.8037400945309</v>
      </c>
      <c r="O67" s="263">
        <f>IFERROR(VLOOKUP(Table_socioeca8.sandag.org_abm2_trb[[#This Row],[route]],[2]transit_general!$B$2:$M$139,11,FALSE),0)</f>
        <v>1057.9513514833729</v>
      </c>
      <c r="P67" s="263">
        <f>IFERROR(VLOOKUP(Table_socioeca8.sandag.org_abm2_trb[[#This Row],[route]],[2]transit_general!$B$2:$M$139,12,FALSE),0)</f>
        <v>554.49306099956596</v>
      </c>
      <c r="Q67" s="263">
        <f>IFERROR(VLOOKUP(Table_socioeca8.sandag.org_abm2_trb[[#This Row],[route]],[2]transit_general!$B$2:$M$139,2,FALSE),0)</f>
        <v>29</v>
      </c>
      <c r="S67" s="5">
        <f>Table_socioeca8.sandag.org_abm2_trb[[#This Row],[scenario_id]]</f>
        <v>259</v>
      </c>
      <c r="T67" s="5">
        <f>Table_socioeca8.sandag.org_abm2_trb[[#This Row],[route]]</f>
        <v>325</v>
      </c>
      <c r="U67" s="3">
        <f>Table_socioeca8.sandag.org_abm2_trb[[#This Row],[boarding_EA]]</f>
        <v>29.687626999999999</v>
      </c>
      <c r="V67" s="3">
        <f>Table_socioeca8.sandag.org_abm2_trb[[#This Row],[boarding_AM]]</f>
        <v>251.18530699999999</v>
      </c>
      <c r="W67" s="3">
        <f>Table_socioeca8.sandag.org_abm2_trb[[#This Row],[boarding_MD]]</f>
        <v>529.40777200000002</v>
      </c>
      <c r="X67" s="3">
        <f>Table_socioeca8.sandag.org_abm2_trb[[#This Row],[boarding_PM]]</f>
        <v>379.35213099999999</v>
      </c>
      <c r="Y67" s="3">
        <f>Table_socioeca8.sandag.org_abm2_trb[[#This Row],[boarding_EV]]</f>
        <v>192.50143299999999</v>
      </c>
      <c r="Z67" s="3">
        <f>Table_socioeca8.sandag.org_abm2_trb[[#This Row],[passenger_mile_EA]]</f>
        <v>88.762233760822994</v>
      </c>
      <c r="AA67" s="3">
        <f>Table_socioeca8.sandag.org_abm2_trb[[#This Row],[passenger_mile_AM]]</f>
        <v>862.32430647792501</v>
      </c>
      <c r="AB67" s="3">
        <f>Table_socioeca8.sandag.org_abm2_trb[[#This Row],[passenger_mile_MD]]</f>
        <v>1498.8037400945309</v>
      </c>
      <c r="AC67" s="3">
        <f>Table_socioeca8.sandag.org_abm2_trb[[#This Row],[passenger_mile_PM]]</f>
        <v>1057.9513514833729</v>
      </c>
      <c r="AD67" s="3">
        <f>Table_socioeca8.sandag.org_abm2_trb[[#This Row],[passenger_mile_EV]]</f>
        <v>554.49306099956596</v>
      </c>
      <c r="AE67" s="5">
        <f>Table_socioeca8.sandag.org_abm2_trb[[#This Row],[mode_transit_route_id]]</f>
        <v>29</v>
      </c>
      <c r="AF67"/>
    </row>
    <row r="68" spans="5:32" x14ac:dyDescent="0.25">
      <c r="E68" s="47">
        <f t="shared" ref="E68:E131" si="1">E67</f>
        <v>259</v>
      </c>
      <c r="F68" s="47">
        <v>332</v>
      </c>
      <c r="G68" s="263">
        <f>IFERROR(VLOOKUP(Table_socioeca8.sandag.org_abm2_trb[[#This Row],[route]],[2]transit_general!$B$2:$M$139,3,FALSE),0)</f>
        <v>61.193215000000002</v>
      </c>
      <c r="H68" s="263">
        <f>IFERROR(VLOOKUP(Table_socioeca8.sandag.org_abm2_trb[[#This Row],[route]],[2]transit_general!$B$2:$M$139,4,FALSE),0)</f>
        <v>338.27124099999997</v>
      </c>
      <c r="I68" s="263">
        <f>IFERROR(VLOOKUP(Table_socioeca8.sandag.org_abm2_trb[[#This Row],[route]],[2]transit_general!$B$2:$M$139,5,FALSE),0)</f>
        <v>544.345282</v>
      </c>
      <c r="J68" s="263">
        <f>IFERROR(VLOOKUP(Table_socioeca8.sandag.org_abm2_trb[[#This Row],[route]],[2]transit_general!$B$2:$M$139,6,FALSE),0)</f>
        <v>515.88857499999995</v>
      </c>
      <c r="K68" s="263">
        <f>IFERROR(VLOOKUP(Table_socioeca8.sandag.org_abm2_trb[[#This Row],[route]],[2]transit_general!$B$2:$M$139,7,FALSE),0)</f>
        <v>220.551986</v>
      </c>
      <c r="L68" s="263">
        <f>IFERROR(VLOOKUP(Table_socioeca8.sandag.org_abm2_trb[[#This Row],[route]],[2]transit_general!$B$2:$M$139,8,FALSE),0)</f>
        <v>259.808062298761</v>
      </c>
      <c r="M68" s="263">
        <f>IFERROR(VLOOKUP(Table_socioeca8.sandag.org_abm2_trb[[#This Row],[route]],[2]transit_general!$B$2:$M$139,9,FALSE),0)</f>
        <v>1152.0416176624581</v>
      </c>
      <c r="N68" s="263">
        <f>IFERROR(VLOOKUP(Table_socioeca8.sandag.org_abm2_trb[[#This Row],[route]],[2]transit_general!$B$2:$M$139,10,FALSE),0)</f>
        <v>1777.361456775817</v>
      </c>
      <c r="O68" s="263">
        <f>IFERROR(VLOOKUP(Table_socioeca8.sandag.org_abm2_trb[[#This Row],[route]],[2]transit_general!$B$2:$M$139,11,FALSE),0)</f>
        <v>1716.0326806432861</v>
      </c>
      <c r="P68" s="263">
        <f>IFERROR(VLOOKUP(Table_socioeca8.sandag.org_abm2_trb[[#This Row],[route]],[2]transit_general!$B$2:$M$139,12,FALSE),0)</f>
        <v>749.83773543269604</v>
      </c>
      <c r="Q68" s="263">
        <f>IFERROR(VLOOKUP(Table_socioeca8.sandag.org_abm2_trb[[#This Row],[route]],[2]transit_general!$B$2:$M$139,2,FALSE),0)</f>
        <v>29</v>
      </c>
      <c r="S68" s="5">
        <f>Table_socioeca8.sandag.org_abm2_trb[[#This Row],[scenario_id]]</f>
        <v>259</v>
      </c>
      <c r="T68" s="5">
        <f>Table_socioeca8.sandag.org_abm2_trb[[#This Row],[route]]</f>
        <v>332</v>
      </c>
      <c r="U68" s="3">
        <f>Table_socioeca8.sandag.org_abm2_trb[[#This Row],[boarding_EA]]</f>
        <v>61.193215000000002</v>
      </c>
      <c r="V68" s="3">
        <f>Table_socioeca8.sandag.org_abm2_trb[[#This Row],[boarding_AM]]</f>
        <v>338.27124099999997</v>
      </c>
      <c r="W68" s="3">
        <f>Table_socioeca8.sandag.org_abm2_trb[[#This Row],[boarding_MD]]</f>
        <v>544.345282</v>
      </c>
      <c r="X68" s="3">
        <f>Table_socioeca8.sandag.org_abm2_trb[[#This Row],[boarding_PM]]</f>
        <v>515.88857499999995</v>
      </c>
      <c r="Y68" s="3">
        <f>Table_socioeca8.sandag.org_abm2_trb[[#This Row],[boarding_EV]]</f>
        <v>220.551986</v>
      </c>
      <c r="Z68" s="3">
        <f>Table_socioeca8.sandag.org_abm2_trb[[#This Row],[passenger_mile_EA]]</f>
        <v>259.808062298761</v>
      </c>
      <c r="AA68" s="3">
        <f>Table_socioeca8.sandag.org_abm2_trb[[#This Row],[passenger_mile_AM]]</f>
        <v>1152.0416176624581</v>
      </c>
      <c r="AB68" s="3">
        <f>Table_socioeca8.sandag.org_abm2_trb[[#This Row],[passenger_mile_MD]]</f>
        <v>1777.361456775817</v>
      </c>
      <c r="AC68" s="3">
        <f>Table_socioeca8.sandag.org_abm2_trb[[#This Row],[passenger_mile_PM]]</f>
        <v>1716.0326806432861</v>
      </c>
      <c r="AD68" s="3">
        <f>Table_socioeca8.sandag.org_abm2_trb[[#This Row],[passenger_mile_EV]]</f>
        <v>749.83773543269604</v>
      </c>
      <c r="AE68" s="5">
        <f>Table_socioeca8.sandag.org_abm2_trb[[#This Row],[mode_transit_route_id]]</f>
        <v>29</v>
      </c>
      <c r="AF68"/>
    </row>
    <row r="69" spans="5:32" x14ac:dyDescent="0.25">
      <c r="E69" s="47">
        <f t="shared" si="1"/>
        <v>259</v>
      </c>
      <c r="F69" s="47">
        <v>334</v>
      </c>
      <c r="G69" s="263">
        <f>IFERROR(VLOOKUP(Table_socioeca8.sandag.org_abm2_trb[[#This Row],[route]],[2]transit_general!$B$2:$M$139,3,FALSE),0)</f>
        <v>12.311287</v>
      </c>
      <c r="H69" s="263">
        <f>IFERROR(VLOOKUP(Table_socioeca8.sandag.org_abm2_trb[[#This Row],[route]],[2]transit_general!$B$2:$M$139,4,FALSE),0)</f>
        <v>46.696558000000003</v>
      </c>
      <c r="I69" s="263">
        <f>IFERROR(VLOOKUP(Table_socioeca8.sandag.org_abm2_trb[[#This Row],[route]],[2]transit_general!$B$2:$M$139,5,FALSE),0)</f>
        <v>142.01944</v>
      </c>
      <c r="J69" s="263">
        <f>IFERROR(VLOOKUP(Table_socioeca8.sandag.org_abm2_trb[[#This Row],[route]],[2]transit_general!$B$2:$M$139,6,FALSE),0)</f>
        <v>94.512397000000007</v>
      </c>
      <c r="K69" s="263">
        <f>IFERROR(VLOOKUP(Table_socioeca8.sandag.org_abm2_trb[[#This Row],[route]],[2]transit_general!$B$2:$M$139,7,FALSE),0)</f>
        <v>79.609589999999997</v>
      </c>
      <c r="L69" s="263">
        <f>IFERROR(VLOOKUP(Table_socioeca8.sandag.org_abm2_trb[[#This Row],[route]],[2]transit_general!$B$2:$M$139,8,FALSE),0)</f>
        <v>26.375529834230001</v>
      </c>
      <c r="M69" s="263">
        <f>IFERROR(VLOOKUP(Table_socioeca8.sandag.org_abm2_trb[[#This Row],[route]],[2]transit_general!$B$2:$M$139,9,FALSE),0)</f>
        <v>95.096281131270004</v>
      </c>
      <c r="N69" s="263">
        <f>IFERROR(VLOOKUP(Table_socioeca8.sandag.org_abm2_trb[[#This Row],[route]],[2]transit_general!$B$2:$M$139,10,FALSE),0)</f>
        <v>312.10365871887802</v>
      </c>
      <c r="O69" s="263">
        <f>IFERROR(VLOOKUP(Table_socioeca8.sandag.org_abm2_trb[[#This Row],[route]],[2]transit_general!$B$2:$M$139,11,FALSE),0)</f>
        <v>196.62142233428</v>
      </c>
      <c r="P69" s="263">
        <f>IFERROR(VLOOKUP(Table_socioeca8.sandag.org_abm2_trb[[#This Row],[route]],[2]transit_general!$B$2:$M$139,12,FALSE),0)</f>
        <v>136.29426874204</v>
      </c>
      <c r="Q69" s="263">
        <f>IFERROR(VLOOKUP(Table_socioeca8.sandag.org_abm2_trb[[#This Row],[route]],[2]transit_general!$B$2:$M$139,2,FALSE),0)</f>
        <v>29</v>
      </c>
      <c r="S69" s="5">
        <f>Table_socioeca8.sandag.org_abm2_trb[[#This Row],[scenario_id]]</f>
        <v>259</v>
      </c>
      <c r="T69" s="5">
        <f>Table_socioeca8.sandag.org_abm2_trb[[#This Row],[route]]</f>
        <v>334</v>
      </c>
      <c r="U69" s="3">
        <f>Table_socioeca8.sandag.org_abm2_trb[[#This Row],[boarding_EA]]</f>
        <v>12.311287</v>
      </c>
      <c r="V69" s="3">
        <f>Table_socioeca8.sandag.org_abm2_trb[[#This Row],[boarding_AM]]</f>
        <v>46.696558000000003</v>
      </c>
      <c r="W69" s="3">
        <f>Table_socioeca8.sandag.org_abm2_trb[[#This Row],[boarding_MD]]</f>
        <v>142.01944</v>
      </c>
      <c r="X69" s="3">
        <f>Table_socioeca8.sandag.org_abm2_trb[[#This Row],[boarding_PM]]</f>
        <v>94.512397000000007</v>
      </c>
      <c r="Y69" s="3">
        <f>Table_socioeca8.sandag.org_abm2_trb[[#This Row],[boarding_EV]]</f>
        <v>79.609589999999997</v>
      </c>
      <c r="Z69" s="3">
        <f>Table_socioeca8.sandag.org_abm2_trb[[#This Row],[passenger_mile_EA]]</f>
        <v>26.375529834230001</v>
      </c>
      <c r="AA69" s="3">
        <f>Table_socioeca8.sandag.org_abm2_trb[[#This Row],[passenger_mile_AM]]</f>
        <v>95.096281131270004</v>
      </c>
      <c r="AB69" s="3">
        <f>Table_socioeca8.sandag.org_abm2_trb[[#This Row],[passenger_mile_MD]]</f>
        <v>312.10365871887802</v>
      </c>
      <c r="AC69" s="3">
        <f>Table_socioeca8.sandag.org_abm2_trb[[#This Row],[passenger_mile_PM]]</f>
        <v>196.62142233428</v>
      </c>
      <c r="AD69" s="3">
        <f>Table_socioeca8.sandag.org_abm2_trb[[#This Row],[passenger_mile_EV]]</f>
        <v>136.29426874204</v>
      </c>
      <c r="AE69" s="5">
        <f>Table_socioeca8.sandag.org_abm2_trb[[#This Row],[mode_transit_route_id]]</f>
        <v>29</v>
      </c>
      <c r="AF69"/>
    </row>
    <row r="70" spans="5:32" x14ac:dyDescent="0.25">
      <c r="E70" s="47">
        <f t="shared" si="1"/>
        <v>259</v>
      </c>
      <c r="F70" s="47">
        <v>335</v>
      </c>
      <c r="G70" s="263">
        <f>IFERROR(VLOOKUP(Table_socioeca8.sandag.org_abm2_trb[[#This Row],[route]],[2]transit_general!$B$2:$M$139,3,FALSE),0)</f>
        <v>0</v>
      </c>
      <c r="H70" s="263">
        <f>IFERROR(VLOOKUP(Table_socioeca8.sandag.org_abm2_trb[[#This Row],[route]],[2]transit_general!$B$2:$M$139,4,FALSE),0)</f>
        <v>55.372199999999999</v>
      </c>
      <c r="I70" s="263">
        <f>IFERROR(VLOOKUP(Table_socioeca8.sandag.org_abm2_trb[[#This Row],[route]],[2]transit_general!$B$2:$M$139,5,FALSE),0)</f>
        <v>0</v>
      </c>
      <c r="J70" s="263">
        <f>IFERROR(VLOOKUP(Table_socioeca8.sandag.org_abm2_trb[[#This Row],[route]],[2]transit_general!$B$2:$M$139,6,FALSE),0)</f>
        <v>113.286778</v>
      </c>
      <c r="K70" s="263">
        <f>IFERROR(VLOOKUP(Table_socioeca8.sandag.org_abm2_trb[[#This Row],[route]],[2]transit_general!$B$2:$M$139,7,FALSE),0)</f>
        <v>0</v>
      </c>
      <c r="L70" s="263">
        <f>IFERROR(VLOOKUP(Table_socioeca8.sandag.org_abm2_trb[[#This Row],[route]],[2]transit_general!$B$2:$M$139,8,FALSE),0)</f>
        <v>0</v>
      </c>
      <c r="M70" s="263">
        <f>IFERROR(VLOOKUP(Table_socioeca8.sandag.org_abm2_trb[[#This Row],[route]],[2]transit_general!$B$2:$M$139,9,FALSE),0)</f>
        <v>109.87105957449801</v>
      </c>
      <c r="N70" s="263">
        <f>IFERROR(VLOOKUP(Table_socioeca8.sandag.org_abm2_trb[[#This Row],[route]],[2]transit_general!$B$2:$M$139,10,FALSE),0)</f>
        <v>0</v>
      </c>
      <c r="O70" s="263">
        <f>IFERROR(VLOOKUP(Table_socioeca8.sandag.org_abm2_trb[[#This Row],[route]],[2]transit_general!$B$2:$M$139,11,FALSE),0)</f>
        <v>235.840894201216</v>
      </c>
      <c r="P70" s="263">
        <f>IFERROR(VLOOKUP(Table_socioeca8.sandag.org_abm2_trb[[#This Row],[route]],[2]transit_general!$B$2:$M$139,12,FALSE),0)</f>
        <v>0</v>
      </c>
      <c r="Q70" s="263">
        <f>IFERROR(VLOOKUP(Table_socioeca8.sandag.org_abm2_trb[[#This Row],[route]],[2]transit_general!$B$2:$M$139,2,FALSE),0)</f>
        <v>29</v>
      </c>
      <c r="S70" s="5">
        <f>Table_socioeca8.sandag.org_abm2_trb[[#This Row],[scenario_id]]</f>
        <v>259</v>
      </c>
      <c r="T70" s="5">
        <f>Table_socioeca8.sandag.org_abm2_trb[[#This Row],[route]]</f>
        <v>335</v>
      </c>
      <c r="U70" s="3">
        <f>Table_socioeca8.sandag.org_abm2_trb[[#This Row],[boarding_EA]]</f>
        <v>0</v>
      </c>
      <c r="V70" s="3">
        <f>Table_socioeca8.sandag.org_abm2_trb[[#This Row],[boarding_AM]]</f>
        <v>55.372199999999999</v>
      </c>
      <c r="W70" s="3">
        <f>Table_socioeca8.sandag.org_abm2_trb[[#This Row],[boarding_MD]]</f>
        <v>0</v>
      </c>
      <c r="X70" s="3">
        <f>Table_socioeca8.sandag.org_abm2_trb[[#This Row],[boarding_PM]]</f>
        <v>113.286778</v>
      </c>
      <c r="Y70" s="3">
        <f>Table_socioeca8.sandag.org_abm2_trb[[#This Row],[boarding_EV]]</f>
        <v>0</v>
      </c>
      <c r="Z70" s="3">
        <f>Table_socioeca8.sandag.org_abm2_trb[[#This Row],[passenger_mile_EA]]</f>
        <v>0</v>
      </c>
      <c r="AA70" s="3">
        <f>Table_socioeca8.sandag.org_abm2_trb[[#This Row],[passenger_mile_AM]]</f>
        <v>109.87105957449801</v>
      </c>
      <c r="AB70" s="3">
        <f>Table_socioeca8.sandag.org_abm2_trb[[#This Row],[passenger_mile_MD]]</f>
        <v>0</v>
      </c>
      <c r="AC70" s="3">
        <f>Table_socioeca8.sandag.org_abm2_trb[[#This Row],[passenger_mile_PM]]</f>
        <v>235.840894201216</v>
      </c>
      <c r="AD70" s="3">
        <f>Table_socioeca8.sandag.org_abm2_trb[[#This Row],[passenger_mile_EV]]</f>
        <v>0</v>
      </c>
      <c r="AE70" s="5">
        <f>Table_socioeca8.sandag.org_abm2_trb[[#This Row],[mode_transit_route_id]]</f>
        <v>29</v>
      </c>
      <c r="AF70"/>
    </row>
    <row r="71" spans="5:32" x14ac:dyDescent="0.25">
      <c r="E71" s="47">
        <f t="shared" si="1"/>
        <v>259</v>
      </c>
      <c r="F71" s="47">
        <v>347</v>
      </c>
      <c r="G71" s="263">
        <f>IFERROR(VLOOKUP(Table_socioeca8.sandag.org_abm2_trb[[#This Row],[route]],[2]transit_general!$B$2:$M$139,3,FALSE),0)</f>
        <v>28</v>
      </c>
      <c r="H71" s="263">
        <f>IFERROR(VLOOKUP(Table_socioeca8.sandag.org_abm2_trb[[#This Row],[route]],[2]transit_general!$B$2:$M$139,4,FALSE),0)</f>
        <v>183.97836699999999</v>
      </c>
      <c r="I71" s="263">
        <f>IFERROR(VLOOKUP(Table_socioeca8.sandag.org_abm2_trb[[#This Row],[route]],[2]transit_general!$B$2:$M$139,5,FALSE),0)</f>
        <v>503.33332999999999</v>
      </c>
      <c r="J71" s="263">
        <f>IFERROR(VLOOKUP(Table_socioeca8.sandag.org_abm2_trb[[#This Row],[route]],[2]transit_general!$B$2:$M$139,6,FALSE),0)</f>
        <v>329.86977200000001</v>
      </c>
      <c r="K71" s="263">
        <f>IFERROR(VLOOKUP(Table_socioeca8.sandag.org_abm2_trb[[#This Row],[route]],[2]transit_general!$B$2:$M$139,7,FALSE),0)</f>
        <v>250</v>
      </c>
      <c r="L71" s="263">
        <f>IFERROR(VLOOKUP(Table_socioeca8.sandag.org_abm2_trb[[#This Row],[route]],[2]transit_general!$B$2:$M$139,8,FALSE),0)</f>
        <v>55.351024500000001</v>
      </c>
      <c r="M71" s="263">
        <f>IFERROR(VLOOKUP(Table_socioeca8.sandag.org_abm2_trb[[#This Row],[route]],[2]transit_general!$B$2:$M$139,9,FALSE),0)</f>
        <v>380.60746429465098</v>
      </c>
      <c r="N71" s="263">
        <f>IFERROR(VLOOKUP(Table_socioeca8.sandag.org_abm2_trb[[#This Row],[route]],[2]transit_general!$B$2:$M$139,10,FALSE),0)</f>
        <v>921.19751551713</v>
      </c>
      <c r="O71" s="263">
        <f>IFERROR(VLOOKUP(Table_socioeca8.sandag.org_abm2_trb[[#This Row],[route]],[2]transit_general!$B$2:$M$139,11,FALSE),0)</f>
        <v>585.92433179987597</v>
      </c>
      <c r="P71" s="263">
        <f>IFERROR(VLOOKUP(Table_socioeca8.sandag.org_abm2_trb[[#This Row],[route]],[2]transit_general!$B$2:$M$139,12,FALSE),0)</f>
        <v>491.27928605864201</v>
      </c>
      <c r="Q71" s="263">
        <f>IFERROR(VLOOKUP(Table_socioeca8.sandag.org_abm2_trb[[#This Row],[route]],[2]transit_general!$B$2:$M$139,2,FALSE),0)</f>
        <v>29</v>
      </c>
      <c r="S71" s="5">
        <f>Table_socioeca8.sandag.org_abm2_trb[[#This Row],[scenario_id]]</f>
        <v>259</v>
      </c>
      <c r="T71" s="5">
        <f>Table_socioeca8.sandag.org_abm2_trb[[#This Row],[route]]</f>
        <v>347</v>
      </c>
      <c r="U71" s="3">
        <f>Table_socioeca8.sandag.org_abm2_trb[[#This Row],[boarding_EA]]</f>
        <v>28</v>
      </c>
      <c r="V71" s="3">
        <f>Table_socioeca8.sandag.org_abm2_trb[[#This Row],[boarding_AM]]</f>
        <v>183.97836699999999</v>
      </c>
      <c r="W71" s="3">
        <f>Table_socioeca8.sandag.org_abm2_trb[[#This Row],[boarding_MD]]</f>
        <v>503.33332999999999</v>
      </c>
      <c r="X71" s="3">
        <f>Table_socioeca8.sandag.org_abm2_trb[[#This Row],[boarding_PM]]</f>
        <v>329.86977200000001</v>
      </c>
      <c r="Y71" s="3">
        <f>Table_socioeca8.sandag.org_abm2_trb[[#This Row],[boarding_EV]]</f>
        <v>250</v>
      </c>
      <c r="Z71" s="3">
        <f>Table_socioeca8.sandag.org_abm2_trb[[#This Row],[passenger_mile_EA]]</f>
        <v>55.351024500000001</v>
      </c>
      <c r="AA71" s="3">
        <f>Table_socioeca8.sandag.org_abm2_trb[[#This Row],[passenger_mile_AM]]</f>
        <v>380.60746429465098</v>
      </c>
      <c r="AB71" s="3">
        <f>Table_socioeca8.sandag.org_abm2_trb[[#This Row],[passenger_mile_MD]]</f>
        <v>921.19751551713</v>
      </c>
      <c r="AC71" s="3">
        <f>Table_socioeca8.sandag.org_abm2_trb[[#This Row],[passenger_mile_PM]]</f>
        <v>585.92433179987597</v>
      </c>
      <c r="AD71" s="3">
        <f>Table_socioeca8.sandag.org_abm2_trb[[#This Row],[passenger_mile_EV]]</f>
        <v>491.27928605864201</v>
      </c>
      <c r="AE71" s="5">
        <f>Table_socioeca8.sandag.org_abm2_trb[[#This Row],[mode_transit_route_id]]</f>
        <v>29</v>
      </c>
      <c r="AF71"/>
    </row>
    <row r="72" spans="5:32" x14ac:dyDescent="0.25">
      <c r="E72" s="47">
        <f t="shared" si="1"/>
        <v>259</v>
      </c>
      <c r="F72" s="47">
        <v>351</v>
      </c>
      <c r="G72" s="263">
        <f>IFERROR(VLOOKUP(Table_socioeca8.sandag.org_abm2_trb[[#This Row],[route]],[2]transit_general!$B$2:$M$139,3,FALSE),0)</f>
        <v>27.448291000000001</v>
      </c>
      <c r="H72" s="263">
        <f>IFERROR(VLOOKUP(Table_socioeca8.sandag.org_abm2_trb[[#This Row],[route]],[2]transit_general!$B$2:$M$139,4,FALSE),0)</f>
        <v>128.415335</v>
      </c>
      <c r="I72" s="263">
        <f>IFERROR(VLOOKUP(Table_socioeca8.sandag.org_abm2_trb[[#This Row],[route]],[2]transit_general!$B$2:$M$139,5,FALSE),0)</f>
        <v>239.81377699999999</v>
      </c>
      <c r="J72" s="263">
        <f>IFERROR(VLOOKUP(Table_socioeca8.sandag.org_abm2_trb[[#This Row],[route]],[2]transit_general!$B$2:$M$139,6,FALSE),0)</f>
        <v>195.27966699999999</v>
      </c>
      <c r="K72" s="263">
        <f>IFERROR(VLOOKUP(Table_socioeca8.sandag.org_abm2_trb[[#This Row],[route]],[2]transit_general!$B$2:$M$139,7,FALSE),0)</f>
        <v>86.653814999999994</v>
      </c>
      <c r="L72" s="263">
        <f>IFERROR(VLOOKUP(Table_socioeca8.sandag.org_abm2_trb[[#This Row],[route]],[2]transit_general!$B$2:$M$139,8,FALSE),0)</f>
        <v>63.927968901649002</v>
      </c>
      <c r="M72" s="263">
        <f>IFERROR(VLOOKUP(Table_socioeca8.sandag.org_abm2_trb[[#This Row],[route]],[2]transit_general!$B$2:$M$139,9,FALSE),0)</f>
        <v>254.9284330646</v>
      </c>
      <c r="N72" s="263">
        <f>IFERROR(VLOOKUP(Table_socioeca8.sandag.org_abm2_trb[[#This Row],[route]],[2]transit_general!$B$2:$M$139,10,FALSE),0)</f>
        <v>508.31121256441702</v>
      </c>
      <c r="O72" s="263">
        <f>IFERROR(VLOOKUP(Table_socioeca8.sandag.org_abm2_trb[[#This Row],[route]],[2]transit_general!$B$2:$M$139,11,FALSE),0)</f>
        <v>424.85935673431698</v>
      </c>
      <c r="P72" s="263">
        <f>IFERROR(VLOOKUP(Table_socioeca8.sandag.org_abm2_trb[[#This Row],[route]],[2]transit_general!$B$2:$M$139,12,FALSE),0)</f>
        <v>174.63626488134099</v>
      </c>
      <c r="Q72" s="263">
        <f>IFERROR(VLOOKUP(Table_socioeca8.sandag.org_abm2_trb[[#This Row],[route]],[2]transit_general!$B$2:$M$139,2,FALSE),0)</f>
        <v>29</v>
      </c>
      <c r="S72" s="5">
        <f>Table_socioeca8.sandag.org_abm2_trb[[#This Row],[scenario_id]]</f>
        <v>259</v>
      </c>
      <c r="T72" s="5">
        <f>Table_socioeca8.sandag.org_abm2_trb[[#This Row],[route]]</f>
        <v>351</v>
      </c>
      <c r="U72" s="3">
        <f>Table_socioeca8.sandag.org_abm2_trb[[#This Row],[boarding_EA]]</f>
        <v>27.448291000000001</v>
      </c>
      <c r="V72" s="3">
        <f>Table_socioeca8.sandag.org_abm2_trb[[#This Row],[boarding_AM]]</f>
        <v>128.415335</v>
      </c>
      <c r="W72" s="3">
        <f>Table_socioeca8.sandag.org_abm2_trb[[#This Row],[boarding_MD]]</f>
        <v>239.81377699999999</v>
      </c>
      <c r="X72" s="3">
        <f>Table_socioeca8.sandag.org_abm2_trb[[#This Row],[boarding_PM]]</f>
        <v>195.27966699999999</v>
      </c>
      <c r="Y72" s="3">
        <f>Table_socioeca8.sandag.org_abm2_trb[[#This Row],[boarding_EV]]</f>
        <v>86.653814999999994</v>
      </c>
      <c r="Z72" s="3">
        <f>Table_socioeca8.sandag.org_abm2_trb[[#This Row],[passenger_mile_EA]]</f>
        <v>63.927968901649002</v>
      </c>
      <c r="AA72" s="3">
        <f>Table_socioeca8.sandag.org_abm2_trb[[#This Row],[passenger_mile_AM]]</f>
        <v>254.9284330646</v>
      </c>
      <c r="AB72" s="3">
        <f>Table_socioeca8.sandag.org_abm2_trb[[#This Row],[passenger_mile_MD]]</f>
        <v>508.31121256441702</v>
      </c>
      <c r="AC72" s="3">
        <f>Table_socioeca8.sandag.org_abm2_trb[[#This Row],[passenger_mile_PM]]</f>
        <v>424.85935673431698</v>
      </c>
      <c r="AD72" s="3">
        <f>Table_socioeca8.sandag.org_abm2_trb[[#This Row],[passenger_mile_EV]]</f>
        <v>174.63626488134099</v>
      </c>
      <c r="AE72" s="5">
        <f>Table_socioeca8.sandag.org_abm2_trb[[#This Row],[mode_transit_route_id]]</f>
        <v>29</v>
      </c>
      <c r="AF72"/>
    </row>
    <row r="73" spans="5:32" x14ac:dyDescent="0.25">
      <c r="E73" s="47">
        <f t="shared" si="1"/>
        <v>259</v>
      </c>
      <c r="F73" s="47">
        <v>352</v>
      </c>
      <c r="G73" s="263">
        <f>IFERROR(VLOOKUP(Table_socioeca8.sandag.org_abm2_trb[[#This Row],[route]],[2]transit_general!$B$2:$M$139,3,FALSE),0)</f>
        <v>20.799049</v>
      </c>
      <c r="H73" s="263">
        <f>IFERROR(VLOOKUP(Table_socioeca8.sandag.org_abm2_trb[[#This Row],[route]],[2]transit_general!$B$2:$M$139,4,FALSE),0)</f>
        <v>111.025082</v>
      </c>
      <c r="I73" s="263">
        <f>IFERROR(VLOOKUP(Table_socioeca8.sandag.org_abm2_trb[[#This Row],[route]],[2]transit_general!$B$2:$M$139,5,FALSE),0)</f>
        <v>245.619392</v>
      </c>
      <c r="J73" s="263">
        <f>IFERROR(VLOOKUP(Table_socioeca8.sandag.org_abm2_trb[[#This Row],[route]],[2]transit_general!$B$2:$M$139,6,FALSE),0)</f>
        <v>216.994462</v>
      </c>
      <c r="K73" s="263">
        <f>IFERROR(VLOOKUP(Table_socioeca8.sandag.org_abm2_trb[[#This Row],[route]],[2]transit_general!$B$2:$M$139,7,FALSE),0)</f>
        <v>94.155781000000005</v>
      </c>
      <c r="L73" s="263">
        <f>IFERROR(VLOOKUP(Table_socioeca8.sandag.org_abm2_trb[[#This Row],[route]],[2]transit_general!$B$2:$M$139,8,FALSE),0)</f>
        <v>49.612054163998003</v>
      </c>
      <c r="M73" s="263">
        <f>IFERROR(VLOOKUP(Table_socioeca8.sandag.org_abm2_trb[[#This Row],[route]],[2]transit_general!$B$2:$M$139,9,FALSE),0)</f>
        <v>230.15163156626599</v>
      </c>
      <c r="N73" s="263">
        <f>IFERROR(VLOOKUP(Table_socioeca8.sandag.org_abm2_trb[[#This Row],[route]],[2]transit_general!$B$2:$M$139,10,FALSE),0)</f>
        <v>490.939920604495</v>
      </c>
      <c r="O73" s="263">
        <f>IFERROR(VLOOKUP(Table_socioeca8.sandag.org_abm2_trb[[#This Row],[route]],[2]transit_general!$B$2:$M$139,11,FALSE),0)</f>
        <v>437.14742748391097</v>
      </c>
      <c r="P73" s="263">
        <f>IFERROR(VLOOKUP(Table_socioeca8.sandag.org_abm2_trb[[#This Row],[route]],[2]transit_general!$B$2:$M$139,12,FALSE),0)</f>
        <v>180.47367692640199</v>
      </c>
      <c r="Q73" s="263">
        <f>IFERROR(VLOOKUP(Table_socioeca8.sandag.org_abm2_trb[[#This Row],[route]],[2]transit_general!$B$2:$M$139,2,FALSE),0)</f>
        <v>29</v>
      </c>
      <c r="S73" s="5">
        <f>Table_socioeca8.sandag.org_abm2_trb[[#This Row],[scenario_id]]</f>
        <v>259</v>
      </c>
      <c r="T73" s="5">
        <f>Table_socioeca8.sandag.org_abm2_trb[[#This Row],[route]]</f>
        <v>352</v>
      </c>
      <c r="U73" s="3">
        <f>Table_socioeca8.sandag.org_abm2_trb[[#This Row],[boarding_EA]]</f>
        <v>20.799049</v>
      </c>
      <c r="V73" s="3">
        <f>Table_socioeca8.sandag.org_abm2_trb[[#This Row],[boarding_AM]]</f>
        <v>111.025082</v>
      </c>
      <c r="W73" s="3">
        <f>Table_socioeca8.sandag.org_abm2_trb[[#This Row],[boarding_MD]]</f>
        <v>245.619392</v>
      </c>
      <c r="X73" s="3">
        <f>Table_socioeca8.sandag.org_abm2_trb[[#This Row],[boarding_PM]]</f>
        <v>216.994462</v>
      </c>
      <c r="Y73" s="3">
        <f>Table_socioeca8.sandag.org_abm2_trb[[#This Row],[boarding_EV]]</f>
        <v>94.155781000000005</v>
      </c>
      <c r="Z73" s="3">
        <f>Table_socioeca8.sandag.org_abm2_trb[[#This Row],[passenger_mile_EA]]</f>
        <v>49.612054163998003</v>
      </c>
      <c r="AA73" s="3">
        <f>Table_socioeca8.sandag.org_abm2_trb[[#This Row],[passenger_mile_AM]]</f>
        <v>230.15163156626599</v>
      </c>
      <c r="AB73" s="3">
        <f>Table_socioeca8.sandag.org_abm2_trb[[#This Row],[passenger_mile_MD]]</f>
        <v>490.939920604495</v>
      </c>
      <c r="AC73" s="3">
        <f>Table_socioeca8.sandag.org_abm2_trb[[#This Row],[passenger_mile_PM]]</f>
        <v>437.14742748391097</v>
      </c>
      <c r="AD73" s="3">
        <f>Table_socioeca8.sandag.org_abm2_trb[[#This Row],[passenger_mile_EV]]</f>
        <v>180.47367692640199</v>
      </c>
      <c r="AE73" s="5">
        <f>Table_socioeca8.sandag.org_abm2_trb[[#This Row],[mode_transit_route_id]]</f>
        <v>29</v>
      </c>
      <c r="AF73"/>
    </row>
    <row r="74" spans="5:32" x14ac:dyDescent="0.25">
      <c r="E74" s="47">
        <f t="shared" si="1"/>
        <v>259</v>
      </c>
      <c r="F74" s="47">
        <v>353</v>
      </c>
      <c r="G74" s="263">
        <f>IFERROR(VLOOKUP(Table_socioeca8.sandag.org_abm2_trb[[#This Row],[route]],[2]transit_general!$B$2:$M$139,3,FALSE),0)</f>
        <v>27.943251</v>
      </c>
      <c r="H74" s="263">
        <f>IFERROR(VLOOKUP(Table_socioeca8.sandag.org_abm2_trb[[#This Row],[route]],[2]transit_general!$B$2:$M$139,4,FALSE),0)</f>
        <v>137.38957600000001</v>
      </c>
      <c r="I74" s="263">
        <f>IFERROR(VLOOKUP(Table_socioeca8.sandag.org_abm2_trb[[#This Row],[route]],[2]transit_general!$B$2:$M$139,5,FALSE),0)</f>
        <v>264.88358599999998</v>
      </c>
      <c r="J74" s="263">
        <f>IFERROR(VLOOKUP(Table_socioeca8.sandag.org_abm2_trb[[#This Row],[route]],[2]transit_general!$B$2:$M$139,6,FALSE),0)</f>
        <v>264.86146500000001</v>
      </c>
      <c r="K74" s="263">
        <f>IFERROR(VLOOKUP(Table_socioeca8.sandag.org_abm2_trb[[#This Row],[route]],[2]transit_general!$B$2:$M$139,7,FALSE),0)</f>
        <v>149.32720699999999</v>
      </c>
      <c r="L74" s="263">
        <f>IFERROR(VLOOKUP(Table_socioeca8.sandag.org_abm2_trb[[#This Row],[route]],[2]transit_general!$B$2:$M$139,8,FALSE),0)</f>
        <v>55.023248546406002</v>
      </c>
      <c r="M74" s="263">
        <f>IFERROR(VLOOKUP(Table_socioeca8.sandag.org_abm2_trb[[#This Row],[route]],[2]transit_general!$B$2:$M$139,9,FALSE),0)</f>
        <v>250.57763094925301</v>
      </c>
      <c r="N74" s="263">
        <f>IFERROR(VLOOKUP(Table_socioeca8.sandag.org_abm2_trb[[#This Row],[route]],[2]transit_general!$B$2:$M$139,10,FALSE),0)</f>
        <v>493.37902033750998</v>
      </c>
      <c r="O74" s="263">
        <f>IFERROR(VLOOKUP(Table_socioeca8.sandag.org_abm2_trb[[#This Row],[route]],[2]transit_general!$B$2:$M$139,11,FALSE),0)</f>
        <v>507.65496320772399</v>
      </c>
      <c r="P74" s="263">
        <f>IFERROR(VLOOKUP(Table_socioeca8.sandag.org_abm2_trb[[#This Row],[route]],[2]transit_general!$B$2:$M$139,12,FALSE),0)</f>
        <v>303.91995654856601</v>
      </c>
      <c r="Q74" s="263">
        <f>IFERROR(VLOOKUP(Table_socioeca8.sandag.org_abm2_trb[[#This Row],[route]],[2]transit_general!$B$2:$M$139,2,FALSE),0)</f>
        <v>29</v>
      </c>
      <c r="S74" s="5">
        <f>Table_socioeca8.sandag.org_abm2_trb[[#This Row],[scenario_id]]</f>
        <v>259</v>
      </c>
      <c r="T74" s="5">
        <f>Table_socioeca8.sandag.org_abm2_trb[[#This Row],[route]]</f>
        <v>353</v>
      </c>
      <c r="U74" s="3">
        <f>Table_socioeca8.sandag.org_abm2_trb[[#This Row],[boarding_EA]]</f>
        <v>27.943251</v>
      </c>
      <c r="V74" s="3">
        <f>Table_socioeca8.sandag.org_abm2_trb[[#This Row],[boarding_AM]]</f>
        <v>137.38957600000001</v>
      </c>
      <c r="W74" s="3">
        <f>Table_socioeca8.sandag.org_abm2_trb[[#This Row],[boarding_MD]]</f>
        <v>264.88358599999998</v>
      </c>
      <c r="X74" s="3">
        <f>Table_socioeca8.sandag.org_abm2_trb[[#This Row],[boarding_PM]]</f>
        <v>264.86146500000001</v>
      </c>
      <c r="Y74" s="3">
        <f>Table_socioeca8.sandag.org_abm2_trb[[#This Row],[boarding_EV]]</f>
        <v>149.32720699999999</v>
      </c>
      <c r="Z74" s="3">
        <f>Table_socioeca8.sandag.org_abm2_trb[[#This Row],[passenger_mile_EA]]</f>
        <v>55.023248546406002</v>
      </c>
      <c r="AA74" s="3">
        <f>Table_socioeca8.sandag.org_abm2_trb[[#This Row],[passenger_mile_AM]]</f>
        <v>250.57763094925301</v>
      </c>
      <c r="AB74" s="3">
        <f>Table_socioeca8.sandag.org_abm2_trb[[#This Row],[passenger_mile_MD]]</f>
        <v>493.37902033750998</v>
      </c>
      <c r="AC74" s="3">
        <f>Table_socioeca8.sandag.org_abm2_trb[[#This Row],[passenger_mile_PM]]</f>
        <v>507.65496320772399</v>
      </c>
      <c r="AD74" s="3">
        <f>Table_socioeca8.sandag.org_abm2_trb[[#This Row],[passenger_mile_EV]]</f>
        <v>303.91995654856601</v>
      </c>
      <c r="AE74" s="5">
        <f>Table_socioeca8.sandag.org_abm2_trb[[#This Row],[mode_transit_route_id]]</f>
        <v>29</v>
      </c>
      <c r="AF74"/>
    </row>
    <row r="75" spans="5:32" x14ac:dyDescent="0.25">
      <c r="E75" s="47">
        <f t="shared" si="1"/>
        <v>259</v>
      </c>
      <c r="F75" s="47">
        <v>354</v>
      </c>
      <c r="G75" s="263">
        <f>IFERROR(VLOOKUP(Table_socioeca8.sandag.org_abm2_trb[[#This Row],[route]],[2]transit_general!$B$2:$M$139,3,FALSE),0)</f>
        <v>23.709416999999998</v>
      </c>
      <c r="H75" s="263">
        <f>IFERROR(VLOOKUP(Table_socioeca8.sandag.org_abm2_trb[[#This Row],[route]],[2]transit_general!$B$2:$M$139,4,FALSE),0)</f>
        <v>135.269184</v>
      </c>
      <c r="I75" s="263">
        <f>IFERROR(VLOOKUP(Table_socioeca8.sandag.org_abm2_trb[[#This Row],[route]],[2]transit_general!$B$2:$M$139,5,FALSE),0)</f>
        <v>240.63019499999999</v>
      </c>
      <c r="J75" s="263">
        <f>IFERROR(VLOOKUP(Table_socioeca8.sandag.org_abm2_trb[[#This Row],[route]],[2]transit_general!$B$2:$M$139,6,FALSE),0)</f>
        <v>206.78564900000001</v>
      </c>
      <c r="K75" s="263">
        <f>IFERROR(VLOOKUP(Table_socioeca8.sandag.org_abm2_trb[[#This Row],[route]],[2]transit_general!$B$2:$M$139,7,FALSE),0)</f>
        <v>142.922709</v>
      </c>
      <c r="L75" s="263">
        <f>IFERROR(VLOOKUP(Table_socioeca8.sandag.org_abm2_trb[[#This Row],[route]],[2]transit_general!$B$2:$M$139,8,FALSE),0)</f>
        <v>74.808746347769002</v>
      </c>
      <c r="M75" s="263">
        <f>IFERROR(VLOOKUP(Table_socioeca8.sandag.org_abm2_trb[[#This Row],[route]],[2]transit_general!$B$2:$M$139,9,FALSE),0)</f>
        <v>407.93345356749597</v>
      </c>
      <c r="N75" s="263">
        <f>IFERROR(VLOOKUP(Table_socioeca8.sandag.org_abm2_trb[[#This Row],[route]],[2]transit_general!$B$2:$M$139,10,FALSE),0)</f>
        <v>607.69319424399703</v>
      </c>
      <c r="O75" s="263">
        <f>IFERROR(VLOOKUP(Table_socioeca8.sandag.org_abm2_trb[[#This Row],[route]],[2]transit_general!$B$2:$M$139,11,FALSE),0)</f>
        <v>566.57543390017599</v>
      </c>
      <c r="P75" s="263">
        <f>IFERROR(VLOOKUP(Table_socioeca8.sandag.org_abm2_trb[[#This Row],[route]],[2]transit_general!$B$2:$M$139,12,FALSE),0)</f>
        <v>323.45618537879699</v>
      </c>
      <c r="Q75" s="263">
        <f>IFERROR(VLOOKUP(Table_socioeca8.sandag.org_abm2_trb[[#This Row],[route]],[2]transit_general!$B$2:$M$139,2,FALSE),0)</f>
        <v>29</v>
      </c>
      <c r="S75" s="5">
        <f>Table_socioeca8.sandag.org_abm2_trb[[#This Row],[scenario_id]]</f>
        <v>259</v>
      </c>
      <c r="T75" s="5">
        <f>Table_socioeca8.sandag.org_abm2_trb[[#This Row],[route]]</f>
        <v>354</v>
      </c>
      <c r="U75" s="3">
        <f>Table_socioeca8.sandag.org_abm2_trb[[#This Row],[boarding_EA]]</f>
        <v>23.709416999999998</v>
      </c>
      <c r="V75" s="3">
        <f>Table_socioeca8.sandag.org_abm2_trb[[#This Row],[boarding_AM]]</f>
        <v>135.269184</v>
      </c>
      <c r="W75" s="3">
        <f>Table_socioeca8.sandag.org_abm2_trb[[#This Row],[boarding_MD]]</f>
        <v>240.63019499999999</v>
      </c>
      <c r="X75" s="3">
        <f>Table_socioeca8.sandag.org_abm2_trb[[#This Row],[boarding_PM]]</f>
        <v>206.78564900000001</v>
      </c>
      <c r="Y75" s="3">
        <f>Table_socioeca8.sandag.org_abm2_trb[[#This Row],[boarding_EV]]</f>
        <v>142.922709</v>
      </c>
      <c r="Z75" s="3">
        <f>Table_socioeca8.sandag.org_abm2_trb[[#This Row],[passenger_mile_EA]]</f>
        <v>74.808746347769002</v>
      </c>
      <c r="AA75" s="3">
        <f>Table_socioeca8.sandag.org_abm2_trb[[#This Row],[passenger_mile_AM]]</f>
        <v>407.93345356749597</v>
      </c>
      <c r="AB75" s="3">
        <f>Table_socioeca8.sandag.org_abm2_trb[[#This Row],[passenger_mile_MD]]</f>
        <v>607.69319424399703</v>
      </c>
      <c r="AC75" s="3">
        <f>Table_socioeca8.sandag.org_abm2_trb[[#This Row],[passenger_mile_PM]]</f>
        <v>566.57543390017599</v>
      </c>
      <c r="AD75" s="3">
        <f>Table_socioeca8.sandag.org_abm2_trb[[#This Row],[passenger_mile_EV]]</f>
        <v>323.45618537879699</v>
      </c>
      <c r="AE75" s="5">
        <f>Table_socioeca8.sandag.org_abm2_trb[[#This Row],[mode_transit_route_id]]</f>
        <v>29</v>
      </c>
      <c r="AF75"/>
    </row>
    <row r="76" spans="5:32" x14ac:dyDescent="0.25">
      <c r="E76" s="47">
        <f t="shared" si="1"/>
        <v>259</v>
      </c>
      <c r="F76" s="47">
        <v>355</v>
      </c>
      <c r="G76" s="263">
        <f>IFERROR(VLOOKUP(Table_socioeca8.sandag.org_abm2_trb[[#This Row],[route]],[2]transit_general!$B$2:$M$139,3,FALSE),0)</f>
        <v>15.690848000000001</v>
      </c>
      <c r="H76" s="263">
        <f>IFERROR(VLOOKUP(Table_socioeca8.sandag.org_abm2_trb[[#This Row],[route]],[2]transit_general!$B$2:$M$139,4,FALSE),0)</f>
        <v>73.057097999999996</v>
      </c>
      <c r="I76" s="263">
        <f>IFERROR(VLOOKUP(Table_socioeca8.sandag.org_abm2_trb[[#This Row],[route]],[2]transit_general!$B$2:$M$139,5,FALSE),0)</f>
        <v>157.15633</v>
      </c>
      <c r="J76" s="263">
        <f>IFERROR(VLOOKUP(Table_socioeca8.sandag.org_abm2_trb[[#This Row],[route]],[2]transit_general!$B$2:$M$139,6,FALSE),0)</f>
        <v>123.41014</v>
      </c>
      <c r="K76" s="263">
        <f>IFERROR(VLOOKUP(Table_socioeca8.sandag.org_abm2_trb[[#This Row],[route]],[2]transit_general!$B$2:$M$139,7,FALSE),0)</f>
        <v>71.734701000000001</v>
      </c>
      <c r="L76" s="263">
        <f>IFERROR(VLOOKUP(Table_socioeca8.sandag.org_abm2_trb[[#This Row],[route]],[2]transit_general!$B$2:$M$139,8,FALSE),0)</f>
        <v>33.202492999042001</v>
      </c>
      <c r="M76" s="263">
        <f>IFERROR(VLOOKUP(Table_socioeca8.sandag.org_abm2_trb[[#This Row],[route]],[2]transit_general!$B$2:$M$139,9,FALSE),0)</f>
        <v>174.251724020186</v>
      </c>
      <c r="N76" s="263">
        <f>IFERROR(VLOOKUP(Table_socioeca8.sandag.org_abm2_trb[[#This Row],[route]],[2]transit_general!$B$2:$M$139,10,FALSE),0)</f>
        <v>413.53424495674102</v>
      </c>
      <c r="O76" s="263">
        <f>IFERROR(VLOOKUP(Table_socioeca8.sandag.org_abm2_trb[[#This Row],[route]],[2]transit_general!$B$2:$M$139,11,FALSE),0)</f>
        <v>342.09474003471598</v>
      </c>
      <c r="P76" s="263">
        <f>IFERROR(VLOOKUP(Table_socioeca8.sandag.org_abm2_trb[[#This Row],[route]],[2]transit_general!$B$2:$M$139,12,FALSE),0)</f>
        <v>180.13369327593</v>
      </c>
      <c r="Q76" s="263">
        <f>IFERROR(VLOOKUP(Table_socioeca8.sandag.org_abm2_trb[[#This Row],[route]],[2]transit_general!$B$2:$M$139,2,FALSE),0)</f>
        <v>29</v>
      </c>
      <c r="S76" s="5">
        <f>Table_socioeca8.sandag.org_abm2_trb[[#This Row],[scenario_id]]</f>
        <v>259</v>
      </c>
      <c r="T76" s="5">
        <f>Table_socioeca8.sandag.org_abm2_trb[[#This Row],[route]]</f>
        <v>355</v>
      </c>
      <c r="U76" s="3">
        <f>Table_socioeca8.sandag.org_abm2_trb[[#This Row],[boarding_EA]]</f>
        <v>15.690848000000001</v>
      </c>
      <c r="V76" s="3">
        <f>Table_socioeca8.sandag.org_abm2_trb[[#This Row],[boarding_AM]]</f>
        <v>73.057097999999996</v>
      </c>
      <c r="W76" s="3">
        <f>Table_socioeca8.sandag.org_abm2_trb[[#This Row],[boarding_MD]]</f>
        <v>157.15633</v>
      </c>
      <c r="X76" s="3">
        <f>Table_socioeca8.sandag.org_abm2_trb[[#This Row],[boarding_PM]]</f>
        <v>123.41014</v>
      </c>
      <c r="Y76" s="3">
        <f>Table_socioeca8.sandag.org_abm2_trb[[#This Row],[boarding_EV]]</f>
        <v>71.734701000000001</v>
      </c>
      <c r="Z76" s="3">
        <f>Table_socioeca8.sandag.org_abm2_trb[[#This Row],[passenger_mile_EA]]</f>
        <v>33.202492999042001</v>
      </c>
      <c r="AA76" s="3">
        <f>Table_socioeca8.sandag.org_abm2_trb[[#This Row],[passenger_mile_AM]]</f>
        <v>174.251724020186</v>
      </c>
      <c r="AB76" s="3">
        <f>Table_socioeca8.sandag.org_abm2_trb[[#This Row],[passenger_mile_MD]]</f>
        <v>413.53424495674102</v>
      </c>
      <c r="AC76" s="3">
        <f>Table_socioeca8.sandag.org_abm2_trb[[#This Row],[passenger_mile_PM]]</f>
        <v>342.09474003471598</v>
      </c>
      <c r="AD76" s="3">
        <f>Table_socioeca8.sandag.org_abm2_trb[[#This Row],[passenger_mile_EV]]</f>
        <v>180.13369327593</v>
      </c>
      <c r="AE76" s="5">
        <f>Table_socioeca8.sandag.org_abm2_trb[[#This Row],[mode_transit_route_id]]</f>
        <v>29</v>
      </c>
      <c r="AF76"/>
    </row>
    <row r="77" spans="5:32" x14ac:dyDescent="0.25">
      <c r="E77" s="47">
        <f t="shared" si="1"/>
        <v>259</v>
      </c>
      <c r="F77" s="47">
        <v>356</v>
      </c>
      <c r="G77" s="263">
        <f>IFERROR(VLOOKUP(Table_socioeca8.sandag.org_abm2_trb[[#This Row],[route]],[2]transit_general!$B$2:$M$139,3,FALSE),0)</f>
        <v>12.782252</v>
      </c>
      <c r="H77" s="263">
        <f>IFERROR(VLOOKUP(Table_socioeca8.sandag.org_abm2_trb[[#This Row],[route]],[2]transit_general!$B$2:$M$139,4,FALSE),0)</f>
        <v>69.255827999999994</v>
      </c>
      <c r="I77" s="263">
        <f>IFERROR(VLOOKUP(Table_socioeca8.sandag.org_abm2_trb[[#This Row],[route]],[2]transit_general!$B$2:$M$139,5,FALSE),0)</f>
        <v>164.54755599999999</v>
      </c>
      <c r="J77" s="263">
        <f>IFERROR(VLOOKUP(Table_socioeca8.sandag.org_abm2_trb[[#This Row],[route]],[2]transit_general!$B$2:$M$139,6,FALSE),0)</f>
        <v>139.79227299999999</v>
      </c>
      <c r="K77" s="263">
        <f>IFERROR(VLOOKUP(Table_socioeca8.sandag.org_abm2_trb[[#This Row],[route]],[2]transit_general!$B$2:$M$139,7,FALSE),0)</f>
        <v>52.998666</v>
      </c>
      <c r="L77" s="263">
        <f>IFERROR(VLOOKUP(Table_socioeca8.sandag.org_abm2_trb[[#This Row],[route]],[2]transit_general!$B$2:$M$139,8,FALSE),0)</f>
        <v>26.211208802811999</v>
      </c>
      <c r="M77" s="263">
        <f>IFERROR(VLOOKUP(Table_socioeca8.sandag.org_abm2_trb[[#This Row],[route]],[2]transit_general!$B$2:$M$139,9,FALSE),0)</f>
        <v>126.542832780612</v>
      </c>
      <c r="N77" s="263">
        <f>IFERROR(VLOOKUP(Table_socioeca8.sandag.org_abm2_trb[[#This Row],[route]],[2]transit_general!$B$2:$M$139,10,FALSE),0)</f>
        <v>271.114172107944</v>
      </c>
      <c r="O77" s="263">
        <f>IFERROR(VLOOKUP(Table_socioeca8.sandag.org_abm2_trb[[#This Row],[route]],[2]transit_general!$B$2:$M$139,11,FALSE),0)</f>
        <v>222.65362118519201</v>
      </c>
      <c r="P77" s="263">
        <f>IFERROR(VLOOKUP(Table_socioeca8.sandag.org_abm2_trb[[#This Row],[route]],[2]transit_general!$B$2:$M$139,12,FALSE),0)</f>
        <v>92.782289588658003</v>
      </c>
      <c r="Q77" s="263">
        <f>IFERROR(VLOOKUP(Table_socioeca8.sandag.org_abm2_trb[[#This Row],[route]],[2]transit_general!$B$2:$M$139,2,FALSE),0)</f>
        <v>29</v>
      </c>
      <c r="S77" s="5">
        <f>Table_socioeca8.sandag.org_abm2_trb[[#This Row],[scenario_id]]</f>
        <v>259</v>
      </c>
      <c r="T77" s="5">
        <f>Table_socioeca8.sandag.org_abm2_trb[[#This Row],[route]]</f>
        <v>356</v>
      </c>
      <c r="U77" s="3">
        <f>Table_socioeca8.sandag.org_abm2_trb[[#This Row],[boarding_EA]]</f>
        <v>12.782252</v>
      </c>
      <c r="V77" s="3">
        <f>Table_socioeca8.sandag.org_abm2_trb[[#This Row],[boarding_AM]]</f>
        <v>69.255827999999994</v>
      </c>
      <c r="W77" s="3">
        <f>Table_socioeca8.sandag.org_abm2_trb[[#This Row],[boarding_MD]]</f>
        <v>164.54755599999999</v>
      </c>
      <c r="X77" s="3">
        <f>Table_socioeca8.sandag.org_abm2_trb[[#This Row],[boarding_PM]]</f>
        <v>139.79227299999999</v>
      </c>
      <c r="Y77" s="3">
        <f>Table_socioeca8.sandag.org_abm2_trb[[#This Row],[boarding_EV]]</f>
        <v>52.998666</v>
      </c>
      <c r="Z77" s="3">
        <f>Table_socioeca8.sandag.org_abm2_trb[[#This Row],[passenger_mile_EA]]</f>
        <v>26.211208802811999</v>
      </c>
      <c r="AA77" s="3">
        <f>Table_socioeca8.sandag.org_abm2_trb[[#This Row],[passenger_mile_AM]]</f>
        <v>126.542832780612</v>
      </c>
      <c r="AB77" s="3">
        <f>Table_socioeca8.sandag.org_abm2_trb[[#This Row],[passenger_mile_MD]]</f>
        <v>271.114172107944</v>
      </c>
      <c r="AC77" s="3">
        <f>Table_socioeca8.sandag.org_abm2_trb[[#This Row],[passenger_mile_PM]]</f>
        <v>222.65362118519201</v>
      </c>
      <c r="AD77" s="3">
        <f>Table_socioeca8.sandag.org_abm2_trb[[#This Row],[passenger_mile_EV]]</f>
        <v>92.782289588658003</v>
      </c>
      <c r="AE77" s="5">
        <f>Table_socioeca8.sandag.org_abm2_trb[[#This Row],[mode_transit_route_id]]</f>
        <v>29</v>
      </c>
      <c r="AF77"/>
    </row>
    <row r="78" spans="5:32" x14ac:dyDescent="0.25">
      <c r="E78" s="47">
        <f t="shared" si="1"/>
        <v>259</v>
      </c>
      <c r="F78" s="47">
        <v>357</v>
      </c>
      <c r="G78" s="263">
        <f>IFERROR(VLOOKUP(Table_socioeca8.sandag.org_abm2_trb[[#This Row],[route]],[2]transit_general!$B$2:$M$139,3,FALSE),0)</f>
        <v>14.885049</v>
      </c>
      <c r="H78" s="263">
        <f>IFERROR(VLOOKUP(Table_socioeca8.sandag.org_abm2_trb[[#This Row],[route]],[2]transit_general!$B$2:$M$139,4,FALSE),0)</f>
        <v>84.699590999999998</v>
      </c>
      <c r="I78" s="263">
        <f>IFERROR(VLOOKUP(Table_socioeca8.sandag.org_abm2_trb[[#This Row],[route]],[2]transit_general!$B$2:$M$139,5,FALSE),0)</f>
        <v>169.967558</v>
      </c>
      <c r="J78" s="263">
        <f>IFERROR(VLOOKUP(Table_socioeca8.sandag.org_abm2_trb[[#This Row],[route]],[2]transit_general!$B$2:$M$139,6,FALSE),0)</f>
        <v>146.282149</v>
      </c>
      <c r="K78" s="263">
        <f>IFERROR(VLOOKUP(Table_socioeca8.sandag.org_abm2_trb[[#This Row],[route]],[2]transit_general!$B$2:$M$139,7,FALSE),0)</f>
        <v>72.361031999999994</v>
      </c>
      <c r="L78" s="263">
        <f>IFERROR(VLOOKUP(Table_socioeca8.sandag.org_abm2_trb[[#This Row],[route]],[2]transit_general!$B$2:$M$139,8,FALSE),0)</f>
        <v>54.634996201066002</v>
      </c>
      <c r="M78" s="263">
        <f>IFERROR(VLOOKUP(Table_socioeca8.sandag.org_abm2_trb[[#This Row],[route]],[2]transit_general!$B$2:$M$139,9,FALSE),0)</f>
        <v>210.14435430625599</v>
      </c>
      <c r="N78" s="263">
        <f>IFERROR(VLOOKUP(Table_socioeca8.sandag.org_abm2_trb[[#This Row],[route]],[2]transit_general!$B$2:$M$139,10,FALSE),0)</f>
        <v>427.72871453385301</v>
      </c>
      <c r="O78" s="263">
        <f>IFERROR(VLOOKUP(Table_socioeca8.sandag.org_abm2_trb[[#This Row],[route]],[2]transit_general!$B$2:$M$139,11,FALSE),0)</f>
        <v>336.910477973377</v>
      </c>
      <c r="P78" s="263">
        <f>IFERROR(VLOOKUP(Table_socioeca8.sandag.org_abm2_trb[[#This Row],[route]],[2]transit_general!$B$2:$M$139,12,FALSE),0)</f>
        <v>201.9570132819</v>
      </c>
      <c r="Q78" s="263">
        <f>IFERROR(VLOOKUP(Table_socioeca8.sandag.org_abm2_trb[[#This Row],[route]],[2]transit_general!$B$2:$M$139,2,FALSE),0)</f>
        <v>29</v>
      </c>
      <c r="S78" s="5">
        <f>Table_socioeca8.sandag.org_abm2_trb[[#This Row],[scenario_id]]</f>
        <v>259</v>
      </c>
      <c r="T78" s="5">
        <f>Table_socioeca8.sandag.org_abm2_trb[[#This Row],[route]]</f>
        <v>357</v>
      </c>
      <c r="U78" s="3">
        <f>Table_socioeca8.sandag.org_abm2_trb[[#This Row],[boarding_EA]]</f>
        <v>14.885049</v>
      </c>
      <c r="V78" s="3">
        <f>Table_socioeca8.sandag.org_abm2_trb[[#This Row],[boarding_AM]]</f>
        <v>84.699590999999998</v>
      </c>
      <c r="W78" s="3">
        <f>Table_socioeca8.sandag.org_abm2_trb[[#This Row],[boarding_MD]]</f>
        <v>169.967558</v>
      </c>
      <c r="X78" s="3">
        <f>Table_socioeca8.sandag.org_abm2_trb[[#This Row],[boarding_PM]]</f>
        <v>146.282149</v>
      </c>
      <c r="Y78" s="3">
        <f>Table_socioeca8.sandag.org_abm2_trb[[#This Row],[boarding_EV]]</f>
        <v>72.361031999999994</v>
      </c>
      <c r="Z78" s="3">
        <f>Table_socioeca8.sandag.org_abm2_trb[[#This Row],[passenger_mile_EA]]</f>
        <v>54.634996201066002</v>
      </c>
      <c r="AA78" s="3">
        <f>Table_socioeca8.sandag.org_abm2_trb[[#This Row],[passenger_mile_AM]]</f>
        <v>210.14435430625599</v>
      </c>
      <c r="AB78" s="3">
        <f>Table_socioeca8.sandag.org_abm2_trb[[#This Row],[passenger_mile_MD]]</f>
        <v>427.72871453385301</v>
      </c>
      <c r="AC78" s="3">
        <f>Table_socioeca8.sandag.org_abm2_trb[[#This Row],[passenger_mile_PM]]</f>
        <v>336.910477973377</v>
      </c>
      <c r="AD78" s="3">
        <f>Table_socioeca8.sandag.org_abm2_trb[[#This Row],[passenger_mile_EV]]</f>
        <v>201.9570132819</v>
      </c>
      <c r="AE78" s="5">
        <f>Table_socioeca8.sandag.org_abm2_trb[[#This Row],[mode_transit_route_id]]</f>
        <v>29</v>
      </c>
      <c r="AF78"/>
    </row>
    <row r="79" spans="5:32" x14ac:dyDescent="0.25">
      <c r="E79" s="47">
        <f t="shared" si="1"/>
        <v>259</v>
      </c>
      <c r="F79" s="47">
        <v>358</v>
      </c>
      <c r="G79" s="263">
        <f>IFERROR(VLOOKUP(Table_socioeca8.sandag.org_abm2_trb[[#This Row],[route]],[2]transit_general!$B$2:$M$139,3,FALSE),0)</f>
        <v>8.1348319999999994</v>
      </c>
      <c r="H79" s="263">
        <f>IFERROR(VLOOKUP(Table_socioeca8.sandag.org_abm2_trb[[#This Row],[route]],[2]transit_general!$B$2:$M$139,4,FALSE),0)</f>
        <v>66.948025999999999</v>
      </c>
      <c r="I79" s="263">
        <f>IFERROR(VLOOKUP(Table_socioeca8.sandag.org_abm2_trb[[#This Row],[route]],[2]transit_general!$B$2:$M$139,5,FALSE),0)</f>
        <v>146.059596</v>
      </c>
      <c r="J79" s="263">
        <f>IFERROR(VLOOKUP(Table_socioeca8.sandag.org_abm2_trb[[#This Row],[route]],[2]transit_general!$B$2:$M$139,6,FALSE),0)</f>
        <v>116.94753</v>
      </c>
      <c r="K79" s="263">
        <f>IFERROR(VLOOKUP(Table_socioeca8.sandag.org_abm2_trb[[#This Row],[route]],[2]transit_general!$B$2:$M$139,7,FALSE),0)</f>
        <v>76.765680000000003</v>
      </c>
      <c r="L79" s="263">
        <f>IFERROR(VLOOKUP(Table_socioeca8.sandag.org_abm2_trb[[#This Row],[route]],[2]transit_general!$B$2:$M$139,8,FALSE),0)</f>
        <v>28.723686777836001</v>
      </c>
      <c r="M79" s="263">
        <f>IFERROR(VLOOKUP(Table_socioeca8.sandag.org_abm2_trb[[#This Row],[route]],[2]transit_general!$B$2:$M$139,9,FALSE),0)</f>
        <v>206.65807421893101</v>
      </c>
      <c r="N79" s="263">
        <f>IFERROR(VLOOKUP(Table_socioeca8.sandag.org_abm2_trb[[#This Row],[route]],[2]transit_general!$B$2:$M$139,10,FALSE),0)</f>
        <v>416.77873445292602</v>
      </c>
      <c r="O79" s="263">
        <f>IFERROR(VLOOKUP(Table_socioeca8.sandag.org_abm2_trb[[#This Row],[route]],[2]transit_general!$B$2:$M$139,11,FALSE),0)</f>
        <v>327.99872826580503</v>
      </c>
      <c r="P79" s="263">
        <f>IFERROR(VLOOKUP(Table_socioeca8.sandag.org_abm2_trb[[#This Row],[route]],[2]transit_general!$B$2:$M$139,12,FALSE),0)</f>
        <v>241.044223387307</v>
      </c>
      <c r="Q79" s="263">
        <f>IFERROR(VLOOKUP(Table_socioeca8.sandag.org_abm2_trb[[#This Row],[route]],[2]transit_general!$B$2:$M$139,2,FALSE),0)</f>
        <v>29</v>
      </c>
      <c r="S79" s="5">
        <f>Table_socioeca8.sandag.org_abm2_trb[[#This Row],[scenario_id]]</f>
        <v>259</v>
      </c>
      <c r="T79" s="5">
        <f>Table_socioeca8.sandag.org_abm2_trb[[#This Row],[route]]</f>
        <v>358</v>
      </c>
      <c r="U79" s="3">
        <f>Table_socioeca8.sandag.org_abm2_trb[[#This Row],[boarding_EA]]</f>
        <v>8.1348319999999994</v>
      </c>
      <c r="V79" s="3">
        <f>Table_socioeca8.sandag.org_abm2_trb[[#This Row],[boarding_AM]]</f>
        <v>66.948025999999999</v>
      </c>
      <c r="W79" s="3">
        <f>Table_socioeca8.sandag.org_abm2_trb[[#This Row],[boarding_MD]]</f>
        <v>146.059596</v>
      </c>
      <c r="X79" s="3">
        <f>Table_socioeca8.sandag.org_abm2_trb[[#This Row],[boarding_PM]]</f>
        <v>116.94753</v>
      </c>
      <c r="Y79" s="3">
        <f>Table_socioeca8.sandag.org_abm2_trb[[#This Row],[boarding_EV]]</f>
        <v>76.765680000000003</v>
      </c>
      <c r="Z79" s="3">
        <f>Table_socioeca8.sandag.org_abm2_trb[[#This Row],[passenger_mile_EA]]</f>
        <v>28.723686777836001</v>
      </c>
      <c r="AA79" s="3">
        <f>Table_socioeca8.sandag.org_abm2_trb[[#This Row],[passenger_mile_AM]]</f>
        <v>206.65807421893101</v>
      </c>
      <c r="AB79" s="3">
        <f>Table_socioeca8.sandag.org_abm2_trb[[#This Row],[passenger_mile_MD]]</f>
        <v>416.77873445292602</v>
      </c>
      <c r="AC79" s="3">
        <f>Table_socioeca8.sandag.org_abm2_trb[[#This Row],[passenger_mile_PM]]</f>
        <v>327.99872826580503</v>
      </c>
      <c r="AD79" s="3">
        <f>Table_socioeca8.sandag.org_abm2_trb[[#This Row],[passenger_mile_EV]]</f>
        <v>241.044223387307</v>
      </c>
      <c r="AE79" s="5">
        <f>Table_socioeca8.sandag.org_abm2_trb[[#This Row],[mode_transit_route_id]]</f>
        <v>29</v>
      </c>
      <c r="AF79"/>
    </row>
    <row r="80" spans="5:32" x14ac:dyDescent="0.25">
      <c r="E80" s="47">
        <f t="shared" si="1"/>
        <v>259</v>
      </c>
      <c r="F80" s="47">
        <v>359</v>
      </c>
      <c r="G80" s="263">
        <f>IFERROR(VLOOKUP(Table_socioeca8.sandag.org_abm2_trb[[#This Row],[route]],[2]transit_general!$B$2:$M$139,3,FALSE),0)</f>
        <v>9.9487459999999999</v>
      </c>
      <c r="H80" s="263">
        <f>IFERROR(VLOOKUP(Table_socioeca8.sandag.org_abm2_trb[[#This Row],[route]],[2]transit_general!$B$2:$M$139,4,FALSE),0)</f>
        <v>77.808325999999994</v>
      </c>
      <c r="I80" s="263">
        <f>IFERROR(VLOOKUP(Table_socioeca8.sandag.org_abm2_trb[[#This Row],[route]],[2]transit_general!$B$2:$M$139,5,FALSE),0)</f>
        <v>156.214384</v>
      </c>
      <c r="J80" s="263">
        <f>IFERROR(VLOOKUP(Table_socioeca8.sandag.org_abm2_trb[[#This Row],[route]],[2]transit_general!$B$2:$M$139,6,FALSE),0)</f>
        <v>122.121737</v>
      </c>
      <c r="K80" s="263">
        <f>IFERROR(VLOOKUP(Table_socioeca8.sandag.org_abm2_trb[[#This Row],[route]],[2]transit_general!$B$2:$M$139,7,FALSE),0)</f>
        <v>75.161036999999993</v>
      </c>
      <c r="L80" s="263">
        <f>IFERROR(VLOOKUP(Table_socioeca8.sandag.org_abm2_trb[[#This Row],[route]],[2]transit_general!$B$2:$M$139,8,FALSE),0)</f>
        <v>29.928954149984001</v>
      </c>
      <c r="M80" s="263">
        <f>IFERROR(VLOOKUP(Table_socioeca8.sandag.org_abm2_trb[[#This Row],[route]],[2]transit_general!$B$2:$M$139,9,FALSE),0)</f>
        <v>230.03018911801101</v>
      </c>
      <c r="N80" s="263">
        <f>IFERROR(VLOOKUP(Table_socioeca8.sandag.org_abm2_trb[[#This Row],[route]],[2]transit_general!$B$2:$M$139,10,FALSE),0)</f>
        <v>490.251828679624</v>
      </c>
      <c r="O80" s="263">
        <f>IFERROR(VLOOKUP(Table_socioeca8.sandag.org_abm2_trb[[#This Row],[route]],[2]transit_general!$B$2:$M$139,11,FALSE),0)</f>
        <v>368.95186110843099</v>
      </c>
      <c r="P80" s="263">
        <f>IFERROR(VLOOKUP(Table_socioeca8.sandag.org_abm2_trb[[#This Row],[route]],[2]transit_general!$B$2:$M$139,12,FALSE),0)</f>
        <v>238.385280804291</v>
      </c>
      <c r="Q80" s="263">
        <f>IFERROR(VLOOKUP(Table_socioeca8.sandag.org_abm2_trb[[#This Row],[route]],[2]transit_general!$B$2:$M$139,2,FALSE),0)</f>
        <v>29</v>
      </c>
      <c r="S80" s="5">
        <f>Table_socioeca8.sandag.org_abm2_trb[[#This Row],[scenario_id]]</f>
        <v>259</v>
      </c>
      <c r="T80" s="5">
        <f>Table_socioeca8.sandag.org_abm2_trb[[#This Row],[route]]</f>
        <v>359</v>
      </c>
      <c r="U80" s="3">
        <f>Table_socioeca8.sandag.org_abm2_trb[[#This Row],[boarding_EA]]</f>
        <v>9.9487459999999999</v>
      </c>
      <c r="V80" s="3">
        <f>Table_socioeca8.sandag.org_abm2_trb[[#This Row],[boarding_AM]]</f>
        <v>77.808325999999994</v>
      </c>
      <c r="W80" s="3">
        <f>Table_socioeca8.sandag.org_abm2_trb[[#This Row],[boarding_MD]]</f>
        <v>156.214384</v>
      </c>
      <c r="X80" s="3">
        <f>Table_socioeca8.sandag.org_abm2_trb[[#This Row],[boarding_PM]]</f>
        <v>122.121737</v>
      </c>
      <c r="Y80" s="3">
        <f>Table_socioeca8.sandag.org_abm2_trb[[#This Row],[boarding_EV]]</f>
        <v>75.161036999999993</v>
      </c>
      <c r="Z80" s="3">
        <f>Table_socioeca8.sandag.org_abm2_trb[[#This Row],[passenger_mile_EA]]</f>
        <v>29.928954149984001</v>
      </c>
      <c r="AA80" s="3">
        <f>Table_socioeca8.sandag.org_abm2_trb[[#This Row],[passenger_mile_AM]]</f>
        <v>230.03018911801101</v>
      </c>
      <c r="AB80" s="3">
        <f>Table_socioeca8.sandag.org_abm2_trb[[#This Row],[passenger_mile_MD]]</f>
        <v>490.251828679624</v>
      </c>
      <c r="AC80" s="3">
        <f>Table_socioeca8.sandag.org_abm2_trb[[#This Row],[passenger_mile_PM]]</f>
        <v>368.95186110843099</v>
      </c>
      <c r="AD80" s="3">
        <f>Table_socioeca8.sandag.org_abm2_trb[[#This Row],[passenger_mile_EV]]</f>
        <v>238.385280804291</v>
      </c>
      <c r="AE80" s="5">
        <f>Table_socioeca8.sandag.org_abm2_trb[[#This Row],[mode_transit_route_id]]</f>
        <v>29</v>
      </c>
      <c r="AF80"/>
    </row>
    <row r="81" spans="5:32" x14ac:dyDescent="0.25">
      <c r="E81" s="47">
        <f t="shared" si="1"/>
        <v>259</v>
      </c>
      <c r="F81" s="47">
        <v>371</v>
      </c>
      <c r="G81" s="263">
        <f>IFERROR(VLOOKUP(Table_socioeca8.sandag.org_abm2_trb[[#This Row],[route]],[2]transit_general!$B$2:$M$139,3,FALSE),0)</f>
        <v>7.4836299999999998</v>
      </c>
      <c r="H81" s="263">
        <f>IFERROR(VLOOKUP(Table_socioeca8.sandag.org_abm2_trb[[#This Row],[route]],[2]transit_general!$B$2:$M$139,4,FALSE),0)</f>
        <v>51.850064000000003</v>
      </c>
      <c r="I81" s="263">
        <f>IFERROR(VLOOKUP(Table_socioeca8.sandag.org_abm2_trb[[#This Row],[route]],[2]transit_general!$B$2:$M$139,5,FALSE),0)</f>
        <v>29.560229</v>
      </c>
      <c r="J81" s="263">
        <f>IFERROR(VLOOKUP(Table_socioeca8.sandag.org_abm2_trb[[#This Row],[route]],[2]transit_general!$B$2:$M$139,6,FALSE),0)</f>
        <v>69.040403999999995</v>
      </c>
      <c r="K81" s="263">
        <f>IFERROR(VLOOKUP(Table_socioeca8.sandag.org_abm2_trb[[#This Row],[route]],[2]transit_general!$B$2:$M$139,7,FALSE),0)</f>
        <v>24.991032000000001</v>
      </c>
      <c r="L81" s="263">
        <f>IFERROR(VLOOKUP(Table_socioeca8.sandag.org_abm2_trb[[#This Row],[route]],[2]transit_general!$B$2:$M$139,8,FALSE),0)</f>
        <v>81.641377617461004</v>
      </c>
      <c r="M81" s="263">
        <f>IFERROR(VLOOKUP(Table_socioeca8.sandag.org_abm2_trb[[#This Row],[route]],[2]transit_general!$B$2:$M$139,9,FALSE),0)</f>
        <v>457.51362590964902</v>
      </c>
      <c r="N81" s="263">
        <f>IFERROR(VLOOKUP(Table_socioeca8.sandag.org_abm2_trb[[#This Row],[route]],[2]transit_general!$B$2:$M$139,10,FALSE),0)</f>
        <v>184.02862565087301</v>
      </c>
      <c r="O81" s="263">
        <f>IFERROR(VLOOKUP(Table_socioeca8.sandag.org_abm2_trb[[#This Row],[route]],[2]transit_general!$B$2:$M$139,11,FALSE),0)</f>
        <v>465.23889601574399</v>
      </c>
      <c r="P81" s="263">
        <f>IFERROR(VLOOKUP(Table_socioeca8.sandag.org_abm2_trb[[#This Row],[route]],[2]transit_general!$B$2:$M$139,12,FALSE),0)</f>
        <v>148.90244885372701</v>
      </c>
      <c r="Q81" s="263">
        <f>IFERROR(VLOOKUP(Table_socioeca8.sandag.org_abm2_trb[[#This Row],[route]],[2]transit_general!$B$2:$M$139,2,FALSE),0)</f>
        <v>29</v>
      </c>
      <c r="S81" s="5">
        <f>Table_socioeca8.sandag.org_abm2_trb[[#This Row],[scenario_id]]</f>
        <v>259</v>
      </c>
      <c r="T81" s="5">
        <f>Table_socioeca8.sandag.org_abm2_trb[[#This Row],[route]]</f>
        <v>371</v>
      </c>
      <c r="U81" s="3">
        <f>Table_socioeca8.sandag.org_abm2_trb[[#This Row],[boarding_EA]]</f>
        <v>7.4836299999999998</v>
      </c>
      <c r="V81" s="3">
        <f>Table_socioeca8.sandag.org_abm2_trb[[#This Row],[boarding_AM]]</f>
        <v>51.850064000000003</v>
      </c>
      <c r="W81" s="3">
        <f>Table_socioeca8.sandag.org_abm2_trb[[#This Row],[boarding_MD]]</f>
        <v>29.560229</v>
      </c>
      <c r="X81" s="3">
        <f>Table_socioeca8.sandag.org_abm2_trb[[#This Row],[boarding_PM]]</f>
        <v>69.040403999999995</v>
      </c>
      <c r="Y81" s="3">
        <f>Table_socioeca8.sandag.org_abm2_trb[[#This Row],[boarding_EV]]</f>
        <v>24.991032000000001</v>
      </c>
      <c r="Z81" s="3">
        <f>Table_socioeca8.sandag.org_abm2_trb[[#This Row],[passenger_mile_EA]]</f>
        <v>81.641377617461004</v>
      </c>
      <c r="AA81" s="3">
        <f>Table_socioeca8.sandag.org_abm2_trb[[#This Row],[passenger_mile_AM]]</f>
        <v>457.51362590964902</v>
      </c>
      <c r="AB81" s="3">
        <f>Table_socioeca8.sandag.org_abm2_trb[[#This Row],[passenger_mile_MD]]</f>
        <v>184.02862565087301</v>
      </c>
      <c r="AC81" s="3">
        <f>Table_socioeca8.sandag.org_abm2_trb[[#This Row],[passenger_mile_PM]]</f>
        <v>465.23889601574399</v>
      </c>
      <c r="AD81" s="3">
        <f>Table_socioeca8.sandag.org_abm2_trb[[#This Row],[passenger_mile_EV]]</f>
        <v>148.90244885372701</v>
      </c>
      <c r="AE81" s="5">
        <f>Table_socioeca8.sandag.org_abm2_trb[[#This Row],[mode_transit_route_id]]</f>
        <v>29</v>
      </c>
      <c r="AF81"/>
    </row>
    <row r="82" spans="5:32" x14ac:dyDescent="0.25">
      <c r="E82" s="47">
        <f t="shared" si="1"/>
        <v>259</v>
      </c>
      <c r="F82" s="47">
        <v>388</v>
      </c>
      <c r="G82" s="263">
        <f>IFERROR(VLOOKUP(Table_socioeca8.sandag.org_abm2_trb[[#This Row],[route]],[2]transit_general!$B$2:$M$139,3,FALSE),0)</f>
        <v>14.028143999999999</v>
      </c>
      <c r="H82" s="263">
        <f>IFERROR(VLOOKUP(Table_socioeca8.sandag.org_abm2_trb[[#This Row],[route]],[2]transit_general!$B$2:$M$139,4,FALSE),0)</f>
        <v>74.188564</v>
      </c>
      <c r="I82" s="263">
        <f>IFERROR(VLOOKUP(Table_socioeca8.sandag.org_abm2_trb[[#This Row],[route]],[2]transit_general!$B$2:$M$139,5,FALSE),0)</f>
        <v>127.97542900000001</v>
      </c>
      <c r="J82" s="263">
        <f>IFERROR(VLOOKUP(Table_socioeca8.sandag.org_abm2_trb[[#This Row],[route]],[2]transit_general!$B$2:$M$139,6,FALSE),0)</f>
        <v>108.602642</v>
      </c>
      <c r="K82" s="263">
        <f>IFERROR(VLOOKUP(Table_socioeca8.sandag.org_abm2_trb[[#This Row],[route]],[2]transit_general!$B$2:$M$139,7,FALSE),0)</f>
        <v>51.815376000000001</v>
      </c>
      <c r="L82" s="263">
        <f>IFERROR(VLOOKUP(Table_socioeca8.sandag.org_abm2_trb[[#This Row],[route]],[2]transit_general!$B$2:$M$139,8,FALSE),0)</f>
        <v>143.115913840806</v>
      </c>
      <c r="M82" s="263">
        <f>IFERROR(VLOOKUP(Table_socioeca8.sandag.org_abm2_trb[[#This Row],[route]],[2]transit_general!$B$2:$M$139,9,FALSE),0)</f>
        <v>612.22606536394699</v>
      </c>
      <c r="N82" s="263">
        <f>IFERROR(VLOOKUP(Table_socioeca8.sandag.org_abm2_trb[[#This Row],[route]],[2]transit_general!$B$2:$M$139,10,FALSE),0)</f>
        <v>840.60482003962102</v>
      </c>
      <c r="O82" s="263">
        <f>IFERROR(VLOOKUP(Table_socioeca8.sandag.org_abm2_trb[[#This Row],[route]],[2]transit_general!$B$2:$M$139,11,FALSE),0)</f>
        <v>665.600540816077</v>
      </c>
      <c r="P82" s="263">
        <f>IFERROR(VLOOKUP(Table_socioeca8.sandag.org_abm2_trb[[#This Row],[route]],[2]transit_general!$B$2:$M$139,12,FALSE),0)</f>
        <v>294.34258140455199</v>
      </c>
      <c r="Q82" s="263">
        <f>IFERROR(VLOOKUP(Table_socioeca8.sandag.org_abm2_trb[[#This Row],[route]],[2]transit_general!$B$2:$M$139,2,FALSE),0)</f>
        <v>29</v>
      </c>
      <c r="S82" s="5">
        <f>Table_socioeca8.sandag.org_abm2_trb[[#This Row],[scenario_id]]</f>
        <v>259</v>
      </c>
      <c r="T82" s="5">
        <f>Table_socioeca8.sandag.org_abm2_trb[[#This Row],[route]]</f>
        <v>388</v>
      </c>
      <c r="U82" s="3">
        <f>Table_socioeca8.sandag.org_abm2_trb[[#This Row],[boarding_EA]]</f>
        <v>14.028143999999999</v>
      </c>
      <c r="V82" s="3">
        <f>Table_socioeca8.sandag.org_abm2_trb[[#This Row],[boarding_AM]]</f>
        <v>74.188564</v>
      </c>
      <c r="W82" s="3">
        <f>Table_socioeca8.sandag.org_abm2_trb[[#This Row],[boarding_MD]]</f>
        <v>127.97542900000001</v>
      </c>
      <c r="X82" s="3">
        <f>Table_socioeca8.sandag.org_abm2_trb[[#This Row],[boarding_PM]]</f>
        <v>108.602642</v>
      </c>
      <c r="Y82" s="3">
        <f>Table_socioeca8.sandag.org_abm2_trb[[#This Row],[boarding_EV]]</f>
        <v>51.815376000000001</v>
      </c>
      <c r="Z82" s="3">
        <f>Table_socioeca8.sandag.org_abm2_trb[[#This Row],[passenger_mile_EA]]</f>
        <v>143.115913840806</v>
      </c>
      <c r="AA82" s="3">
        <f>Table_socioeca8.sandag.org_abm2_trb[[#This Row],[passenger_mile_AM]]</f>
        <v>612.22606536394699</v>
      </c>
      <c r="AB82" s="3">
        <f>Table_socioeca8.sandag.org_abm2_trb[[#This Row],[passenger_mile_MD]]</f>
        <v>840.60482003962102</v>
      </c>
      <c r="AC82" s="3">
        <f>Table_socioeca8.sandag.org_abm2_trb[[#This Row],[passenger_mile_PM]]</f>
        <v>665.600540816077</v>
      </c>
      <c r="AD82" s="3">
        <f>Table_socioeca8.sandag.org_abm2_trb[[#This Row],[passenger_mile_EV]]</f>
        <v>294.34258140455199</v>
      </c>
      <c r="AE82" s="5">
        <f>Table_socioeca8.sandag.org_abm2_trb[[#This Row],[mode_transit_route_id]]</f>
        <v>29</v>
      </c>
      <c r="AF82"/>
    </row>
    <row r="83" spans="5:32" x14ac:dyDescent="0.25">
      <c r="E83" s="47">
        <f t="shared" si="1"/>
        <v>259</v>
      </c>
      <c r="F83" s="47">
        <v>389</v>
      </c>
      <c r="G83" s="263">
        <f>IFERROR(VLOOKUP(Table_socioeca8.sandag.org_abm2_trb[[#This Row],[route]],[2]transit_general!$B$2:$M$139,3,FALSE),0)</f>
        <v>3.8242669999999999</v>
      </c>
      <c r="H83" s="263">
        <f>IFERROR(VLOOKUP(Table_socioeca8.sandag.org_abm2_trb[[#This Row],[route]],[2]transit_general!$B$2:$M$139,4,FALSE),0)</f>
        <v>9.4924029999999995</v>
      </c>
      <c r="I83" s="263">
        <f>IFERROR(VLOOKUP(Table_socioeca8.sandag.org_abm2_trb[[#This Row],[route]],[2]transit_general!$B$2:$M$139,5,FALSE),0)</f>
        <v>9.8928569999999993</v>
      </c>
      <c r="J83" s="263">
        <f>IFERROR(VLOOKUP(Table_socioeca8.sandag.org_abm2_trb[[#This Row],[route]],[2]transit_general!$B$2:$M$139,6,FALSE),0)</f>
        <v>17.014334000000002</v>
      </c>
      <c r="K83" s="263">
        <f>IFERROR(VLOOKUP(Table_socioeca8.sandag.org_abm2_trb[[#This Row],[route]],[2]transit_general!$B$2:$M$139,7,FALSE),0)</f>
        <v>2.6541039999999998</v>
      </c>
      <c r="L83" s="263">
        <f>IFERROR(VLOOKUP(Table_socioeca8.sandag.org_abm2_trb[[#This Row],[route]],[2]transit_general!$B$2:$M$139,8,FALSE),0)</f>
        <v>68.323122215370006</v>
      </c>
      <c r="M83" s="263">
        <f>IFERROR(VLOOKUP(Table_socioeca8.sandag.org_abm2_trb[[#This Row],[route]],[2]transit_general!$B$2:$M$139,9,FALSE),0)</f>
        <v>165.30364766093999</v>
      </c>
      <c r="N83" s="263">
        <f>IFERROR(VLOOKUP(Table_socioeca8.sandag.org_abm2_trb[[#This Row],[route]],[2]transit_general!$B$2:$M$139,10,FALSE),0)</f>
        <v>99.496958996182002</v>
      </c>
      <c r="O83" s="263">
        <f>IFERROR(VLOOKUP(Table_socioeca8.sandag.org_abm2_trb[[#This Row],[route]],[2]transit_general!$B$2:$M$139,11,FALSE),0)</f>
        <v>275.62669956223402</v>
      </c>
      <c r="P83" s="263">
        <f>IFERROR(VLOOKUP(Table_socioeca8.sandag.org_abm2_trb[[#This Row],[route]],[2]transit_general!$B$2:$M$139,12,FALSE),0)</f>
        <v>34.603165961830001</v>
      </c>
      <c r="Q83" s="263">
        <f>IFERROR(VLOOKUP(Table_socioeca8.sandag.org_abm2_trb[[#This Row],[route]],[2]transit_general!$B$2:$M$139,2,FALSE),0)</f>
        <v>29</v>
      </c>
      <c r="S83" s="5">
        <f>Table_socioeca8.sandag.org_abm2_trb[[#This Row],[scenario_id]]</f>
        <v>259</v>
      </c>
      <c r="T83" s="5">
        <f>Table_socioeca8.sandag.org_abm2_trb[[#This Row],[route]]</f>
        <v>389</v>
      </c>
      <c r="U83" s="3">
        <f>Table_socioeca8.sandag.org_abm2_trb[[#This Row],[boarding_EA]]</f>
        <v>3.8242669999999999</v>
      </c>
      <c r="V83" s="3">
        <f>Table_socioeca8.sandag.org_abm2_trb[[#This Row],[boarding_AM]]</f>
        <v>9.4924029999999995</v>
      </c>
      <c r="W83" s="3">
        <f>Table_socioeca8.sandag.org_abm2_trb[[#This Row],[boarding_MD]]</f>
        <v>9.8928569999999993</v>
      </c>
      <c r="X83" s="3">
        <f>Table_socioeca8.sandag.org_abm2_trb[[#This Row],[boarding_PM]]</f>
        <v>17.014334000000002</v>
      </c>
      <c r="Y83" s="3">
        <f>Table_socioeca8.sandag.org_abm2_trb[[#This Row],[boarding_EV]]</f>
        <v>2.6541039999999998</v>
      </c>
      <c r="Z83" s="3">
        <f>Table_socioeca8.sandag.org_abm2_trb[[#This Row],[passenger_mile_EA]]</f>
        <v>68.323122215370006</v>
      </c>
      <c r="AA83" s="3">
        <f>Table_socioeca8.sandag.org_abm2_trb[[#This Row],[passenger_mile_AM]]</f>
        <v>165.30364766093999</v>
      </c>
      <c r="AB83" s="3">
        <f>Table_socioeca8.sandag.org_abm2_trb[[#This Row],[passenger_mile_MD]]</f>
        <v>99.496958996182002</v>
      </c>
      <c r="AC83" s="3">
        <f>Table_socioeca8.sandag.org_abm2_trb[[#This Row],[passenger_mile_PM]]</f>
        <v>275.62669956223402</v>
      </c>
      <c r="AD83" s="3">
        <f>Table_socioeca8.sandag.org_abm2_trb[[#This Row],[passenger_mile_EV]]</f>
        <v>34.603165961830001</v>
      </c>
      <c r="AE83" s="5">
        <f>Table_socioeca8.sandag.org_abm2_trb[[#This Row],[mode_transit_route_id]]</f>
        <v>29</v>
      </c>
      <c r="AF83"/>
    </row>
    <row r="84" spans="5:32" x14ac:dyDescent="0.25">
      <c r="E84" s="47">
        <f t="shared" si="1"/>
        <v>259</v>
      </c>
      <c r="F84" s="47">
        <v>392</v>
      </c>
      <c r="G84" s="263">
        <f>IFERROR(VLOOKUP(Table_socioeca8.sandag.org_abm2_trb[[#This Row],[route]],[2]transit_general!$B$2:$M$139,3,FALSE),0)</f>
        <v>30.174592000000001</v>
      </c>
      <c r="H84" s="263">
        <f>IFERROR(VLOOKUP(Table_socioeca8.sandag.org_abm2_trb[[#This Row],[route]],[2]transit_general!$B$2:$M$139,4,FALSE),0)</f>
        <v>178.18450100000001</v>
      </c>
      <c r="I84" s="263">
        <f>IFERROR(VLOOKUP(Table_socioeca8.sandag.org_abm2_trb[[#This Row],[route]],[2]transit_general!$B$2:$M$139,5,FALSE),0)</f>
        <v>244.670075</v>
      </c>
      <c r="J84" s="263">
        <f>IFERROR(VLOOKUP(Table_socioeca8.sandag.org_abm2_trb[[#This Row],[route]],[2]transit_general!$B$2:$M$139,6,FALSE),0)</f>
        <v>312.82285400000001</v>
      </c>
      <c r="K84" s="263">
        <f>IFERROR(VLOOKUP(Table_socioeca8.sandag.org_abm2_trb[[#This Row],[route]],[2]transit_general!$B$2:$M$139,7,FALSE),0)</f>
        <v>123.7042</v>
      </c>
      <c r="L84" s="263">
        <f>IFERROR(VLOOKUP(Table_socioeca8.sandag.org_abm2_trb[[#This Row],[route]],[2]transit_general!$B$2:$M$139,8,FALSE),0)</f>
        <v>117.038512858332</v>
      </c>
      <c r="M84" s="263">
        <f>IFERROR(VLOOKUP(Table_socioeca8.sandag.org_abm2_trb[[#This Row],[route]],[2]transit_general!$B$2:$M$139,9,FALSE),0)</f>
        <v>602.06372296047698</v>
      </c>
      <c r="N84" s="263">
        <f>IFERROR(VLOOKUP(Table_socioeca8.sandag.org_abm2_trb[[#This Row],[route]],[2]transit_general!$B$2:$M$139,10,FALSE),0)</f>
        <v>730.05609392423196</v>
      </c>
      <c r="O84" s="263">
        <f>IFERROR(VLOOKUP(Table_socioeca8.sandag.org_abm2_trb[[#This Row],[route]],[2]transit_general!$B$2:$M$139,11,FALSE),0)</f>
        <v>999.31413391267301</v>
      </c>
      <c r="P84" s="263">
        <f>IFERROR(VLOOKUP(Table_socioeca8.sandag.org_abm2_trb[[#This Row],[route]],[2]transit_general!$B$2:$M$139,12,FALSE),0)</f>
        <v>401.204990952451</v>
      </c>
      <c r="Q84" s="263">
        <f>IFERROR(VLOOKUP(Table_socioeca8.sandag.org_abm2_trb[[#This Row],[route]],[2]transit_general!$B$2:$M$139,2,FALSE),0)</f>
        <v>29</v>
      </c>
      <c r="S84" s="5">
        <f>Table_socioeca8.sandag.org_abm2_trb[[#This Row],[scenario_id]]</f>
        <v>259</v>
      </c>
      <c r="T84" s="5">
        <f>Table_socioeca8.sandag.org_abm2_trb[[#This Row],[route]]</f>
        <v>392</v>
      </c>
      <c r="U84" s="3">
        <f>Table_socioeca8.sandag.org_abm2_trb[[#This Row],[boarding_EA]]</f>
        <v>30.174592000000001</v>
      </c>
      <c r="V84" s="3">
        <f>Table_socioeca8.sandag.org_abm2_trb[[#This Row],[boarding_AM]]</f>
        <v>178.18450100000001</v>
      </c>
      <c r="W84" s="3">
        <f>Table_socioeca8.sandag.org_abm2_trb[[#This Row],[boarding_MD]]</f>
        <v>244.670075</v>
      </c>
      <c r="X84" s="3">
        <f>Table_socioeca8.sandag.org_abm2_trb[[#This Row],[boarding_PM]]</f>
        <v>312.82285400000001</v>
      </c>
      <c r="Y84" s="3">
        <f>Table_socioeca8.sandag.org_abm2_trb[[#This Row],[boarding_EV]]</f>
        <v>123.7042</v>
      </c>
      <c r="Z84" s="3">
        <f>Table_socioeca8.sandag.org_abm2_trb[[#This Row],[passenger_mile_EA]]</f>
        <v>117.038512858332</v>
      </c>
      <c r="AA84" s="3">
        <f>Table_socioeca8.sandag.org_abm2_trb[[#This Row],[passenger_mile_AM]]</f>
        <v>602.06372296047698</v>
      </c>
      <c r="AB84" s="3">
        <f>Table_socioeca8.sandag.org_abm2_trb[[#This Row],[passenger_mile_MD]]</f>
        <v>730.05609392423196</v>
      </c>
      <c r="AC84" s="3">
        <f>Table_socioeca8.sandag.org_abm2_trb[[#This Row],[passenger_mile_PM]]</f>
        <v>999.31413391267301</v>
      </c>
      <c r="AD84" s="3">
        <f>Table_socioeca8.sandag.org_abm2_trb[[#This Row],[passenger_mile_EV]]</f>
        <v>401.204990952451</v>
      </c>
      <c r="AE84" s="5">
        <f>Table_socioeca8.sandag.org_abm2_trb[[#This Row],[mode_transit_route_id]]</f>
        <v>29</v>
      </c>
      <c r="AF84"/>
    </row>
    <row r="85" spans="5:32" x14ac:dyDescent="0.25">
      <c r="E85" s="47">
        <f t="shared" si="1"/>
        <v>259</v>
      </c>
      <c r="F85" s="47">
        <v>395</v>
      </c>
      <c r="G85" s="263">
        <f>IFERROR(VLOOKUP(Table_socioeca8.sandag.org_abm2_trb[[#This Row],[route]],[2]transit_general!$B$2:$M$139,3,FALSE),0)</f>
        <v>8.3254079999999995</v>
      </c>
      <c r="H85" s="263">
        <f>IFERROR(VLOOKUP(Table_socioeca8.sandag.org_abm2_trb[[#This Row],[route]],[2]transit_general!$B$2:$M$139,4,FALSE),0)</f>
        <v>28.316405</v>
      </c>
      <c r="I85" s="263">
        <f>IFERROR(VLOOKUP(Table_socioeca8.sandag.org_abm2_trb[[#This Row],[route]],[2]transit_general!$B$2:$M$139,5,FALSE),0)</f>
        <v>70.079933999999994</v>
      </c>
      <c r="J85" s="263">
        <f>IFERROR(VLOOKUP(Table_socioeca8.sandag.org_abm2_trb[[#This Row],[route]],[2]transit_general!$B$2:$M$139,6,FALSE),0)</f>
        <v>45.410418</v>
      </c>
      <c r="K85" s="263">
        <f>IFERROR(VLOOKUP(Table_socioeca8.sandag.org_abm2_trb[[#This Row],[route]],[2]transit_general!$B$2:$M$139,7,FALSE),0)</f>
        <v>29.795797</v>
      </c>
      <c r="L85" s="263">
        <f>IFERROR(VLOOKUP(Table_socioeca8.sandag.org_abm2_trb[[#This Row],[route]],[2]transit_general!$B$2:$M$139,8,FALSE),0)</f>
        <v>31.415021161902999</v>
      </c>
      <c r="M85" s="263">
        <f>IFERROR(VLOOKUP(Table_socioeca8.sandag.org_abm2_trb[[#This Row],[route]],[2]transit_general!$B$2:$M$139,9,FALSE),0)</f>
        <v>95.081345307730999</v>
      </c>
      <c r="N85" s="263">
        <f>IFERROR(VLOOKUP(Table_socioeca8.sandag.org_abm2_trb[[#This Row],[route]],[2]transit_general!$B$2:$M$139,10,FALSE),0)</f>
        <v>203.73264526253399</v>
      </c>
      <c r="O85" s="263">
        <f>IFERROR(VLOOKUP(Table_socioeca8.sandag.org_abm2_trb[[#This Row],[route]],[2]transit_general!$B$2:$M$139,11,FALSE),0)</f>
        <v>137.250619895695</v>
      </c>
      <c r="P85" s="263">
        <f>IFERROR(VLOOKUP(Table_socioeca8.sandag.org_abm2_trb[[#This Row],[route]],[2]transit_general!$B$2:$M$139,12,FALSE),0)</f>
        <v>88.050643204075996</v>
      </c>
      <c r="Q85" s="263">
        <f>IFERROR(VLOOKUP(Table_socioeca8.sandag.org_abm2_trb[[#This Row],[route]],[2]transit_general!$B$2:$M$139,2,FALSE),0)</f>
        <v>29</v>
      </c>
      <c r="S85" s="5">
        <f>Table_socioeca8.sandag.org_abm2_trb[[#This Row],[scenario_id]]</f>
        <v>259</v>
      </c>
      <c r="T85" s="5">
        <f>Table_socioeca8.sandag.org_abm2_trb[[#This Row],[route]]</f>
        <v>395</v>
      </c>
      <c r="U85" s="3">
        <f>Table_socioeca8.sandag.org_abm2_trb[[#This Row],[boarding_EA]]</f>
        <v>8.3254079999999995</v>
      </c>
      <c r="V85" s="3">
        <f>Table_socioeca8.sandag.org_abm2_trb[[#This Row],[boarding_AM]]</f>
        <v>28.316405</v>
      </c>
      <c r="W85" s="3">
        <f>Table_socioeca8.sandag.org_abm2_trb[[#This Row],[boarding_MD]]</f>
        <v>70.079933999999994</v>
      </c>
      <c r="X85" s="3">
        <f>Table_socioeca8.sandag.org_abm2_trb[[#This Row],[boarding_PM]]</f>
        <v>45.410418</v>
      </c>
      <c r="Y85" s="3">
        <f>Table_socioeca8.sandag.org_abm2_trb[[#This Row],[boarding_EV]]</f>
        <v>29.795797</v>
      </c>
      <c r="Z85" s="3">
        <f>Table_socioeca8.sandag.org_abm2_trb[[#This Row],[passenger_mile_EA]]</f>
        <v>31.415021161902999</v>
      </c>
      <c r="AA85" s="3">
        <f>Table_socioeca8.sandag.org_abm2_trb[[#This Row],[passenger_mile_AM]]</f>
        <v>95.081345307730999</v>
      </c>
      <c r="AB85" s="3">
        <f>Table_socioeca8.sandag.org_abm2_trb[[#This Row],[passenger_mile_MD]]</f>
        <v>203.73264526253399</v>
      </c>
      <c r="AC85" s="3">
        <f>Table_socioeca8.sandag.org_abm2_trb[[#This Row],[passenger_mile_PM]]</f>
        <v>137.250619895695</v>
      </c>
      <c r="AD85" s="3">
        <f>Table_socioeca8.sandag.org_abm2_trb[[#This Row],[passenger_mile_EV]]</f>
        <v>88.050643204075996</v>
      </c>
      <c r="AE85" s="5">
        <f>Table_socioeca8.sandag.org_abm2_trb[[#This Row],[mode_transit_route_id]]</f>
        <v>29</v>
      </c>
      <c r="AF85"/>
    </row>
    <row r="86" spans="5:32" x14ac:dyDescent="0.25">
      <c r="E86" s="47">
        <f t="shared" si="1"/>
        <v>259</v>
      </c>
      <c r="F86" s="47">
        <v>444</v>
      </c>
      <c r="G86" s="263">
        <f>IFERROR(VLOOKUP(Table_socioeca8.sandag.org_abm2_trb[[#This Row],[route]],[2]transit_general!$B$2:$M$139,3,FALSE),0)</f>
        <v>0</v>
      </c>
      <c r="H86" s="263">
        <f>IFERROR(VLOOKUP(Table_socioeca8.sandag.org_abm2_trb[[#This Row],[route]],[2]transit_general!$B$2:$M$139,4,FALSE),0)</f>
        <v>28.695948999999999</v>
      </c>
      <c r="I86" s="263">
        <f>IFERROR(VLOOKUP(Table_socioeca8.sandag.org_abm2_trb[[#This Row],[route]],[2]transit_general!$B$2:$M$139,5,FALSE),0)</f>
        <v>0</v>
      </c>
      <c r="J86" s="263">
        <f>IFERROR(VLOOKUP(Table_socioeca8.sandag.org_abm2_trb[[#This Row],[route]],[2]transit_general!$B$2:$M$139,6,FALSE),0)</f>
        <v>38.999608000000002</v>
      </c>
      <c r="K86" s="263">
        <f>IFERROR(VLOOKUP(Table_socioeca8.sandag.org_abm2_trb[[#This Row],[route]],[2]transit_general!$B$2:$M$139,7,FALSE),0)</f>
        <v>0</v>
      </c>
      <c r="L86" s="263">
        <f>IFERROR(VLOOKUP(Table_socioeca8.sandag.org_abm2_trb[[#This Row],[route]],[2]transit_general!$B$2:$M$139,8,FALSE),0)</f>
        <v>0</v>
      </c>
      <c r="M86" s="263">
        <f>IFERROR(VLOOKUP(Table_socioeca8.sandag.org_abm2_trb[[#This Row],[route]],[2]transit_general!$B$2:$M$139,9,FALSE),0)</f>
        <v>80.833437323232005</v>
      </c>
      <c r="N86" s="263">
        <f>IFERROR(VLOOKUP(Table_socioeca8.sandag.org_abm2_trb[[#This Row],[route]],[2]transit_general!$B$2:$M$139,10,FALSE),0)</f>
        <v>0</v>
      </c>
      <c r="O86" s="263">
        <f>IFERROR(VLOOKUP(Table_socioeca8.sandag.org_abm2_trb[[#This Row],[route]],[2]transit_general!$B$2:$M$139,11,FALSE),0)</f>
        <v>119.957500578607</v>
      </c>
      <c r="P86" s="263">
        <f>IFERROR(VLOOKUP(Table_socioeca8.sandag.org_abm2_trb[[#This Row],[route]],[2]transit_general!$B$2:$M$139,12,FALSE),0)</f>
        <v>0</v>
      </c>
      <c r="Q86" s="263">
        <f>IFERROR(VLOOKUP(Table_socioeca8.sandag.org_abm2_trb[[#This Row],[route]],[2]transit_general!$B$2:$M$139,2,FALSE),0)</f>
        <v>29</v>
      </c>
      <c r="S86" s="5">
        <f>Table_socioeca8.sandag.org_abm2_trb[[#This Row],[scenario_id]]</f>
        <v>259</v>
      </c>
      <c r="T86" s="5">
        <f>Table_socioeca8.sandag.org_abm2_trb[[#This Row],[route]]</f>
        <v>444</v>
      </c>
      <c r="U86" s="3">
        <f>Table_socioeca8.sandag.org_abm2_trb[[#This Row],[boarding_EA]]</f>
        <v>0</v>
      </c>
      <c r="V86" s="3">
        <f>Table_socioeca8.sandag.org_abm2_trb[[#This Row],[boarding_AM]]</f>
        <v>28.695948999999999</v>
      </c>
      <c r="W86" s="3">
        <f>Table_socioeca8.sandag.org_abm2_trb[[#This Row],[boarding_MD]]</f>
        <v>0</v>
      </c>
      <c r="X86" s="3">
        <f>Table_socioeca8.sandag.org_abm2_trb[[#This Row],[boarding_PM]]</f>
        <v>38.999608000000002</v>
      </c>
      <c r="Y86" s="3">
        <f>Table_socioeca8.sandag.org_abm2_trb[[#This Row],[boarding_EV]]</f>
        <v>0</v>
      </c>
      <c r="Z86" s="3">
        <f>Table_socioeca8.sandag.org_abm2_trb[[#This Row],[passenger_mile_EA]]</f>
        <v>0</v>
      </c>
      <c r="AA86" s="3">
        <f>Table_socioeca8.sandag.org_abm2_trb[[#This Row],[passenger_mile_AM]]</f>
        <v>80.833437323232005</v>
      </c>
      <c r="AB86" s="3">
        <f>Table_socioeca8.sandag.org_abm2_trb[[#This Row],[passenger_mile_MD]]</f>
        <v>0</v>
      </c>
      <c r="AC86" s="3">
        <f>Table_socioeca8.sandag.org_abm2_trb[[#This Row],[passenger_mile_PM]]</f>
        <v>119.957500578607</v>
      </c>
      <c r="AD86" s="3">
        <f>Table_socioeca8.sandag.org_abm2_trb[[#This Row],[passenger_mile_EV]]</f>
        <v>0</v>
      </c>
      <c r="AE86" s="5">
        <f>Table_socioeca8.sandag.org_abm2_trb[[#This Row],[mode_transit_route_id]]</f>
        <v>29</v>
      </c>
      <c r="AF86"/>
    </row>
    <row r="87" spans="5:32" x14ac:dyDescent="0.25">
      <c r="E87" s="47">
        <f t="shared" si="1"/>
        <v>259</v>
      </c>
      <c r="F87" s="47">
        <v>445</v>
      </c>
      <c r="G87" s="263">
        <f>IFERROR(VLOOKUP(Table_socioeca8.sandag.org_abm2_trb[[#This Row],[route]],[2]transit_general!$B$2:$M$139,3,FALSE),0)</f>
        <v>0</v>
      </c>
      <c r="H87" s="263">
        <f>IFERROR(VLOOKUP(Table_socioeca8.sandag.org_abm2_trb[[#This Row],[route]],[2]transit_general!$B$2:$M$139,4,FALSE),0)</f>
        <v>125.28249700000001</v>
      </c>
      <c r="I87" s="263">
        <f>IFERROR(VLOOKUP(Table_socioeca8.sandag.org_abm2_trb[[#This Row],[route]],[2]transit_general!$B$2:$M$139,5,FALSE),0)</f>
        <v>0</v>
      </c>
      <c r="J87" s="263">
        <f>IFERROR(VLOOKUP(Table_socioeca8.sandag.org_abm2_trb[[#This Row],[route]],[2]transit_general!$B$2:$M$139,6,FALSE),0)</f>
        <v>207.76123999999999</v>
      </c>
      <c r="K87" s="263">
        <f>IFERROR(VLOOKUP(Table_socioeca8.sandag.org_abm2_trb[[#This Row],[route]],[2]transit_general!$B$2:$M$139,7,FALSE),0)</f>
        <v>0</v>
      </c>
      <c r="L87" s="263">
        <f>IFERROR(VLOOKUP(Table_socioeca8.sandag.org_abm2_trb[[#This Row],[route]],[2]transit_general!$B$2:$M$139,8,FALSE),0)</f>
        <v>0</v>
      </c>
      <c r="M87" s="263">
        <f>IFERROR(VLOOKUP(Table_socioeca8.sandag.org_abm2_trb[[#This Row],[route]],[2]transit_general!$B$2:$M$139,9,FALSE),0)</f>
        <v>442.09614463398901</v>
      </c>
      <c r="N87" s="263">
        <f>IFERROR(VLOOKUP(Table_socioeca8.sandag.org_abm2_trb[[#This Row],[route]],[2]transit_general!$B$2:$M$139,10,FALSE),0)</f>
        <v>0</v>
      </c>
      <c r="O87" s="263">
        <f>IFERROR(VLOOKUP(Table_socioeca8.sandag.org_abm2_trb[[#This Row],[route]],[2]transit_general!$B$2:$M$139,11,FALSE),0)</f>
        <v>747.79410218699195</v>
      </c>
      <c r="P87" s="263">
        <f>IFERROR(VLOOKUP(Table_socioeca8.sandag.org_abm2_trb[[#This Row],[route]],[2]transit_general!$B$2:$M$139,12,FALSE),0)</f>
        <v>0</v>
      </c>
      <c r="Q87" s="263">
        <f>IFERROR(VLOOKUP(Table_socioeca8.sandag.org_abm2_trb[[#This Row],[route]],[2]transit_general!$B$2:$M$139,2,FALSE),0)</f>
        <v>29</v>
      </c>
      <c r="S87" s="5">
        <f>Table_socioeca8.sandag.org_abm2_trb[[#This Row],[scenario_id]]</f>
        <v>259</v>
      </c>
      <c r="T87" s="5">
        <f>Table_socioeca8.sandag.org_abm2_trb[[#This Row],[route]]</f>
        <v>445</v>
      </c>
      <c r="U87" s="3">
        <f>Table_socioeca8.sandag.org_abm2_trb[[#This Row],[boarding_EA]]</f>
        <v>0</v>
      </c>
      <c r="V87" s="3">
        <f>Table_socioeca8.sandag.org_abm2_trb[[#This Row],[boarding_AM]]</f>
        <v>125.28249700000001</v>
      </c>
      <c r="W87" s="3">
        <f>Table_socioeca8.sandag.org_abm2_trb[[#This Row],[boarding_MD]]</f>
        <v>0</v>
      </c>
      <c r="X87" s="3">
        <f>Table_socioeca8.sandag.org_abm2_trb[[#This Row],[boarding_PM]]</f>
        <v>207.76123999999999</v>
      </c>
      <c r="Y87" s="3">
        <f>Table_socioeca8.sandag.org_abm2_trb[[#This Row],[boarding_EV]]</f>
        <v>0</v>
      </c>
      <c r="Z87" s="3">
        <f>Table_socioeca8.sandag.org_abm2_trb[[#This Row],[passenger_mile_EA]]</f>
        <v>0</v>
      </c>
      <c r="AA87" s="3">
        <f>Table_socioeca8.sandag.org_abm2_trb[[#This Row],[passenger_mile_AM]]</f>
        <v>442.09614463398901</v>
      </c>
      <c r="AB87" s="3">
        <f>Table_socioeca8.sandag.org_abm2_trb[[#This Row],[passenger_mile_MD]]</f>
        <v>0</v>
      </c>
      <c r="AC87" s="3">
        <f>Table_socioeca8.sandag.org_abm2_trb[[#This Row],[passenger_mile_PM]]</f>
        <v>747.79410218699195</v>
      </c>
      <c r="AD87" s="3">
        <f>Table_socioeca8.sandag.org_abm2_trb[[#This Row],[passenger_mile_EV]]</f>
        <v>0</v>
      </c>
      <c r="AE87" s="5">
        <f>Table_socioeca8.sandag.org_abm2_trb[[#This Row],[mode_transit_route_id]]</f>
        <v>29</v>
      </c>
      <c r="AF87"/>
    </row>
    <row r="88" spans="5:32" x14ac:dyDescent="0.25">
      <c r="E88" s="47">
        <f t="shared" si="1"/>
        <v>259</v>
      </c>
      <c r="F88" s="47">
        <v>446</v>
      </c>
      <c r="G88" s="263">
        <f>IFERROR(VLOOKUP(Table_socioeca8.sandag.org_abm2_trb[[#This Row],[route]],[2]transit_general!$B$2:$M$139,3,FALSE),0)</f>
        <v>0</v>
      </c>
      <c r="H88" s="263">
        <f>IFERROR(VLOOKUP(Table_socioeca8.sandag.org_abm2_trb[[#This Row],[route]],[2]transit_general!$B$2:$M$139,4,FALSE),0)</f>
        <v>7.6666670000000003</v>
      </c>
      <c r="I88" s="263">
        <f>IFERROR(VLOOKUP(Table_socioeca8.sandag.org_abm2_trb[[#This Row],[route]],[2]transit_general!$B$2:$M$139,5,FALSE),0)</f>
        <v>0</v>
      </c>
      <c r="J88" s="263">
        <f>IFERROR(VLOOKUP(Table_socioeca8.sandag.org_abm2_trb[[#This Row],[route]],[2]transit_general!$B$2:$M$139,6,FALSE),0)</f>
        <v>13.736266000000001</v>
      </c>
      <c r="K88" s="263">
        <f>IFERROR(VLOOKUP(Table_socioeca8.sandag.org_abm2_trb[[#This Row],[route]],[2]transit_general!$B$2:$M$139,7,FALSE),0)</f>
        <v>0</v>
      </c>
      <c r="L88" s="263">
        <f>IFERROR(VLOOKUP(Table_socioeca8.sandag.org_abm2_trb[[#This Row],[route]],[2]transit_general!$B$2:$M$139,8,FALSE),0)</f>
        <v>0</v>
      </c>
      <c r="M88" s="263">
        <f>IFERROR(VLOOKUP(Table_socioeca8.sandag.org_abm2_trb[[#This Row],[route]],[2]transit_general!$B$2:$M$139,9,FALSE),0)</f>
        <v>11.542362012164</v>
      </c>
      <c r="N88" s="263">
        <f>IFERROR(VLOOKUP(Table_socioeca8.sandag.org_abm2_trb[[#This Row],[route]],[2]transit_general!$B$2:$M$139,10,FALSE),0)</f>
        <v>0</v>
      </c>
      <c r="O88" s="263">
        <f>IFERROR(VLOOKUP(Table_socioeca8.sandag.org_abm2_trb[[#This Row],[route]],[2]transit_general!$B$2:$M$139,11,FALSE),0)</f>
        <v>21.242300107502999</v>
      </c>
      <c r="P88" s="263">
        <f>IFERROR(VLOOKUP(Table_socioeca8.sandag.org_abm2_trb[[#This Row],[route]],[2]transit_general!$B$2:$M$139,12,FALSE),0)</f>
        <v>0</v>
      </c>
      <c r="Q88" s="263">
        <f>IFERROR(VLOOKUP(Table_socioeca8.sandag.org_abm2_trb[[#This Row],[route]],[2]transit_general!$B$2:$M$139,2,FALSE),0)</f>
        <v>29</v>
      </c>
      <c r="S88" s="5">
        <f>Table_socioeca8.sandag.org_abm2_trb[[#This Row],[scenario_id]]</f>
        <v>259</v>
      </c>
      <c r="T88" s="5">
        <f>Table_socioeca8.sandag.org_abm2_trb[[#This Row],[route]]</f>
        <v>446</v>
      </c>
      <c r="U88" s="3">
        <f>Table_socioeca8.sandag.org_abm2_trb[[#This Row],[boarding_EA]]</f>
        <v>0</v>
      </c>
      <c r="V88" s="3">
        <f>Table_socioeca8.sandag.org_abm2_trb[[#This Row],[boarding_AM]]</f>
        <v>7.6666670000000003</v>
      </c>
      <c r="W88" s="3">
        <f>Table_socioeca8.sandag.org_abm2_trb[[#This Row],[boarding_MD]]</f>
        <v>0</v>
      </c>
      <c r="X88" s="3">
        <f>Table_socioeca8.sandag.org_abm2_trb[[#This Row],[boarding_PM]]</f>
        <v>13.736266000000001</v>
      </c>
      <c r="Y88" s="3">
        <f>Table_socioeca8.sandag.org_abm2_trb[[#This Row],[boarding_EV]]</f>
        <v>0</v>
      </c>
      <c r="Z88" s="3">
        <f>Table_socioeca8.sandag.org_abm2_trb[[#This Row],[passenger_mile_EA]]</f>
        <v>0</v>
      </c>
      <c r="AA88" s="3">
        <f>Table_socioeca8.sandag.org_abm2_trb[[#This Row],[passenger_mile_AM]]</f>
        <v>11.542362012164</v>
      </c>
      <c r="AB88" s="3">
        <f>Table_socioeca8.sandag.org_abm2_trb[[#This Row],[passenger_mile_MD]]</f>
        <v>0</v>
      </c>
      <c r="AC88" s="3">
        <f>Table_socioeca8.sandag.org_abm2_trb[[#This Row],[passenger_mile_PM]]</f>
        <v>21.242300107502999</v>
      </c>
      <c r="AD88" s="3">
        <f>Table_socioeca8.sandag.org_abm2_trb[[#This Row],[passenger_mile_EV]]</f>
        <v>0</v>
      </c>
      <c r="AE88" s="5">
        <f>Table_socioeca8.sandag.org_abm2_trb[[#This Row],[mode_transit_route_id]]</f>
        <v>29</v>
      </c>
      <c r="AF88"/>
    </row>
    <row r="89" spans="5:32" x14ac:dyDescent="0.25">
      <c r="E89" s="47">
        <f t="shared" si="1"/>
        <v>259</v>
      </c>
      <c r="F89" s="47">
        <v>701</v>
      </c>
      <c r="G89" s="263">
        <f>IFERROR(VLOOKUP(Table_socioeca8.sandag.org_abm2_trb[[#This Row],[route]],[2]transit_general!$B$2:$M$139,3,FALSE),0)</f>
        <v>40.866432000000003</v>
      </c>
      <c r="H89" s="263">
        <f>IFERROR(VLOOKUP(Table_socioeca8.sandag.org_abm2_trb[[#This Row],[route]],[2]transit_general!$B$2:$M$139,4,FALSE),0)</f>
        <v>245.95923199999999</v>
      </c>
      <c r="I89" s="263">
        <f>IFERROR(VLOOKUP(Table_socioeca8.sandag.org_abm2_trb[[#This Row],[route]],[2]transit_general!$B$2:$M$139,5,FALSE),0)</f>
        <v>569.32453299999997</v>
      </c>
      <c r="J89" s="263">
        <f>IFERROR(VLOOKUP(Table_socioeca8.sandag.org_abm2_trb[[#This Row],[route]],[2]transit_general!$B$2:$M$139,6,FALSE),0)</f>
        <v>459.07203800000002</v>
      </c>
      <c r="K89" s="263">
        <f>IFERROR(VLOOKUP(Table_socioeca8.sandag.org_abm2_trb[[#This Row],[route]],[2]transit_general!$B$2:$M$139,7,FALSE),0)</f>
        <v>271.64394600000003</v>
      </c>
      <c r="L89" s="263">
        <f>IFERROR(VLOOKUP(Table_socioeca8.sandag.org_abm2_trb[[#This Row],[route]],[2]transit_general!$B$2:$M$139,8,FALSE),0)</f>
        <v>76.873770191014003</v>
      </c>
      <c r="M89" s="263">
        <f>IFERROR(VLOOKUP(Table_socioeca8.sandag.org_abm2_trb[[#This Row],[route]],[2]transit_general!$B$2:$M$139,9,FALSE),0)</f>
        <v>511.75879702790701</v>
      </c>
      <c r="N89" s="263">
        <f>IFERROR(VLOOKUP(Table_socioeca8.sandag.org_abm2_trb[[#This Row],[route]],[2]transit_general!$B$2:$M$139,10,FALSE),0)</f>
        <v>1081.6563979199079</v>
      </c>
      <c r="O89" s="263">
        <f>IFERROR(VLOOKUP(Table_socioeca8.sandag.org_abm2_trb[[#This Row],[route]],[2]transit_general!$B$2:$M$139,11,FALSE),0)</f>
        <v>896.22447714633097</v>
      </c>
      <c r="P89" s="263">
        <f>IFERROR(VLOOKUP(Table_socioeca8.sandag.org_abm2_trb[[#This Row],[route]],[2]transit_general!$B$2:$M$139,12,FALSE),0)</f>
        <v>595.80539339341703</v>
      </c>
      <c r="Q89" s="263">
        <f>IFERROR(VLOOKUP(Table_socioeca8.sandag.org_abm2_trb[[#This Row],[route]],[2]transit_general!$B$2:$M$139,2,FALSE),0)</f>
        <v>29</v>
      </c>
      <c r="S89" s="5">
        <f>Table_socioeca8.sandag.org_abm2_trb[[#This Row],[scenario_id]]</f>
        <v>259</v>
      </c>
      <c r="T89" s="5">
        <f>Table_socioeca8.sandag.org_abm2_trb[[#This Row],[route]]</f>
        <v>701</v>
      </c>
      <c r="U89" s="3">
        <f>Table_socioeca8.sandag.org_abm2_trb[[#This Row],[boarding_EA]]</f>
        <v>40.866432000000003</v>
      </c>
      <c r="V89" s="3">
        <f>Table_socioeca8.sandag.org_abm2_trb[[#This Row],[boarding_AM]]</f>
        <v>245.95923199999999</v>
      </c>
      <c r="W89" s="3">
        <f>Table_socioeca8.sandag.org_abm2_trb[[#This Row],[boarding_MD]]</f>
        <v>569.32453299999997</v>
      </c>
      <c r="X89" s="3">
        <f>Table_socioeca8.sandag.org_abm2_trb[[#This Row],[boarding_PM]]</f>
        <v>459.07203800000002</v>
      </c>
      <c r="Y89" s="3">
        <f>Table_socioeca8.sandag.org_abm2_trb[[#This Row],[boarding_EV]]</f>
        <v>271.64394600000003</v>
      </c>
      <c r="Z89" s="3">
        <f>Table_socioeca8.sandag.org_abm2_trb[[#This Row],[passenger_mile_EA]]</f>
        <v>76.873770191014003</v>
      </c>
      <c r="AA89" s="3">
        <f>Table_socioeca8.sandag.org_abm2_trb[[#This Row],[passenger_mile_AM]]</f>
        <v>511.75879702790701</v>
      </c>
      <c r="AB89" s="3">
        <f>Table_socioeca8.sandag.org_abm2_trb[[#This Row],[passenger_mile_MD]]</f>
        <v>1081.6563979199079</v>
      </c>
      <c r="AC89" s="3">
        <f>Table_socioeca8.sandag.org_abm2_trb[[#This Row],[passenger_mile_PM]]</f>
        <v>896.22447714633097</v>
      </c>
      <c r="AD89" s="3">
        <f>Table_socioeca8.sandag.org_abm2_trb[[#This Row],[passenger_mile_EV]]</f>
        <v>595.80539339341703</v>
      </c>
      <c r="AE89" s="5">
        <f>Table_socioeca8.sandag.org_abm2_trb[[#This Row],[mode_transit_route_id]]</f>
        <v>29</v>
      </c>
      <c r="AF89"/>
    </row>
    <row r="90" spans="5:32" x14ac:dyDescent="0.25">
      <c r="E90" s="47">
        <f t="shared" si="1"/>
        <v>259</v>
      </c>
      <c r="F90" s="47">
        <v>704</v>
      </c>
      <c r="G90" s="263">
        <f>IFERROR(VLOOKUP(Table_socioeca8.sandag.org_abm2_trb[[#This Row],[route]],[2]transit_general!$B$2:$M$139,3,FALSE),0)</f>
        <v>64.048232999999996</v>
      </c>
      <c r="H90" s="263">
        <f>IFERROR(VLOOKUP(Table_socioeca8.sandag.org_abm2_trb[[#This Row],[route]],[2]transit_general!$B$2:$M$139,4,FALSE),0)</f>
        <v>278.15364499999998</v>
      </c>
      <c r="I90" s="263">
        <f>IFERROR(VLOOKUP(Table_socioeca8.sandag.org_abm2_trb[[#This Row],[route]],[2]transit_general!$B$2:$M$139,5,FALSE),0)</f>
        <v>579.57673299999999</v>
      </c>
      <c r="J90" s="263">
        <f>IFERROR(VLOOKUP(Table_socioeca8.sandag.org_abm2_trb[[#This Row],[route]],[2]transit_general!$B$2:$M$139,6,FALSE),0)</f>
        <v>490.00456700000001</v>
      </c>
      <c r="K90" s="263">
        <f>IFERROR(VLOOKUP(Table_socioeca8.sandag.org_abm2_trb[[#This Row],[route]],[2]transit_general!$B$2:$M$139,7,FALSE),0)</f>
        <v>286.43142799999998</v>
      </c>
      <c r="L90" s="263">
        <f>IFERROR(VLOOKUP(Table_socioeca8.sandag.org_abm2_trb[[#This Row],[route]],[2]transit_general!$B$2:$M$139,8,FALSE),0)</f>
        <v>246.00495133979501</v>
      </c>
      <c r="M90" s="263">
        <f>IFERROR(VLOOKUP(Table_socioeca8.sandag.org_abm2_trb[[#This Row],[route]],[2]transit_general!$B$2:$M$139,9,FALSE),0)</f>
        <v>871.65748029874396</v>
      </c>
      <c r="N90" s="263">
        <f>IFERROR(VLOOKUP(Table_socioeca8.sandag.org_abm2_trb[[#This Row],[route]],[2]transit_general!$B$2:$M$139,10,FALSE),0)</f>
        <v>1763.7797314172749</v>
      </c>
      <c r="O90" s="263">
        <f>IFERROR(VLOOKUP(Table_socioeca8.sandag.org_abm2_trb[[#This Row],[route]],[2]transit_general!$B$2:$M$139,11,FALSE),0)</f>
        <v>1478.4988767804359</v>
      </c>
      <c r="P90" s="263">
        <f>IFERROR(VLOOKUP(Table_socioeca8.sandag.org_abm2_trb[[#This Row],[route]],[2]transit_general!$B$2:$M$139,12,FALSE),0)</f>
        <v>938.31064597921898</v>
      </c>
      <c r="Q90" s="263">
        <f>IFERROR(VLOOKUP(Table_socioeca8.sandag.org_abm2_trb[[#This Row],[route]],[2]transit_general!$B$2:$M$139,2,FALSE),0)</f>
        <v>29</v>
      </c>
      <c r="S90" s="5">
        <f>Table_socioeca8.sandag.org_abm2_trb[[#This Row],[scenario_id]]</f>
        <v>259</v>
      </c>
      <c r="T90" s="5">
        <f>Table_socioeca8.sandag.org_abm2_trb[[#This Row],[route]]</f>
        <v>704</v>
      </c>
      <c r="U90" s="3">
        <f>Table_socioeca8.sandag.org_abm2_trb[[#This Row],[boarding_EA]]</f>
        <v>64.048232999999996</v>
      </c>
      <c r="V90" s="3">
        <f>Table_socioeca8.sandag.org_abm2_trb[[#This Row],[boarding_AM]]</f>
        <v>278.15364499999998</v>
      </c>
      <c r="W90" s="3">
        <f>Table_socioeca8.sandag.org_abm2_trb[[#This Row],[boarding_MD]]</f>
        <v>579.57673299999999</v>
      </c>
      <c r="X90" s="3">
        <f>Table_socioeca8.sandag.org_abm2_trb[[#This Row],[boarding_PM]]</f>
        <v>490.00456700000001</v>
      </c>
      <c r="Y90" s="3">
        <f>Table_socioeca8.sandag.org_abm2_trb[[#This Row],[boarding_EV]]</f>
        <v>286.43142799999998</v>
      </c>
      <c r="Z90" s="3">
        <f>Table_socioeca8.sandag.org_abm2_trb[[#This Row],[passenger_mile_EA]]</f>
        <v>246.00495133979501</v>
      </c>
      <c r="AA90" s="3">
        <f>Table_socioeca8.sandag.org_abm2_trb[[#This Row],[passenger_mile_AM]]</f>
        <v>871.65748029874396</v>
      </c>
      <c r="AB90" s="3">
        <f>Table_socioeca8.sandag.org_abm2_trb[[#This Row],[passenger_mile_MD]]</f>
        <v>1763.7797314172749</v>
      </c>
      <c r="AC90" s="3">
        <f>Table_socioeca8.sandag.org_abm2_trb[[#This Row],[passenger_mile_PM]]</f>
        <v>1478.4988767804359</v>
      </c>
      <c r="AD90" s="3">
        <f>Table_socioeca8.sandag.org_abm2_trb[[#This Row],[passenger_mile_EV]]</f>
        <v>938.31064597921898</v>
      </c>
      <c r="AE90" s="5">
        <f>Table_socioeca8.sandag.org_abm2_trb[[#This Row],[mode_transit_route_id]]</f>
        <v>29</v>
      </c>
      <c r="AF90"/>
    </row>
    <row r="91" spans="5:32" x14ac:dyDescent="0.25">
      <c r="E91" s="47">
        <f t="shared" si="1"/>
        <v>259</v>
      </c>
      <c r="F91" s="47">
        <v>705</v>
      </c>
      <c r="G91" s="263">
        <f>IFERROR(VLOOKUP(Table_socioeca8.sandag.org_abm2_trb[[#This Row],[route]],[2]transit_general!$B$2:$M$139,3,FALSE),0)</f>
        <v>24.526582000000001</v>
      </c>
      <c r="H91" s="263">
        <f>IFERROR(VLOOKUP(Table_socioeca8.sandag.org_abm2_trb[[#This Row],[route]],[2]transit_general!$B$2:$M$139,4,FALSE),0)</f>
        <v>162.60947300000001</v>
      </c>
      <c r="I91" s="263">
        <f>IFERROR(VLOOKUP(Table_socioeca8.sandag.org_abm2_trb[[#This Row],[route]],[2]transit_general!$B$2:$M$139,5,FALSE),0)</f>
        <v>347.12248199999999</v>
      </c>
      <c r="J91" s="263">
        <f>IFERROR(VLOOKUP(Table_socioeca8.sandag.org_abm2_trb[[#This Row],[route]],[2]transit_general!$B$2:$M$139,6,FALSE),0)</f>
        <v>250.574996</v>
      </c>
      <c r="K91" s="263">
        <f>IFERROR(VLOOKUP(Table_socioeca8.sandag.org_abm2_trb[[#This Row],[route]],[2]transit_general!$B$2:$M$139,7,FALSE),0)</f>
        <v>147.87455199999999</v>
      </c>
      <c r="L91" s="263">
        <f>IFERROR(VLOOKUP(Table_socioeca8.sandag.org_abm2_trb[[#This Row],[route]],[2]transit_general!$B$2:$M$139,8,FALSE),0)</f>
        <v>97.172579139931997</v>
      </c>
      <c r="M91" s="263">
        <f>IFERROR(VLOOKUP(Table_socioeca8.sandag.org_abm2_trb[[#This Row],[route]],[2]transit_general!$B$2:$M$139,9,FALSE),0)</f>
        <v>565.26040410178598</v>
      </c>
      <c r="N91" s="263">
        <f>IFERROR(VLOOKUP(Table_socioeca8.sandag.org_abm2_trb[[#This Row],[route]],[2]transit_general!$B$2:$M$139,10,FALSE),0)</f>
        <v>1259.031808012626</v>
      </c>
      <c r="O91" s="263">
        <f>IFERROR(VLOOKUP(Table_socioeca8.sandag.org_abm2_trb[[#This Row],[route]],[2]transit_general!$B$2:$M$139,11,FALSE),0)</f>
        <v>792.12564337864706</v>
      </c>
      <c r="P91" s="263">
        <f>IFERROR(VLOOKUP(Table_socioeca8.sandag.org_abm2_trb[[#This Row],[route]],[2]transit_general!$B$2:$M$139,12,FALSE),0)</f>
        <v>532.70169850741695</v>
      </c>
      <c r="Q91" s="263">
        <f>IFERROR(VLOOKUP(Table_socioeca8.sandag.org_abm2_trb[[#This Row],[route]],[2]transit_general!$B$2:$M$139,2,FALSE),0)</f>
        <v>29</v>
      </c>
      <c r="S91" s="5">
        <f>Table_socioeca8.sandag.org_abm2_trb[[#This Row],[scenario_id]]</f>
        <v>259</v>
      </c>
      <c r="T91" s="5">
        <f>Table_socioeca8.sandag.org_abm2_trb[[#This Row],[route]]</f>
        <v>705</v>
      </c>
      <c r="U91" s="3">
        <f>Table_socioeca8.sandag.org_abm2_trb[[#This Row],[boarding_EA]]</f>
        <v>24.526582000000001</v>
      </c>
      <c r="V91" s="3">
        <f>Table_socioeca8.sandag.org_abm2_trb[[#This Row],[boarding_AM]]</f>
        <v>162.60947300000001</v>
      </c>
      <c r="W91" s="3">
        <f>Table_socioeca8.sandag.org_abm2_trb[[#This Row],[boarding_MD]]</f>
        <v>347.12248199999999</v>
      </c>
      <c r="X91" s="3">
        <f>Table_socioeca8.sandag.org_abm2_trb[[#This Row],[boarding_PM]]</f>
        <v>250.574996</v>
      </c>
      <c r="Y91" s="3">
        <f>Table_socioeca8.sandag.org_abm2_trb[[#This Row],[boarding_EV]]</f>
        <v>147.87455199999999</v>
      </c>
      <c r="Z91" s="3">
        <f>Table_socioeca8.sandag.org_abm2_trb[[#This Row],[passenger_mile_EA]]</f>
        <v>97.172579139931997</v>
      </c>
      <c r="AA91" s="3">
        <f>Table_socioeca8.sandag.org_abm2_trb[[#This Row],[passenger_mile_AM]]</f>
        <v>565.26040410178598</v>
      </c>
      <c r="AB91" s="3">
        <f>Table_socioeca8.sandag.org_abm2_trb[[#This Row],[passenger_mile_MD]]</f>
        <v>1259.031808012626</v>
      </c>
      <c r="AC91" s="3">
        <f>Table_socioeca8.sandag.org_abm2_trb[[#This Row],[passenger_mile_PM]]</f>
        <v>792.12564337864706</v>
      </c>
      <c r="AD91" s="3">
        <f>Table_socioeca8.sandag.org_abm2_trb[[#This Row],[passenger_mile_EV]]</f>
        <v>532.70169850741695</v>
      </c>
      <c r="AE91" s="5">
        <f>Table_socioeca8.sandag.org_abm2_trb[[#This Row],[mode_transit_route_id]]</f>
        <v>29</v>
      </c>
      <c r="AF91"/>
    </row>
    <row r="92" spans="5:32" x14ac:dyDescent="0.25">
      <c r="E92" s="47">
        <f t="shared" si="1"/>
        <v>259</v>
      </c>
      <c r="F92" s="47">
        <v>707</v>
      </c>
      <c r="G92" s="263">
        <f>IFERROR(VLOOKUP(Table_socioeca8.sandag.org_abm2_trb[[#This Row],[route]],[2]transit_general!$B$2:$M$139,3,FALSE),0)</f>
        <v>20.666667</v>
      </c>
      <c r="H92" s="263">
        <f>IFERROR(VLOOKUP(Table_socioeca8.sandag.org_abm2_trb[[#This Row],[route]],[2]transit_general!$B$2:$M$139,4,FALSE),0)</f>
        <v>0</v>
      </c>
      <c r="I92" s="263">
        <f>IFERROR(VLOOKUP(Table_socioeca8.sandag.org_abm2_trb[[#This Row],[route]],[2]transit_general!$B$2:$M$139,5,FALSE),0)</f>
        <v>263.11057</v>
      </c>
      <c r="J92" s="263">
        <f>IFERROR(VLOOKUP(Table_socioeca8.sandag.org_abm2_trb[[#This Row],[route]],[2]transit_general!$B$2:$M$139,6,FALSE),0)</f>
        <v>129.553214</v>
      </c>
      <c r="K92" s="263">
        <f>IFERROR(VLOOKUP(Table_socioeca8.sandag.org_abm2_trb[[#This Row],[route]],[2]transit_general!$B$2:$M$139,7,FALSE),0)</f>
        <v>122.39021099999999</v>
      </c>
      <c r="L92" s="263">
        <f>IFERROR(VLOOKUP(Table_socioeca8.sandag.org_abm2_trb[[#This Row],[route]],[2]transit_general!$B$2:$M$139,8,FALSE),0)</f>
        <v>55.380858525609</v>
      </c>
      <c r="M92" s="263">
        <f>IFERROR(VLOOKUP(Table_socioeca8.sandag.org_abm2_trb[[#This Row],[route]],[2]transit_general!$B$2:$M$139,9,FALSE),0)</f>
        <v>0</v>
      </c>
      <c r="N92" s="263">
        <f>IFERROR(VLOOKUP(Table_socioeca8.sandag.org_abm2_trb[[#This Row],[route]],[2]transit_general!$B$2:$M$139,10,FALSE),0)</f>
        <v>679.91610428642002</v>
      </c>
      <c r="O92" s="263">
        <f>IFERROR(VLOOKUP(Table_socioeca8.sandag.org_abm2_trb[[#This Row],[route]],[2]transit_general!$B$2:$M$139,11,FALSE),0)</f>
        <v>373.43770550034799</v>
      </c>
      <c r="P92" s="263">
        <f>IFERROR(VLOOKUP(Table_socioeca8.sandag.org_abm2_trb[[#This Row],[route]],[2]transit_general!$B$2:$M$139,12,FALSE),0)</f>
        <v>322.21010248599799</v>
      </c>
      <c r="Q92" s="263">
        <f>IFERROR(VLOOKUP(Table_socioeca8.sandag.org_abm2_trb[[#This Row],[route]],[2]transit_general!$B$2:$M$139,2,FALSE),0)</f>
        <v>29</v>
      </c>
      <c r="S92" s="5">
        <f>Table_socioeca8.sandag.org_abm2_trb[[#This Row],[scenario_id]]</f>
        <v>259</v>
      </c>
      <c r="T92" s="5">
        <f>Table_socioeca8.sandag.org_abm2_trb[[#This Row],[route]]</f>
        <v>707</v>
      </c>
      <c r="U92" s="3">
        <f>Table_socioeca8.sandag.org_abm2_trb[[#This Row],[boarding_EA]]</f>
        <v>20.666667</v>
      </c>
      <c r="V92" s="3">
        <f>Table_socioeca8.sandag.org_abm2_trb[[#This Row],[boarding_AM]]</f>
        <v>0</v>
      </c>
      <c r="W92" s="3">
        <f>Table_socioeca8.sandag.org_abm2_trb[[#This Row],[boarding_MD]]</f>
        <v>263.11057</v>
      </c>
      <c r="X92" s="3">
        <f>Table_socioeca8.sandag.org_abm2_trb[[#This Row],[boarding_PM]]</f>
        <v>129.553214</v>
      </c>
      <c r="Y92" s="3">
        <f>Table_socioeca8.sandag.org_abm2_trb[[#This Row],[boarding_EV]]</f>
        <v>122.39021099999999</v>
      </c>
      <c r="Z92" s="3">
        <f>Table_socioeca8.sandag.org_abm2_trb[[#This Row],[passenger_mile_EA]]</f>
        <v>55.380858525609</v>
      </c>
      <c r="AA92" s="3">
        <f>Table_socioeca8.sandag.org_abm2_trb[[#This Row],[passenger_mile_AM]]</f>
        <v>0</v>
      </c>
      <c r="AB92" s="3">
        <f>Table_socioeca8.sandag.org_abm2_trb[[#This Row],[passenger_mile_MD]]</f>
        <v>679.91610428642002</v>
      </c>
      <c r="AC92" s="3">
        <f>Table_socioeca8.sandag.org_abm2_trb[[#This Row],[passenger_mile_PM]]</f>
        <v>373.43770550034799</v>
      </c>
      <c r="AD92" s="3">
        <f>Table_socioeca8.sandag.org_abm2_trb[[#This Row],[passenger_mile_EV]]</f>
        <v>322.21010248599799</v>
      </c>
      <c r="AE92" s="5">
        <f>Table_socioeca8.sandag.org_abm2_trb[[#This Row],[mode_transit_route_id]]</f>
        <v>29</v>
      </c>
      <c r="AF92"/>
    </row>
    <row r="93" spans="5:32" x14ac:dyDescent="0.25">
      <c r="E93" s="47">
        <f t="shared" si="1"/>
        <v>259</v>
      </c>
      <c r="F93" s="47">
        <v>709</v>
      </c>
      <c r="G93" s="263">
        <f>IFERROR(VLOOKUP(Table_socioeca8.sandag.org_abm2_trb[[#This Row],[route]],[2]transit_general!$B$2:$M$139,3,FALSE),0)</f>
        <v>109.664807</v>
      </c>
      <c r="H93" s="263">
        <f>IFERROR(VLOOKUP(Table_socioeca8.sandag.org_abm2_trb[[#This Row],[route]],[2]transit_general!$B$2:$M$139,4,FALSE),0)</f>
        <v>737.47344999999996</v>
      </c>
      <c r="I93" s="263">
        <f>IFERROR(VLOOKUP(Table_socioeca8.sandag.org_abm2_trb[[#This Row],[route]],[2]transit_general!$B$2:$M$139,5,FALSE),0)</f>
        <v>1471.065701</v>
      </c>
      <c r="J93" s="263">
        <f>IFERROR(VLOOKUP(Table_socioeca8.sandag.org_abm2_trb[[#This Row],[route]],[2]transit_general!$B$2:$M$139,6,FALSE),0)</f>
        <v>1157.6897799999999</v>
      </c>
      <c r="K93" s="263">
        <f>IFERROR(VLOOKUP(Table_socioeca8.sandag.org_abm2_trb[[#This Row],[route]],[2]transit_general!$B$2:$M$139,7,FALSE),0)</f>
        <v>624.13193999999999</v>
      </c>
      <c r="L93" s="263">
        <f>IFERROR(VLOOKUP(Table_socioeca8.sandag.org_abm2_trb[[#This Row],[route]],[2]transit_general!$B$2:$M$139,8,FALSE),0)</f>
        <v>512.30104885265803</v>
      </c>
      <c r="M93" s="263">
        <f>IFERROR(VLOOKUP(Table_socioeca8.sandag.org_abm2_trb[[#This Row],[route]],[2]transit_general!$B$2:$M$139,9,FALSE),0)</f>
        <v>3450.9408779719288</v>
      </c>
      <c r="N93" s="263">
        <f>IFERROR(VLOOKUP(Table_socioeca8.sandag.org_abm2_trb[[#This Row],[route]],[2]transit_general!$B$2:$M$139,10,FALSE),0)</f>
        <v>5897.5832433279802</v>
      </c>
      <c r="O93" s="263">
        <f>IFERROR(VLOOKUP(Table_socioeca8.sandag.org_abm2_trb[[#This Row],[route]],[2]transit_general!$B$2:$M$139,11,FALSE),0)</f>
        <v>4846.5975261868216</v>
      </c>
      <c r="P93" s="263">
        <f>IFERROR(VLOOKUP(Table_socioeca8.sandag.org_abm2_trb[[#This Row],[route]],[2]transit_general!$B$2:$M$139,12,FALSE),0)</f>
        <v>2558.4465087869071</v>
      </c>
      <c r="Q93" s="263">
        <f>IFERROR(VLOOKUP(Table_socioeca8.sandag.org_abm2_trb[[#This Row],[route]],[2]transit_general!$B$2:$M$139,2,FALSE),0)</f>
        <v>29</v>
      </c>
      <c r="S93" s="5">
        <f>Table_socioeca8.sandag.org_abm2_trb[[#This Row],[scenario_id]]</f>
        <v>259</v>
      </c>
      <c r="T93" s="5">
        <f>Table_socioeca8.sandag.org_abm2_trb[[#This Row],[route]]</f>
        <v>709</v>
      </c>
      <c r="U93" s="3">
        <f>Table_socioeca8.sandag.org_abm2_trb[[#This Row],[boarding_EA]]</f>
        <v>109.664807</v>
      </c>
      <c r="V93" s="3">
        <f>Table_socioeca8.sandag.org_abm2_trb[[#This Row],[boarding_AM]]</f>
        <v>737.47344999999996</v>
      </c>
      <c r="W93" s="3">
        <f>Table_socioeca8.sandag.org_abm2_trb[[#This Row],[boarding_MD]]</f>
        <v>1471.065701</v>
      </c>
      <c r="X93" s="3">
        <f>Table_socioeca8.sandag.org_abm2_trb[[#This Row],[boarding_PM]]</f>
        <v>1157.6897799999999</v>
      </c>
      <c r="Y93" s="3">
        <f>Table_socioeca8.sandag.org_abm2_trb[[#This Row],[boarding_EV]]</f>
        <v>624.13193999999999</v>
      </c>
      <c r="Z93" s="3">
        <f>Table_socioeca8.sandag.org_abm2_trb[[#This Row],[passenger_mile_EA]]</f>
        <v>512.30104885265803</v>
      </c>
      <c r="AA93" s="3">
        <f>Table_socioeca8.sandag.org_abm2_trb[[#This Row],[passenger_mile_AM]]</f>
        <v>3450.9408779719288</v>
      </c>
      <c r="AB93" s="3">
        <f>Table_socioeca8.sandag.org_abm2_trb[[#This Row],[passenger_mile_MD]]</f>
        <v>5897.5832433279802</v>
      </c>
      <c r="AC93" s="3">
        <f>Table_socioeca8.sandag.org_abm2_trb[[#This Row],[passenger_mile_PM]]</f>
        <v>4846.5975261868216</v>
      </c>
      <c r="AD93" s="3">
        <f>Table_socioeca8.sandag.org_abm2_trb[[#This Row],[passenger_mile_EV]]</f>
        <v>2558.4465087869071</v>
      </c>
      <c r="AE93" s="5">
        <f>Table_socioeca8.sandag.org_abm2_trb[[#This Row],[mode_transit_route_id]]</f>
        <v>29</v>
      </c>
      <c r="AF93"/>
    </row>
    <row r="94" spans="5:32" x14ac:dyDescent="0.25">
      <c r="E94" s="47">
        <f t="shared" si="1"/>
        <v>259</v>
      </c>
      <c r="F94" s="47">
        <v>712</v>
      </c>
      <c r="G94" s="263">
        <f>IFERROR(VLOOKUP(Table_socioeca8.sandag.org_abm2_trb[[#This Row],[route]],[2]transit_general!$B$2:$M$139,3,FALSE),0)</f>
        <v>57.740653000000002</v>
      </c>
      <c r="H94" s="263">
        <f>IFERROR(VLOOKUP(Table_socioeca8.sandag.org_abm2_trb[[#This Row],[route]],[2]transit_general!$B$2:$M$139,4,FALSE),0)</f>
        <v>467.95426099999997</v>
      </c>
      <c r="I94" s="263">
        <f>IFERROR(VLOOKUP(Table_socioeca8.sandag.org_abm2_trb[[#This Row],[route]],[2]transit_general!$B$2:$M$139,5,FALSE),0)</f>
        <v>960.62542499999995</v>
      </c>
      <c r="J94" s="263">
        <f>IFERROR(VLOOKUP(Table_socioeca8.sandag.org_abm2_trb[[#This Row],[route]],[2]transit_general!$B$2:$M$139,6,FALSE),0)</f>
        <v>765.54709500000001</v>
      </c>
      <c r="K94" s="263">
        <f>IFERROR(VLOOKUP(Table_socioeca8.sandag.org_abm2_trb[[#This Row],[route]],[2]transit_general!$B$2:$M$139,7,FALSE),0)</f>
        <v>382.51138500000002</v>
      </c>
      <c r="L94" s="263">
        <f>IFERROR(VLOOKUP(Table_socioeca8.sandag.org_abm2_trb[[#This Row],[route]],[2]transit_general!$B$2:$M$139,8,FALSE),0)</f>
        <v>208.195170141624</v>
      </c>
      <c r="M94" s="263">
        <f>IFERROR(VLOOKUP(Table_socioeca8.sandag.org_abm2_trb[[#This Row],[route]],[2]transit_general!$B$2:$M$139,9,FALSE),0)</f>
        <v>1790.032809917363</v>
      </c>
      <c r="N94" s="263">
        <f>IFERROR(VLOOKUP(Table_socioeca8.sandag.org_abm2_trb[[#This Row],[route]],[2]transit_general!$B$2:$M$139,10,FALSE),0)</f>
        <v>3875.3793070908482</v>
      </c>
      <c r="O94" s="263">
        <f>IFERROR(VLOOKUP(Table_socioeca8.sandag.org_abm2_trb[[#This Row],[route]],[2]transit_general!$B$2:$M$139,11,FALSE),0)</f>
        <v>2791.6010017649892</v>
      </c>
      <c r="P94" s="263">
        <f>IFERROR(VLOOKUP(Table_socioeca8.sandag.org_abm2_trb[[#This Row],[route]],[2]transit_general!$B$2:$M$139,12,FALSE),0)</f>
        <v>1480.3093257212529</v>
      </c>
      <c r="Q94" s="263">
        <f>IFERROR(VLOOKUP(Table_socioeca8.sandag.org_abm2_trb[[#This Row],[route]],[2]transit_general!$B$2:$M$139,2,FALSE),0)</f>
        <v>29</v>
      </c>
      <c r="S94" s="5">
        <f>Table_socioeca8.sandag.org_abm2_trb[[#This Row],[scenario_id]]</f>
        <v>259</v>
      </c>
      <c r="T94" s="5">
        <f>Table_socioeca8.sandag.org_abm2_trb[[#This Row],[route]]</f>
        <v>712</v>
      </c>
      <c r="U94" s="3">
        <f>Table_socioeca8.sandag.org_abm2_trb[[#This Row],[boarding_EA]]</f>
        <v>57.740653000000002</v>
      </c>
      <c r="V94" s="3">
        <f>Table_socioeca8.sandag.org_abm2_trb[[#This Row],[boarding_AM]]</f>
        <v>467.95426099999997</v>
      </c>
      <c r="W94" s="3">
        <f>Table_socioeca8.sandag.org_abm2_trb[[#This Row],[boarding_MD]]</f>
        <v>960.62542499999995</v>
      </c>
      <c r="X94" s="3">
        <f>Table_socioeca8.sandag.org_abm2_trb[[#This Row],[boarding_PM]]</f>
        <v>765.54709500000001</v>
      </c>
      <c r="Y94" s="3">
        <f>Table_socioeca8.sandag.org_abm2_trb[[#This Row],[boarding_EV]]</f>
        <v>382.51138500000002</v>
      </c>
      <c r="Z94" s="3">
        <f>Table_socioeca8.sandag.org_abm2_trb[[#This Row],[passenger_mile_EA]]</f>
        <v>208.195170141624</v>
      </c>
      <c r="AA94" s="3">
        <f>Table_socioeca8.sandag.org_abm2_trb[[#This Row],[passenger_mile_AM]]</f>
        <v>1790.032809917363</v>
      </c>
      <c r="AB94" s="3">
        <f>Table_socioeca8.sandag.org_abm2_trb[[#This Row],[passenger_mile_MD]]</f>
        <v>3875.3793070908482</v>
      </c>
      <c r="AC94" s="3">
        <f>Table_socioeca8.sandag.org_abm2_trb[[#This Row],[passenger_mile_PM]]</f>
        <v>2791.6010017649892</v>
      </c>
      <c r="AD94" s="3">
        <f>Table_socioeca8.sandag.org_abm2_trb[[#This Row],[passenger_mile_EV]]</f>
        <v>1480.3093257212529</v>
      </c>
      <c r="AE94" s="5">
        <f>Table_socioeca8.sandag.org_abm2_trb[[#This Row],[mode_transit_route_id]]</f>
        <v>29</v>
      </c>
      <c r="AF94"/>
    </row>
    <row r="95" spans="5:32" x14ac:dyDescent="0.25">
      <c r="E95" s="47">
        <f t="shared" si="1"/>
        <v>259</v>
      </c>
      <c r="F95" s="47">
        <v>815</v>
      </c>
      <c r="G95" s="263">
        <f>IFERROR(VLOOKUP(Table_socioeca8.sandag.org_abm2_trb[[#This Row],[route]],[2]transit_general!$B$2:$M$139,3,FALSE),0)</f>
        <v>9.1141079999999999</v>
      </c>
      <c r="H95" s="263">
        <f>IFERROR(VLOOKUP(Table_socioeca8.sandag.org_abm2_trb[[#This Row],[route]],[2]transit_general!$B$2:$M$139,4,FALSE),0)</f>
        <v>69.740253999999993</v>
      </c>
      <c r="I95" s="263">
        <f>IFERROR(VLOOKUP(Table_socioeca8.sandag.org_abm2_trb[[#This Row],[route]],[2]transit_general!$B$2:$M$139,5,FALSE),0)</f>
        <v>151.69699</v>
      </c>
      <c r="J95" s="263">
        <f>IFERROR(VLOOKUP(Table_socioeca8.sandag.org_abm2_trb[[#This Row],[route]],[2]transit_general!$B$2:$M$139,6,FALSE),0)</f>
        <v>135.707044</v>
      </c>
      <c r="K95" s="263">
        <f>IFERROR(VLOOKUP(Table_socioeca8.sandag.org_abm2_trb[[#This Row],[route]],[2]transit_general!$B$2:$M$139,7,FALSE),0)</f>
        <v>65.852183999999994</v>
      </c>
      <c r="L95" s="263">
        <f>IFERROR(VLOOKUP(Table_socioeca8.sandag.org_abm2_trb[[#This Row],[route]],[2]transit_general!$B$2:$M$139,8,FALSE),0)</f>
        <v>16.856004285337001</v>
      </c>
      <c r="M95" s="263">
        <f>IFERROR(VLOOKUP(Table_socioeca8.sandag.org_abm2_trb[[#This Row],[route]],[2]transit_general!$B$2:$M$139,9,FALSE),0)</f>
        <v>129.58107985550399</v>
      </c>
      <c r="N95" s="263">
        <f>IFERROR(VLOOKUP(Table_socioeca8.sandag.org_abm2_trb[[#This Row],[route]],[2]transit_general!$B$2:$M$139,10,FALSE),0)</f>
        <v>207.655127899863</v>
      </c>
      <c r="O95" s="263">
        <f>IFERROR(VLOOKUP(Table_socioeca8.sandag.org_abm2_trb[[#This Row],[route]],[2]transit_general!$B$2:$M$139,11,FALSE),0)</f>
        <v>213.83451600547801</v>
      </c>
      <c r="P95" s="263">
        <f>IFERROR(VLOOKUP(Table_socioeca8.sandag.org_abm2_trb[[#This Row],[route]],[2]transit_general!$B$2:$M$139,12,FALSE),0)</f>
        <v>104.035443968801</v>
      </c>
      <c r="Q95" s="263">
        <f>IFERROR(VLOOKUP(Table_socioeca8.sandag.org_abm2_trb[[#This Row],[route]],[2]transit_general!$B$2:$M$139,2,FALSE),0)</f>
        <v>29</v>
      </c>
      <c r="S95" s="5">
        <f>Table_socioeca8.sandag.org_abm2_trb[[#This Row],[scenario_id]]</f>
        <v>259</v>
      </c>
      <c r="T95" s="5">
        <f>Table_socioeca8.sandag.org_abm2_trb[[#This Row],[route]]</f>
        <v>815</v>
      </c>
      <c r="U95" s="3">
        <f>Table_socioeca8.sandag.org_abm2_trb[[#This Row],[boarding_EA]]</f>
        <v>9.1141079999999999</v>
      </c>
      <c r="V95" s="3">
        <f>Table_socioeca8.sandag.org_abm2_trb[[#This Row],[boarding_AM]]</f>
        <v>69.740253999999993</v>
      </c>
      <c r="W95" s="3">
        <f>Table_socioeca8.sandag.org_abm2_trb[[#This Row],[boarding_MD]]</f>
        <v>151.69699</v>
      </c>
      <c r="X95" s="3">
        <f>Table_socioeca8.sandag.org_abm2_trb[[#This Row],[boarding_PM]]</f>
        <v>135.707044</v>
      </c>
      <c r="Y95" s="3">
        <f>Table_socioeca8.sandag.org_abm2_trb[[#This Row],[boarding_EV]]</f>
        <v>65.852183999999994</v>
      </c>
      <c r="Z95" s="3">
        <f>Table_socioeca8.sandag.org_abm2_trb[[#This Row],[passenger_mile_EA]]</f>
        <v>16.856004285337001</v>
      </c>
      <c r="AA95" s="3">
        <f>Table_socioeca8.sandag.org_abm2_trb[[#This Row],[passenger_mile_AM]]</f>
        <v>129.58107985550399</v>
      </c>
      <c r="AB95" s="3">
        <f>Table_socioeca8.sandag.org_abm2_trb[[#This Row],[passenger_mile_MD]]</f>
        <v>207.655127899863</v>
      </c>
      <c r="AC95" s="3">
        <f>Table_socioeca8.sandag.org_abm2_trb[[#This Row],[passenger_mile_PM]]</f>
        <v>213.83451600547801</v>
      </c>
      <c r="AD95" s="3">
        <f>Table_socioeca8.sandag.org_abm2_trb[[#This Row],[passenger_mile_EV]]</f>
        <v>104.035443968801</v>
      </c>
      <c r="AE95" s="5">
        <f>Table_socioeca8.sandag.org_abm2_trb[[#This Row],[mode_transit_route_id]]</f>
        <v>29</v>
      </c>
      <c r="AF95"/>
    </row>
    <row r="96" spans="5:32" x14ac:dyDescent="0.25">
      <c r="E96" s="47">
        <f t="shared" si="1"/>
        <v>259</v>
      </c>
      <c r="F96" s="47">
        <v>816</v>
      </c>
      <c r="G96" s="263">
        <f>IFERROR(VLOOKUP(Table_socioeca8.sandag.org_abm2_trb[[#This Row],[route]],[2]transit_general!$B$2:$M$139,3,FALSE),0)</f>
        <v>27.780774000000001</v>
      </c>
      <c r="H96" s="263">
        <f>IFERROR(VLOOKUP(Table_socioeca8.sandag.org_abm2_trb[[#This Row],[route]],[2]transit_general!$B$2:$M$139,4,FALSE),0)</f>
        <v>222.72919300000001</v>
      </c>
      <c r="I96" s="263">
        <f>IFERROR(VLOOKUP(Table_socioeca8.sandag.org_abm2_trb[[#This Row],[route]],[2]transit_general!$B$2:$M$139,5,FALSE),0)</f>
        <v>453.41344800000002</v>
      </c>
      <c r="J96" s="263">
        <f>IFERROR(VLOOKUP(Table_socioeca8.sandag.org_abm2_trb[[#This Row],[route]],[2]transit_general!$B$2:$M$139,6,FALSE),0)</f>
        <v>363.12747999999999</v>
      </c>
      <c r="K96" s="263">
        <f>IFERROR(VLOOKUP(Table_socioeca8.sandag.org_abm2_trb[[#This Row],[route]],[2]transit_general!$B$2:$M$139,7,FALSE),0)</f>
        <v>204.47504699999999</v>
      </c>
      <c r="L96" s="263">
        <f>IFERROR(VLOOKUP(Table_socioeca8.sandag.org_abm2_trb[[#This Row],[route]],[2]transit_general!$B$2:$M$139,8,FALSE),0)</f>
        <v>104.16565003885199</v>
      </c>
      <c r="M96" s="263">
        <f>IFERROR(VLOOKUP(Table_socioeca8.sandag.org_abm2_trb[[#This Row],[route]],[2]transit_general!$B$2:$M$139,9,FALSE),0)</f>
        <v>892.92617326530797</v>
      </c>
      <c r="N96" s="263">
        <f>IFERROR(VLOOKUP(Table_socioeca8.sandag.org_abm2_trb[[#This Row],[route]],[2]transit_general!$B$2:$M$139,10,FALSE),0)</f>
        <v>1764.128533883689</v>
      </c>
      <c r="O96" s="263">
        <f>IFERROR(VLOOKUP(Table_socioeca8.sandag.org_abm2_trb[[#This Row],[route]],[2]transit_general!$B$2:$M$139,11,FALSE),0)</f>
        <v>1419.3627351332259</v>
      </c>
      <c r="P96" s="263">
        <f>IFERROR(VLOOKUP(Table_socioeca8.sandag.org_abm2_trb[[#This Row],[route]],[2]transit_general!$B$2:$M$139,12,FALSE),0)</f>
        <v>810.57822563754701</v>
      </c>
      <c r="Q96" s="263">
        <f>IFERROR(VLOOKUP(Table_socioeca8.sandag.org_abm2_trb[[#This Row],[route]],[2]transit_general!$B$2:$M$139,2,FALSE),0)</f>
        <v>29</v>
      </c>
      <c r="S96" s="5">
        <f>Table_socioeca8.sandag.org_abm2_trb[[#This Row],[scenario_id]]</f>
        <v>259</v>
      </c>
      <c r="T96" s="5">
        <f>Table_socioeca8.sandag.org_abm2_trb[[#This Row],[route]]</f>
        <v>816</v>
      </c>
      <c r="U96" s="3">
        <f>Table_socioeca8.sandag.org_abm2_trb[[#This Row],[boarding_EA]]</f>
        <v>27.780774000000001</v>
      </c>
      <c r="V96" s="3">
        <f>Table_socioeca8.sandag.org_abm2_trb[[#This Row],[boarding_AM]]</f>
        <v>222.72919300000001</v>
      </c>
      <c r="W96" s="3">
        <f>Table_socioeca8.sandag.org_abm2_trb[[#This Row],[boarding_MD]]</f>
        <v>453.41344800000002</v>
      </c>
      <c r="X96" s="3">
        <f>Table_socioeca8.sandag.org_abm2_trb[[#This Row],[boarding_PM]]</f>
        <v>363.12747999999999</v>
      </c>
      <c r="Y96" s="3">
        <f>Table_socioeca8.sandag.org_abm2_trb[[#This Row],[boarding_EV]]</f>
        <v>204.47504699999999</v>
      </c>
      <c r="Z96" s="3">
        <f>Table_socioeca8.sandag.org_abm2_trb[[#This Row],[passenger_mile_EA]]</f>
        <v>104.16565003885199</v>
      </c>
      <c r="AA96" s="3">
        <f>Table_socioeca8.sandag.org_abm2_trb[[#This Row],[passenger_mile_AM]]</f>
        <v>892.92617326530797</v>
      </c>
      <c r="AB96" s="3">
        <f>Table_socioeca8.sandag.org_abm2_trb[[#This Row],[passenger_mile_MD]]</f>
        <v>1764.128533883689</v>
      </c>
      <c r="AC96" s="3">
        <f>Table_socioeca8.sandag.org_abm2_trb[[#This Row],[passenger_mile_PM]]</f>
        <v>1419.3627351332259</v>
      </c>
      <c r="AD96" s="3">
        <f>Table_socioeca8.sandag.org_abm2_trb[[#This Row],[passenger_mile_EV]]</f>
        <v>810.57822563754701</v>
      </c>
      <c r="AE96" s="5">
        <f>Table_socioeca8.sandag.org_abm2_trb[[#This Row],[mode_transit_route_id]]</f>
        <v>29</v>
      </c>
      <c r="AF96"/>
    </row>
    <row r="97" spans="5:32" x14ac:dyDescent="0.25">
      <c r="E97" s="47">
        <f t="shared" si="1"/>
        <v>259</v>
      </c>
      <c r="F97" s="47">
        <v>832</v>
      </c>
      <c r="G97" s="263">
        <f>IFERROR(VLOOKUP(Table_socioeca8.sandag.org_abm2_trb[[#This Row],[route]],[2]transit_general!$B$2:$M$139,3,FALSE),0)</f>
        <v>7.4285709999999998</v>
      </c>
      <c r="H97" s="263">
        <f>IFERROR(VLOOKUP(Table_socioeca8.sandag.org_abm2_trb[[#This Row],[route]],[2]transit_general!$B$2:$M$139,4,FALSE),0)</f>
        <v>52.833333000000003</v>
      </c>
      <c r="I97" s="263">
        <f>IFERROR(VLOOKUP(Table_socioeca8.sandag.org_abm2_trb[[#This Row],[route]],[2]transit_general!$B$2:$M$139,5,FALSE),0)</f>
        <v>93.476532000000006</v>
      </c>
      <c r="J97" s="263">
        <f>IFERROR(VLOOKUP(Table_socioeca8.sandag.org_abm2_trb[[#This Row],[route]],[2]transit_general!$B$2:$M$139,6,FALSE),0)</f>
        <v>152.02829600000001</v>
      </c>
      <c r="K97" s="263">
        <f>IFERROR(VLOOKUP(Table_socioeca8.sandag.org_abm2_trb[[#This Row],[route]],[2]transit_general!$B$2:$M$139,7,FALSE),0)</f>
        <v>86.358751999999996</v>
      </c>
      <c r="L97" s="263">
        <f>IFERROR(VLOOKUP(Table_socioeca8.sandag.org_abm2_trb[[#This Row],[route]],[2]transit_general!$B$2:$M$139,8,FALSE),0)</f>
        <v>25.487025691618999</v>
      </c>
      <c r="M97" s="263">
        <f>IFERROR(VLOOKUP(Table_socioeca8.sandag.org_abm2_trb[[#This Row],[route]],[2]transit_general!$B$2:$M$139,9,FALSE),0)</f>
        <v>176.81834425356999</v>
      </c>
      <c r="N97" s="263">
        <f>IFERROR(VLOOKUP(Table_socioeca8.sandag.org_abm2_trb[[#This Row],[route]],[2]transit_general!$B$2:$M$139,10,FALSE),0)</f>
        <v>249.42243992106401</v>
      </c>
      <c r="O97" s="263">
        <f>IFERROR(VLOOKUP(Table_socioeca8.sandag.org_abm2_trb[[#This Row],[route]],[2]transit_general!$B$2:$M$139,11,FALSE),0)</f>
        <v>383.56794663692801</v>
      </c>
      <c r="P97" s="263">
        <f>IFERROR(VLOOKUP(Table_socioeca8.sandag.org_abm2_trb[[#This Row],[route]],[2]transit_general!$B$2:$M$139,12,FALSE),0)</f>
        <v>179.80027373730701</v>
      </c>
      <c r="Q97" s="263">
        <f>IFERROR(VLOOKUP(Table_socioeca8.sandag.org_abm2_trb[[#This Row],[route]],[2]transit_general!$B$2:$M$139,2,FALSE),0)</f>
        <v>29</v>
      </c>
      <c r="S97" s="5">
        <f>Table_socioeca8.sandag.org_abm2_trb[[#This Row],[scenario_id]]</f>
        <v>259</v>
      </c>
      <c r="T97" s="5">
        <f>Table_socioeca8.sandag.org_abm2_trb[[#This Row],[route]]</f>
        <v>832</v>
      </c>
      <c r="U97" s="3">
        <f>Table_socioeca8.sandag.org_abm2_trb[[#This Row],[boarding_EA]]</f>
        <v>7.4285709999999998</v>
      </c>
      <c r="V97" s="3">
        <f>Table_socioeca8.sandag.org_abm2_trb[[#This Row],[boarding_AM]]</f>
        <v>52.833333000000003</v>
      </c>
      <c r="W97" s="3">
        <f>Table_socioeca8.sandag.org_abm2_trb[[#This Row],[boarding_MD]]</f>
        <v>93.476532000000006</v>
      </c>
      <c r="X97" s="3">
        <f>Table_socioeca8.sandag.org_abm2_trb[[#This Row],[boarding_PM]]</f>
        <v>152.02829600000001</v>
      </c>
      <c r="Y97" s="3">
        <f>Table_socioeca8.sandag.org_abm2_trb[[#This Row],[boarding_EV]]</f>
        <v>86.358751999999996</v>
      </c>
      <c r="Z97" s="3">
        <f>Table_socioeca8.sandag.org_abm2_trb[[#This Row],[passenger_mile_EA]]</f>
        <v>25.487025691618999</v>
      </c>
      <c r="AA97" s="3">
        <f>Table_socioeca8.sandag.org_abm2_trb[[#This Row],[passenger_mile_AM]]</f>
        <v>176.81834425356999</v>
      </c>
      <c r="AB97" s="3">
        <f>Table_socioeca8.sandag.org_abm2_trb[[#This Row],[passenger_mile_MD]]</f>
        <v>249.42243992106401</v>
      </c>
      <c r="AC97" s="3">
        <f>Table_socioeca8.sandag.org_abm2_trb[[#This Row],[passenger_mile_PM]]</f>
        <v>383.56794663692801</v>
      </c>
      <c r="AD97" s="3">
        <f>Table_socioeca8.sandag.org_abm2_trb[[#This Row],[passenger_mile_EV]]</f>
        <v>179.80027373730701</v>
      </c>
      <c r="AE97" s="5">
        <f>Table_socioeca8.sandag.org_abm2_trb[[#This Row],[mode_transit_route_id]]</f>
        <v>29</v>
      </c>
      <c r="AF97"/>
    </row>
    <row r="98" spans="5:32" x14ac:dyDescent="0.25">
      <c r="E98" s="47">
        <f t="shared" si="1"/>
        <v>259</v>
      </c>
      <c r="F98" s="47">
        <v>833</v>
      </c>
      <c r="G98" s="263">
        <f>IFERROR(VLOOKUP(Table_socioeca8.sandag.org_abm2_trb[[#This Row],[route]],[2]transit_general!$B$2:$M$139,3,FALSE),0)</f>
        <v>12.336114999999999</v>
      </c>
      <c r="H98" s="263">
        <f>IFERROR(VLOOKUP(Table_socioeca8.sandag.org_abm2_trb[[#This Row],[route]],[2]transit_general!$B$2:$M$139,4,FALSE),0)</f>
        <v>65.404967999999997</v>
      </c>
      <c r="I98" s="263">
        <f>IFERROR(VLOOKUP(Table_socioeca8.sandag.org_abm2_trb[[#This Row],[route]],[2]transit_general!$B$2:$M$139,5,FALSE),0)</f>
        <v>153.64454799999999</v>
      </c>
      <c r="J98" s="263">
        <f>IFERROR(VLOOKUP(Table_socioeca8.sandag.org_abm2_trb[[#This Row],[route]],[2]transit_general!$B$2:$M$139,6,FALSE),0)</f>
        <v>174.061769</v>
      </c>
      <c r="K98" s="263">
        <f>IFERROR(VLOOKUP(Table_socioeca8.sandag.org_abm2_trb[[#This Row],[route]],[2]transit_general!$B$2:$M$139,7,FALSE),0)</f>
        <v>83.782393999999996</v>
      </c>
      <c r="L98" s="263">
        <f>IFERROR(VLOOKUP(Table_socioeca8.sandag.org_abm2_trb[[#This Row],[route]],[2]transit_general!$B$2:$M$139,8,FALSE),0)</f>
        <v>48.751568675777001</v>
      </c>
      <c r="M98" s="263">
        <f>IFERROR(VLOOKUP(Table_socioeca8.sandag.org_abm2_trb[[#This Row],[route]],[2]transit_general!$B$2:$M$139,9,FALSE),0)</f>
        <v>204.46381517457499</v>
      </c>
      <c r="N98" s="263">
        <f>IFERROR(VLOOKUP(Table_socioeca8.sandag.org_abm2_trb[[#This Row],[route]],[2]transit_general!$B$2:$M$139,10,FALSE),0)</f>
        <v>440.16565728342499</v>
      </c>
      <c r="O98" s="263">
        <f>IFERROR(VLOOKUP(Table_socioeca8.sandag.org_abm2_trb[[#This Row],[route]],[2]transit_general!$B$2:$M$139,11,FALSE),0)</f>
        <v>512.41754108248699</v>
      </c>
      <c r="P98" s="263">
        <f>IFERROR(VLOOKUP(Table_socioeca8.sandag.org_abm2_trb[[#This Row],[route]],[2]transit_general!$B$2:$M$139,12,FALSE),0)</f>
        <v>269.60728058714699</v>
      </c>
      <c r="Q98" s="263">
        <f>IFERROR(VLOOKUP(Table_socioeca8.sandag.org_abm2_trb[[#This Row],[route]],[2]transit_general!$B$2:$M$139,2,FALSE),0)</f>
        <v>29</v>
      </c>
      <c r="S98" s="5">
        <f>Table_socioeca8.sandag.org_abm2_trb[[#This Row],[scenario_id]]</f>
        <v>259</v>
      </c>
      <c r="T98" s="5">
        <f>Table_socioeca8.sandag.org_abm2_trb[[#This Row],[route]]</f>
        <v>833</v>
      </c>
      <c r="U98" s="3">
        <f>Table_socioeca8.sandag.org_abm2_trb[[#This Row],[boarding_EA]]</f>
        <v>12.336114999999999</v>
      </c>
      <c r="V98" s="3">
        <f>Table_socioeca8.sandag.org_abm2_trb[[#This Row],[boarding_AM]]</f>
        <v>65.404967999999997</v>
      </c>
      <c r="W98" s="3">
        <f>Table_socioeca8.sandag.org_abm2_trb[[#This Row],[boarding_MD]]</f>
        <v>153.64454799999999</v>
      </c>
      <c r="X98" s="3">
        <f>Table_socioeca8.sandag.org_abm2_trb[[#This Row],[boarding_PM]]</f>
        <v>174.061769</v>
      </c>
      <c r="Y98" s="3">
        <f>Table_socioeca8.sandag.org_abm2_trb[[#This Row],[boarding_EV]]</f>
        <v>83.782393999999996</v>
      </c>
      <c r="Z98" s="3">
        <f>Table_socioeca8.sandag.org_abm2_trb[[#This Row],[passenger_mile_EA]]</f>
        <v>48.751568675777001</v>
      </c>
      <c r="AA98" s="3">
        <f>Table_socioeca8.sandag.org_abm2_trb[[#This Row],[passenger_mile_AM]]</f>
        <v>204.46381517457499</v>
      </c>
      <c r="AB98" s="3">
        <f>Table_socioeca8.sandag.org_abm2_trb[[#This Row],[passenger_mile_MD]]</f>
        <v>440.16565728342499</v>
      </c>
      <c r="AC98" s="3">
        <f>Table_socioeca8.sandag.org_abm2_trb[[#This Row],[passenger_mile_PM]]</f>
        <v>512.41754108248699</v>
      </c>
      <c r="AD98" s="3">
        <f>Table_socioeca8.sandag.org_abm2_trb[[#This Row],[passenger_mile_EV]]</f>
        <v>269.60728058714699</v>
      </c>
      <c r="AE98" s="5">
        <f>Table_socioeca8.sandag.org_abm2_trb[[#This Row],[mode_transit_route_id]]</f>
        <v>29</v>
      </c>
      <c r="AF98"/>
    </row>
    <row r="99" spans="5:32" x14ac:dyDescent="0.25">
      <c r="E99" s="47">
        <f t="shared" si="1"/>
        <v>259</v>
      </c>
      <c r="F99" s="47">
        <v>834</v>
      </c>
      <c r="G99" s="263">
        <f>IFERROR(VLOOKUP(Table_socioeca8.sandag.org_abm2_trb[[#This Row],[route]],[2]transit_general!$B$2:$M$139,3,FALSE),0)</f>
        <v>2</v>
      </c>
      <c r="H99" s="263">
        <f>IFERROR(VLOOKUP(Table_socioeca8.sandag.org_abm2_trb[[#This Row],[route]],[2]transit_general!$B$2:$M$139,4,FALSE),0)</f>
        <v>29.5</v>
      </c>
      <c r="I99" s="263">
        <f>IFERROR(VLOOKUP(Table_socioeca8.sandag.org_abm2_trb[[#This Row],[route]],[2]transit_general!$B$2:$M$139,5,FALSE),0)</f>
        <v>93.5</v>
      </c>
      <c r="J99" s="263">
        <f>IFERROR(VLOOKUP(Table_socioeca8.sandag.org_abm2_trb[[#This Row],[route]],[2]transit_general!$B$2:$M$139,6,FALSE),0)</f>
        <v>0</v>
      </c>
      <c r="K99" s="263">
        <f>IFERROR(VLOOKUP(Table_socioeca8.sandag.org_abm2_trb[[#This Row],[route]],[2]transit_general!$B$2:$M$139,7,FALSE),0)</f>
        <v>39</v>
      </c>
      <c r="L99" s="263">
        <f>IFERROR(VLOOKUP(Table_socioeca8.sandag.org_abm2_trb[[#This Row],[route]],[2]transit_general!$B$2:$M$139,8,FALSE),0)</f>
        <v>14.268744999999999</v>
      </c>
      <c r="M99" s="263">
        <f>IFERROR(VLOOKUP(Table_socioeca8.sandag.org_abm2_trb[[#This Row],[route]],[2]transit_general!$B$2:$M$139,9,FALSE),0)</f>
        <v>132.96269649999999</v>
      </c>
      <c r="N99" s="263">
        <f>IFERROR(VLOOKUP(Table_socioeca8.sandag.org_abm2_trb[[#This Row],[route]],[2]transit_general!$B$2:$M$139,10,FALSE),0)</f>
        <v>273.79078550000003</v>
      </c>
      <c r="O99" s="263">
        <f>IFERROR(VLOOKUP(Table_socioeca8.sandag.org_abm2_trb[[#This Row],[route]],[2]transit_general!$B$2:$M$139,11,FALSE),0)</f>
        <v>0</v>
      </c>
      <c r="P99" s="263">
        <f>IFERROR(VLOOKUP(Table_socioeca8.sandag.org_abm2_trb[[#This Row],[route]],[2]transit_general!$B$2:$M$139,12,FALSE),0)</f>
        <v>155.27157099999999</v>
      </c>
      <c r="Q99" s="263">
        <f>IFERROR(VLOOKUP(Table_socioeca8.sandag.org_abm2_trb[[#This Row],[route]],[2]transit_general!$B$2:$M$139,2,FALSE),0)</f>
        <v>29</v>
      </c>
      <c r="S99" s="5">
        <f>Table_socioeca8.sandag.org_abm2_trb[[#This Row],[scenario_id]]</f>
        <v>259</v>
      </c>
      <c r="T99" s="5">
        <f>Table_socioeca8.sandag.org_abm2_trb[[#This Row],[route]]</f>
        <v>834</v>
      </c>
      <c r="U99" s="3">
        <f>Table_socioeca8.sandag.org_abm2_trb[[#This Row],[boarding_EA]]</f>
        <v>2</v>
      </c>
      <c r="V99" s="3">
        <f>Table_socioeca8.sandag.org_abm2_trb[[#This Row],[boarding_AM]]</f>
        <v>29.5</v>
      </c>
      <c r="W99" s="3">
        <f>Table_socioeca8.sandag.org_abm2_trb[[#This Row],[boarding_MD]]</f>
        <v>93.5</v>
      </c>
      <c r="X99" s="3">
        <f>Table_socioeca8.sandag.org_abm2_trb[[#This Row],[boarding_PM]]</f>
        <v>0</v>
      </c>
      <c r="Y99" s="3">
        <f>Table_socioeca8.sandag.org_abm2_trb[[#This Row],[boarding_EV]]</f>
        <v>39</v>
      </c>
      <c r="Z99" s="3">
        <f>Table_socioeca8.sandag.org_abm2_trb[[#This Row],[passenger_mile_EA]]</f>
        <v>14.268744999999999</v>
      </c>
      <c r="AA99" s="3">
        <f>Table_socioeca8.sandag.org_abm2_trb[[#This Row],[passenger_mile_AM]]</f>
        <v>132.96269649999999</v>
      </c>
      <c r="AB99" s="3">
        <f>Table_socioeca8.sandag.org_abm2_trb[[#This Row],[passenger_mile_MD]]</f>
        <v>273.79078550000003</v>
      </c>
      <c r="AC99" s="3">
        <f>Table_socioeca8.sandag.org_abm2_trb[[#This Row],[passenger_mile_PM]]</f>
        <v>0</v>
      </c>
      <c r="AD99" s="3">
        <f>Table_socioeca8.sandag.org_abm2_trb[[#This Row],[passenger_mile_EV]]</f>
        <v>155.27157099999999</v>
      </c>
      <c r="AE99" s="5">
        <f>Table_socioeca8.sandag.org_abm2_trb[[#This Row],[mode_transit_route_id]]</f>
        <v>29</v>
      </c>
      <c r="AF99"/>
    </row>
    <row r="100" spans="5:32" x14ac:dyDescent="0.25">
      <c r="E100" s="47">
        <f t="shared" si="1"/>
        <v>259</v>
      </c>
      <c r="F100" s="47">
        <v>848</v>
      </c>
      <c r="G100" s="263">
        <f>IFERROR(VLOOKUP(Table_socioeca8.sandag.org_abm2_trb[[#This Row],[route]],[2]transit_general!$B$2:$M$139,3,FALSE),0)</f>
        <v>36.743121000000002</v>
      </c>
      <c r="H100" s="263">
        <f>IFERROR(VLOOKUP(Table_socioeca8.sandag.org_abm2_trb[[#This Row],[route]],[2]transit_general!$B$2:$M$139,4,FALSE),0)</f>
        <v>163.94429099999999</v>
      </c>
      <c r="I100" s="263">
        <f>IFERROR(VLOOKUP(Table_socioeca8.sandag.org_abm2_trb[[#This Row],[route]],[2]transit_general!$B$2:$M$139,5,FALSE),0)</f>
        <v>354.90718099999998</v>
      </c>
      <c r="J100" s="263">
        <f>IFERROR(VLOOKUP(Table_socioeca8.sandag.org_abm2_trb[[#This Row],[route]],[2]transit_general!$B$2:$M$139,6,FALSE),0)</f>
        <v>289.22050200000001</v>
      </c>
      <c r="K100" s="263">
        <f>IFERROR(VLOOKUP(Table_socioeca8.sandag.org_abm2_trb[[#This Row],[route]],[2]transit_general!$B$2:$M$139,7,FALSE),0)</f>
        <v>158.675848</v>
      </c>
      <c r="L100" s="263">
        <f>IFERROR(VLOOKUP(Table_socioeca8.sandag.org_abm2_trb[[#This Row],[route]],[2]transit_general!$B$2:$M$139,8,FALSE),0)</f>
        <v>173.261614230616</v>
      </c>
      <c r="M100" s="263">
        <f>IFERROR(VLOOKUP(Table_socioeca8.sandag.org_abm2_trb[[#This Row],[route]],[2]transit_general!$B$2:$M$139,9,FALSE),0)</f>
        <v>680.03263478253098</v>
      </c>
      <c r="N100" s="263">
        <f>IFERROR(VLOOKUP(Table_socioeca8.sandag.org_abm2_trb[[#This Row],[route]],[2]transit_general!$B$2:$M$139,10,FALSE),0)</f>
        <v>1304.9617747294351</v>
      </c>
      <c r="O100" s="263">
        <f>IFERROR(VLOOKUP(Table_socioeca8.sandag.org_abm2_trb[[#This Row],[route]],[2]transit_general!$B$2:$M$139,11,FALSE),0)</f>
        <v>1060.538401568067</v>
      </c>
      <c r="P100" s="263">
        <f>IFERROR(VLOOKUP(Table_socioeca8.sandag.org_abm2_trb[[#This Row],[route]],[2]transit_general!$B$2:$M$139,12,FALSE),0)</f>
        <v>514.58221153964098</v>
      </c>
      <c r="Q100" s="263">
        <f>IFERROR(VLOOKUP(Table_socioeca8.sandag.org_abm2_trb[[#This Row],[route]],[2]transit_general!$B$2:$M$139,2,FALSE),0)</f>
        <v>29</v>
      </c>
      <c r="S100" s="5">
        <f>Table_socioeca8.sandag.org_abm2_trb[[#This Row],[scenario_id]]</f>
        <v>259</v>
      </c>
      <c r="T100" s="5">
        <f>Table_socioeca8.sandag.org_abm2_trb[[#This Row],[route]]</f>
        <v>848</v>
      </c>
      <c r="U100" s="3">
        <f>Table_socioeca8.sandag.org_abm2_trb[[#This Row],[boarding_EA]]</f>
        <v>36.743121000000002</v>
      </c>
      <c r="V100" s="3">
        <f>Table_socioeca8.sandag.org_abm2_trb[[#This Row],[boarding_AM]]</f>
        <v>163.94429099999999</v>
      </c>
      <c r="W100" s="3">
        <f>Table_socioeca8.sandag.org_abm2_trb[[#This Row],[boarding_MD]]</f>
        <v>354.90718099999998</v>
      </c>
      <c r="X100" s="3">
        <f>Table_socioeca8.sandag.org_abm2_trb[[#This Row],[boarding_PM]]</f>
        <v>289.22050200000001</v>
      </c>
      <c r="Y100" s="3">
        <f>Table_socioeca8.sandag.org_abm2_trb[[#This Row],[boarding_EV]]</f>
        <v>158.675848</v>
      </c>
      <c r="Z100" s="3">
        <f>Table_socioeca8.sandag.org_abm2_trb[[#This Row],[passenger_mile_EA]]</f>
        <v>173.261614230616</v>
      </c>
      <c r="AA100" s="3">
        <f>Table_socioeca8.sandag.org_abm2_trb[[#This Row],[passenger_mile_AM]]</f>
        <v>680.03263478253098</v>
      </c>
      <c r="AB100" s="3">
        <f>Table_socioeca8.sandag.org_abm2_trb[[#This Row],[passenger_mile_MD]]</f>
        <v>1304.9617747294351</v>
      </c>
      <c r="AC100" s="3">
        <f>Table_socioeca8.sandag.org_abm2_trb[[#This Row],[passenger_mile_PM]]</f>
        <v>1060.538401568067</v>
      </c>
      <c r="AD100" s="3">
        <f>Table_socioeca8.sandag.org_abm2_trb[[#This Row],[passenger_mile_EV]]</f>
        <v>514.58221153964098</v>
      </c>
      <c r="AE100" s="5">
        <f>Table_socioeca8.sandag.org_abm2_trb[[#This Row],[mode_transit_route_id]]</f>
        <v>29</v>
      </c>
      <c r="AF100"/>
    </row>
    <row r="101" spans="5:32" x14ac:dyDescent="0.25">
      <c r="E101" s="47">
        <f t="shared" si="1"/>
        <v>259</v>
      </c>
      <c r="F101" s="47">
        <v>851</v>
      </c>
      <c r="G101" s="263">
        <f>IFERROR(VLOOKUP(Table_socioeca8.sandag.org_abm2_trb[[#This Row],[route]],[2]transit_general!$B$2:$M$139,3,FALSE),0)</f>
        <v>4.6171290000000003</v>
      </c>
      <c r="H101" s="263">
        <f>IFERROR(VLOOKUP(Table_socioeca8.sandag.org_abm2_trb[[#This Row],[route]],[2]transit_general!$B$2:$M$139,4,FALSE),0)</f>
        <v>30.248899000000002</v>
      </c>
      <c r="I101" s="263">
        <f>IFERROR(VLOOKUP(Table_socioeca8.sandag.org_abm2_trb[[#This Row],[route]],[2]transit_general!$B$2:$M$139,5,FALSE),0)</f>
        <v>69.117310000000003</v>
      </c>
      <c r="J101" s="263">
        <f>IFERROR(VLOOKUP(Table_socioeca8.sandag.org_abm2_trb[[#This Row],[route]],[2]transit_general!$B$2:$M$139,6,FALSE),0)</f>
        <v>40.876710000000003</v>
      </c>
      <c r="K101" s="263">
        <f>IFERROR(VLOOKUP(Table_socioeca8.sandag.org_abm2_trb[[#This Row],[route]],[2]transit_general!$B$2:$M$139,7,FALSE),0)</f>
        <v>48.340944</v>
      </c>
      <c r="L101" s="263">
        <f>IFERROR(VLOOKUP(Table_socioeca8.sandag.org_abm2_trb[[#This Row],[route]],[2]transit_general!$B$2:$M$139,8,FALSE),0)</f>
        <v>13.899691227868001</v>
      </c>
      <c r="M101" s="263">
        <f>IFERROR(VLOOKUP(Table_socioeca8.sandag.org_abm2_trb[[#This Row],[route]],[2]transit_general!$B$2:$M$139,9,FALSE),0)</f>
        <v>98.575571973142999</v>
      </c>
      <c r="N101" s="263">
        <f>IFERROR(VLOOKUP(Table_socioeca8.sandag.org_abm2_trb[[#This Row],[route]],[2]transit_general!$B$2:$M$139,10,FALSE),0)</f>
        <v>180.30033563530799</v>
      </c>
      <c r="O101" s="263">
        <f>IFERROR(VLOOKUP(Table_socioeca8.sandag.org_abm2_trb[[#This Row],[route]],[2]transit_general!$B$2:$M$139,11,FALSE),0)</f>
        <v>116.25273446047299</v>
      </c>
      <c r="P101" s="263">
        <f>IFERROR(VLOOKUP(Table_socioeca8.sandag.org_abm2_trb[[#This Row],[route]],[2]transit_general!$B$2:$M$139,12,FALSE),0)</f>
        <v>145.57966438602099</v>
      </c>
      <c r="Q101" s="263">
        <f>IFERROR(VLOOKUP(Table_socioeca8.sandag.org_abm2_trb[[#This Row],[route]],[2]transit_general!$B$2:$M$139,2,FALSE),0)</f>
        <v>29</v>
      </c>
      <c r="S101" s="5">
        <f>Table_socioeca8.sandag.org_abm2_trb[[#This Row],[scenario_id]]</f>
        <v>259</v>
      </c>
      <c r="T101" s="5">
        <f>Table_socioeca8.sandag.org_abm2_trb[[#This Row],[route]]</f>
        <v>851</v>
      </c>
      <c r="U101" s="3">
        <f>Table_socioeca8.sandag.org_abm2_trb[[#This Row],[boarding_EA]]</f>
        <v>4.6171290000000003</v>
      </c>
      <c r="V101" s="3">
        <f>Table_socioeca8.sandag.org_abm2_trb[[#This Row],[boarding_AM]]</f>
        <v>30.248899000000002</v>
      </c>
      <c r="W101" s="3">
        <f>Table_socioeca8.sandag.org_abm2_trb[[#This Row],[boarding_MD]]</f>
        <v>69.117310000000003</v>
      </c>
      <c r="X101" s="3">
        <f>Table_socioeca8.sandag.org_abm2_trb[[#This Row],[boarding_PM]]</f>
        <v>40.876710000000003</v>
      </c>
      <c r="Y101" s="3">
        <f>Table_socioeca8.sandag.org_abm2_trb[[#This Row],[boarding_EV]]</f>
        <v>48.340944</v>
      </c>
      <c r="Z101" s="3">
        <f>Table_socioeca8.sandag.org_abm2_trb[[#This Row],[passenger_mile_EA]]</f>
        <v>13.899691227868001</v>
      </c>
      <c r="AA101" s="3">
        <f>Table_socioeca8.sandag.org_abm2_trb[[#This Row],[passenger_mile_AM]]</f>
        <v>98.575571973142999</v>
      </c>
      <c r="AB101" s="3">
        <f>Table_socioeca8.sandag.org_abm2_trb[[#This Row],[passenger_mile_MD]]</f>
        <v>180.30033563530799</v>
      </c>
      <c r="AC101" s="3">
        <f>Table_socioeca8.sandag.org_abm2_trb[[#This Row],[passenger_mile_PM]]</f>
        <v>116.25273446047299</v>
      </c>
      <c r="AD101" s="3">
        <f>Table_socioeca8.sandag.org_abm2_trb[[#This Row],[passenger_mile_EV]]</f>
        <v>145.57966438602099</v>
      </c>
      <c r="AE101" s="5">
        <f>Table_socioeca8.sandag.org_abm2_trb[[#This Row],[mode_transit_route_id]]</f>
        <v>29</v>
      </c>
      <c r="AF101"/>
    </row>
    <row r="102" spans="5:32" x14ac:dyDescent="0.25">
      <c r="E102" s="47">
        <f t="shared" si="1"/>
        <v>259</v>
      </c>
      <c r="F102" s="47">
        <v>854</v>
      </c>
      <c r="G102" s="263">
        <f>IFERROR(VLOOKUP(Table_socioeca8.sandag.org_abm2_trb[[#This Row],[route]],[2]transit_general!$B$2:$M$139,3,FALSE),0)</f>
        <v>11.044824999999999</v>
      </c>
      <c r="H102" s="263">
        <f>IFERROR(VLOOKUP(Table_socioeca8.sandag.org_abm2_trb[[#This Row],[route]],[2]transit_general!$B$2:$M$139,4,FALSE),0)</f>
        <v>200.99088</v>
      </c>
      <c r="I102" s="263">
        <f>IFERROR(VLOOKUP(Table_socioeca8.sandag.org_abm2_trb[[#This Row],[route]],[2]transit_general!$B$2:$M$139,5,FALSE),0)</f>
        <v>359.308649</v>
      </c>
      <c r="J102" s="263">
        <f>IFERROR(VLOOKUP(Table_socioeca8.sandag.org_abm2_trb[[#This Row],[route]],[2]transit_general!$B$2:$M$139,6,FALSE),0)</f>
        <v>278.66420099999999</v>
      </c>
      <c r="K102" s="263">
        <f>IFERROR(VLOOKUP(Table_socioeca8.sandag.org_abm2_trb[[#This Row],[route]],[2]transit_general!$B$2:$M$139,7,FALSE),0)</f>
        <v>160.25513100000001</v>
      </c>
      <c r="L102" s="263">
        <f>IFERROR(VLOOKUP(Table_socioeca8.sandag.org_abm2_trb[[#This Row],[route]],[2]transit_general!$B$2:$M$139,8,FALSE),0)</f>
        <v>33.571769403251999</v>
      </c>
      <c r="M102" s="263">
        <f>IFERROR(VLOOKUP(Table_socioeca8.sandag.org_abm2_trb[[#This Row],[route]],[2]transit_general!$B$2:$M$139,9,FALSE),0)</f>
        <v>651.56483453358999</v>
      </c>
      <c r="N102" s="263">
        <f>IFERROR(VLOOKUP(Table_socioeca8.sandag.org_abm2_trb[[#This Row],[route]],[2]transit_general!$B$2:$M$139,10,FALSE),0)</f>
        <v>1089.922014924113</v>
      </c>
      <c r="O102" s="263">
        <f>IFERROR(VLOOKUP(Table_socioeca8.sandag.org_abm2_trb[[#This Row],[route]],[2]transit_general!$B$2:$M$139,11,FALSE),0)</f>
        <v>765.54033224245995</v>
      </c>
      <c r="P102" s="263">
        <f>IFERROR(VLOOKUP(Table_socioeca8.sandag.org_abm2_trb[[#This Row],[route]],[2]transit_general!$B$2:$M$139,12,FALSE),0)</f>
        <v>434.608832962159</v>
      </c>
      <c r="Q102" s="263">
        <f>IFERROR(VLOOKUP(Table_socioeca8.sandag.org_abm2_trb[[#This Row],[route]],[2]transit_general!$B$2:$M$139,2,FALSE),0)</f>
        <v>29</v>
      </c>
      <c r="S102" s="5">
        <f>Table_socioeca8.sandag.org_abm2_trb[[#This Row],[scenario_id]]</f>
        <v>259</v>
      </c>
      <c r="T102" s="5">
        <f>Table_socioeca8.sandag.org_abm2_trb[[#This Row],[route]]</f>
        <v>854</v>
      </c>
      <c r="U102" s="3">
        <f>Table_socioeca8.sandag.org_abm2_trb[[#This Row],[boarding_EA]]</f>
        <v>11.044824999999999</v>
      </c>
      <c r="V102" s="3">
        <f>Table_socioeca8.sandag.org_abm2_trb[[#This Row],[boarding_AM]]</f>
        <v>200.99088</v>
      </c>
      <c r="W102" s="3">
        <f>Table_socioeca8.sandag.org_abm2_trb[[#This Row],[boarding_MD]]</f>
        <v>359.308649</v>
      </c>
      <c r="X102" s="3">
        <f>Table_socioeca8.sandag.org_abm2_trb[[#This Row],[boarding_PM]]</f>
        <v>278.66420099999999</v>
      </c>
      <c r="Y102" s="3">
        <f>Table_socioeca8.sandag.org_abm2_trb[[#This Row],[boarding_EV]]</f>
        <v>160.25513100000001</v>
      </c>
      <c r="Z102" s="3">
        <f>Table_socioeca8.sandag.org_abm2_trb[[#This Row],[passenger_mile_EA]]</f>
        <v>33.571769403251999</v>
      </c>
      <c r="AA102" s="3">
        <f>Table_socioeca8.sandag.org_abm2_trb[[#This Row],[passenger_mile_AM]]</f>
        <v>651.56483453358999</v>
      </c>
      <c r="AB102" s="3">
        <f>Table_socioeca8.sandag.org_abm2_trb[[#This Row],[passenger_mile_MD]]</f>
        <v>1089.922014924113</v>
      </c>
      <c r="AC102" s="3">
        <f>Table_socioeca8.sandag.org_abm2_trb[[#This Row],[passenger_mile_PM]]</f>
        <v>765.54033224245995</v>
      </c>
      <c r="AD102" s="3">
        <f>Table_socioeca8.sandag.org_abm2_trb[[#This Row],[passenger_mile_EV]]</f>
        <v>434.608832962159</v>
      </c>
      <c r="AE102" s="5">
        <f>Table_socioeca8.sandag.org_abm2_trb[[#This Row],[mode_transit_route_id]]</f>
        <v>29</v>
      </c>
      <c r="AF102"/>
    </row>
    <row r="103" spans="5:32" x14ac:dyDescent="0.25">
      <c r="E103" s="47">
        <f t="shared" si="1"/>
        <v>259</v>
      </c>
      <c r="F103" s="47">
        <v>855</v>
      </c>
      <c r="G103" s="263">
        <f>IFERROR(VLOOKUP(Table_socioeca8.sandag.org_abm2_trb[[#This Row],[route]],[2]transit_general!$B$2:$M$139,3,FALSE),0)</f>
        <v>11.5</v>
      </c>
      <c r="H103" s="263">
        <f>IFERROR(VLOOKUP(Table_socioeca8.sandag.org_abm2_trb[[#This Row],[route]],[2]transit_general!$B$2:$M$139,4,FALSE),0)</f>
        <v>76.974187999999998</v>
      </c>
      <c r="I103" s="263">
        <f>IFERROR(VLOOKUP(Table_socioeca8.sandag.org_abm2_trb[[#This Row],[route]],[2]transit_general!$B$2:$M$139,5,FALSE),0)</f>
        <v>175.52974</v>
      </c>
      <c r="J103" s="263">
        <f>IFERROR(VLOOKUP(Table_socioeca8.sandag.org_abm2_trb[[#This Row],[route]],[2]transit_general!$B$2:$M$139,6,FALSE),0)</f>
        <v>146.38347999999999</v>
      </c>
      <c r="K103" s="263">
        <f>IFERROR(VLOOKUP(Table_socioeca8.sandag.org_abm2_trb[[#This Row],[route]],[2]transit_general!$B$2:$M$139,7,FALSE),0)</f>
        <v>90.5</v>
      </c>
      <c r="L103" s="263">
        <f>IFERROR(VLOOKUP(Table_socioeca8.sandag.org_abm2_trb[[#This Row],[route]],[2]transit_general!$B$2:$M$139,8,FALSE),0)</f>
        <v>28.856757999999999</v>
      </c>
      <c r="M103" s="263">
        <f>IFERROR(VLOOKUP(Table_socioeca8.sandag.org_abm2_trb[[#This Row],[route]],[2]transit_general!$B$2:$M$139,9,FALSE),0)</f>
        <v>180.10656881925101</v>
      </c>
      <c r="N103" s="263">
        <f>IFERROR(VLOOKUP(Table_socioeca8.sandag.org_abm2_trb[[#This Row],[route]],[2]transit_general!$B$2:$M$139,10,FALSE),0)</f>
        <v>373.21395062401803</v>
      </c>
      <c r="O103" s="263">
        <f>IFERROR(VLOOKUP(Table_socioeca8.sandag.org_abm2_trb[[#This Row],[route]],[2]transit_general!$B$2:$M$139,11,FALSE),0)</f>
        <v>342.51108355191201</v>
      </c>
      <c r="P103" s="263">
        <f>IFERROR(VLOOKUP(Table_socioeca8.sandag.org_abm2_trb[[#This Row],[route]],[2]transit_general!$B$2:$M$139,12,FALSE),0)</f>
        <v>229.576729</v>
      </c>
      <c r="Q103" s="263">
        <f>IFERROR(VLOOKUP(Table_socioeca8.sandag.org_abm2_trb[[#This Row],[route]],[2]transit_general!$B$2:$M$139,2,FALSE),0)</f>
        <v>29</v>
      </c>
      <c r="S103" s="5">
        <f>Table_socioeca8.sandag.org_abm2_trb[[#This Row],[scenario_id]]</f>
        <v>259</v>
      </c>
      <c r="T103" s="5">
        <f>Table_socioeca8.sandag.org_abm2_trb[[#This Row],[route]]</f>
        <v>855</v>
      </c>
      <c r="U103" s="3">
        <f>Table_socioeca8.sandag.org_abm2_trb[[#This Row],[boarding_EA]]</f>
        <v>11.5</v>
      </c>
      <c r="V103" s="3">
        <f>Table_socioeca8.sandag.org_abm2_trb[[#This Row],[boarding_AM]]</f>
        <v>76.974187999999998</v>
      </c>
      <c r="W103" s="3">
        <f>Table_socioeca8.sandag.org_abm2_trb[[#This Row],[boarding_MD]]</f>
        <v>175.52974</v>
      </c>
      <c r="X103" s="3">
        <f>Table_socioeca8.sandag.org_abm2_trb[[#This Row],[boarding_PM]]</f>
        <v>146.38347999999999</v>
      </c>
      <c r="Y103" s="3">
        <f>Table_socioeca8.sandag.org_abm2_trb[[#This Row],[boarding_EV]]</f>
        <v>90.5</v>
      </c>
      <c r="Z103" s="3">
        <f>Table_socioeca8.sandag.org_abm2_trb[[#This Row],[passenger_mile_EA]]</f>
        <v>28.856757999999999</v>
      </c>
      <c r="AA103" s="3">
        <f>Table_socioeca8.sandag.org_abm2_trb[[#This Row],[passenger_mile_AM]]</f>
        <v>180.10656881925101</v>
      </c>
      <c r="AB103" s="3">
        <f>Table_socioeca8.sandag.org_abm2_trb[[#This Row],[passenger_mile_MD]]</f>
        <v>373.21395062401803</v>
      </c>
      <c r="AC103" s="3">
        <f>Table_socioeca8.sandag.org_abm2_trb[[#This Row],[passenger_mile_PM]]</f>
        <v>342.51108355191201</v>
      </c>
      <c r="AD103" s="3">
        <f>Table_socioeca8.sandag.org_abm2_trb[[#This Row],[passenger_mile_EV]]</f>
        <v>229.576729</v>
      </c>
      <c r="AE103" s="5">
        <f>Table_socioeca8.sandag.org_abm2_trb[[#This Row],[mode_transit_route_id]]</f>
        <v>29</v>
      </c>
      <c r="AF103"/>
    </row>
    <row r="104" spans="5:32" x14ac:dyDescent="0.25">
      <c r="E104" s="47">
        <f t="shared" si="1"/>
        <v>259</v>
      </c>
      <c r="F104" s="47">
        <v>856</v>
      </c>
      <c r="G104" s="263">
        <f>IFERROR(VLOOKUP(Table_socioeca8.sandag.org_abm2_trb[[#This Row],[route]],[2]transit_general!$B$2:$M$139,3,FALSE),0)</f>
        <v>58.496006000000001</v>
      </c>
      <c r="H104" s="263">
        <f>IFERROR(VLOOKUP(Table_socioeca8.sandag.org_abm2_trb[[#This Row],[route]],[2]transit_general!$B$2:$M$139,4,FALSE),0)</f>
        <v>476.36087300000003</v>
      </c>
      <c r="I104" s="263">
        <f>IFERROR(VLOOKUP(Table_socioeca8.sandag.org_abm2_trb[[#This Row],[route]],[2]transit_general!$B$2:$M$139,5,FALSE),0)</f>
        <v>1104.754179</v>
      </c>
      <c r="J104" s="263">
        <f>IFERROR(VLOOKUP(Table_socioeca8.sandag.org_abm2_trb[[#This Row],[route]],[2]transit_general!$B$2:$M$139,6,FALSE),0)</f>
        <v>794.46919800000001</v>
      </c>
      <c r="K104" s="263">
        <f>IFERROR(VLOOKUP(Table_socioeca8.sandag.org_abm2_trb[[#This Row],[route]],[2]transit_general!$B$2:$M$139,7,FALSE),0)</f>
        <v>472.90413100000001</v>
      </c>
      <c r="L104" s="263">
        <f>IFERROR(VLOOKUP(Table_socioeca8.sandag.org_abm2_trb[[#This Row],[route]],[2]transit_general!$B$2:$M$139,8,FALSE),0)</f>
        <v>347.99458680113497</v>
      </c>
      <c r="M104" s="263">
        <f>IFERROR(VLOOKUP(Table_socioeca8.sandag.org_abm2_trb[[#This Row],[route]],[2]transit_general!$B$2:$M$139,9,FALSE),0)</f>
        <v>2836.1671439530542</v>
      </c>
      <c r="N104" s="263">
        <f>IFERROR(VLOOKUP(Table_socioeca8.sandag.org_abm2_trb[[#This Row],[route]],[2]transit_general!$B$2:$M$139,10,FALSE),0)</f>
        <v>5778.6217331643129</v>
      </c>
      <c r="O104" s="263">
        <f>IFERROR(VLOOKUP(Table_socioeca8.sandag.org_abm2_trb[[#This Row],[route]],[2]transit_general!$B$2:$M$139,11,FALSE),0)</f>
        <v>4108.6677108091053</v>
      </c>
      <c r="P104" s="263">
        <f>IFERROR(VLOOKUP(Table_socioeca8.sandag.org_abm2_trb[[#This Row],[route]],[2]transit_general!$B$2:$M$139,12,FALSE),0)</f>
        <v>2310.5984487732148</v>
      </c>
      <c r="Q104" s="263">
        <f>IFERROR(VLOOKUP(Table_socioeca8.sandag.org_abm2_trb[[#This Row],[route]],[2]transit_general!$B$2:$M$139,2,FALSE),0)</f>
        <v>29</v>
      </c>
      <c r="S104" s="5">
        <f>Table_socioeca8.sandag.org_abm2_trb[[#This Row],[scenario_id]]</f>
        <v>259</v>
      </c>
      <c r="T104" s="5">
        <f>Table_socioeca8.sandag.org_abm2_trb[[#This Row],[route]]</f>
        <v>856</v>
      </c>
      <c r="U104" s="3">
        <f>Table_socioeca8.sandag.org_abm2_trb[[#This Row],[boarding_EA]]</f>
        <v>58.496006000000001</v>
      </c>
      <c r="V104" s="3">
        <f>Table_socioeca8.sandag.org_abm2_trb[[#This Row],[boarding_AM]]</f>
        <v>476.36087300000003</v>
      </c>
      <c r="W104" s="3">
        <f>Table_socioeca8.sandag.org_abm2_trb[[#This Row],[boarding_MD]]</f>
        <v>1104.754179</v>
      </c>
      <c r="X104" s="3">
        <f>Table_socioeca8.sandag.org_abm2_trb[[#This Row],[boarding_PM]]</f>
        <v>794.46919800000001</v>
      </c>
      <c r="Y104" s="3">
        <f>Table_socioeca8.sandag.org_abm2_trb[[#This Row],[boarding_EV]]</f>
        <v>472.90413100000001</v>
      </c>
      <c r="Z104" s="3">
        <f>Table_socioeca8.sandag.org_abm2_trb[[#This Row],[passenger_mile_EA]]</f>
        <v>347.99458680113497</v>
      </c>
      <c r="AA104" s="3">
        <f>Table_socioeca8.sandag.org_abm2_trb[[#This Row],[passenger_mile_AM]]</f>
        <v>2836.1671439530542</v>
      </c>
      <c r="AB104" s="3">
        <f>Table_socioeca8.sandag.org_abm2_trb[[#This Row],[passenger_mile_MD]]</f>
        <v>5778.6217331643129</v>
      </c>
      <c r="AC104" s="3">
        <f>Table_socioeca8.sandag.org_abm2_trb[[#This Row],[passenger_mile_PM]]</f>
        <v>4108.6677108091053</v>
      </c>
      <c r="AD104" s="3">
        <f>Table_socioeca8.sandag.org_abm2_trb[[#This Row],[passenger_mile_EV]]</f>
        <v>2310.5984487732148</v>
      </c>
      <c r="AE104" s="5">
        <f>Table_socioeca8.sandag.org_abm2_trb[[#This Row],[mode_transit_route_id]]</f>
        <v>29</v>
      </c>
      <c r="AF104"/>
    </row>
    <row r="105" spans="5:32" x14ac:dyDescent="0.25">
      <c r="E105" s="47">
        <f t="shared" si="1"/>
        <v>259</v>
      </c>
      <c r="F105" s="47">
        <v>864</v>
      </c>
      <c r="G105" s="263">
        <f>IFERROR(VLOOKUP(Table_socioeca8.sandag.org_abm2_trb[[#This Row],[route]],[2]transit_general!$B$2:$M$139,3,FALSE),0)</f>
        <v>37.023997999999999</v>
      </c>
      <c r="H105" s="263">
        <f>IFERROR(VLOOKUP(Table_socioeca8.sandag.org_abm2_trb[[#This Row],[route]],[2]transit_general!$B$2:$M$139,4,FALSE),0)</f>
        <v>142.41934499999999</v>
      </c>
      <c r="I105" s="263">
        <f>IFERROR(VLOOKUP(Table_socioeca8.sandag.org_abm2_trb[[#This Row],[route]],[2]transit_general!$B$2:$M$139,5,FALSE),0)</f>
        <v>393.59711099999998</v>
      </c>
      <c r="J105" s="263">
        <f>IFERROR(VLOOKUP(Table_socioeca8.sandag.org_abm2_trb[[#This Row],[route]],[2]transit_general!$B$2:$M$139,6,FALSE),0)</f>
        <v>354.65919000000002</v>
      </c>
      <c r="K105" s="263">
        <f>IFERROR(VLOOKUP(Table_socioeca8.sandag.org_abm2_trb[[#This Row],[route]],[2]transit_general!$B$2:$M$139,7,FALSE),0)</f>
        <v>204.74811099999999</v>
      </c>
      <c r="L105" s="263">
        <f>IFERROR(VLOOKUP(Table_socioeca8.sandag.org_abm2_trb[[#This Row],[route]],[2]transit_general!$B$2:$M$139,8,FALSE),0)</f>
        <v>245.43113363509801</v>
      </c>
      <c r="M105" s="263">
        <f>IFERROR(VLOOKUP(Table_socioeca8.sandag.org_abm2_trb[[#This Row],[route]],[2]transit_general!$B$2:$M$139,9,FALSE),0)</f>
        <v>711.70943656153702</v>
      </c>
      <c r="N105" s="263">
        <f>IFERROR(VLOOKUP(Table_socioeca8.sandag.org_abm2_trb[[#This Row],[route]],[2]transit_general!$B$2:$M$139,10,FALSE),0)</f>
        <v>1710.0751732753899</v>
      </c>
      <c r="O105" s="263">
        <f>IFERROR(VLOOKUP(Table_socioeca8.sandag.org_abm2_trb[[#This Row],[route]],[2]transit_general!$B$2:$M$139,11,FALSE),0)</f>
        <v>1694.0676896503201</v>
      </c>
      <c r="P105" s="263">
        <f>IFERROR(VLOOKUP(Table_socioeca8.sandag.org_abm2_trb[[#This Row],[route]],[2]transit_general!$B$2:$M$139,12,FALSE),0)</f>
        <v>1081.753417405464</v>
      </c>
      <c r="Q105" s="263">
        <f>IFERROR(VLOOKUP(Table_socioeca8.sandag.org_abm2_trb[[#This Row],[route]],[2]transit_general!$B$2:$M$139,2,FALSE),0)</f>
        <v>29</v>
      </c>
      <c r="S105" s="5">
        <f>Table_socioeca8.sandag.org_abm2_trb[[#This Row],[scenario_id]]</f>
        <v>259</v>
      </c>
      <c r="T105" s="5">
        <f>Table_socioeca8.sandag.org_abm2_trb[[#This Row],[route]]</f>
        <v>864</v>
      </c>
      <c r="U105" s="3">
        <f>Table_socioeca8.sandag.org_abm2_trb[[#This Row],[boarding_EA]]</f>
        <v>37.023997999999999</v>
      </c>
      <c r="V105" s="3">
        <f>Table_socioeca8.sandag.org_abm2_trb[[#This Row],[boarding_AM]]</f>
        <v>142.41934499999999</v>
      </c>
      <c r="W105" s="3">
        <f>Table_socioeca8.sandag.org_abm2_trb[[#This Row],[boarding_MD]]</f>
        <v>393.59711099999998</v>
      </c>
      <c r="X105" s="3">
        <f>Table_socioeca8.sandag.org_abm2_trb[[#This Row],[boarding_PM]]</f>
        <v>354.65919000000002</v>
      </c>
      <c r="Y105" s="3">
        <f>Table_socioeca8.sandag.org_abm2_trb[[#This Row],[boarding_EV]]</f>
        <v>204.74811099999999</v>
      </c>
      <c r="Z105" s="3">
        <f>Table_socioeca8.sandag.org_abm2_trb[[#This Row],[passenger_mile_EA]]</f>
        <v>245.43113363509801</v>
      </c>
      <c r="AA105" s="3">
        <f>Table_socioeca8.sandag.org_abm2_trb[[#This Row],[passenger_mile_AM]]</f>
        <v>711.70943656153702</v>
      </c>
      <c r="AB105" s="3">
        <f>Table_socioeca8.sandag.org_abm2_trb[[#This Row],[passenger_mile_MD]]</f>
        <v>1710.0751732753899</v>
      </c>
      <c r="AC105" s="3">
        <f>Table_socioeca8.sandag.org_abm2_trb[[#This Row],[passenger_mile_PM]]</f>
        <v>1694.0676896503201</v>
      </c>
      <c r="AD105" s="3">
        <f>Table_socioeca8.sandag.org_abm2_trb[[#This Row],[passenger_mile_EV]]</f>
        <v>1081.753417405464</v>
      </c>
      <c r="AE105" s="5">
        <f>Table_socioeca8.sandag.org_abm2_trb[[#This Row],[mode_transit_route_id]]</f>
        <v>29</v>
      </c>
      <c r="AF105"/>
    </row>
    <row r="106" spans="5:32" x14ac:dyDescent="0.25">
      <c r="E106" s="47">
        <f t="shared" si="1"/>
        <v>259</v>
      </c>
      <c r="F106" s="47">
        <v>871</v>
      </c>
      <c r="G106" s="263">
        <f>IFERROR(VLOOKUP(Table_socioeca8.sandag.org_abm2_trb[[#This Row],[route]],[2]transit_general!$B$2:$M$139,3,FALSE),0)</f>
        <v>6.5200019999999999</v>
      </c>
      <c r="H106" s="263">
        <f>IFERROR(VLOOKUP(Table_socioeca8.sandag.org_abm2_trb[[#This Row],[route]],[2]transit_general!$B$2:$M$139,4,FALSE),0)</f>
        <v>31.447338999999999</v>
      </c>
      <c r="I106" s="263">
        <f>IFERROR(VLOOKUP(Table_socioeca8.sandag.org_abm2_trb[[#This Row],[route]],[2]transit_general!$B$2:$M$139,5,FALSE),0)</f>
        <v>71.854275000000001</v>
      </c>
      <c r="J106" s="263">
        <f>IFERROR(VLOOKUP(Table_socioeca8.sandag.org_abm2_trb[[#This Row],[route]],[2]transit_general!$B$2:$M$139,6,FALSE),0)</f>
        <v>61.244459999999997</v>
      </c>
      <c r="K106" s="263">
        <f>IFERROR(VLOOKUP(Table_socioeca8.sandag.org_abm2_trb[[#This Row],[route]],[2]transit_general!$B$2:$M$139,7,FALSE),0)</f>
        <v>32.135058000000001</v>
      </c>
      <c r="L106" s="263">
        <f>IFERROR(VLOOKUP(Table_socioeca8.sandag.org_abm2_trb[[#This Row],[route]],[2]transit_general!$B$2:$M$139,8,FALSE),0)</f>
        <v>11.628245098441001</v>
      </c>
      <c r="M106" s="263">
        <f>IFERROR(VLOOKUP(Table_socioeca8.sandag.org_abm2_trb[[#This Row],[route]],[2]transit_general!$B$2:$M$139,9,FALSE),0)</f>
        <v>54.955922246378996</v>
      </c>
      <c r="N106" s="263">
        <f>IFERROR(VLOOKUP(Table_socioeca8.sandag.org_abm2_trb[[#This Row],[route]],[2]transit_general!$B$2:$M$139,10,FALSE),0)</f>
        <v>139.105757919898</v>
      </c>
      <c r="O106" s="263">
        <f>IFERROR(VLOOKUP(Table_socioeca8.sandag.org_abm2_trb[[#This Row],[route]],[2]transit_general!$B$2:$M$139,11,FALSE),0)</f>
        <v>103.25679901899299</v>
      </c>
      <c r="P106" s="263">
        <f>IFERROR(VLOOKUP(Table_socioeca8.sandag.org_abm2_trb[[#This Row],[route]],[2]transit_general!$B$2:$M$139,12,FALSE),0)</f>
        <v>57.934907339897997</v>
      </c>
      <c r="Q106" s="263">
        <f>IFERROR(VLOOKUP(Table_socioeca8.sandag.org_abm2_trb[[#This Row],[route]],[2]transit_general!$B$2:$M$139,2,FALSE),0)</f>
        <v>29</v>
      </c>
      <c r="S106" s="5">
        <f>Table_socioeca8.sandag.org_abm2_trb[[#This Row],[scenario_id]]</f>
        <v>259</v>
      </c>
      <c r="T106" s="5">
        <f>Table_socioeca8.sandag.org_abm2_trb[[#This Row],[route]]</f>
        <v>871</v>
      </c>
      <c r="U106" s="3">
        <f>Table_socioeca8.sandag.org_abm2_trb[[#This Row],[boarding_EA]]</f>
        <v>6.5200019999999999</v>
      </c>
      <c r="V106" s="3">
        <f>Table_socioeca8.sandag.org_abm2_trb[[#This Row],[boarding_AM]]</f>
        <v>31.447338999999999</v>
      </c>
      <c r="W106" s="3">
        <f>Table_socioeca8.sandag.org_abm2_trb[[#This Row],[boarding_MD]]</f>
        <v>71.854275000000001</v>
      </c>
      <c r="X106" s="3">
        <f>Table_socioeca8.sandag.org_abm2_trb[[#This Row],[boarding_PM]]</f>
        <v>61.244459999999997</v>
      </c>
      <c r="Y106" s="3">
        <f>Table_socioeca8.sandag.org_abm2_trb[[#This Row],[boarding_EV]]</f>
        <v>32.135058000000001</v>
      </c>
      <c r="Z106" s="3">
        <f>Table_socioeca8.sandag.org_abm2_trb[[#This Row],[passenger_mile_EA]]</f>
        <v>11.628245098441001</v>
      </c>
      <c r="AA106" s="3">
        <f>Table_socioeca8.sandag.org_abm2_trb[[#This Row],[passenger_mile_AM]]</f>
        <v>54.955922246378996</v>
      </c>
      <c r="AB106" s="3">
        <f>Table_socioeca8.sandag.org_abm2_trb[[#This Row],[passenger_mile_MD]]</f>
        <v>139.105757919898</v>
      </c>
      <c r="AC106" s="3">
        <f>Table_socioeca8.sandag.org_abm2_trb[[#This Row],[passenger_mile_PM]]</f>
        <v>103.25679901899299</v>
      </c>
      <c r="AD106" s="3">
        <f>Table_socioeca8.sandag.org_abm2_trb[[#This Row],[passenger_mile_EV]]</f>
        <v>57.934907339897997</v>
      </c>
      <c r="AE106" s="5">
        <f>Table_socioeca8.sandag.org_abm2_trb[[#This Row],[mode_transit_route_id]]</f>
        <v>29</v>
      </c>
      <c r="AF106"/>
    </row>
    <row r="107" spans="5:32" x14ac:dyDescent="0.25">
      <c r="E107" s="47">
        <f t="shared" si="1"/>
        <v>259</v>
      </c>
      <c r="F107" s="47">
        <v>872</v>
      </c>
      <c r="G107" s="263">
        <f>IFERROR(VLOOKUP(Table_socioeca8.sandag.org_abm2_trb[[#This Row],[route]],[2]transit_general!$B$2:$M$139,3,FALSE),0)</f>
        <v>5.0643750000000001</v>
      </c>
      <c r="H107" s="263">
        <f>IFERROR(VLOOKUP(Table_socioeca8.sandag.org_abm2_trb[[#This Row],[route]],[2]transit_general!$B$2:$M$139,4,FALSE),0)</f>
        <v>27.403727</v>
      </c>
      <c r="I107" s="263">
        <f>IFERROR(VLOOKUP(Table_socioeca8.sandag.org_abm2_trb[[#This Row],[route]],[2]transit_general!$B$2:$M$139,5,FALSE),0)</f>
        <v>73.903752999999995</v>
      </c>
      <c r="J107" s="263">
        <f>IFERROR(VLOOKUP(Table_socioeca8.sandag.org_abm2_trb[[#This Row],[route]],[2]transit_general!$B$2:$M$139,6,FALSE),0)</f>
        <v>61.999668</v>
      </c>
      <c r="K107" s="263">
        <f>IFERROR(VLOOKUP(Table_socioeca8.sandag.org_abm2_trb[[#This Row],[route]],[2]transit_general!$B$2:$M$139,7,FALSE),0)</f>
        <v>29.549427999999999</v>
      </c>
      <c r="L107" s="263">
        <f>IFERROR(VLOOKUP(Table_socioeca8.sandag.org_abm2_trb[[#This Row],[route]],[2]transit_general!$B$2:$M$139,8,FALSE),0)</f>
        <v>10.960368793816</v>
      </c>
      <c r="M107" s="263">
        <f>IFERROR(VLOOKUP(Table_socioeca8.sandag.org_abm2_trb[[#This Row],[route]],[2]transit_general!$B$2:$M$139,9,FALSE),0)</f>
        <v>49.883111807700999</v>
      </c>
      <c r="N107" s="263">
        <f>IFERROR(VLOOKUP(Table_socioeca8.sandag.org_abm2_trb[[#This Row],[route]],[2]transit_general!$B$2:$M$139,10,FALSE),0)</f>
        <v>113.104601818584</v>
      </c>
      <c r="O107" s="263">
        <f>IFERROR(VLOOKUP(Table_socioeca8.sandag.org_abm2_trb[[#This Row],[route]],[2]transit_general!$B$2:$M$139,11,FALSE),0)</f>
        <v>92.317459985810004</v>
      </c>
      <c r="P107" s="263">
        <f>IFERROR(VLOOKUP(Table_socioeca8.sandag.org_abm2_trb[[#This Row],[route]],[2]transit_general!$B$2:$M$139,12,FALSE),0)</f>
        <v>52.855632148768997</v>
      </c>
      <c r="Q107" s="263">
        <f>IFERROR(VLOOKUP(Table_socioeca8.sandag.org_abm2_trb[[#This Row],[route]],[2]transit_general!$B$2:$M$139,2,FALSE),0)</f>
        <v>29</v>
      </c>
      <c r="S107" s="5">
        <f>Table_socioeca8.sandag.org_abm2_trb[[#This Row],[scenario_id]]</f>
        <v>259</v>
      </c>
      <c r="T107" s="5">
        <f>Table_socioeca8.sandag.org_abm2_trb[[#This Row],[route]]</f>
        <v>872</v>
      </c>
      <c r="U107" s="3">
        <f>Table_socioeca8.sandag.org_abm2_trb[[#This Row],[boarding_EA]]</f>
        <v>5.0643750000000001</v>
      </c>
      <c r="V107" s="3">
        <f>Table_socioeca8.sandag.org_abm2_trb[[#This Row],[boarding_AM]]</f>
        <v>27.403727</v>
      </c>
      <c r="W107" s="3">
        <f>Table_socioeca8.sandag.org_abm2_trb[[#This Row],[boarding_MD]]</f>
        <v>73.903752999999995</v>
      </c>
      <c r="X107" s="3">
        <f>Table_socioeca8.sandag.org_abm2_trb[[#This Row],[boarding_PM]]</f>
        <v>61.999668</v>
      </c>
      <c r="Y107" s="3">
        <f>Table_socioeca8.sandag.org_abm2_trb[[#This Row],[boarding_EV]]</f>
        <v>29.549427999999999</v>
      </c>
      <c r="Z107" s="3">
        <f>Table_socioeca8.sandag.org_abm2_trb[[#This Row],[passenger_mile_EA]]</f>
        <v>10.960368793816</v>
      </c>
      <c r="AA107" s="3">
        <f>Table_socioeca8.sandag.org_abm2_trb[[#This Row],[passenger_mile_AM]]</f>
        <v>49.883111807700999</v>
      </c>
      <c r="AB107" s="3">
        <f>Table_socioeca8.sandag.org_abm2_trb[[#This Row],[passenger_mile_MD]]</f>
        <v>113.104601818584</v>
      </c>
      <c r="AC107" s="3">
        <f>Table_socioeca8.sandag.org_abm2_trb[[#This Row],[passenger_mile_PM]]</f>
        <v>92.317459985810004</v>
      </c>
      <c r="AD107" s="3">
        <f>Table_socioeca8.sandag.org_abm2_trb[[#This Row],[passenger_mile_EV]]</f>
        <v>52.855632148768997</v>
      </c>
      <c r="AE107" s="5">
        <f>Table_socioeca8.sandag.org_abm2_trb[[#This Row],[mode_transit_route_id]]</f>
        <v>29</v>
      </c>
      <c r="AF107"/>
    </row>
    <row r="108" spans="5:32" x14ac:dyDescent="0.25">
      <c r="E108" s="47">
        <f t="shared" si="1"/>
        <v>259</v>
      </c>
      <c r="F108" s="47">
        <v>874</v>
      </c>
      <c r="G108" s="263">
        <f>IFERROR(VLOOKUP(Table_socioeca8.sandag.org_abm2_trb[[#This Row],[route]],[2]transit_general!$B$2:$M$139,3,FALSE),0)</f>
        <v>20.329523999999999</v>
      </c>
      <c r="H108" s="263">
        <f>IFERROR(VLOOKUP(Table_socioeca8.sandag.org_abm2_trb[[#This Row],[route]],[2]transit_general!$B$2:$M$139,4,FALSE),0)</f>
        <v>93.099434000000002</v>
      </c>
      <c r="I108" s="263">
        <f>IFERROR(VLOOKUP(Table_socioeca8.sandag.org_abm2_trb[[#This Row],[route]],[2]transit_general!$B$2:$M$139,5,FALSE),0)</f>
        <v>216.717985</v>
      </c>
      <c r="J108" s="263">
        <f>IFERROR(VLOOKUP(Table_socioeca8.sandag.org_abm2_trb[[#This Row],[route]],[2]transit_general!$B$2:$M$139,6,FALSE),0)</f>
        <v>155.791191</v>
      </c>
      <c r="K108" s="263">
        <f>IFERROR(VLOOKUP(Table_socioeca8.sandag.org_abm2_trb[[#This Row],[route]],[2]transit_general!$B$2:$M$139,7,FALSE),0)</f>
        <v>99.306759999999997</v>
      </c>
      <c r="L108" s="263">
        <f>IFERROR(VLOOKUP(Table_socioeca8.sandag.org_abm2_trb[[#This Row],[route]],[2]transit_general!$B$2:$M$139,8,FALSE),0)</f>
        <v>52.147992655983998</v>
      </c>
      <c r="M108" s="263">
        <f>IFERROR(VLOOKUP(Table_socioeca8.sandag.org_abm2_trb[[#This Row],[route]],[2]transit_general!$B$2:$M$139,9,FALSE),0)</f>
        <v>234.272471626759</v>
      </c>
      <c r="N108" s="263">
        <f>IFERROR(VLOOKUP(Table_socioeca8.sandag.org_abm2_trb[[#This Row],[route]],[2]transit_general!$B$2:$M$139,10,FALSE),0)</f>
        <v>501.93987340183901</v>
      </c>
      <c r="O108" s="263">
        <f>IFERROR(VLOOKUP(Table_socioeca8.sandag.org_abm2_trb[[#This Row],[route]],[2]transit_general!$B$2:$M$139,11,FALSE),0)</f>
        <v>393.72458669907502</v>
      </c>
      <c r="P108" s="263">
        <f>IFERROR(VLOOKUP(Table_socioeca8.sandag.org_abm2_trb[[#This Row],[route]],[2]transit_general!$B$2:$M$139,12,FALSE),0)</f>
        <v>307.63575920093501</v>
      </c>
      <c r="Q108" s="263">
        <f>IFERROR(VLOOKUP(Table_socioeca8.sandag.org_abm2_trb[[#This Row],[route]],[2]transit_general!$B$2:$M$139,2,FALSE),0)</f>
        <v>29</v>
      </c>
      <c r="S108" s="5">
        <f>Table_socioeca8.sandag.org_abm2_trb[[#This Row],[scenario_id]]</f>
        <v>259</v>
      </c>
      <c r="T108" s="5">
        <f>Table_socioeca8.sandag.org_abm2_trb[[#This Row],[route]]</f>
        <v>874</v>
      </c>
      <c r="U108" s="3">
        <f>Table_socioeca8.sandag.org_abm2_trb[[#This Row],[boarding_EA]]</f>
        <v>20.329523999999999</v>
      </c>
      <c r="V108" s="3">
        <f>Table_socioeca8.sandag.org_abm2_trb[[#This Row],[boarding_AM]]</f>
        <v>93.099434000000002</v>
      </c>
      <c r="W108" s="3">
        <f>Table_socioeca8.sandag.org_abm2_trb[[#This Row],[boarding_MD]]</f>
        <v>216.717985</v>
      </c>
      <c r="X108" s="3">
        <f>Table_socioeca8.sandag.org_abm2_trb[[#This Row],[boarding_PM]]</f>
        <v>155.791191</v>
      </c>
      <c r="Y108" s="3">
        <f>Table_socioeca8.sandag.org_abm2_trb[[#This Row],[boarding_EV]]</f>
        <v>99.306759999999997</v>
      </c>
      <c r="Z108" s="3">
        <f>Table_socioeca8.sandag.org_abm2_trb[[#This Row],[passenger_mile_EA]]</f>
        <v>52.147992655983998</v>
      </c>
      <c r="AA108" s="3">
        <f>Table_socioeca8.sandag.org_abm2_trb[[#This Row],[passenger_mile_AM]]</f>
        <v>234.272471626759</v>
      </c>
      <c r="AB108" s="3">
        <f>Table_socioeca8.sandag.org_abm2_trb[[#This Row],[passenger_mile_MD]]</f>
        <v>501.93987340183901</v>
      </c>
      <c r="AC108" s="3">
        <f>Table_socioeca8.sandag.org_abm2_trb[[#This Row],[passenger_mile_PM]]</f>
        <v>393.72458669907502</v>
      </c>
      <c r="AD108" s="3">
        <f>Table_socioeca8.sandag.org_abm2_trb[[#This Row],[passenger_mile_EV]]</f>
        <v>307.63575920093501</v>
      </c>
      <c r="AE108" s="5">
        <f>Table_socioeca8.sandag.org_abm2_trb[[#This Row],[mode_transit_route_id]]</f>
        <v>29</v>
      </c>
      <c r="AF108"/>
    </row>
    <row r="109" spans="5:32" x14ac:dyDescent="0.25">
      <c r="E109" s="47">
        <f t="shared" si="1"/>
        <v>259</v>
      </c>
      <c r="F109" s="47">
        <v>875</v>
      </c>
      <c r="G109" s="263">
        <f>IFERROR(VLOOKUP(Table_socioeca8.sandag.org_abm2_trb[[#This Row],[route]],[2]transit_general!$B$2:$M$139,3,FALSE),0)</f>
        <v>9.8832889999999995</v>
      </c>
      <c r="H109" s="263">
        <f>IFERROR(VLOOKUP(Table_socioeca8.sandag.org_abm2_trb[[#This Row],[route]],[2]transit_general!$B$2:$M$139,4,FALSE),0)</f>
        <v>72.872882000000004</v>
      </c>
      <c r="I109" s="263">
        <f>IFERROR(VLOOKUP(Table_socioeca8.sandag.org_abm2_trb[[#This Row],[route]],[2]transit_general!$B$2:$M$139,5,FALSE),0)</f>
        <v>195.01541399999999</v>
      </c>
      <c r="J109" s="263">
        <f>IFERROR(VLOOKUP(Table_socioeca8.sandag.org_abm2_trb[[#This Row],[route]],[2]transit_general!$B$2:$M$139,6,FALSE),0)</f>
        <v>192.048742</v>
      </c>
      <c r="K109" s="263">
        <f>IFERROR(VLOOKUP(Table_socioeca8.sandag.org_abm2_trb[[#This Row],[route]],[2]transit_general!$B$2:$M$139,7,FALSE),0)</f>
        <v>106.79255999999999</v>
      </c>
      <c r="L109" s="263">
        <f>IFERROR(VLOOKUP(Table_socioeca8.sandag.org_abm2_trb[[#This Row],[route]],[2]transit_general!$B$2:$M$139,8,FALSE),0)</f>
        <v>31.723057092015999</v>
      </c>
      <c r="M109" s="263">
        <f>IFERROR(VLOOKUP(Table_socioeca8.sandag.org_abm2_trb[[#This Row],[route]],[2]transit_general!$B$2:$M$139,9,FALSE),0)</f>
        <v>215.77668277833101</v>
      </c>
      <c r="N109" s="263">
        <f>IFERROR(VLOOKUP(Table_socioeca8.sandag.org_abm2_trb[[#This Row],[route]],[2]transit_general!$B$2:$M$139,10,FALSE),0)</f>
        <v>442.26925256054</v>
      </c>
      <c r="O109" s="263">
        <f>IFERROR(VLOOKUP(Table_socioeca8.sandag.org_abm2_trb[[#This Row],[route]],[2]transit_general!$B$2:$M$139,11,FALSE),0)</f>
        <v>400.40156207394199</v>
      </c>
      <c r="P109" s="263">
        <f>IFERROR(VLOOKUP(Table_socioeca8.sandag.org_abm2_trb[[#This Row],[route]],[2]transit_general!$B$2:$M$139,12,FALSE),0)</f>
        <v>259.24783451655202</v>
      </c>
      <c r="Q109" s="263">
        <f>IFERROR(VLOOKUP(Table_socioeca8.sandag.org_abm2_trb[[#This Row],[route]],[2]transit_general!$B$2:$M$139,2,FALSE),0)</f>
        <v>29</v>
      </c>
      <c r="S109" s="5">
        <f>Table_socioeca8.sandag.org_abm2_trb[[#This Row],[scenario_id]]</f>
        <v>259</v>
      </c>
      <c r="T109" s="5">
        <f>Table_socioeca8.sandag.org_abm2_trb[[#This Row],[route]]</f>
        <v>875</v>
      </c>
      <c r="U109" s="3">
        <f>Table_socioeca8.sandag.org_abm2_trb[[#This Row],[boarding_EA]]</f>
        <v>9.8832889999999995</v>
      </c>
      <c r="V109" s="3">
        <f>Table_socioeca8.sandag.org_abm2_trb[[#This Row],[boarding_AM]]</f>
        <v>72.872882000000004</v>
      </c>
      <c r="W109" s="3">
        <f>Table_socioeca8.sandag.org_abm2_trb[[#This Row],[boarding_MD]]</f>
        <v>195.01541399999999</v>
      </c>
      <c r="X109" s="3">
        <f>Table_socioeca8.sandag.org_abm2_trb[[#This Row],[boarding_PM]]</f>
        <v>192.048742</v>
      </c>
      <c r="Y109" s="3">
        <f>Table_socioeca8.sandag.org_abm2_trb[[#This Row],[boarding_EV]]</f>
        <v>106.79255999999999</v>
      </c>
      <c r="Z109" s="3">
        <f>Table_socioeca8.sandag.org_abm2_trb[[#This Row],[passenger_mile_EA]]</f>
        <v>31.723057092015999</v>
      </c>
      <c r="AA109" s="3">
        <f>Table_socioeca8.sandag.org_abm2_trb[[#This Row],[passenger_mile_AM]]</f>
        <v>215.77668277833101</v>
      </c>
      <c r="AB109" s="3">
        <f>Table_socioeca8.sandag.org_abm2_trb[[#This Row],[passenger_mile_MD]]</f>
        <v>442.26925256054</v>
      </c>
      <c r="AC109" s="3">
        <f>Table_socioeca8.sandag.org_abm2_trb[[#This Row],[passenger_mile_PM]]</f>
        <v>400.40156207394199</v>
      </c>
      <c r="AD109" s="3">
        <f>Table_socioeca8.sandag.org_abm2_trb[[#This Row],[passenger_mile_EV]]</f>
        <v>259.24783451655202</v>
      </c>
      <c r="AE109" s="5">
        <f>Table_socioeca8.sandag.org_abm2_trb[[#This Row],[mode_transit_route_id]]</f>
        <v>29</v>
      </c>
      <c r="AF109"/>
    </row>
    <row r="110" spans="5:32" x14ac:dyDescent="0.25">
      <c r="E110" s="47">
        <f t="shared" si="1"/>
        <v>259</v>
      </c>
      <c r="F110" s="47">
        <v>901</v>
      </c>
      <c r="G110" s="263">
        <f>IFERROR(VLOOKUP(Table_socioeca8.sandag.org_abm2_trb[[#This Row],[route]],[2]transit_general!$B$2:$M$139,3,FALSE),0)</f>
        <v>213.81672900000001</v>
      </c>
      <c r="H110" s="263">
        <f>IFERROR(VLOOKUP(Table_socioeca8.sandag.org_abm2_trb[[#This Row],[route]],[2]transit_general!$B$2:$M$139,4,FALSE),0)</f>
        <v>967.81056699999999</v>
      </c>
      <c r="I110" s="263">
        <f>IFERROR(VLOOKUP(Table_socioeca8.sandag.org_abm2_trb[[#This Row],[route]],[2]transit_general!$B$2:$M$139,5,FALSE),0)</f>
        <v>1318.6808659999999</v>
      </c>
      <c r="J110" s="263">
        <f>IFERROR(VLOOKUP(Table_socioeca8.sandag.org_abm2_trb[[#This Row],[route]],[2]transit_general!$B$2:$M$139,6,FALSE),0)</f>
        <v>1429.799041</v>
      </c>
      <c r="K110" s="263">
        <f>IFERROR(VLOOKUP(Table_socioeca8.sandag.org_abm2_trb[[#This Row],[route]],[2]transit_general!$B$2:$M$139,7,FALSE),0)</f>
        <v>660.19101999999998</v>
      </c>
      <c r="L110" s="263">
        <f>IFERROR(VLOOKUP(Table_socioeca8.sandag.org_abm2_trb[[#This Row],[route]],[2]transit_general!$B$2:$M$139,8,FALSE),0)</f>
        <v>1990.680481287977</v>
      </c>
      <c r="M110" s="263">
        <f>IFERROR(VLOOKUP(Table_socioeca8.sandag.org_abm2_trb[[#This Row],[route]],[2]transit_general!$B$2:$M$139,9,FALSE),0)</f>
        <v>7379.6167573083203</v>
      </c>
      <c r="N110" s="263">
        <f>IFERROR(VLOOKUP(Table_socioeca8.sandag.org_abm2_trb[[#This Row],[route]],[2]transit_general!$B$2:$M$139,10,FALSE),0)</f>
        <v>9249.378626841255</v>
      </c>
      <c r="O110" s="263">
        <f>IFERROR(VLOOKUP(Table_socioeca8.sandag.org_abm2_trb[[#This Row],[route]],[2]transit_general!$B$2:$M$139,11,FALSE),0)</f>
        <v>10352.297237844399</v>
      </c>
      <c r="P110" s="263">
        <f>IFERROR(VLOOKUP(Table_socioeca8.sandag.org_abm2_trb[[#This Row],[route]],[2]transit_general!$B$2:$M$139,12,FALSE),0)</f>
        <v>4858.8393576640801</v>
      </c>
      <c r="Q110" s="263">
        <f>IFERROR(VLOOKUP(Table_socioeca8.sandag.org_abm2_trb[[#This Row],[route]],[2]transit_general!$B$2:$M$139,2,FALSE),0)</f>
        <v>29</v>
      </c>
      <c r="S110" s="5">
        <f>Table_socioeca8.sandag.org_abm2_trb[[#This Row],[scenario_id]]</f>
        <v>259</v>
      </c>
      <c r="T110" s="5">
        <f>Table_socioeca8.sandag.org_abm2_trb[[#This Row],[route]]</f>
        <v>901</v>
      </c>
      <c r="U110" s="3">
        <f>Table_socioeca8.sandag.org_abm2_trb[[#This Row],[boarding_EA]]</f>
        <v>213.81672900000001</v>
      </c>
      <c r="V110" s="3">
        <f>Table_socioeca8.sandag.org_abm2_trb[[#This Row],[boarding_AM]]</f>
        <v>967.81056699999999</v>
      </c>
      <c r="W110" s="3">
        <f>Table_socioeca8.sandag.org_abm2_trb[[#This Row],[boarding_MD]]</f>
        <v>1318.6808659999999</v>
      </c>
      <c r="X110" s="3">
        <f>Table_socioeca8.sandag.org_abm2_trb[[#This Row],[boarding_PM]]</f>
        <v>1429.799041</v>
      </c>
      <c r="Y110" s="3">
        <f>Table_socioeca8.sandag.org_abm2_trb[[#This Row],[boarding_EV]]</f>
        <v>660.19101999999998</v>
      </c>
      <c r="Z110" s="3">
        <f>Table_socioeca8.sandag.org_abm2_trb[[#This Row],[passenger_mile_EA]]</f>
        <v>1990.680481287977</v>
      </c>
      <c r="AA110" s="3">
        <f>Table_socioeca8.sandag.org_abm2_trb[[#This Row],[passenger_mile_AM]]</f>
        <v>7379.6167573083203</v>
      </c>
      <c r="AB110" s="3">
        <f>Table_socioeca8.sandag.org_abm2_trb[[#This Row],[passenger_mile_MD]]</f>
        <v>9249.378626841255</v>
      </c>
      <c r="AC110" s="3">
        <f>Table_socioeca8.sandag.org_abm2_trb[[#This Row],[passenger_mile_PM]]</f>
        <v>10352.297237844399</v>
      </c>
      <c r="AD110" s="3">
        <f>Table_socioeca8.sandag.org_abm2_trb[[#This Row],[passenger_mile_EV]]</f>
        <v>4858.8393576640801</v>
      </c>
      <c r="AE110" s="5">
        <f>Table_socioeca8.sandag.org_abm2_trb[[#This Row],[mode_transit_route_id]]</f>
        <v>29</v>
      </c>
      <c r="AF110"/>
    </row>
    <row r="111" spans="5:32" x14ac:dyDescent="0.25">
      <c r="E111" s="47">
        <f t="shared" si="1"/>
        <v>259</v>
      </c>
      <c r="F111" s="47">
        <v>904</v>
      </c>
      <c r="G111" s="263">
        <f>IFERROR(VLOOKUP(Table_socioeca8.sandag.org_abm2_trb[[#This Row],[route]],[2]transit_general!$B$2:$M$139,3,FALSE),0)</f>
        <v>2.381453</v>
      </c>
      <c r="H111" s="263">
        <f>IFERROR(VLOOKUP(Table_socioeca8.sandag.org_abm2_trb[[#This Row],[route]],[2]transit_general!$B$2:$M$139,4,FALSE),0)</f>
        <v>0</v>
      </c>
      <c r="I111" s="263">
        <f>IFERROR(VLOOKUP(Table_socioeca8.sandag.org_abm2_trb[[#This Row],[route]],[2]transit_general!$B$2:$M$139,5,FALSE),0)</f>
        <v>19.680683999999999</v>
      </c>
      <c r="J111" s="263">
        <f>IFERROR(VLOOKUP(Table_socioeca8.sandag.org_abm2_trb[[#This Row],[route]],[2]transit_general!$B$2:$M$139,6,FALSE),0)</f>
        <v>13.593401</v>
      </c>
      <c r="K111" s="263">
        <f>IFERROR(VLOOKUP(Table_socioeca8.sandag.org_abm2_trb[[#This Row],[route]],[2]transit_general!$B$2:$M$139,7,FALSE),0)</f>
        <v>14.195983</v>
      </c>
      <c r="L111" s="263">
        <f>IFERROR(VLOOKUP(Table_socioeca8.sandag.org_abm2_trb[[#This Row],[route]],[2]transit_general!$B$2:$M$139,8,FALSE),0)</f>
        <v>3.3076469263020001</v>
      </c>
      <c r="M111" s="263">
        <f>IFERROR(VLOOKUP(Table_socioeca8.sandag.org_abm2_trb[[#This Row],[route]],[2]transit_general!$B$2:$M$139,9,FALSE),0)</f>
        <v>0</v>
      </c>
      <c r="N111" s="263">
        <f>IFERROR(VLOOKUP(Table_socioeca8.sandag.org_abm2_trb[[#This Row],[route]],[2]transit_general!$B$2:$M$139,10,FALSE),0)</f>
        <v>15.619996052617999</v>
      </c>
      <c r="O111" s="263">
        <f>IFERROR(VLOOKUP(Table_socioeca8.sandag.org_abm2_trb[[#This Row],[route]],[2]transit_general!$B$2:$M$139,11,FALSE),0)</f>
        <v>11.069148444836999</v>
      </c>
      <c r="P111" s="263">
        <f>IFERROR(VLOOKUP(Table_socioeca8.sandag.org_abm2_trb[[#This Row],[route]],[2]transit_general!$B$2:$M$139,12,FALSE),0)</f>
        <v>10.011518353199</v>
      </c>
      <c r="Q111" s="263">
        <f>IFERROR(VLOOKUP(Table_socioeca8.sandag.org_abm2_trb[[#This Row],[route]],[2]transit_general!$B$2:$M$139,2,FALSE),0)</f>
        <v>29</v>
      </c>
      <c r="S111" s="5">
        <f>Table_socioeca8.sandag.org_abm2_trb[[#This Row],[scenario_id]]</f>
        <v>259</v>
      </c>
      <c r="T111" s="5">
        <f>Table_socioeca8.sandag.org_abm2_trb[[#This Row],[route]]</f>
        <v>904</v>
      </c>
      <c r="U111" s="3">
        <f>Table_socioeca8.sandag.org_abm2_trb[[#This Row],[boarding_EA]]</f>
        <v>2.381453</v>
      </c>
      <c r="V111" s="3">
        <f>Table_socioeca8.sandag.org_abm2_trb[[#This Row],[boarding_AM]]</f>
        <v>0</v>
      </c>
      <c r="W111" s="3">
        <f>Table_socioeca8.sandag.org_abm2_trb[[#This Row],[boarding_MD]]</f>
        <v>19.680683999999999</v>
      </c>
      <c r="X111" s="3">
        <f>Table_socioeca8.sandag.org_abm2_trb[[#This Row],[boarding_PM]]</f>
        <v>13.593401</v>
      </c>
      <c r="Y111" s="3">
        <f>Table_socioeca8.sandag.org_abm2_trb[[#This Row],[boarding_EV]]</f>
        <v>14.195983</v>
      </c>
      <c r="Z111" s="3">
        <f>Table_socioeca8.sandag.org_abm2_trb[[#This Row],[passenger_mile_EA]]</f>
        <v>3.3076469263020001</v>
      </c>
      <c r="AA111" s="3">
        <f>Table_socioeca8.sandag.org_abm2_trb[[#This Row],[passenger_mile_AM]]</f>
        <v>0</v>
      </c>
      <c r="AB111" s="3">
        <f>Table_socioeca8.sandag.org_abm2_trb[[#This Row],[passenger_mile_MD]]</f>
        <v>15.619996052617999</v>
      </c>
      <c r="AC111" s="3">
        <f>Table_socioeca8.sandag.org_abm2_trb[[#This Row],[passenger_mile_PM]]</f>
        <v>11.069148444836999</v>
      </c>
      <c r="AD111" s="3">
        <f>Table_socioeca8.sandag.org_abm2_trb[[#This Row],[passenger_mile_EV]]</f>
        <v>10.011518353199</v>
      </c>
      <c r="AE111" s="5">
        <f>Table_socioeca8.sandag.org_abm2_trb[[#This Row],[mode_transit_route_id]]</f>
        <v>29</v>
      </c>
      <c r="AF111"/>
    </row>
    <row r="112" spans="5:32" x14ac:dyDescent="0.25">
      <c r="E112" s="47">
        <f t="shared" si="1"/>
        <v>259</v>
      </c>
      <c r="F112" s="47">
        <v>905</v>
      </c>
      <c r="G112" s="263">
        <f>IFERROR(VLOOKUP(Table_socioeca8.sandag.org_abm2_trb[[#This Row],[route]],[2]transit_general!$B$2:$M$139,3,FALSE),0)</f>
        <v>157.760774</v>
      </c>
      <c r="H112" s="263">
        <f>IFERROR(VLOOKUP(Table_socioeca8.sandag.org_abm2_trb[[#This Row],[route]],[2]transit_general!$B$2:$M$139,4,FALSE),0)</f>
        <v>343.602914</v>
      </c>
      <c r="I112" s="263">
        <f>IFERROR(VLOOKUP(Table_socioeca8.sandag.org_abm2_trb[[#This Row],[route]],[2]transit_general!$B$2:$M$139,5,FALSE),0)</f>
        <v>577.03434100000004</v>
      </c>
      <c r="J112" s="263">
        <f>IFERROR(VLOOKUP(Table_socioeca8.sandag.org_abm2_trb[[#This Row],[route]],[2]transit_general!$B$2:$M$139,6,FALSE),0)</f>
        <v>601.29604500000005</v>
      </c>
      <c r="K112" s="263">
        <f>IFERROR(VLOOKUP(Table_socioeca8.sandag.org_abm2_trb[[#This Row],[route]],[2]transit_general!$B$2:$M$139,7,FALSE),0)</f>
        <v>739.42570999999998</v>
      </c>
      <c r="L112" s="263">
        <f>IFERROR(VLOOKUP(Table_socioeca8.sandag.org_abm2_trb[[#This Row],[route]],[2]transit_general!$B$2:$M$139,8,FALSE),0)</f>
        <v>1227.4307039594501</v>
      </c>
      <c r="M112" s="263">
        <f>IFERROR(VLOOKUP(Table_socioeca8.sandag.org_abm2_trb[[#This Row],[route]],[2]transit_general!$B$2:$M$139,9,FALSE),0)</f>
        <v>2289.3343811383611</v>
      </c>
      <c r="N112" s="263">
        <f>IFERROR(VLOOKUP(Table_socioeca8.sandag.org_abm2_trb[[#This Row],[route]],[2]transit_general!$B$2:$M$139,10,FALSE),0)</f>
        <v>4292.2043101383742</v>
      </c>
      <c r="O112" s="263">
        <f>IFERROR(VLOOKUP(Table_socioeca8.sandag.org_abm2_trb[[#This Row],[route]],[2]transit_general!$B$2:$M$139,11,FALSE),0)</f>
        <v>4446.1617873928326</v>
      </c>
      <c r="P112" s="263">
        <f>IFERROR(VLOOKUP(Table_socioeca8.sandag.org_abm2_trb[[#This Row],[route]],[2]transit_general!$B$2:$M$139,12,FALSE),0)</f>
        <v>6113.5599252556303</v>
      </c>
      <c r="Q112" s="263">
        <f>IFERROR(VLOOKUP(Table_socioeca8.sandag.org_abm2_trb[[#This Row],[route]],[2]transit_general!$B$2:$M$139,2,FALSE),0)</f>
        <v>29</v>
      </c>
      <c r="S112" s="5">
        <f>Table_socioeca8.sandag.org_abm2_trb[[#This Row],[scenario_id]]</f>
        <v>259</v>
      </c>
      <c r="T112" s="5">
        <f>Table_socioeca8.sandag.org_abm2_trb[[#This Row],[route]]</f>
        <v>905</v>
      </c>
      <c r="U112" s="3">
        <f>Table_socioeca8.sandag.org_abm2_trb[[#This Row],[boarding_EA]]</f>
        <v>157.760774</v>
      </c>
      <c r="V112" s="3">
        <f>Table_socioeca8.sandag.org_abm2_trb[[#This Row],[boarding_AM]]</f>
        <v>343.602914</v>
      </c>
      <c r="W112" s="3">
        <f>Table_socioeca8.sandag.org_abm2_trb[[#This Row],[boarding_MD]]</f>
        <v>577.03434100000004</v>
      </c>
      <c r="X112" s="3">
        <f>Table_socioeca8.sandag.org_abm2_trb[[#This Row],[boarding_PM]]</f>
        <v>601.29604500000005</v>
      </c>
      <c r="Y112" s="3">
        <f>Table_socioeca8.sandag.org_abm2_trb[[#This Row],[boarding_EV]]</f>
        <v>739.42570999999998</v>
      </c>
      <c r="Z112" s="3">
        <f>Table_socioeca8.sandag.org_abm2_trb[[#This Row],[passenger_mile_EA]]</f>
        <v>1227.4307039594501</v>
      </c>
      <c r="AA112" s="3">
        <f>Table_socioeca8.sandag.org_abm2_trb[[#This Row],[passenger_mile_AM]]</f>
        <v>2289.3343811383611</v>
      </c>
      <c r="AB112" s="3">
        <f>Table_socioeca8.sandag.org_abm2_trb[[#This Row],[passenger_mile_MD]]</f>
        <v>4292.2043101383742</v>
      </c>
      <c r="AC112" s="3">
        <f>Table_socioeca8.sandag.org_abm2_trb[[#This Row],[passenger_mile_PM]]</f>
        <v>4446.1617873928326</v>
      </c>
      <c r="AD112" s="3">
        <f>Table_socioeca8.sandag.org_abm2_trb[[#This Row],[passenger_mile_EV]]</f>
        <v>6113.5599252556303</v>
      </c>
      <c r="AE112" s="5">
        <f>Table_socioeca8.sandag.org_abm2_trb[[#This Row],[mode_transit_route_id]]</f>
        <v>29</v>
      </c>
      <c r="AF112"/>
    </row>
    <row r="113" spans="5:32" x14ac:dyDescent="0.25">
      <c r="E113" s="47">
        <f t="shared" si="1"/>
        <v>259</v>
      </c>
      <c r="F113" s="47">
        <v>906</v>
      </c>
      <c r="G113" s="263">
        <f>IFERROR(VLOOKUP(Table_socioeca8.sandag.org_abm2_trb[[#This Row],[route]],[2]transit_general!$B$2:$M$139,3,FALSE),0)</f>
        <v>164.45740699999999</v>
      </c>
      <c r="H113" s="263">
        <f>IFERROR(VLOOKUP(Table_socioeca8.sandag.org_abm2_trb[[#This Row],[route]],[2]transit_general!$B$2:$M$139,4,FALSE),0)</f>
        <v>377.24689599999999</v>
      </c>
      <c r="I113" s="263">
        <f>IFERROR(VLOOKUP(Table_socioeca8.sandag.org_abm2_trb[[#This Row],[route]],[2]transit_general!$B$2:$M$139,5,FALSE),0)</f>
        <v>939.58250799999996</v>
      </c>
      <c r="J113" s="263">
        <f>IFERROR(VLOOKUP(Table_socioeca8.sandag.org_abm2_trb[[#This Row],[route]],[2]transit_general!$B$2:$M$139,6,FALSE),0)</f>
        <v>505.09334799999999</v>
      </c>
      <c r="K113" s="263">
        <f>IFERROR(VLOOKUP(Table_socioeca8.sandag.org_abm2_trb[[#This Row],[route]],[2]transit_general!$B$2:$M$139,7,FALSE),0)</f>
        <v>372.95283999999998</v>
      </c>
      <c r="L113" s="263">
        <f>IFERROR(VLOOKUP(Table_socioeca8.sandag.org_abm2_trb[[#This Row],[route]],[2]transit_general!$B$2:$M$139,8,FALSE),0)</f>
        <v>302.54714953318103</v>
      </c>
      <c r="M113" s="263">
        <f>IFERROR(VLOOKUP(Table_socioeca8.sandag.org_abm2_trb[[#This Row],[route]],[2]transit_general!$B$2:$M$139,9,FALSE),0)</f>
        <v>622.39067455756799</v>
      </c>
      <c r="N113" s="263">
        <f>IFERROR(VLOOKUP(Table_socioeca8.sandag.org_abm2_trb[[#This Row],[route]],[2]transit_general!$B$2:$M$139,10,FALSE),0)</f>
        <v>1647.2484349604449</v>
      </c>
      <c r="O113" s="263">
        <f>IFERROR(VLOOKUP(Table_socioeca8.sandag.org_abm2_trb[[#This Row],[route]],[2]transit_general!$B$2:$M$139,11,FALSE),0)</f>
        <v>912.95661687265397</v>
      </c>
      <c r="P113" s="263">
        <f>IFERROR(VLOOKUP(Table_socioeca8.sandag.org_abm2_trb[[#This Row],[route]],[2]transit_general!$B$2:$M$139,12,FALSE),0)</f>
        <v>769.93871743089005</v>
      </c>
      <c r="Q113" s="263">
        <f>IFERROR(VLOOKUP(Table_socioeca8.sandag.org_abm2_trb[[#This Row],[route]],[2]transit_general!$B$2:$M$139,2,FALSE),0)</f>
        <v>29</v>
      </c>
      <c r="S113" s="5">
        <f>Table_socioeca8.sandag.org_abm2_trb[[#This Row],[scenario_id]]</f>
        <v>259</v>
      </c>
      <c r="T113" s="5">
        <f>Table_socioeca8.sandag.org_abm2_trb[[#This Row],[route]]</f>
        <v>906</v>
      </c>
      <c r="U113" s="3">
        <f>Table_socioeca8.sandag.org_abm2_trb[[#This Row],[boarding_EA]]</f>
        <v>164.45740699999999</v>
      </c>
      <c r="V113" s="3">
        <f>Table_socioeca8.sandag.org_abm2_trb[[#This Row],[boarding_AM]]</f>
        <v>377.24689599999999</v>
      </c>
      <c r="W113" s="3">
        <f>Table_socioeca8.sandag.org_abm2_trb[[#This Row],[boarding_MD]]</f>
        <v>939.58250799999996</v>
      </c>
      <c r="X113" s="3">
        <f>Table_socioeca8.sandag.org_abm2_trb[[#This Row],[boarding_PM]]</f>
        <v>505.09334799999999</v>
      </c>
      <c r="Y113" s="3">
        <f>Table_socioeca8.sandag.org_abm2_trb[[#This Row],[boarding_EV]]</f>
        <v>372.95283999999998</v>
      </c>
      <c r="Z113" s="3">
        <f>Table_socioeca8.sandag.org_abm2_trb[[#This Row],[passenger_mile_EA]]</f>
        <v>302.54714953318103</v>
      </c>
      <c r="AA113" s="3">
        <f>Table_socioeca8.sandag.org_abm2_trb[[#This Row],[passenger_mile_AM]]</f>
        <v>622.39067455756799</v>
      </c>
      <c r="AB113" s="3">
        <f>Table_socioeca8.sandag.org_abm2_trb[[#This Row],[passenger_mile_MD]]</f>
        <v>1647.2484349604449</v>
      </c>
      <c r="AC113" s="3">
        <f>Table_socioeca8.sandag.org_abm2_trb[[#This Row],[passenger_mile_PM]]</f>
        <v>912.95661687265397</v>
      </c>
      <c r="AD113" s="3">
        <f>Table_socioeca8.sandag.org_abm2_trb[[#This Row],[passenger_mile_EV]]</f>
        <v>769.93871743089005</v>
      </c>
      <c r="AE113" s="5">
        <f>Table_socioeca8.sandag.org_abm2_trb[[#This Row],[mode_transit_route_id]]</f>
        <v>29</v>
      </c>
      <c r="AF113"/>
    </row>
    <row r="114" spans="5:32" x14ac:dyDescent="0.25">
      <c r="E114" s="47">
        <f t="shared" si="1"/>
        <v>259</v>
      </c>
      <c r="F114" s="47">
        <v>907</v>
      </c>
      <c r="G114" s="263">
        <f>IFERROR(VLOOKUP(Table_socioeca8.sandag.org_abm2_trb[[#This Row],[route]],[2]transit_general!$B$2:$M$139,3,FALSE),0)</f>
        <v>71.118352000000002</v>
      </c>
      <c r="H114" s="263">
        <f>IFERROR(VLOOKUP(Table_socioeca8.sandag.org_abm2_trb[[#This Row],[route]],[2]transit_general!$B$2:$M$139,4,FALSE),0)</f>
        <v>209.33948699999999</v>
      </c>
      <c r="I114" s="263">
        <f>IFERROR(VLOOKUP(Table_socioeca8.sandag.org_abm2_trb[[#This Row],[route]],[2]transit_general!$B$2:$M$139,5,FALSE),0)</f>
        <v>615.73212000000001</v>
      </c>
      <c r="J114" s="263">
        <f>IFERROR(VLOOKUP(Table_socioeca8.sandag.org_abm2_trb[[#This Row],[route]],[2]transit_general!$B$2:$M$139,6,FALSE),0)</f>
        <v>627.25</v>
      </c>
      <c r="K114" s="263">
        <f>IFERROR(VLOOKUP(Table_socioeca8.sandag.org_abm2_trb[[#This Row],[route]],[2]transit_general!$B$2:$M$139,7,FALSE),0)</f>
        <v>662.75</v>
      </c>
      <c r="L114" s="263">
        <f>IFERROR(VLOOKUP(Table_socioeca8.sandag.org_abm2_trb[[#This Row],[route]],[2]transit_general!$B$2:$M$139,8,FALSE),0)</f>
        <v>142.45357383222401</v>
      </c>
      <c r="M114" s="263">
        <f>IFERROR(VLOOKUP(Table_socioeca8.sandag.org_abm2_trb[[#This Row],[route]],[2]transit_general!$B$2:$M$139,9,FALSE),0)</f>
        <v>376.21319321771898</v>
      </c>
      <c r="N114" s="263">
        <f>IFERROR(VLOOKUP(Table_socioeca8.sandag.org_abm2_trb[[#This Row],[route]],[2]transit_general!$B$2:$M$139,10,FALSE),0)</f>
        <v>1200.03043161764</v>
      </c>
      <c r="O114" s="263">
        <f>IFERROR(VLOOKUP(Table_socioeca8.sandag.org_abm2_trb[[#This Row],[route]],[2]transit_general!$B$2:$M$139,11,FALSE),0)</f>
        <v>1063.1478835</v>
      </c>
      <c r="P114" s="263">
        <f>IFERROR(VLOOKUP(Table_socioeca8.sandag.org_abm2_trb[[#This Row],[route]],[2]transit_general!$B$2:$M$139,12,FALSE),0)</f>
        <v>1116.8013907500001</v>
      </c>
      <c r="Q114" s="263">
        <f>IFERROR(VLOOKUP(Table_socioeca8.sandag.org_abm2_trb[[#This Row],[route]],[2]transit_general!$B$2:$M$139,2,FALSE),0)</f>
        <v>29</v>
      </c>
      <c r="S114" s="5">
        <f>Table_socioeca8.sandag.org_abm2_trb[[#This Row],[scenario_id]]</f>
        <v>259</v>
      </c>
      <c r="T114" s="5">
        <f>Table_socioeca8.sandag.org_abm2_trb[[#This Row],[route]]</f>
        <v>907</v>
      </c>
      <c r="U114" s="3">
        <f>Table_socioeca8.sandag.org_abm2_trb[[#This Row],[boarding_EA]]</f>
        <v>71.118352000000002</v>
      </c>
      <c r="V114" s="3">
        <f>Table_socioeca8.sandag.org_abm2_trb[[#This Row],[boarding_AM]]</f>
        <v>209.33948699999999</v>
      </c>
      <c r="W114" s="3">
        <f>Table_socioeca8.sandag.org_abm2_trb[[#This Row],[boarding_MD]]</f>
        <v>615.73212000000001</v>
      </c>
      <c r="X114" s="3">
        <f>Table_socioeca8.sandag.org_abm2_trb[[#This Row],[boarding_PM]]</f>
        <v>627.25</v>
      </c>
      <c r="Y114" s="3">
        <f>Table_socioeca8.sandag.org_abm2_trb[[#This Row],[boarding_EV]]</f>
        <v>662.75</v>
      </c>
      <c r="Z114" s="3">
        <f>Table_socioeca8.sandag.org_abm2_trb[[#This Row],[passenger_mile_EA]]</f>
        <v>142.45357383222401</v>
      </c>
      <c r="AA114" s="3">
        <f>Table_socioeca8.sandag.org_abm2_trb[[#This Row],[passenger_mile_AM]]</f>
        <v>376.21319321771898</v>
      </c>
      <c r="AB114" s="3">
        <f>Table_socioeca8.sandag.org_abm2_trb[[#This Row],[passenger_mile_MD]]</f>
        <v>1200.03043161764</v>
      </c>
      <c r="AC114" s="3">
        <f>Table_socioeca8.sandag.org_abm2_trb[[#This Row],[passenger_mile_PM]]</f>
        <v>1063.1478835</v>
      </c>
      <c r="AD114" s="3">
        <f>Table_socioeca8.sandag.org_abm2_trb[[#This Row],[passenger_mile_EV]]</f>
        <v>1116.8013907500001</v>
      </c>
      <c r="AE114" s="5">
        <f>Table_socioeca8.sandag.org_abm2_trb[[#This Row],[mode_transit_route_id]]</f>
        <v>29</v>
      </c>
      <c r="AF114"/>
    </row>
    <row r="115" spans="5:32" x14ac:dyDescent="0.25">
      <c r="E115" s="47">
        <f t="shared" si="1"/>
        <v>259</v>
      </c>
      <c r="F115" s="47">
        <v>916</v>
      </c>
      <c r="G115" s="263">
        <f>IFERROR(VLOOKUP(Table_socioeca8.sandag.org_abm2_trb[[#This Row],[route]],[2]transit_general!$B$2:$M$139,3,FALSE),0)</f>
        <v>10.082637999999999</v>
      </c>
      <c r="H115" s="263">
        <f>IFERROR(VLOOKUP(Table_socioeca8.sandag.org_abm2_trb[[#This Row],[route]],[2]transit_general!$B$2:$M$139,4,FALSE),0)</f>
        <v>46.407041999999997</v>
      </c>
      <c r="I115" s="263">
        <f>IFERROR(VLOOKUP(Table_socioeca8.sandag.org_abm2_trb[[#This Row],[route]],[2]transit_general!$B$2:$M$139,5,FALSE),0)</f>
        <v>128.64314400000001</v>
      </c>
      <c r="J115" s="263">
        <f>IFERROR(VLOOKUP(Table_socioeca8.sandag.org_abm2_trb[[#This Row],[route]],[2]transit_general!$B$2:$M$139,6,FALSE),0)</f>
        <v>121.290583</v>
      </c>
      <c r="K115" s="263">
        <f>IFERROR(VLOOKUP(Table_socioeca8.sandag.org_abm2_trb[[#This Row],[route]],[2]transit_general!$B$2:$M$139,7,FALSE),0)</f>
        <v>67.283484000000001</v>
      </c>
      <c r="L115" s="263">
        <f>IFERROR(VLOOKUP(Table_socioeca8.sandag.org_abm2_trb[[#This Row],[route]],[2]transit_general!$B$2:$M$139,8,FALSE),0)</f>
        <v>30.375577779501999</v>
      </c>
      <c r="M115" s="263">
        <f>IFERROR(VLOOKUP(Table_socioeca8.sandag.org_abm2_trb[[#This Row],[route]],[2]transit_general!$B$2:$M$139,9,FALSE),0)</f>
        <v>130.24524713770199</v>
      </c>
      <c r="N115" s="263">
        <f>IFERROR(VLOOKUP(Table_socioeca8.sandag.org_abm2_trb[[#This Row],[route]],[2]transit_general!$B$2:$M$139,10,FALSE),0)</f>
        <v>336.30888395524602</v>
      </c>
      <c r="O115" s="263">
        <f>IFERROR(VLOOKUP(Table_socioeca8.sandag.org_abm2_trb[[#This Row],[route]],[2]transit_general!$B$2:$M$139,11,FALSE),0)</f>
        <v>368.38058308958301</v>
      </c>
      <c r="P115" s="263">
        <f>IFERROR(VLOOKUP(Table_socioeca8.sandag.org_abm2_trb[[#This Row],[route]],[2]transit_general!$B$2:$M$139,12,FALSE),0)</f>
        <v>218.213070110263</v>
      </c>
      <c r="Q115" s="263">
        <f>IFERROR(VLOOKUP(Table_socioeca8.sandag.org_abm2_trb[[#This Row],[route]],[2]transit_general!$B$2:$M$139,2,FALSE),0)</f>
        <v>29</v>
      </c>
      <c r="S115" s="5">
        <f>Table_socioeca8.sandag.org_abm2_trb[[#This Row],[scenario_id]]</f>
        <v>259</v>
      </c>
      <c r="T115" s="5">
        <f>Table_socioeca8.sandag.org_abm2_trb[[#This Row],[route]]</f>
        <v>916</v>
      </c>
      <c r="U115" s="3">
        <f>Table_socioeca8.sandag.org_abm2_trb[[#This Row],[boarding_EA]]</f>
        <v>10.082637999999999</v>
      </c>
      <c r="V115" s="3">
        <f>Table_socioeca8.sandag.org_abm2_trb[[#This Row],[boarding_AM]]</f>
        <v>46.407041999999997</v>
      </c>
      <c r="W115" s="3">
        <f>Table_socioeca8.sandag.org_abm2_trb[[#This Row],[boarding_MD]]</f>
        <v>128.64314400000001</v>
      </c>
      <c r="X115" s="3">
        <f>Table_socioeca8.sandag.org_abm2_trb[[#This Row],[boarding_PM]]</f>
        <v>121.290583</v>
      </c>
      <c r="Y115" s="3">
        <f>Table_socioeca8.sandag.org_abm2_trb[[#This Row],[boarding_EV]]</f>
        <v>67.283484000000001</v>
      </c>
      <c r="Z115" s="3">
        <f>Table_socioeca8.sandag.org_abm2_trb[[#This Row],[passenger_mile_EA]]</f>
        <v>30.375577779501999</v>
      </c>
      <c r="AA115" s="3">
        <f>Table_socioeca8.sandag.org_abm2_trb[[#This Row],[passenger_mile_AM]]</f>
        <v>130.24524713770199</v>
      </c>
      <c r="AB115" s="3">
        <f>Table_socioeca8.sandag.org_abm2_trb[[#This Row],[passenger_mile_MD]]</f>
        <v>336.30888395524602</v>
      </c>
      <c r="AC115" s="3">
        <f>Table_socioeca8.sandag.org_abm2_trb[[#This Row],[passenger_mile_PM]]</f>
        <v>368.38058308958301</v>
      </c>
      <c r="AD115" s="3">
        <f>Table_socioeca8.sandag.org_abm2_trb[[#This Row],[passenger_mile_EV]]</f>
        <v>218.213070110263</v>
      </c>
      <c r="AE115" s="5">
        <f>Table_socioeca8.sandag.org_abm2_trb[[#This Row],[mode_transit_route_id]]</f>
        <v>29</v>
      </c>
      <c r="AF115"/>
    </row>
    <row r="116" spans="5:32" x14ac:dyDescent="0.25">
      <c r="E116" s="47">
        <f t="shared" si="1"/>
        <v>259</v>
      </c>
      <c r="F116" s="47">
        <v>917</v>
      </c>
      <c r="G116" s="263">
        <f>IFERROR(VLOOKUP(Table_socioeca8.sandag.org_abm2_trb[[#This Row],[route]],[2]transit_general!$B$2:$M$139,3,FALSE),0)</f>
        <v>5.1632670000000003</v>
      </c>
      <c r="H116" s="263">
        <f>IFERROR(VLOOKUP(Table_socioeca8.sandag.org_abm2_trb[[#This Row],[route]],[2]transit_general!$B$2:$M$139,4,FALSE),0)</f>
        <v>61.774312999999999</v>
      </c>
      <c r="I116" s="263">
        <f>IFERROR(VLOOKUP(Table_socioeca8.sandag.org_abm2_trb[[#This Row],[route]],[2]transit_general!$B$2:$M$139,5,FALSE),0)</f>
        <v>90.360201000000004</v>
      </c>
      <c r="J116" s="263">
        <f>IFERROR(VLOOKUP(Table_socioeca8.sandag.org_abm2_trb[[#This Row],[route]],[2]transit_general!$B$2:$M$139,6,FALSE),0)</f>
        <v>108.01605000000001</v>
      </c>
      <c r="K116" s="263">
        <f>IFERROR(VLOOKUP(Table_socioeca8.sandag.org_abm2_trb[[#This Row],[route]],[2]transit_general!$B$2:$M$139,7,FALSE),0)</f>
        <v>50.114680999999997</v>
      </c>
      <c r="L116" s="263">
        <f>IFERROR(VLOOKUP(Table_socioeca8.sandag.org_abm2_trb[[#This Row],[route]],[2]transit_general!$B$2:$M$139,8,FALSE),0)</f>
        <v>20.102796417581999</v>
      </c>
      <c r="M116" s="263">
        <f>IFERROR(VLOOKUP(Table_socioeca8.sandag.org_abm2_trb[[#This Row],[route]],[2]transit_general!$B$2:$M$139,9,FALSE),0)</f>
        <v>172.32881251278101</v>
      </c>
      <c r="N116" s="263">
        <f>IFERROR(VLOOKUP(Table_socioeca8.sandag.org_abm2_trb[[#This Row],[route]],[2]transit_general!$B$2:$M$139,10,FALSE),0)</f>
        <v>249.72916512950101</v>
      </c>
      <c r="O116" s="263">
        <f>IFERROR(VLOOKUP(Table_socioeca8.sandag.org_abm2_trb[[#This Row],[route]],[2]transit_general!$B$2:$M$139,11,FALSE),0)</f>
        <v>292.565810325857</v>
      </c>
      <c r="P116" s="263">
        <f>IFERROR(VLOOKUP(Table_socioeca8.sandag.org_abm2_trb[[#This Row],[route]],[2]transit_general!$B$2:$M$139,12,FALSE),0)</f>
        <v>151.72505863645199</v>
      </c>
      <c r="Q116" s="263">
        <f>IFERROR(VLOOKUP(Table_socioeca8.sandag.org_abm2_trb[[#This Row],[route]],[2]transit_general!$B$2:$M$139,2,FALSE),0)</f>
        <v>29</v>
      </c>
      <c r="S116" s="5">
        <f>Table_socioeca8.sandag.org_abm2_trb[[#This Row],[scenario_id]]</f>
        <v>259</v>
      </c>
      <c r="T116" s="5">
        <f>Table_socioeca8.sandag.org_abm2_trb[[#This Row],[route]]</f>
        <v>917</v>
      </c>
      <c r="U116" s="3">
        <f>Table_socioeca8.sandag.org_abm2_trb[[#This Row],[boarding_EA]]</f>
        <v>5.1632670000000003</v>
      </c>
      <c r="V116" s="3">
        <f>Table_socioeca8.sandag.org_abm2_trb[[#This Row],[boarding_AM]]</f>
        <v>61.774312999999999</v>
      </c>
      <c r="W116" s="3">
        <f>Table_socioeca8.sandag.org_abm2_trb[[#This Row],[boarding_MD]]</f>
        <v>90.360201000000004</v>
      </c>
      <c r="X116" s="3">
        <f>Table_socioeca8.sandag.org_abm2_trb[[#This Row],[boarding_PM]]</f>
        <v>108.01605000000001</v>
      </c>
      <c r="Y116" s="3">
        <f>Table_socioeca8.sandag.org_abm2_trb[[#This Row],[boarding_EV]]</f>
        <v>50.114680999999997</v>
      </c>
      <c r="Z116" s="3">
        <f>Table_socioeca8.sandag.org_abm2_trb[[#This Row],[passenger_mile_EA]]</f>
        <v>20.102796417581999</v>
      </c>
      <c r="AA116" s="3">
        <f>Table_socioeca8.sandag.org_abm2_trb[[#This Row],[passenger_mile_AM]]</f>
        <v>172.32881251278101</v>
      </c>
      <c r="AB116" s="3">
        <f>Table_socioeca8.sandag.org_abm2_trb[[#This Row],[passenger_mile_MD]]</f>
        <v>249.72916512950101</v>
      </c>
      <c r="AC116" s="3">
        <f>Table_socioeca8.sandag.org_abm2_trb[[#This Row],[passenger_mile_PM]]</f>
        <v>292.565810325857</v>
      </c>
      <c r="AD116" s="3">
        <f>Table_socioeca8.sandag.org_abm2_trb[[#This Row],[passenger_mile_EV]]</f>
        <v>151.72505863645199</v>
      </c>
      <c r="AE116" s="5">
        <f>Table_socioeca8.sandag.org_abm2_trb[[#This Row],[mode_transit_route_id]]</f>
        <v>29</v>
      </c>
      <c r="AF116"/>
    </row>
    <row r="117" spans="5:32" x14ac:dyDescent="0.25">
      <c r="E117" s="47">
        <f t="shared" si="1"/>
        <v>259</v>
      </c>
      <c r="F117" s="47">
        <v>921</v>
      </c>
      <c r="G117" s="263">
        <f>IFERROR(VLOOKUP(Table_socioeca8.sandag.org_abm2_trb[[#This Row],[route]],[2]transit_general!$B$2:$M$139,3,FALSE),0)</f>
        <v>186.64046300000001</v>
      </c>
      <c r="H117" s="263">
        <f>IFERROR(VLOOKUP(Table_socioeca8.sandag.org_abm2_trb[[#This Row],[route]],[2]transit_general!$B$2:$M$139,4,FALSE),0)</f>
        <v>503.473772</v>
      </c>
      <c r="I117" s="263">
        <f>IFERROR(VLOOKUP(Table_socioeca8.sandag.org_abm2_trb[[#This Row],[route]],[2]transit_general!$B$2:$M$139,5,FALSE),0)</f>
        <v>1169.417586</v>
      </c>
      <c r="J117" s="263">
        <f>IFERROR(VLOOKUP(Table_socioeca8.sandag.org_abm2_trb[[#This Row],[route]],[2]transit_general!$B$2:$M$139,6,FALSE),0)</f>
        <v>702.18497500000001</v>
      </c>
      <c r="K117" s="263">
        <f>IFERROR(VLOOKUP(Table_socioeca8.sandag.org_abm2_trb[[#This Row],[route]],[2]transit_general!$B$2:$M$139,7,FALSE),0)</f>
        <v>531.97502999999995</v>
      </c>
      <c r="L117" s="263">
        <f>IFERROR(VLOOKUP(Table_socioeca8.sandag.org_abm2_trb[[#This Row],[route]],[2]transit_general!$B$2:$M$139,8,FALSE),0)</f>
        <v>1121.747614184254</v>
      </c>
      <c r="M117" s="263">
        <f>IFERROR(VLOOKUP(Table_socioeca8.sandag.org_abm2_trb[[#This Row],[route]],[2]transit_general!$B$2:$M$139,9,FALSE),0)</f>
        <v>2242.8385837600181</v>
      </c>
      <c r="N117" s="263">
        <f>IFERROR(VLOOKUP(Table_socioeca8.sandag.org_abm2_trb[[#This Row],[route]],[2]transit_general!$B$2:$M$139,10,FALSE),0)</f>
        <v>6495.7482496713583</v>
      </c>
      <c r="O117" s="263">
        <f>IFERROR(VLOOKUP(Table_socioeca8.sandag.org_abm2_trb[[#This Row],[route]],[2]transit_general!$B$2:$M$139,11,FALSE),0)</f>
        <v>2969.184002965625</v>
      </c>
      <c r="P117" s="263">
        <f>IFERROR(VLOOKUP(Table_socioeca8.sandag.org_abm2_trb[[#This Row],[route]],[2]transit_general!$B$2:$M$139,12,FALSE),0)</f>
        <v>2861.0890920292368</v>
      </c>
      <c r="Q117" s="263">
        <f>IFERROR(VLOOKUP(Table_socioeca8.sandag.org_abm2_trb[[#This Row],[route]],[2]transit_general!$B$2:$M$139,2,FALSE),0)</f>
        <v>29</v>
      </c>
      <c r="S117" s="5">
        <f>Table_socioeca8.sandag.org_abm2_trb[[#This Row],[scenario_id]]</f>
        <v>259</v>
      </c>
      <c r="T117" s="5">
        <f>Table_socioeca8.sandag.org_abm2_trb[[#This Row],[route]]</f>
        <v>921</v>
      </c>
      <c r="U117" s="3">
        <f>Table_socioeca8.sandag.org_abm2_trb[[#This Row],[boarding_EA]]</f>
        <v>186.64046300000001</v>
      </c>
      <c r="V117" s="3">
        <f>Table_socioeca8.sandag.org_abm2_trb[[#This Row],[boarding_AM]]</f>
        <v>503.473772</v>
      </c>
      <c r="W117" s="3">
        <f>Table_socioeca8.sandag.org_abm2_trb[[#This Row],[boarding_MD]]</f>
        <v>1169.417586</v>
      </c>
      <c r="X117" s="3">
        <f>Table_socioeca8.sandag.org_abm2_trb[[#This Row],[boarding_PM]]</f>
        <v>702.18497500000001</v>
      </c>
      <c r="Y117" s="3">
        <f>Table_socioeca8.sandag.org_abm2_trb[[#This Row],[boarding_EV]]</f>
        <v>531.97502999999995</v>
      </c>
      <c r="Z117" s="3">
        <f>Table_socioeca8.sandag.org_abm2_trb[[#This Row],[passenger_mile_EA]]</f>
        <v>1121.747614184254</v>
      </c>
      <c r="AA117" s="3">
        <f>Table_socioeca8.sandag.org_abm2_trb[[#This Row],[passenger_mile_AM]]</f>
        <v>2242.8385837600181</v>
      </c>
      <c r="AB117" s="3">
        <f>Table_socioeca8.sandag.org_abm2_trb[[#This Row],[passenger_mile_MD]]</f>
        <v>6495.7482496713583</v>
      </c>
      <c r="AC117" s="3">
        <f>Table_socioeca8.sandag.org_abm2_trb[[#This Row],[passenger_mile_PM]]</f>
        <v>2969.184002965625</v>
      </c>
      <c r="AD117" s="3">
        <f>Table_socioeca8.sandag.org_abm2_trb[[#This Row],[passenger_mile_EV]]</f>
        <v>2861.0890920292368</v>
      </c>
      <c r="AE117" s="5">
        <f>Table_socioeca8.sandag.org_abm2_trb[[#This Row],[mode_transit_route_id]]</f>
        <v>29</v>
      </c>
      <c r="AF117"/>
    </row>
    <row r="118" spans="5:32" x14ac:dyDescent="0.25">
      <c r="E118" s="47">
        <f t="shared" si="1"/>
        <v>259</v>
      </c>
      <c r="F118" s="47">
        <v>923</v>
      </c>
      <c r="G118" s="263">
        <f>IFERROR(VLOOKUP(Table_socioeca8.sandag.org_abm2_trb[[#This Row],[route]],[2]transit_general!$B$2:$M$139,3,FALSE),0)</f>
        <v>65.983942999999996</v>
      </c>
      <c r="H118" s="263">
        <f>IFERROR(VLOOKUP(Table_socioeca8.sandag.org_abm2_trb[[#This Row],[route]],[2]transit_general!$B$2:$M$139,4,FALSE),0)</f>
        <v>333.085576</v>
      </c>
      <c r="I118" s="263">
        <f>IFERROR(VLOOKUP(Table_socioeca8.sandag.org_abm2_trb[[#This Row],[route]],[2]transit_general!$B$2:$M$139,5,FALSE),0)</f>
        <v>491.60031700000002</v>
      </c>
      <c r="J118" s="263">
        <f>IFERROR(VLOOKUP(Table_socioeca8.sandag.org_abm2_trb[[#This Row],[route]],[2]transit_general!$B$2:$M$139,6,FALSE),0)</f>
        <v>418.915527</v>
      </c>
      <c r="K118" s="263">
        <f>IFERROR(VLOOKUP(Table_socioeca8.sandag.org_abm2_trb[[#This Row],[route]],[2]transit_general!$B$2:$M$139,7,FALSE),0)</f>
        <v>193.042663</v>
      </c>
      <c r="L118" s="263">
        <f>IFERROR(VLOOKUP(Table_socioeca8.sandag.org_abm2_trb[[#This Row],[route]],[2]transit_general!$B$2:$M$139,8,FALSE),0)</f>
        <v>272.11382590335199</v>
      </c>
      <c r="M118" s="263">
        <f>IFERROR(VLOOKUP(Table_socioeca8.sandag.org_abm2_trb[[#This Row],[route]],[2]transit_general!$B$2:$M$139,9,FALSE),0)</f>
        <v>1459.9822579852701</v>
      </c>
      <c r="N118" s="263">
        <f>IFERROR(VLOOKUP(Table_socioeca8.sandag.org_abm2_trb[[#This Row],[route]],[2]transit_general!$B$2:$M$139,10,FALSE),0)</f>
        <v>2112.6531281722641</v>
      </c>
      <c r="O118" s="263">
        <f>IFERROR(VLOOKUP(Table_socioeca8.sandag.org_abm2_trb[[#This Row],[route]],[2]transit_general!$B$2:$M$139,11,FALSE),0)</f>
        <v>1887.9818180127679</v>
      </c>
      <c r="P118" s="263">
        <f>IFERROR(VLOOKUP(Table_socioeca8.sandag.org_abm2_trb[[#This Row],[route]],[2]transit_general!$B$2:$M$139,12,FALSE),0)</f>
        <v>843.252241650271</v>
      </c>
      <c r="Q118" s="263">
        <f>IFERROR(VLOOKUP(Table_socioeca8.sandag.org_abm2_trb[[#This Row],[route]],[2]transit_general!$B$2:$M$139,2,FALSE),0)</f>
        <v>29</v>
      </c>
      <c r="S118" s="5">
        <f>Table_socioeca8.sandag.org_abm2_trb[[#This Row],[scenario_id]]</f>
        <v>259</v>
      </c>
      <c r="T118" s="5">
        <f>Table_socioeca8.sandag.org_abm2_trb[[#This Row],[route]]</f>
        <v>923</v>
      </c>
      <c r="U118" s="3">
        <f>Table_socioeca8.sandag.org_abm2_trb[[#This Row],[boarding_EA]]</f>
        <v>65.983942999999996</v>
      </c>
      <c r="V118" s="3">
        <f>Table_socioeca8.sandag.org_abm2_trb[[#This Row],[boarding_AM]]</f>
        <v>333.085576</v>
      </c>
      <c r="W118" s="3">
        <f>Table_socioeca8.sandag.org_abm2_trb[[#This Row],[boarding_MD]]</f>
        <v>491.60031700000002</v>
      </c>
      <c r="X118" s="3">
        <f>Table_socioeca8.sandag.org_abm2_trb[[#This Row],[boarding_PM]]</f>
        <v>418.915527</v>
      </c>
      <c r="Y118" s="3">
        <f>Table_socioeca8.sandag.org_abm2_trb[[#This Row],[boarding_EV]]</f>
        <v>193.042663</v>
      </c>
      <c r="Z118" s="3">
        <f>Table_socioeca8.sandag.org_abm2_trb[[#This Row],[passenger_mile_EA]]</f>
        <v>272.11382590335199</v>
      </c>
      <c r="AA118" s="3">
        <f>Table_socioeca8.sandag.org_abm2_trb[[#This Row],[passenger_mile_AM]]</f>
        <v>1459.9822579852701</v>
      </c>
      <c r="AB118" s="3">
        <f>Table_socioeca8.sandag.org_abm2_trb[[#This Row],[passenger_mile_MD]]</f>
        <v>2112.6531281722641</v>
      </c>
      <c r="AC118" s="3">
        <f>Table_socioeca8.sandag.org_abm2_trb[[#This Row],[passenger_mile_PM]]</f>
        <v>1887.9818180127679</v>
      </c>
      <c r="AD118" s="3">
        <f>Table_socioeca8.sandag.org_abm2_trb[[#This Row],[passenger_mile_EV]]</f>
        <v>843.252241650271</v>
      </c>
      <c r="AE118" s="5">
        <f>Table_socioeca8.sandag.org_abm2_trb[[#This Row],[mode_transit_route_id]]</f>
        <v>29</v>
      </c>
      <c r="AF118"/>
    </row>
    <row r="119" spans="5:32" x14ac:dyDescent="0.25">
      <c r="E119" s="47">
        <f t="shared" si="1"/>
        <v>259</v>
      </c>
      <c r="F119" s="47">
        <v>928</v>
      </c>
      <c r="G119" s="263">
        <f>IFERROR(VLOOKUP(Table_socioeca8.sandag.org_abm2_trb[[#This Row],[route]],[2]transit_general!$B$2:$M$139,3,FALSE),0)</f>
        <v>40.917175999999998</v>
      </c>
      <c r="H119" s="263">
        <f>IFERROR(VLOOKUP(Table_socioeca8.sandag.org_abm2_trb[[#This Row],[route]],[2]transit_general!$B$2:$M$139,4,FALSE),0)</f>
        <v>190.97344899999999</v>
      </c>
      <c r="I119" s="263">
        <f>IFERROR(VLOOKUP(Table_socioeca8.sandag.org_abm2_trb[[#This Row],[route]],[2]transit_general!$B$2:$M$139,5,FALSE),0)</f>
        <v>378.23966999999999</v>
      </c>
      <c r="J119" s="263">
        <f>IFERROR(VLOOKUP(Table_socioeca8.sandag.org_abm2_trb[[#This Row],[route]],[2]transit_general!$B$2:$M$139,6,FALSE),0)</f>
        <v>299.71267</v>
      </c>
      <c r="K119" s="263">
        <f>IFERROR(VLOOKUP(Table_socioeca8.sandag.org_abm2_trb[[#This Row],[route]],[2]transit_general!$B$2:$M$139,7,FALSE),0)</f>
        <v>175.66309999999999</v>
      </c>
      <c r="L119" s="263">
        <f>IFERROR(VLOOKUP(Table_socioeca8.sandag.org_abm2_trb[[#This Row],[route]],[2]transit_general!$B$2:$M$139,8,FALSE),0)</f>
        <v>167.268193017442</v>
      </c>
      <c r="M119" s="263">
        <f>IFERROR(VLOOKUP(Table_socioeca8.sandag.org_abm2_trb[[#This Row],[route]],[2]transit_general!$B$2:$M$139,9,FALSE),0)</f>
        <v>660.55101007938902</v>
      </c>
      <c r="N119" s="263">
        <f>IFERROR(VLOOKUP(Table_socioeca8.sandag.org_abm2_trb[[#This Row],[route]],[2]transit_general!$B$2:$M$139,10,FALSE),0)</f>
        <v>1191.0010079462979</v>
      </c>
      <c r="O119" s="263">
        <f>IFERROR(VLOOKUP(Table_socioeca8.sandag.org_abm2_trb[[#This Row],[route]],[2]transit_general!$B$2:$M$139,11,FALSE),0)</f>
        <v>892.469822406768</v>
      </c>
      <c r="P119" s="263">
        <f>IFERROR(VLOOKUP(Table_socioeca8.sandag.org_abm2_trb[[#This Row],[route]],[2]transit_general!$B$2:$M$139,12,FALSE),0)</f>
        <v>542.44506628923796</v>
      </c>
      <c r="Q119" s="263">
        <f>IFERROR(VLOOKUP(Table_socioeca8.sandag.org_abm2_trb[[#This Row],[route]],[2]transit_general!$B$2:$M$139,2,FALSE),0)</f>
        <v>29</v>
      </c>
      <c r="S119" s="5">
        <f>Table_socioeca8.sandag.org_abm2_trb[[#This Row],[scenario_id]]</f>
        <v>259</v>
      </c>
      <c r="T119" s="5">
        <f>Table_socioeca8.sandag.org_abm2_trb[[#This Row],[route]]</f>
        <v>928</v>
      </c>
      <c r="U119" s="3">
        <f>Table_socioeca8.sandag.org_abm2_trb[[#This Row],[boarding_EA]]</f>
        <v>40.917175999999998</v>
      </c>
      <c r="V119" s="3">
        <f>Table_socioeca8.sandag.org_abm2_trb[[#This Row],[boarding_AM]]</f>
        <v>190.97344899999999</v>
      </c>
      <c r="W119" s="3">
        <f>Table_socioeca8.sandag.org_abm2_trb[[#This Row],[boarding_MD]]</f>
        <v>378.23966999999999</v>
      </c>
      <c r="X119" s="3">
        <f>Table_socioeca8.sandag.org_abm2_trb[[#This Row],[boarding_PM]]</f>
        <v>299.71267</v>
      </c>
      <c r="Y119" s="3">
        <f>Table_socioeca8.sandag.org_abm2_trb[[#This Row],[boarding_EV]]</f>
        <v>175.66309999999999</v>
      </c>
      <c r="Z119" s="3">
        <f>Table_socioeca8.sandag.org_abm2_trb[[#This Row],[passenger_mile_EA]]</f>
        <v>167.268193017442</v>
      </c>
      <c r="AA119" s="3">
        <f>Table_socioeca8.sandag.org_abm2_trb[[#This Row],[passenger_mile_AM]]</f>
        <v>660.55101007938902</v>
      </c>
      <c r="AB119" s="3">
        <f>Table_socioeca8.sandag.org_abm2_trb[[#This Row],[passenger_mile_MD]]</f>
        <v>1191.0010079462979</v>
      </c>
      <c r="AC119" s="3">
        <f>Table_socioeca8.sandag.org_abm2_trb[[#This Row],[passenger_mile_PM]]</f>
        <v>892.469822406768</v>
      </c>
      <c r="AD119" s="3">
        <f>Table_socioeca8.sandag.org_abm2_trb[[#This Row],[passenger_mile_EV]]</f>
        <v>542.44506628923796</v>
      </c>
      <c r="AE119" s="5">
        <f>Table_socioeca8.sandag.org_abm2_trb[[#This Row],[mode_transit_route_id]]</f>
        <v>29</v>
      </c>
      <c r="AF119"/>
    </row>
    <row r="120" spans="5:32" x14ac:dyDescent="0.25">
      <c r="E120" s="47">
        <f t="shared" si="1"/>
        <v>259</v>
      </c>
      <c r="F120" s="47">
        <v>929</v>
      </c>
      <c r="G120" s="263">
        <f>IFERROR(VLOOKUP(Table_socioeca8.sandag.org_abm2_trb[[#This Row],[route]],[2]transit_general!$B$2:$M$139,3,FALSE),0)</f>
        <v>343.97199699999999</v>
      </c>
      <c r="H120" s="263">
        <f>IFERROR(VLOOKUP(Table_socioeca8.sandag.org_abm2_trb[[#This Row],[route]],[2]transit_general!$B$2:$M$139,4,FALSE),0)</f>
        <v>1116.688285</v>
      </c>
      <c r="I120" s="263">
        <f>IFERROR(VLOOKUP(Table_socioeca8.sandag.org_abm2_trb[[#This Row],[route]],[2]transit_general!$B$2:$M$139,5,FALSE),0)</f>
        <v>2796.9611239999999</v>
      </c>
      <c r="J120" s="263">
        <f>IFERROR(VLOOKUP(Table_socioeca8.sandag.org_abm2_trb[[#This Row],[route]],[2]transit_general!$B$2:$M$139,6,FALSE),0)</f>
        <v>2124.6235379999998</v>
      </c>
      <c r="K120" s="263">
        <f>IFERROR(VLOOKUP(Table_socioeca8.sandag.org_abm2_trb[[#This Row],[route]],[2]transit_general!$B$2:$M$139,7,FALSE),0)</f>
        <v>1363.7801899999999</v>
      </c>
      <c r="L120" s="263">
        <f>IFERROR(VLOOKUP(Table_socioeca8.sandag.org_abm2_trb[[#This Row],[route]],[2]transit_general!$B$2:$M$139,8,FALSE),0)</f>
        <v>1970.892336039562</v>
      </c>
      <c r="M120" s="263">
        <f>IFERROR(VLOOKUP(Table_socioeca8.sandag.org_abm2_trb[[#This Row],[route]],[2]transit_general!$B$2:$M$139,9,FALSE),0)</f>
        <v>4878.219394155185</v>
      </c>
      <c r="N120" s="263">
        <f>IFERROR(VLOOKUP(Table_socioeca8.sandag.org_abm2_trb[[#This Row],[route]],[2]transit_general!$B$2:$M$139,10,FALSE),0)</f>
        <v>11690.531593894289</v>
      </c>
      <c r="O120" s="263">
        <f>IFERROR(VLOOKUP(Table_socioeca8.sandag.org_abm2_trb[[#This Row],[route]],[2]transit_general!$B$2:$M$139,11,FALSE),0)</f>
        <v>8683.4443559046267</v>
      </c>
      <c r="P120" s="263">
        <f>IFERROR(VLOOKUP(Table_socioeca8.sandag.org_abm2_trb[[#This Row],[route]],[2]transit_general!$B$2:$M$139,12,FALSE),0)</f>
        <v>5937.893040351174</v>
      </c>
      <c r="Q120" s="263">
        <f>IFERROR(VLOOKUP(Table_socioeca8.sandag.org_abm2_trb[[#This Row],[route]],[2]transit_general!$B$2:$M$139,2,FALSE),0)</f>
        <v>29</v>
      </c>
      <c r="S120" s="5">
        <f>Table_socioeca8.sandag.org_abm2_trb[[#This Row],[scenario_id]]</f>
        <v>259</v>
      </c>
      <c r="T120" s="5">
        <f>Table_socioeca8.sandag.org_abm2_trb[[#This Row],[route]]</f>
        <v>929</v>
      </c>
      <c r="U120" s="3">
        <f>Table_socioeca8.sandag.org_abm2_trb[[#This Row],[boarding_EA]]</f>
        <v>343.97199699999999</v>
      </c>
      <c r="V120" s="3">
        <f>Table_socioeca8.sandag.org_abm2_trb[[#This Row],[boarding_AM]]</f>
        <v>1116.688285</v>
      </c>
      <c r="W120" s="3">
        <f>Table_socioeca8.sandag.org_abm2_trb[[#This Row],[boarding_MD]]</f>
        <v>2796.9611239999999</v>
      </c>
      <c r="X120" s="3">
        <f>Table_socioeca8.sandag.org_abm2_trb[[#This Row],[boarding_PM]]</f>
        <v>2124.6235379999998</v>
      </c>
      <c r="Y120" s="3">
        <f>Table_socioeca8.sandag.org_abm2_trb[[#This Row],[boarding_EV]]</f>
        <v>1363.7801899999999</v>
      </c>
      <c r="Z120" s="3">
        <f>Table_socioeca8.sandag.org_abm2_trb[[#This Row],[passenger_mile_EA]]</f>
        <v>1970.892336039562</v>
      </c>
      <c r="AA120" s="3">
        <f>Table_socioeca8.sandag.org_abm2_trb[[#This Row],[passenger_mile_AM]]</f>
        <v>4878.219394155185</v>
      </c>
      <c r="AB120" s="3">
        <f>Table_socioeca8.sandag.org_abm2_trb[[#This Row],[passenger_mile_MD]]</f>
        <v>11690.531593894289</v>
      </c>
      <c r="AC120" s="3">
        <f>Table_socioeca8.sandag.org_abm2_trb[[#This Row],[passenger_mile_PM]]</f>
        <v>8683.4443559046267</v>
      </c>
      <c r="AD120" s="3">
        <f>Table_socioeca8.sandag.org_abm2_trb[[#This Row],[passenger_mile_EV]]</f>
        <v>5937.893040351174</v>
      </c>
      <c r="AE120" s="5">
        <f>Table_socioeca8.sandag.org_abm2_trb[[#This Row],[mode_transit_route_id]]</f>
        <v>29</v>
      </c>
      <c r="AF120"/>
    </row>
    <row r="121" spans="5:32" x14ac:dyDescent="0.25">
      <c r="E121" s="47">
        <f t="shared" si="1"/>
        <v>259</v>
      </c>
      <c r="F121" s="47">
        <v>932</v>
      </c>
      <c r="G121" s="263">
        <f>IFERROR(VLOOKUP(Table_socioeca8.sandag.org_abm2_trb[[#This Row],[route]],[2]transit_general!$B$2:$M$139,3,FALSE),0)</f>
        <v>128.030495</v>
      </c>
      <c r="H121" s="263">
        <f>IFERROR(VLOOKUP(Table_socioeca8.sandag.org_abm2_trb[[#This Row],[route]],[2]transit_general!$B$2:$M$139,4,FALSE),0)</f>
        <v>576.715552</v>
      </c>
      <c r="I121" s="263">
        <f>IFERROR(VLOOKUP(Table_socioeca8.sandag.org_abm2_trb[[#This Row],[route]],[2]transit_general!$B$2:$M$139,5,FALSE),0)</f>
        <v>1543.0271130000001</v>
      </c>
      <c r="J121" s="263">
        <f>IFERROR(VLOOKUP(Table_socioeca8.sandag.org_abm2_trb[[#This Row],[route]],[2]transit_general!$B$2:$M$139,6,FALSE),0)</f>
        <v>1162.4571570000001</v>
      </c>
      <c r="K121" s="263">
        <f>IFERROR(VLOOKUP(Table_socioeca8.sandag.org_abm2_trb[[#This Row],[route]],[2]transit_general!$B$2:$M$139,7,FALSE),0)</f>
        <v>785.99157300000002</v>
      </c>
      <c r="L121" s="263">
        <f>IFERROR(VLOOKUP(Table_socioeca8.sandag.org_abm2_trb[[#This Row],[route]],[2]transit_general!$B$2:$M$139,8,FALSE),0)</f>
        <v>426.19061239243598</v>
      </c>
      <c r="M121" s="263">
        <f>IFERROR(VLOOKUP(Table_socioeca8.sandag.org_abm2_trb[[#This Row],[route]],[2]transit_general!$B$2:$M$139,9,FALSE),0)</f>
        <v>1661.637227050282</v>
      </c>
      <c r="N121" s="263">
        <f>IFERROR(VLOOKUP(Table_socioeca8.sandag.org_abm2_trb[[#This Row],[route]],[2]transit_general!$B$2:$M$139,10,FALSE),0)</f>
        <v>4119.8023967882491</v>
      </c>
      <c r="O121" s="263">
        <f>IFERROR(VLOOKUP(Table_socioeca8.sandag.org_abm2_trb[[#This Row],[route]],[2]transit_general!$B$2:$M$139,11,FALSE),0)</f>
        <v>2888.7184864413271</v>
      </c>
      <c r="P121" s="263">
        <f>IFERROR(VLOOKUP(Table_socioeca8.sandag.org_abm2_trb[[#This Row],[route]],[2]transit_general!$B$2:$M$139,12,FALSE),0)</f>
        <v>2160.3281114981819</v>
      </c>
      <c r="Q121" s="263">
        <f>IFERROR(VLOOKUP(Table_socioeca8.sandag.org_abm2_trb[[#This Row],[route]],[2]transit_general!$B$2:$M$139,2,FALSE),0)</f>
        <v>29</v>
      </c>
      <c r="S121" s="5">
        <f>Table_socioeca8.sandag.org_abm2_trb[[#This Row],[scenario_id]]</f>
        <v>259</v>
      </c>
      <c r="T121" s="5">
        <f>Table_socioeca8.sandag.org_abm2_trb[[#This Row],[route]]</f>
        <v>932</v>
      </c>
      <c r="U121" s="3">
        <f>Table_socioeca8.sandag.org_abm2_trb[[#This Row],[boarding_EA]]</f>
        <v>128.030495</v>
      </c>
      <c r="V121" s="3">
        <f>Table_socioeca8.sandag.org_abm2_trb[[#This Row],[boarding_AM]]</f>
        <v>576.715552</v>
      </c>
      <c r="W121" s="3">
        <f>Table_socioeca8.sandag.org_abm2_trb[[#This Row],[boarding_MD]]</f>
        <v>1543.0271130000001</v>
      </c>
      <c r="X121" s="3">
        <f>Table_socioeca8.sandag.org_abm2_trb[[#This Row],[boarding_PM]]</f>
        <v>1162.4571570000001</v>
      </c>
      <c r="Y121" s="3">
        <f>Table_socioeca8.sandag.org_abm2_trb[[#This Row],[boarding_EV]]</f>
        <v>785.99157300000002</v>
      </c>
      <c r="Z121" s="3">
        <f>Table_socioeca8.sandag.org_abm2_trb[[#This Row],[passenger_mile_EA]]</f>
        <v>426.19061239243598</v>
      </c>
      <c r="AA121" s="3">
        <f>Table_socioeca8.sandag.org_abm2_trb[[#This Row],[passenger_mile_AM]]</f>
        <v>1661.637227050282</v>
      </c>
      <c r="AB121" s="3">
        <f>Table_socioeca8.sandag.org_abm2_trb[[#This Row],[passenger_mile_MD]]</f>
        <v>4119.8023967882491</v>
      </c>
      <c r="AC121" s="3">
        <f>Table_socioeca8.sandag.org_abm2_trb[[#This Row],[passenger_mile_PM]]</f>
        <v>2888.7184864413271</v>
      </c>
      <c r="AD121" s="3">
        <f>Table_socioeca8.sandag.org_abm2_trb[[#This Row],[passenger_mile_EV]]</f>
        <v>2160.3281114981819</v>
      </c>
      <c r="AE121" s="5">
        <f>Table_socioeca8.sandag.org_abm2_trb[[#This Row],[mode_transit_route_id]]</f>
        <v>29</v>
      </c>
      <c r="AF121"/>
    </row>
    <row r="122" spans="5:32" x14ac:dyDescent="0.25">
      <c r="E122" s="47">
        <f t="shared" si="1"/>
        <v>259</v>
      </c>
      <c r="F122" s="47">
        <v>933</v>
      </c>
      <c r="G122" s="263">
        <f>IFERROR(VLOOKUP(Table_socioeca8.sandag.org_abm2_trb[[#This Row],[route]],[2]transit_general!$B$2:$M$139,3,FALSE),0)</f>
        <v>96.568456999999995</v>
      </c>
      <c r="H122" s="263">
        <f>IFERROR(VLOOKUP(Table_socioeca8.sandag.org_abm2_trb[[#This Row],[route]],[2]transit_general!$B$2:$M$139,4,FALSE),0)</f>
        <v>248.40985900000001</v>
      </c>
      <c r="I122" s="263">
        <f>IFERROR(VLOOKUP(Table_socioeca8.sandag.org_abm2_trb[[#This Row],[route]],[2]transit_general!$B$2:$M$139,5,FALSE),0)</f>
        <v>823.18357700000001</v>
      </c>
      <c r="J122" s="263">
        <f>IFERROR(VLOOKUP(Table_socioeca8.sandag.org_abm2_trb[[#This Row],[route]],[2]transit_general!$B$2:$M$139,6,FALSE),0)</f>
        <v>643.97354900000005</v>
      </c>
      <c r="K122" s="263">
        <f>IFERROR(VLOOKUP(Table_socioeca8.sandag.org_abm2_trb[[#This Row],[route]],[2]transit_general!$B$2:$M$139,7,FALSE),0)</f>
        <v>407.346789</v>
      </c>
      <c r="L122" s="263">
        <f>IFERROR(VLOOKUP(Table_socioeca8.sandag.org_abm2_trb[[#This Row],[route]],[2]transit_general!$B$2:$M$139,8,FALSE),0)</f>
        <v>270.84447005555398</v>
      </c>
      <c r="M122" s="263">
        <f>IFERROR(VLOOKUP(Table_socioeca8.sandag.org_abm2_trb[[#This Row],[route]],[2]transit_general!$B$2:$M$139,9,FALSE),0)</f>
        <v>617.279711611263</v>
      </c>
      <c r="N122" s="263">
        <f>IFERROR(VLOOKUP(Table_socioeca8.sandag.org_abm2_trb[[#This Row],[route]],[2]transit_general!$B$2:$M$139,10,FALSE),0)</f>
        <v>2185.0877476086011</v>
      </c>
      <c r="O122" s="263">
        <f>IFERROR(VLOOKUP(Table_socioeca8.sandag.org_abm2_trb[[#This Row],[route]],[2]transit_general!$B$2:$M$139,11,FALSE),0)</f>
        <v>1549.817119608947</v>
      </c>
      <c r="P122" s="263">
        <f>IFERROR(VLOOKUP(Table_socioeca8.sandag.org_abm2_trb[[#This Row],[route]],[2]transit_general!$B$2:$M$139,12,FALSE),0)</f>
        <v>1035.02434946945</v>
      </c>
      <c r="Q122" s="263">
        <f>IFERROR(VLOOKUP(Table_socioeca8.sandag.org_abm2_trb[[#This Row],[route]],[2]transit_general!$B$2:$M$139,2,FALSE),0)</f>
        <v>29</v>
      </c>
      <c r="S122" s="5">
        <f>Table_socioeca8.sandag.org_abm2_trb[[#This Row],[scenario_id]]</f>
        <v>259</v>
      </c>
      <c r="T122" s="5">
        <f>Table_socioeca8.sandag.org_abm2_trb[[#This Row],[route]]</f>
        <v>933</v>
      </c>
      <c r="U122" s="3">
        <f>Table_socioeca8.sandag.org_abm2_trb[[#This Row],[boarding_EA]]</f>
        <v>96.568456999999995</v>
      </c>
      <c r="V122" s="3">
        <f>Table_socioeca8.sandag.org_abm2_trb[[#This Row],[boarding_AM]]</f>
        <v>248.40985900000001</v>
      </c>
      <c r="W122" s="3">
        <f>Table_socioeca8.sandag.org_abm2_trb[[#This Row],[boarding_MD]]</f>
        <v>823.18357700000001</v>
      </c>
      <c r="X122" s="3">
        <f>Table_socioeca8.sandag.org_abm2_trb[[#This Row],[boarding_PM]]</f>
        <v>643.97354900000005</v>
      </c>
      <c r="Y122" s="3">
        <f>Table_socioeca8.sandag.org_abm2_trb[[#This Row],[boarding_EV]]</f>
        <v>407.346789</v>
      </c>
      <c r="Z122" s="3">
        <f>Table_socioeca8.sandag.org_abm2_trb[[#This Row],[passenger_mile_EA]]</f>
        <v>270.84447005555398</v>
      </c>
      <c r="AA122" s="3">
        <f>Table_socioeca8.sandag.org_abm2_trb[[#This Row],[passenger_mile_AM]]</f>
        <v>617.279711611263</v>
      </c>
      <c r="AB122" s="3">
        <f>Table_socioeca8.sandag.org_abm2_trb[[#This Row],[passenger_mile_MD]]</f>
        <v>2185.0877476086011</v>
      </c>
      <c r="AC122" s="3">
        <f>Table_socioeca8.sandag.org_abm2_trb[[#This Row],[passenger_mile_PM]]</f>
        <v>1549.817119608947</v>
      </c>
      <c r="AD122" s="3">
        <f>Table_socioeca8.sandag.org_abm2_trb[[#This Row],[passenger_mile_EV]]</f>
        <v>1035.02434946945</v>
      </c>
      <c r="AE122" s="5">
        <f>Table_socioeca8.sandag.org_abm2_trb[[#This Row],[mode_transit_route_id]]</f>
        <v>29</v>
      </c>
      <c r="AF122"/>
    </row>
    <row r="123" spans="5:32" x14ac:dyDescent="0.25">
      <c r="E123" s="47">
        <f t="shared" si="1"/>
        <v>259</v>
      </c>
      <c r="F123" s="47">
        <v>934</v>
      </c>
      <c r="G123" s="263">
        <f>IFERROR(VLOOKUP(Table_socioeca8.sandag.org_abm2_trb[[#This Row],[route]],[2]transit_general!$B$2:$M$139,3,FALSE),0)</f>
        <v>64.727981</v>
      </c>
      <c r="H123" s="263">
        <f>IFERROR(VLOOKUP(Table_socioeca8.sandag.org_abm2_trb[[#This Row],[route]],[2]transit_general!$B$2:$M$139,4,FALSE),0)</f>
        <v>388.884929</v>
      </c>
      <c r="I123" s="263">
        <f>IFERROR(VLOOKUP(Table_socioeca8.sandag.org_abm2_trb[[#This Row],[route]],[2]transit_general!$B$2:$M$139,5,FALSE),0)</f>
        <v>715.11510699999997</v>
      </c>
      <c r="J123" s="263">
        <f>IFERROR(VLOOKUP(Table_socioeca8.sandag.org_abm2_trb[[#This Row],[route]],[2]transit_general!$B$2:$M$139,6,FALSE),0)</f>
        <v>531.72110299999997</v>
      </c>
      <c r="K123" s="263">
        <f>IFERROR(VLOOKUP(Table_socioeca8.sandag.org_abm2_trb[[#This Row],[route]],[2]transit_general!$B$2:$M$139,7,FALSE),0)</f>
        <v>435.09937600000001</v>
      </c>
      <c r="L123" s="263">
        <f>IFERROR(VLOOKUP(Table_socioeca8.sandag.org_abm2_trb[[#This Row],[route]],[2]transit_general!$B$2:$M$139,8,FALSE),0)</f>
        <v>175.39865825863399</v>
      </c>
      <c r="M123" s="263">
        <f>IFERROR(VLOOKUP(Table_socioeca8.sandag.org_abm2_trb[[#This Row],[route]],[2]transit_general!$B$2:$M$139,9,FALSE),0)</f>
        <v>1055.9270266085091</v>
      </c>
      <c r="N123" s="263">
        <f>IFERROR(VLOOKUP(Table_socioeca8.sandag.org_abm2_trb[[#This Row],[route]],[2]transit_general!$B$2:$M$139,10,FALSE),0)</f>
        <v>1959.73256261192</v>
      </c>
      <c r="O123" s="263">
        <f>IFERROR(VLOOKUP(Table_socioeca8.sandag.org_abm2_trb[[#This Row],[route]],[2]transit_general!$B$2:$M$139,11,FALSE),0)</f>
        <v>1361.958148796492</v>
      </c>
      <c r="P123" s="263">
        <f>IFERROR(VLOOKUP(Table_socioeca8.sandag.org_abm2_trb[[#This Row],[route]],[2]transit_general!$B$2:$M$139,12,FALSE),0)</f>
        <v>1177.6264870350431</v>
      </c>
      <c r="Q123" s="263">
        <f>IFERROR(VLOOKUP(Table_socioeca8.sandag.org_abm2_trb[[#This Row],[route]],[2]transit_general!$B$2:$M$139,2,FALSE),0)</f>
        <v>29</v>
      </c>
      <c r="S123" s="5">
        <f>Table_socioeca8.sandag.org_abm2_trb[[#This Row],[scenario_id]]</f>
        <v>259</v>
      </c>
      <c r="T123" s="5">
        <f>Table_socioeca8.sandag.org_abm2_trb[[#This Row],[route]]</f>
        <v>934</v>
      </c>
      <c r="U123" s="3">
        <f>Table_socioeca8.sandag.org_abm2_trb[[#This Row],[boarding_EA]]</f>
        <v>64.727981</v>
      </c>
      <c r="V123" s="3">
        <f>Table_socioeca8.sandag.org_abm2_trb[[#This Row],[boarding_AM]]</f>
        <v>388.884929</v>
      </c>
      <c r="W123" s="3">
        <f>Table_socioeca8.sandag.org_abm2_trb[[#This Row],[boarding_MD]]</f>
        <v>715.11510699999997</v>
      </c>
      <c r="X123" s="3">
        <f>Table_socioeca8.sandag.org_abm2_trb[[#This Row],[boarding_PM]]</f>
        <v>531.72110299999997</v>
      </c>
      <c r="Y123" s="3">
        <f>Table_socioeca8.sandag.org_abm2_trb[[#This Row],[boarding_EV]]</f>
        <v>435.09937600000001</v>
      </c>
      <c r="Z123" s="3">
        <f>Table_socioeca8.sandag.org_abm2_trb[[#This Row],[passenger_mile_EA]]</f>
        <v>175.39865825863399</v>
      </c>
      <c r="AA123" s="3">
        <f>Table_socioeca8.sandag.org_abm2_trb[[#This Row],[passenger_mile_AM]]</f>
        <v>1055.9270266085091</v>
      </c>
      <c r="AB123" s="3">
        <f>Table_socioeca8.sandag.org_abm2_trb[[#This Row],[passenger_mile_MD]]</f>
        <v>1959.73256261192</v>
      </c>
      <c r="AC123" s="3">
        <f>Table_socioeca8.sandag.org_abm2_trb[[#This Row],[passenger_mile_PM]]</f>
        <v>1361.958148796492</v>
      </c>
      <c r="AD123" s="3">
        <f>Table_socioeca8.sandag.org_abm2_trb[[#This Row],[passenger_mile_EV]]</f>
        <v>1177.6264870350431</v>
      </c>
      <c r="AE123" s="5">
        <f>Table_socioeca8.sandag.org_abm2_trb[[#This Row],[mode_transit_route_id]]</f>
        <v>29</v>
      </c>
      <c r="AF123"/>
    </row>
    <row r="124" spans="5:32" x14ac:dyDescent="0.25">
      <c r="E124" s="47">
        <f t="shared" si="1"/>
        <v>259</v>
      </c>
      <c r="F124" s="47">
        <v>936</v>
      </c>
      <c r="G124" s="263">
        <f>IFERROR(VLOOKUP(Table_socioeca8.sandag.org_abm2_trb[[#This Row],[route]],[2]transit_general!$B$2:$M$139,3,FALSE),0)</f>
        <v>43.632088000000003</v>
      </c>
      <c r="H124" s="263">
        <f>IFERROR(VLOOKUP(Table_socioeca8.sandag.org_abm2_trb[[#This Row],[route]],[2]transit_general!$B$2:$M$139,4,FALSE),0)</f>
        <v>279.075852</v>
      </c>
      <c r="I124" s="263">
        <f>IFERROR(VLOOKUP(Table_socioeca8.sandag.org_abm2_trb[[#This Row],[route]],[2]transit_general!$B$2:$M$139,5,FALSE),0)</f>
        <v>631.52533500000004</v>
      </c>
      <c r="J124" s="263">
        <f>IFERROR(VLOOKUP(Table_socioeca8.sandag.org_abm2_trb[[#This Row],[route]],[2]transit_general!$B$2:$M$139,6,FALSE),0)</f>
        <v>483.71608300000003</v>
      </c>
      <c r="K124" s="263">
        <f>IFERROR(VLOOKUP(Table_socioeca8.sandag.org_abm2_trb[[#This Row],[route]],[2]transit_general!$B$2:$M$139,7,FALSE),0)</f>
        <v>307.55757499999999</v>
      </c>
      <c r="L124" s="263">
        <f>IFERROR(VLOOKUP(Table_socioeca8.sandag.org_abm2_trb[[#This Row],[route]],[2]transit_general!$B$2:$M$139,8,FALSE),0)</f>
        <v>129.24125226921299</v>
      </c>
      <c r="M124" s="263">
        <f>IFERROR(VLOOKUP(Table_socioeca8.sandag.org_abm2_trb[[#This Row],[route]],[2]transit_general!$B$2:$M$139,9,FALSE),0)</f>
        <v>761.29689870069296</v>
      </c>
      <c r="N124" s="263">
        <f>IFERROR(VLOOKUP(Table_socioeca8.sandag.org_abm2_trb[[#This Row],[route]],[2]transit_general!$B$2:$M$139,10,FALSE),0)</f>
        <v>1441.498606344903</v>
      </c>
      <c r="O124" s="263">
        <f>IFERROR(VLOOKUP(Table_socioeca8.sandag.org_abm2_trb[[#This Row],[route]],[2]transit_general!$B$2:$M$139,11,FALSE),0)</f>
        <v>1195.600631393811</v>
      </c>
      <c r="P124" s="263">
        <f>IFERROR(VLOOKUP(Table_socioeca8.sandag.org_abm2_trb[[#This Row],[route]],[2]transit_general!$B$2:$M$139,12,FALSE),0)</f>
        <v>796.92226401755204</v>
      </c>
      <c r="Q124" s="263">
        <f>IFERROR(VLOOKUP(Table_socioeca8.sandag.org_abm2_trb[[#This Row],[route]],[2]transit_general!$B$2:$M$139,2,FALSE),0)</f>
        <v>29</v>
      </c>
      <c r="S124" s="5">
        <f>Table_socioeca8.sandag.org_abm2_trb[[#This Row],[scenario_id]]</f>
        <v>259</v>
      </c>
      <c r="T124" s="5">
        <f>Table_socioeca8.sandag.org_abm2_trb[[#This Row],[route]]</f>
        <v>936</v>
      </c>
      <c r="U124" s="3">
        <f>Table_socioeca8.sandag.org_abm2_trb[[#This Row],[boarding_EA]]</f>
        <v>43.632088000000003</v>
      </c>
      <c r="V124" s="3">
        <f>Table_socioeca8.sandag.org_abm2_trb[[#This Row],[boarding_AM]]</f>
        <v>279.075852</v>
      </c>
      <c r="W124" s="3">
        <f>Table_socioeca8.sandag.org_abm2_trb[[#This Row],[boarding_MD]]</f>
        <v>631.52533500000004</v>
      </c>
      <c r="X124" s="3">
        <f>Table_socioeca8.sandag.org_abm2_trb[[#This Row],[boarding_PM]]</f>
        <v>483.71608300000003</v>
      </c>
      <c r="Y124" s="3">
        <f>Table_socioeca8.sandag.org_abm2_trb[[#This Row],[boarding_EV]]</f>
        <v>307.55757499999999</v>
      </c>
      <c r="Z124" s="3">
        <f>Table_socioeca8.sandag.org_abm2_trb[[#This Row],[passenger_mile_EA]]</f>
        <v>129.24125226921299</v>
      </c>
      <c r="AA124" s="3">
        <f>Table_socioeca8.sandag.org_abm2_trb[[#This Row],[passenger_mile_AM]]</f>
        <v>761.29689870069296</v>
      </c>
      <c r="AB124" s="3">
        <f>Table_socioeca8.sandag.org_abm2_trb[[#This Row],[passenger_mile_MD]]</f>
        <v>1441.498606344903</v>
      </c>
      <c r="AC124" s="3">
        <f>Table_socioeca8.sandag.org_abm2_trb[[#This Row],[passenger_mile_PM]]</f>
        <v>1195.600631393811</v>
      </c>
      <c r="AD124" s="3">
        <f>Table_socioeca8.sandag.org_abm2_trb[[#This Row],[passenger_mile_EV]]</f>
        <v>796.92226401755204</v>
      </c>
      <c r="AE124" s="5">
        <f>Table_socioeca8.sandag.org_abm2_trb[[#This Row],[mode_transit_route_id]]</f>
        <v>29</v>
      </c>
      <c r="AF124"/>
    </row>
    <row r="125" spans="5:32" x14ac:dyDescent="0.25">
      <c r="E125" s="47">
        <f t="shared" si="1"/>
        <v>259</v>
      </c>
      <c r="F125" s="47">
        <v>944</v>
      </c>
      <c r="G125" s="263">
        <f>IFERROR(VLOOKUP(Table_socioeca8.sandag.org_abm2_trb[[#This Row],[route]],[2]transit_general!$B$2:$M$139,3,FALSE),0)</f>
        <v>15.454545</v>
      </c>
      <c r="H125" s="263">
        <f>IFERROR(VLOOKUP(Table_socioeca8.sandag.org_abm2_trb[[#This Row],[route]],[2]transit_general!$B$2:$M$139,4,FALSE),0)</f>
        <v>81.899489000000003</v>
      </c>
      <c r="I125" s="263">
        <f>IFERROR(VLOOKUP(Table_socioeca8.sandag.org_abm2_trb[[#This Row],[route]],[2]transit_general!$B$2:$M$139,5,FALSE),0)</f>
        <v>144.82746</v>
      </c>
      <c r="J125" s="263">
        <f>IFERROR(VLOOKUP(Table_socioeca8.sandag.org_abm2_trb[[#This Row],[route]],[2]transit_general!$B$2:$M$139,6,FALSE),0)</f>
        <v>143.54035400000001</v>
      </c>
      <c r="K125" s="263">
        <f>IFERROR(VLOOKUP(Table_socioeca8.sandag.org_abm2_trb[[#This Row],[route]],[2]transit_general!$B$2:$M$139,7,FALSE),0)</f>
        <v>91.191100000000006</v>
      </c>
      <c r="L125" s="263">
        <f>IFERROR(VLOOKUP(Table_socioeca8.sandag.org_abm2_trb[[#This Row],[route]],[2]transit_general!$B$2:$M$139,8,FALSE),0)</f>
        <v>57.502792039284998</v>
      </c>
      <c r="M125" s="263">
        <f>IFERROR(VLOOKUP(Table_socioeca8.sandag.org_abm2_trb[[#This Row],[route]],[2]transit_general!$B$2:$M$139,9,FALSE),0)</f>
        <v>224.303279250157</v>
      </c>
      <c r="N125" s="263">
        <f>IFERROR(VLOOKUP(Table_socioeca8.sandag.org_abm2_trb[[#This Row],[route]],[2]transit_general!$B$2:$M$139,10,FALSE),0)</f>
        <v>406.25963261222302</v>
      </c>
      <c r="O125" s="263">
        <f>IFERROR(VLOOKUP(Table_socioeca8.sandag.org_abm2_trb[[#This Row],[route]],[2]transit_general!$B$2:$M$139,11,FALSE),0)</f>
        <v>415.92476772657801</v>
      </c>
      <c r="P125" s="263">
        <f>IFERROR(VLOOKUP(Table_socioeca8.sandag.org_abm2_trb[[#This Row],[route]],[2]transit_general!$B$2:$M$139,12,FALSE),0)</f>
        <v>215.74624777332801</v>
      </c>
      <c r="Q125" s="263">
        <f>IFERROR(VLOOKUP(Table_socioeca8.sandag.org_abm2_trb[[#This Row],[route]],[2]transit_general!$B$2:$M$139,2,FALSE),0)</f>
        <v>29</v>
      </c>
      <c r="S125" s="5">
        <f>Table_socioeca8.sandag.org_abm2_trb[[#This Row],[scenario_id]]</f>
        <v>259</v>
      </c>
      <c r="T125" s="5">
        <f>Table_socioeca8.sandag.org_abm2_trb[[#This Row],[route]]</f>
        <v>944</v>
      </c>
      <c r="U125" s="3">
        <f>Table_socioeca8.sandag.org_abm2_trb[[#This Row],[boarding_EA]]</f>
        <v>15.454545</v>
      </c>
      <c r="V125" s="3">
        <f>Table_socioeca8.sandag.org_abm2_trb[[#This Row],[boarding_AM]]</f>
        <v>81.899489000000003</v>
      </c>
      <c r="W125" s="3">
        <f>Table_socioeca8.sandag.org_abm2_trb[[#This Row],[boarding_MD]]</f>
        <v>144.82746</v>
      </c>
      <c r="X125" s="3">
        <f>Table_socioeca8.sandag.org_abm2_trb[[#This Row],[boarding_PM]]</f>
        <v>143.54035400000001</v>
      </c>
      <c r="Y125" s="3">
        <f>Table_socioeca8.sandag.org_abm2_trb[[#This Row],[boarding_EV]]</f>
        <v>91.191100000000006</v>
      </c>
      <c r="Z125" s="3">
        <f>Table_socioeca8.sandag.org_abm2_trb[[#This Row],[passenger_mile_EA]]</f>
        <v>57.502792039284998</v>
      </c>
      <c r="AA125" s="3">
        <f>Table_socioeca8.sandag.org_abm2_trb[[#This Row],[passenger_mile_AM]]</f>
        <v>224.303279250157</v>
      </c>
      <c r="AB125" s="3">
        <f>Table_socioeca8.sandag.org_abm2_trb[[#This Row],[passenger_mile_MD]]</f>
        <v>406.25963261222302</v>
      </c>
      <c r="AC125" s="3">
        <f>Table_socioeca8.sandag.org_abm2_trb[[#This Row],[passenger_mile_PM]]</f>
        <v>415.92476772657801</v>
      </c>
      <c r="AD125" s="3">
        <f>Table_socioeca8.sandag.org_abm2_trb[[#This Row],[passenger_mile_EV]]</f>
        <v>215.74624777332801</v>
      </c>
      <c r="AE125" s="5">
        <f>Table_socioeca8.sandag.org_abm2_trb[[#This Row],[mode_transit_route_id]]</f>
        <v>29</v>
      </c>
      <c r="AF125"/>
    </row>
    <row r="126" spans="5:32" x14ac:dyDescent="0.25">
      <c r="E126" s="47">
        <f t="shared" si="1"/>
        <v>259</v>
      </c>
      <c r="F126" s="47">
        <v>945</v>
      </c>
      <c r="G126" s="263">
        <f>IFERROR(VLOOKUP(Table_socioeca8.sandag.org_abm2_trb[[#This Row],[route]],[2]transit_general!$B$2:$M$139,3,FALSE),0)</f>
        <v>9</v>
      </c>
      <c r="H126" s="263">
        <f>IFERROR(VLOOKUP(Table_socioeca8.sandag.org_abm2_trb[[#This Row],[route]],[2]transit_general!$B$2:$M$139,4,FALSE),0)</f>
        <v>139.27607399999999</v>
      </c>
      <c r="I126" s="263">
        <f>IFERROR(VLOOKUP(Table_socioeca8.sandag.org_abm2_trb[[#This Row],[route]],[2]transit_general!$B$2:$M$139,5,FALSE),0)</f>
        <v>277.31817999999998</v>
      </c>
      <c r="J126" s="263">
        <f>IFERROR(VLOOKUP(Table_socioeca8.sandag.org_abm2_trb[[#This Row],[route]],[2]transit_general!$B$2:$M$139,6,FALSE),0)</f>
        <v>252.443625</v>
      </c>
      <c r="K126" s="263">
        <f>IFERROR(VLOOKUP(Table_socioeca8.sandag.org_abm2_trb[[#This Row],[route]],[2]transit_general!$B$2:$M$139,7,FALSE),0)</f>
        <v>141.27272199999999</v>
      </c>
      <c r="L126" s="263">
        <f>IFERROR(VLOOKUP(Table_socioeca8.sandag.org_abm2_trb[[#This Row],[route]],[2]transit_general!$B$2:$M$139,8,FALSE),0)</f>
        <v>31.021593577905001</v>
      </c>
      <c r="M126" s="263">
        <f>IFERROR(VLOOKUP(Table_socioeca8.sandag.org_abm2_trb[[#This Row],[route]],[2]transit_general!$B$2:$M$139,9,FALSE),0)</f>
        <v>505.88222376019598</v>
      </c>
      <c r="N126" s="263">
        <f>IFERROR(VLOOKUP(Table_socioeca8.sandag.org_abm2_trb[[#This Row],[route]],[2]transit_general!$B$2:$M$139,10,FALSE),0)</f>
        <v>936.51089323795395</v>
      </c>
      <c r="O126" s="263">
        <f>IFERROR(VLOOKUP(Table_socioeca8.sandag.org_abm2_trb[[#This Row],[route]],[2]transit_general!$B$2:$M$139,11,FALSE),0)</f>
        <v>937.17007799296198</v>
      </c>
      <c r="P126" s="263">
        <f>IFERROR(VLOOKUP(Table_socioeca8.sandag.org_abm2_trb[[#This Row],[route]],[2]transit_general!$B$2:$M$139,12,FALSE),0)</f>
        <v>442.639785948937</v>
      </c>
      <c r="Q126" s="263">
        <f>IFERROR(VLOOKUP(Table_socioeca8.sandag.org_abm2_trb[[#This Row],[route]],[2]transit_general!$B$2:$M$139,2,FALSE),0)</f>
        <v>29</v>
      </c>
      <c r="S126" s="5">
        <f>Table_socioeca8.sandag.org_abm2_trb[[#This Row],[scenario_id]]</f>
        <v>259</v>
      </c>
      <c r="T126" s="5">
        <f>Table_socioeca8.sandag.org_abm2_trb[[#This Row],[route]]</f>
        <v>945</v>
      </c>
      <c r="U126" s="3">
        <f>Table_socioeca8.sandag.org_abm2_trb[[#This Row],[boarding_EA]]</f>
        <v>9</v>
      </c>
      <c r="V126" s="3">
        <f>Table_socioeca8.sandag.org_abm2_trb[[#This Row],[boarding_AM]]</f>
        <v>139.27607399999999</v>
      </c>
      <c r="W126" s="3">
        <f>Table_socioeca8.sandag.org_abm2_trb[[#This Row],[boarding_MD]]</f>
        <v>277.31817999999998</v>
      </c>
      <c r="X126" s="3">
        <f>Table_socioeca8.sandag.org_abm2_trb[[#This Row],[boarding_PM]]</f>
        <v>252.443625</v>
      </c>
      <c r="Y126" s="3">
        <f>Table_socioeca8.sandag.org_abm2_trb[[#This Row],[boarding_EV]]</f>
        <v>141.27272199999999</v>
      </c>
      <c r="Z126" s="3">
        <f>Table_socioeca8.sandag.org_abm2_trb[[#This Row],[passenger_mile_EA]]</f>
        <v>31.021593577905001</v>
      </c>
      <c r="AA126" s="3">
        <f>Table_socioeca8.sandag.org_abm2_trb[[#This Row],[passenger_mile_AM]]</f>
        <v>505.88222376019598</v>
      </c>
      <c r="AB126" s="3">
        <f>Table_socioeca8.sandag.org_abm2_trb[[#This Row],[passenger_mile_MD]]</f>
        <v>936.51089323795395</v>
      </c>
      <c r="AC126" s="3">
        <f>Table_socioeca8.sandag.org_abm2_trb[[#This Row],[passenger_mile_PM]]</f>
        <v>937.17007799296198</v>
      </c>
      <c r="AD126" s="3">
        <f>Table_socioeca8.sandag.org_abm2_trb[[#This Row],[passenger_mile_EV]]</f>
        <v>442.639785948937</v>
      </c>
      <c r="AE126" s="5">
        <f>Table_socioeca8.sandag.org_abm2_trb[[#This Row],[mode_transit_route_id]]</f>
        <v>29</v>
      </c>
      <c r="AF126"/>
    </row>
    <row r="127" spans="5:32" x14ac:dyDescent="0.25">
      <c r="E127" s="47">
        <f t="shared" si="1"/>
        <v>259</v>
      </c>
      <c r="F127" s="47">
        <v>955</v>
      </c>
      <c r="G127" s="263">
        <f>IFERROR(VLOOKUP(Table_socioeca8.sandag.org_abm2_trb[[#This Row],[route]],[2]transit_general!$B$2:$M$139,3,FALSE),0)</f>
        <v>100.264687</v>
      </c>
      <c r="H127" s="263">
        <f>IFERROR(VLOOKUP(Table_socioeca8.sandag.org_abm2_trb[[#This Row],[route]],[2]transit_general!$B$2:$M$139,4,FALSE),0)</f>
        <v>718.06360600000005</v>
      </c>
      <c r="I127" s="263">
        <f>IFERROR(VLOOKUP(Table_socioeca8.sandag.org_abm2_trb[[#This Row],[route]],[2]transit_general!$B$2:$M$139,5,FALSE),0)</f>
        <v>1446.5229979999999</v>
      </c>
      <c r="J127" s="263">
        <f>IFERROR(VLOOKUP(Table_socioeca8.sandag.org_abm2_trb[[#This Row],[route]],[2]transit_general!$B$2:$M$139,6,FALSE),0)</f>
        <v>1093.083803</v>
      </c>
      <c r="K127" s="263">
        <f>IFERROR(VLOOKUP(Table_socioeca8.sandag.org_abm2_trb[[#This Row],[route]],[2]transit_general!$B$2:$M$139,7,FALSE),0)</f>
        <v>653.31093799999996</v>
      </c>
      <c r="L127" s="263">
        <f>IFERROR(VLOOKUP(Table_socioeca8.sandag.org_abm2_trb[[#This Row],[route]],[2]transit_general!$B$2:$M$139,8,FALSE),0)</f>
        <v>429.03845727657102</v>
      </c>
      <c r="M127" s="263">
        <f>IFERROR(VLOOKUP(Table_socioeca8.sandag.org_abm2_trb[[#This Row],[route]],[2]transit_general!$B$2:$M$139,9,FALSE),0)</f>
        <v>2559.152884429363</v>
      </c>
      <c r="N127" s="263">
        <f>IFERROR(VLOOKUP(Table_socioeca8.sandag.org_abm2_trb[[#This Row],[route]],[2]transit_general!$B$2:$M$139,10,FALSE),0)</f>
        <v>4987.7263741565966</v>
      </c>
      <c r="O127" s="263">
        <f>IFERROR(VLOOKUP(Table_socioeca8.sandag.org_abm2_trb[[#This Row],[route]],[2]transit_general!$B$2:$M$139,11,FALSE),0)</f>
        <v>3463.1804185362448</v>
      </c>
      <c r="P127" s="263">
        <f>IFERROR(VLOOKUP(Table_socioeca8.sandag.org_abm2_trb[[#This Row],[route]],[2]transit_general!$B$2:$M$139,12,FALSE),0)</f>
        <v>2310.9086220717941</v>
      </c>
      <c r="Q127" s="263">
        <f>IFERROR(VLOOKUP(Table_socioeca8.sandag.org_abm2_trb[[#This Row],[route]],[2]transit_general!$B$2:$M$139,2,FALSE),0)</f>
        <v>29</v>
      </c>
      <c r="S127" s="5">
        <f>Table_socioeca8.sandag.org_abm2_trb[[#This Row],[scenario_id]]</f>
        <v>259</v>
      </c>
      <c r="T127" s="5">
        <f>Table_socioeca8.sandag.org_abm2_trb[[#This Row],[route]]</f>
        <v>955</v>
      </c>
      <c r="U127" s="3">
        <f>Table_socioeca8.sandag.org_abm2_trb[[#This Row],[boarding_EA]]</f>
        <v>100.264687</v>
      </c>
      <c r="V127" s="3">
        <f>Table_socioeca8.sandag.org_abm2_trb[[#This Row],[boarding_AM]]</f>
        <v>718.06360600000005</v>
      </c>
      <c r="W127" s="3">
        <f>Table_socioeca8.sandag.org_abm2_trb[[#This Row],[boarding_MD]]</f>
        <v>1446.5229979999999</v>
      </c>
      <c r="X127" s="3">
        <f>Table_socioeca8.sandag.org_abm2_trb[[#This Row],[boarding_PM]]</f>
        <v>1093.083803</v>
      </c>
      <c r="Y127" s="3">
        <f>Table_socioeca8.sandag.org_abm2_trb[[#This Row],[boarding_EV]]</f>
        <v>653.31093799999996</v>
      </c>
      <c r="Z127" s="3">
        <f>Table_socioeca8.sandag.org_abm2_trb[[#This Row],[passenger_mile_EA]]</f>
        <v>429.03845727657102</v>
      </c>
      <c r="AA127" s="3">
        <f>Table_socioeca8.sandag.org_abm2_trb[[#This Row],[passenger_mile_AM]]</f>
        <v>2559.152884429363</v>
      </c>
      <c r="AB127" s="3">
        <f>Table_socioeca8.sandag.org_abm2_trb[[#This Row],[passenger_mile_MD]]</f>
        <v>4987.7263741565966</v>
      </c>
      <c r="AC127" s="3">
        <f>Table_socioeca8.sandag.org_abm2_trb[[#This Row],[passenger_mile_PM]]</f>
        <v>3463.1804185362448</v>
      </c>
      <c r="AD127" s="3">
        <f>Table_socioeca8.sandag.org_abm2_trb[[#This Row],[passenger_mile_EV]]</f>
        <v>2310.9086220717941</v>
      </c>
      <c r="AE127" s="5">
        <f>Table_socioeca8.sandag.org_abm2_trb[[#This Row],[mode_transit_route_id]]</f>
        <v>29</v>
      </c>
      <c r="AF127"/>
    </row>
    <row r="128" spans="5:32" x14ac:dyDescent="0.25">
      <c r="E128" s="47">
        <f t="shared" si="1"/>
        <v>259</v>
      </c>
      <c r="F128" s="47">
        <v>961</v>
      </c>
      <c r="G128" s="263">
        <f>IFERROR(VLOOKUP(Table_socioeca8.sandag.org_abm2_trb[[#This Row],[route]],[2]transit_general!$B$2:$M$139,3,FALSE),0)</f>
        <v>62.509728000000003</v>
      </c>
      <c r="H128" s="263">
        <f>IFERROR(VLOOKUP(Table_socioeca8.sandag.org_abm2_trb[[#This Row],[route]],[2]transit_general!$B$2:$M$139,4,FALSE),0)</f>
        <v>276.18167699999998</v>
      </c>
      <c r="I128" s="263">
        <f>IFERROR(VLOOKUP(Table_socioeca8.sandag.org_abm2_trb[[#This Row],[route]],[2]transit_general!$B$2:$M$139,5,FALSE),0)</f>
        <v>736.63955299999998</v>
      </c>
      <c r="J128" s="263">
        <f>IFERROR(VLOOKUP(Table_socioeca8.sandag.org_abm2_trb[[#This Row],[route]],[2]transit_general!$B$2:$M$139,6,FALSE),0)</f>
        <v>581.78210300000001</v>
      </c>
      <c r="K128" s="263">
        <f>IFERROR(VLOOKUP(Table_socioeca8.sandag.org_abm2_trb[[#This Row],[route]],[2]transit_general!$B$2:$M$139,7,FALSE),0)</f>
        <v>352.12327599999998</v>
      </c>
      <c r="L128" s="263">
        <f>IFERROR(VLOOKUP(Table_socioeca8.sandag.org_abm2_trb[[#This Row],[route]],[2]transit_general!$B$2:$M$139,8,FALSE),0)</f>
        <v>184.829749811743</v>
      </c>
      <c r="M128" s="263">
        <f>IFERROR(VLOOKUP(Table_socioeca8.sandag.org_abm2_trb[[#This Row],[route]],[2]transit_general!$B$2:$M$139,9,FALSE),0)</f>
        <v>793.81746796942105</v>
      </c>
      <c r="N128" s="263">
        <f>IFERROR(VLOOKUP(Table_socioeca8.sandag.org_abm2_trb[[#This Row],[route]],[2]transit_general!$B$2:$M$139,10,FALSE),0)</f>
        <v>2012.9020086057969</v>
      </c>
      <c r="O128" s="263">
        <f>IFERROR(VLOOKUP(Table_socioeca8.sandag.org_abm2_trb[[#This Row],[route]],[2]transit_general!$B$2:$M$139,11,FALSE),0)</f>
        <v>1515.5611588806039</v>
      </c>
      <c r="P128" s="263">
        <f>IFERROR(VLOOKUP(Table_socioeca8.sandag.org_abm2_trb[[#This Row],[route]],[2]transit_general!$B$2:$M$139,12,FALSE),0)</f>
        <v>955.585030497302</v>
      </c>
      <c r="Q128" s="263">
        <f>IFERROR(VLOOKUP(Table_socioeca8.sandag.org_abm2_trb[[#This Row],[route]],[2]transit_general!$B$2:$M$139,2,FALSE),0)</f>
        <v>29</v>
      </c>
      <c r="S128" s="5">
        <f>Table_socioeca8.sandag.org_abm2_trb[[#This Row],[scenario_id]]</f>
        <v>259</v>
      </c>
      <c r="T128" s="5">
        <f>Table_socioeca8.sandag.org_abm2_trb[[#This Row],[route]]</f>
        <v>961</v>
      </c>
      <c r="U128" s="3">
        <f>Table_socioeca8.sandag.org_abm2_trb[[#This Row],[boarding_EA]]</f>
        <v>62.509728000000003</v>
      </c>
      <c r="V128" s="3">
        <f>Table_socioeca8.sandag.org_abm2_trb[[#This Row],[boarding_AM]]</f>
        <v>276.18167699999998</v>
      </c>
      <c r="W128" s="3">
        <f>Table_socioeca8.sandag.org_abm2_trb[[#This Row],[boarding_MD]]</f>
        <v>736.63955299999998</v>
      </c>
      <c r="X128" s="3">
        <f>Table_socioeca8.sandag.org_abm2_trb[[#This Row],[boarding_PM]]</f>
        <v>581.78210300000001</v>
      </c>
      <c r="Y128" s="3">
        <f>Table_socioeca8.sandag.org_abm2_trb[[#This Row],[boarding_EV]]</f>
        <v>352.12327599999998</v>
      </c>
      <c r="Z128" s="3">
        <f>Table_socioeca8.sandag.org_abm2_trb[[#This Row],[passenger_mile_EA]]</f>
        <v>184.829749811743</v>
      </c>
      <c r="AA128" s="3">
        <f>Table_socioeca8.sandag.org_abm2_trb[[#This Row],[passenger_mile_AM]]</f>
        <v>793.81746796942105</v>
      </c>
      <c r="AB128" s="3">
        <f>Table_socioeca8.sandag.org_abm2_trb[[#This Row],[passenger_mile_MD]]</f>
        <v>2012.9020086057969</v>
      </c>
      <c r="AC128" s="3">
        <f>Table_socioeca8.sandag.org_abm2_trb[[#This Row],[passenger_mile_PM]]</f>
        <v>1515.5611588806039</v>
      </c>
      <c r="AD128" s="3">
        <f>Table_socioeca8.sandag.org_abm2_trb[[#This Row],[passenger_mile_EV]]</f>
        <v>955.585030497302</v>
      </c>
      <c r="AE128" s="5">
        <f>Table_socioeca8.sandag.org_abm2_trb[[#This Row],[mode_transit_route_id]]</f>
        <v>29</v>
      </c>
      <c r="AF128"/>
    </row>
    <row r="129" spans="5:32" x14ac:dyDescent="0.25">
      <c r="E129" s="47">
        <f t="shared" si="1"/>
        <v>259</v>
      </c>
      <c r="F129" s="47">
        <v>962</v>
      </c>
      <c r="G129" s="263">
        <f>IFERROR(VLOOKUP(Table_socioeca8.sandag.org_abm2_trb[[#This Row],[route]],[2]transit_general!$B$2:$M$139,3,FALSE),0)</f>
        <v>27.376874999999998</v>
      </c>
      <c r="H129" s="263">
        <f>IFERROR(VLOOKUP(Table_socioeca8.sandag.org_abm2_trb[[#This Row],[route]],[2]transit_general!$B$2:$M$139,4,FALSE),0)</f>
        <v>243.52665999999999</v>
      </c>
      <c r="I129" s="263">
        <f>IFERROR(VLOOKUP(Table_socioeca8.sandag.org_abm2_trb[[#This Row],[route]],[2]transit_general!$B$2:$M$139,5,FALSE),0)</f>
        <v>572.90350000000001</v>
      </c>
      <c r="J129" s="263">
        <f>IFERROR(VLOOKUP(Table_socioeca8.sandag.org_abm2_trb[[#This Row],[route]],[2]transit_general!$B$2:$M$139,6,FALSE),0)</f>
        <v>466.13595299999997</v>
      </c>
      <c r="K129" s="263">
        <f>IFERROR(VLOOKUP(Table_socioeca8.sandag.org_abm2_trb[[#This Row],[route]],[2]transit_general!$B$2:$M$139,7,FALSE),0)</f>
        <v>254.610342</v>
      </c>
      <c r="L129" s="263">
        <f>IFERROR(VLOOKUP(Table_socioeca8.sandag.org_abm2_trb[[#This Row],[route]],[2]transit_general!$B$2:$M$139,8,FALSE),0)</f>
        <v>101.376899894773</v>
      </c>
      <c r="M129" s="263">
        <f>IFERROR(VLOOKUP(Table_socioeca8.sandag.org_abm2_trb[[#This Row],[route]],[2]transit_general!$B$2:$M$139,9,FALSE),0)</f>
        <v>819.84597995019499</v>
      </c>
      <c r="N129" s="263">
        <f>IFERROR(VLOOKUP(Table_socioeca8.sandag.org_abm2_trb[[#This Row],[route]],[2]transit_general!$B$2:$M$139,10,FALSE),0)</f>
        <v>1885.0374179396149</v>
      </c>
      <c r="O129" s="263">
        <f>IFERROR(VLOOKUP(Table_socioeca8.sandag.org_abm2_trb[[#This Row],[route]],[2]transit_general!$B$2:$M$139,11,FALSE),0)</f>
        <v>1502.030286426063</v>
      </c>
      <c r="P129" s="263">
        <f>IFERROR(VLOOKUP(Table_socioeca8.sandag.org_abm2_trb[[#This Row],[route]],[2]transit_general!$B$2:$M$139,12,FALSE),0)</f>
        <v>816.88837710209998</v>
      </c>
      <c r="Q129" s="263">
        <f>IFERROR(VLOOKUP(Table_socioeca8.sandag.org_abm2_trb[[#This Row],[route]],[2]transit_general!$B$2:$M$139,2,FALSE),0)</f>
        <v>29</v>
      </c>
      <c r="S129" s="5">
        <f>Table_socioeca8.sandag.org_abm2_trb[[#This Row],[scenario_id]]</f>
        <v>259</v>
      </c>
      <c r="T129" s="5">
        <f>Table_socioeca8.sandag.org_abm2_trb[[#This Row],[route]]</f>
        <v>962</v>
      </c>
      <c r="U129" s="3">
        <f>Table_socioeca8.sandag.org_abm2_trb[[#This Row],[boarding_EA]]</f>
        <v>27.376874999999998</v>
      </c>
      <c r="V129" s="3">
        <f>Table_socioeca8.sandag.org_abm2_trb[[#This Row],[boarding_AM]]</f>
        <v>243.52665999999999</v>
      </c>
      <c r="W129" s="3">
        <f>Table_socioeca8.sandag.org_abm2_trb[[#This Row],[boarding_MD]]</f>
        <v>572.90350000000001</v>
      </c>
      <c r="X129" s="3">
        <f>Table_socioeca8.sandag.org_abm2_trb[[#This Row],[boarding_PM]]</f>
        <v>466.13595299999997</v>
      </c>
      <c r="Y129" s="3">
        <f>Table_socioeca8.sandag.org_abm2_trb[[#This Row],[boarding_EV]]</f>
        <v>254.610342</v>
      </c>
      <c r="Z129" s="3">
        <f>Table_socioeca8.sandag.org_abm2_trb[[#This Row],[passenger_mile_EA]]</f>
        <v>101.376899894773</v>
      </c>
      <c r="AA129" s="3">
        <f>Table_socioeca8.sandag.org_abm2_trb[[#This Row],[passenger_mile_AM]]</f>
        <v>819.84597995019499</v>
      </c>
      <c r="AB129" s="3">
        <f>Table_socioeca8.sandag.org_abm2_trb[[#This Row],[passenger_mile_MD]]</f>
        <v>1885.0374179396149</v>
      </c>
      <c r="AC129" s="3">
        <f>Table_socioeca8.sandag.org_abm2_trb[[#This Row],[passenger_mile_PM]]</f>
        <v>1502.030286426063</v>
      </c>
      <c r="AD129" s="3">
        <f>Table_socioeca8.sandag.org_abm2_trb[[#This Row],[passenger_mile_EV]]</f>
        <v>816.88837710209998</v>
      </c>
      <c r="AE129" s="5">
        <f>Table_socioeca8.sandag.org_abm2_trb[[#This Row],[mode_transit_route_id]]</f>
        <v>29</v>
      </c>
      <c r="AF129"/>
    </row>
    <row r="130" spans="5:32" x14ac:dyDescent="0.25">
      <c r="E130" s="47">
        <f t="shared" si="1"/>
        <v>259</v>
      </c>
      <c r="F130" s="47">
        <v>963</v>
      </c>
      <c r="G130" s="263">
        <f>IFERROR(VLOOKUP(Table_socioeca8.sandag.org_abm2_trb[[#This Row],[route]],[2]transit_general!$B$2:$M$139,3,FALSE),0)</f>
        <v>7.2500749999999998</v>
      </c>
      <c r="H130" s="263">
        <f>IFERROR(VLOOKUP(Table_socioeca8.sandag.org_abm2_trb[[#This Row],[route]],[2]transit_general!$B$2:$M$139,4,FALSE),0)</f>
        <v>59.272264999999997</v>
      </c>
      <c r="I130" s="263">
        <f>IFERROR(VLOOKUP(Table_socioeca8.sandag.org_abm2_trb[[#This Row],[route]],[2]transit_general!$B$2:$M$139,5,FALSE),0)</f>
        <v>122.495052</v>
      </c>
      <c r="J130" s="263">
        <f>IFERROR(VLOOKUP(Table_socioeca8.sandag.org_abm2_trb[[#This Row],[route]],[2]transit_general!$B$2:$M$139,6,FALSE),0)</f>
        <v>94.440877999999998</v>
      </c>
      <c r="K130" s="263">
        <f>IFERROR(VLOOKUP(Table_socioeca8.sandag.org_abm2_trb[[#This Row],[route]],[2]transit_general!$B$2:$M$139,7,FALSE),0)</f>
        <v>85.817408</v>
      </c>
      <c r="L130" s="263">
        <f>IFERROR(VLOOKUP(Table_socioeca8.sandag.org_abm2_trb[[#This Row],[route]],[2]transit_general!$B$2:$M$139,8,FALSE),0)</f>
        <v>19.179220112871999</v>
      </c>
      <c r="M130" s="263">
        <f>IFERROR(VLOOKUP(Table_socioeca8.sandag.org_abm2_trb[[#This Row],[route]],[2]transit_general!$B$2:$M$139,9,FALSE),0)</f>
        <v>115.02624079131201</v>
      </c>
      <c r="N130" s="263">
        <f>IFERROR(VLOOKUP(Table_socioeca8.sandag.org_abm2_trb[[#This Row],[route]],[2]transit_general!$B$2:$M$139,10,FALSE),0)</f>
        <v>229.953441804536</v>
      </c>
      <c r="O130" s="263">
        <f>IFERROR(VLOOKUP(Table_socioeca8.sandag.org_abm2_trb[[#This Row],[route]],[2]transit_general!$B$2:$M$139,11,FALSE),0)</f>
        <v>173.281147796124</v>
      </c>
      <c r="P130" s="263">
        <f>IFERROR(VLOOKUP(Table_socioeca8.sandag.org_abm2_trb[[#This Row],[route]],[2]transit_general!$B$2:$M$139,12,FALSE),0)</f>
        <v>185.86479527427201</v>
      </c>
      <c r="Q130" s="263">
        <f>IFERROR(VLOOKUP(Table_socioeca8.sandag.org_abm2_trb[[#This Row],[route]],[2]transit_general!$B$2:$M$139,2,FALSE),0)</f>
        <v>29</v>
      </c>
      <c r="S130" s="5">
        <f>Table_socioeca8.sandag.org_abm2_trb[[#This Row],[scenario_id]]</f>
        <v>259</v>
      </c>
      <c r="T130" s="5">
        <f>Table_socioeca8.sandag.org_abm2_trb[[#This Row],[route]]</f>
        <v>963</v>
      </c>
      <c r="U130" s="3">
        <f>Table_socioeca8.sandag.org_abm2_trb[[#This Row],[boarding_EA]]</f>
        <v>7.2500749999999998</v>
      </c>
      <c r="V130" s="3">
        <f>Table_socioeca8.sandag.org_abm2_trb[[#This Row],[boarding_AM]]</f>
        <v>59.272264999999997</v>
      </c>
      <c r="W130" s="3">
        <f>Table_socioeca8.sandag.org_abm2_trb[[#This Row],[boarding_MD]]</f>
        <v>122.495052</v>
      </c>
      <c r="X130" s="3">
        <f>Table_socioeca8.sandag.org_abm2_trb[[#This Row],[boarding_PM]]</f>
        <v>94.440877999999998</v>
      </c>
      <c r="Y130" s="3">
        <f>Table_socioeca8.sandag.org_abm2_trb[[#This Row],[boarding_EV]]</f>
        <v>85.817408</v>
      </c>
      <c r="Z130" s="3">
        <f>Table_socioeca8.sandag.org_abm2_trb[[#This Row],[passenger_mile_EA]]</f>
        <v>19.179220112871999</v>
      </c>
      <c r="AA130" s="3">
        <f>Table_socioeca8.sandag.org_abm2_trb[[#This Row],[passenger_mile_AM]]</f>
        <v>115.02624079131201</v>
      </c>
      <c r="AB130" s="3">
        <f>Table_socioeca8.sandag.org_abm2_trb[[#This Row],[passenger_mile_MD]]</f>
        <v>229.953441804536</v>
      </c>
      <c r="AC130" s="3">
        <f>Table_socioeca8.sandag.org_abm2_trb[[#This Row],[passenger_mile_PM]]</f>
        <v>173.281147796124</v>
      </c>
      <c r="AD130" s="3">
        <f>Table_socioeca8.sandag.org_abm2_trb[[#This Row],[passenger_mile_EV]]</f>
        <v>185.86479527427201</v>
      </c>
      <c r="AE130" s="5">
        <f>Table_socioeca8.sandag.org_abm2_trb[[#This Row],[mode_transit_route_id]]</f>
        <v>29</v>
      </c>
      <c r="AF130"/>
    </row>
    <row r="131" spans="5:32" x14ac:dyDescent="0.25">
      <c r="E131" s="47">
        <f t="shared" si="1"/>
        <v>259</v>
      </c>
      <c r="F131" s="47">
        <v>964</v>
      </c>
      <c r="G131" s="263">
        <f>IFERROR(VLOOKUP(Table_socioeca8.sandag.org_abm2_trb[[#This Row],[route]],[2]transit_general!$B$2:$M$139,3,FALSE),0)</f>
        <v>38.140062999999998</v>
      </c>
      <c r="H131" s="263">
        <f>IFERROR(VLOOKUP(Table_socioeca8.sandag.org_abm2_trb[[#This Row],[route]],[2]transit_general!$B$2:$M$139,4,FALSE),0)</f>
        <v>226.78879800000001</v>
      </c>
      <c r="I131" s="263">
        <f>IFERROR(VLOOKUP(Table_socioeca8.sandag.org_abm2_trb[[#This Row],[route]],[2]transit_general!$B$2:$M$139,5,FALSE),0)</f>
        <v>578.98107800000002</v>
      </c>
      <c r="J131" s="263">
        <f>IFERROR(VLOOKUP(Table_socioeca8.sandag.org_abm2_trb[[#This Row],[route]],[2]transit_general!$B$2:$M$139,6,FALSE),0)</f>
        <v>449.78451100000001</v>
      </c>
      <c r="K131" s="263">
        <f>IFERROR(VLOOKUP(Table_socioeca8.sandag.org_abm2_trb[[#This Row],[route]],[2]transit_general!$B$2:$M$139,7,FALSE),0)</f>
        <v>282.69617899999997</v>
      </c>
      <c r="L131" s="263">
        <f>IFERROR(VLOOKUP(Table_socioeca8.sandag.org_abm2_trb[[#This Row],[route]],[2]transit_general!$B$2:$M$139,8,FALSE),0)</f>
        <v>68.681825954426003</v>
      </c>
      <c r="M131" s="263">
        <f>IFERROR(VLOOKUP(Table_socioeca8.sandag.org_abm2_trb[[#This Row],[route]],[2]transit_general!$B$2:$M$139,9,FALSE),0)</f>
        <v>430.79404161703201</v>
      </c>
      <c r="N131" s="263">
        <f>IFERROR(VLOOKUP(Table_socioeca8.sandag.org_abm2_trb[[#This Row],[route]],[2]transit_general!$B$2:$M$139,10,FALSE),0)</f>
        <v>1150.624047784197</v>
      </c>
      <c r="O131" s="263">
        <f>IFERROR(VLOOKUP(Table_socioeca8.sandag.org_abm2_trb[[#This Row],[route]],[2]transit_general!$B$2:$M$139,11,FALSE),0)</f>
        <v>835.91437498624305</v>
      </c>
      <c r="P131" s="263">
        <f>IFERROR(VLOOKUP(Table_socioeca8.sandag.org_abm2_trb[[#This Row],[route]],[2]transit_general!$B$2:$M$139,12,FALSE),0)</f>
        <v>520.74608988486398</v>
      </c>
      <c r="Q131" s="263">
        <f>IFERROR(VLOOKUP(Table_socioeca8.sandag.org_abm2_trb[[#This Row],[route]],[2]transit_general!$B$2:$M$139,2,FALSE),0)</f>
        <v>29</v>
      </c>
      <c r="S131" s="5">
        <f>Table_socioeca8.sandag.org_abm2_trb[[#This Row],[scenario_id]]</f>
        <v>259</v>
      </c>
      <c r="T131" s="5">
        <f>Table_socioeca8.sandag.org_abm2_trb[[#This Row],[route]]</f>
        <v>964</v>
      </c>
      <c r="U131" s="3">
        <f>Table_socioeca8.sandag.org_abm2_trb[[#This Row],[boarding_EA]]</f>
        <v>38.140062999999998</v>
      </c>
      <c r="V131" s="3">
        <f>Table_socioeca8.sandag.org_abm2_trb[[#This Row],[boarding_AM]]</f>
        <v>226.78879800000001</v>
      </c>
      <c r="W131" s="3">
        <f>Table_socioeca8.sandag.org_abm2_trb[[#This Row],[boarding_MD]]</f>
        <v>578.98107800000002</v>
      </c>
      <c r="X131" s="3">
        <f>Table_socioeca8.sandag.org_abm2_trb[[#This Row],[boarding_PM]]</f>
        <v>449.78451100000001</v>
      </c>
      <c r="Y131" s="3">
        <f>Table_socioeca8.sandag.org_abm2_trb[[#This Row],[boarding_EV]]</f>
        <v>282.69617899999997</v>
      </c>
      <c r="Z131" s="3">
        <f>Table_socioeca8.sandag.org_abm2_trb[[#This Row],[passenger_mile_EA]]</f>
        <v>68.681825954426003</v>
      </c>
      <c r="AA131" s="3">
        <f>Table_socioeca8.sandag.org_abm2_trb[[#This Row],[passenger_mile_AM]]</f>
        <v>430.79404161703201</v>
      </c>
      <c r="AB131" s="3">
        <f>Table_socioeca8.sandag.org_abm2_trb[[#This Row],[passenger_mile_MD]]</f>
        <v>1150.624047784197</v>
      </c>
      <c r="AC131" s="3">
        <f>Table_socioeca8.sandag.org_abm2_trb[[#This Row],[passenger_mile_PM]]</f>
        <v>835.91437498624305</v>
      </c>
      <c r="AD131" s="3">
        <f>Table_socioeca8.sandag.org_abm2_trb[[#This Row],[passenger_mile_EV]]</f>
        <v>520.74608988486398</v>
      </c>
      <c r="AE131" s="5">
        <f>Table_socioeca8.sandag.org_abm2_trb[[#This Row],[mode_transit_route_id]]</f>
        <v>29</v>
      </c>
      <c r="AF131"/>
    </row>
    <row r="132" spans="5:32" x14ac:dyDescent="0.25">
      <c r="E132" s="47">
        <f t="shared" ref="E132:E139" si="2">E131</f>
        <v>259</v>
      </c>
      <c r="F132" s="47">
        <v>965</v>
      </c>
      <c r="G132" s="263">
        <f>IFERROR(VLOOKUP(Table_socioeca8.sandag.org_abm2_trb[[#This Row],[route]],[2]transit_general!$B$2:$M$139,3,FALSE),0)</f>
        <v>5.2194459999999996</v>
      </c>
      <c r="H132" s="263">
        <f>IFERROR(VLOOKUP(Table_socioeca8.sandag.org_abm2_trb[[#This Row],[route]],[2]transit_general!$B$2:$M$139,4,FALSE),0)</f>
        <v>24.253222999999998</v>
      </c>
      <c r="I132" s="263">
        <f>IFERROR(VLOOKUP(Table_socioeca8.sandag.org_abm2_trb[[#This Row],[route]],[2]transit_general!$B$2:$M$139,5,FALSE),0)</f>
        <v>48.742007000000001</v>
      </c>
      <c r="J132" s="263">
        <f>IFERROR(VLOOKUP(Table_socioeca8.sandag.org_abm2_trb[[#This Row],[route]],[2]transit_general!$B$2:$M$139,6,FALSE),0)</f>
        <v>36.727795</v>
      </c>
      <c r="K132" s="263">
        <f>IFERROR(VLOOKUP(Table_socioeca8.sandag.org_abm2_trb[[#This Row],[route]],[2]transit_general!$B$2:$M$139,7,FALSE),0)</f>
        <v>24.684667000000001</v>
      </c>
      <c r="L132" s="263">
        <f>IFERROR(VLOOKUP(Table_socioeca8.sandag.org_abm2_trb[[#This Row],[route]],[2]transit_general!$B$2:$M$139,8,FALSE),0)</f>
        <v>14.201393773844</v>
      </c>
      <c r="M132" s="263">
        <f>IFERROR(VLOOKUP(Table_socioeca8.sandag.org_abm2_trb[[#This Row],[route]],[2]transit_general!$B$2:$M$139,9,FALSE),0)</f>
        <v>50.481181398398</v>
      </c>
      <c r="N132" s="263">
        <f>IFERROR(VLOOKUP(Table_socioeca8.sandag.org_abm2_trb[[#This Row],[route]],[2]transit_general!$B$2:$M$139,10,FALSE),0)</f>
        <v>98.270304748776994</v>
      </c>
      <c r="O132" s="263">
        <f>IFERROR(VLOOKUP(Table_socioeca8.sandag.org_abm2_trb[[#This Row],[route]],[2]transit_general!$B$2:$M$139,11,FALSE),0)</f>
        <v>73.161998287143007</v>
      </c>
      <c r="P132" s="263">
        <f>IFERROR(VLOOKUP(Table_socioeca8.sandag.org_abm2_trb[[#This Row],[route]],[2]transit_general!$B$2:$M$139,12,FALSE),0)</f>
        <v>41.953950940572</v>
      </c>
      <c r="Q132" s="263">
        <f>IFERROR(VLOOKUP(Table_socioeca8.sandag.org_abm2_trb[[#This Row],[route]],[2]transit_general!$B$2:$M$139,2,FALSE),0)</f>
        <v>29</v>
      </c>
      <c r="S132" s="5">
        <f>Table_socioeca8.sandag.org_abm2_trb[[#This Row],[scenario_id]]</f>
        <v>259</v>
      </c>
      <c r="T132" s="5">
        <f>Table_socioeca8.sandag.org_abm2_trb[[#This Row],[route]]</f>
        <v>965</v>
      </c>
      <c r="U132" s="3">
        <f>Table_socioeca8.sandag.org_abm2_trb[[#This Row],[boarding_EA]]</f>
        <v>5.2194459999999996</v>
      </c>
      <c r="V132" s="3">
        <f>Table_socioeca8.sandag.org_abm2_trb[[#This Row],[boarding_AM]]</f>
        <v>24.253222999999998</v>
      </c>
      <c r="W132" s="3">
        <f>Table_socioeca8.sandag.org_abm2_trb[[#This Row],[boarding_MD]]</f>
        <v>48.742007000000001</v>
      </c>
      <c r="X132" s="3">
        <f>Table_socioeca8.sandag.org_abm2_trb[[#This Row],[boarding_PM]]</f>
        <v>36.727795</v>
      </c>
      <c r="Y132" s="3">
        <f>Table_socioeca8.sandag.org_abm2_trb[[#This Row],[boarding_EV]]</f>
        <v>24.684667000000001</v>
      </c>
      <c r="Z132" s="3">
        <f>Table_socioeca8.sandag.org_abm2_trb[[#This Row],[passenger_mile_EA]]</f>
        <v>14.201393773844</v>
      </c>
      <c r="AA132" s="3">
        <f>Table_socioeca8.sandag.org_abm2_trb[[#This Row],[passenger_mile_AM]]</f>
        <v>50.481181398398</v>
      </c>
      <c r="AB132" s="3">
        <f>Table_socioeca8.sandag.org_abm2_trb[[#This Row],[passenger_mile_MD]]</f>
        <v>98.270304748776994</v>
      </c>
      <c r="AC132" s="3">
        <f>Table_socioeca8.sandag.org_abm2_trb[[#This Row],[passenger_mile_PM]]</f>
        <v>73.161998287143007</v>
      </c>
      <c r="AD132" s="3">
        <f>Table_socioeca8.sandag.org_abm2_trb[[#This Row],[passenger_mile_EV]]</f>
        <v>41.953950940572</v>
      </c>
      <c r="AE132" s="5">
        <f>Table_socioeca8.sandag.org_abm2_trb[[#This Row],[mode_transit_route_id]]</f>
        <v>29</v>
      </c>
      <c r="AF132"/>
    </row>
    <row r="133" spans="5:32" x14ac:dyDescent="0.25">
      <c r="E133" s="47">
        <f t="shared" si="2"/>
        <v>259</v>
      </c>
      <c r="F133" s="47">
        <v>967</v>
      </c>
      <c r="G133" s="263">
        <f>IFERROR(VLOOKUP(Table_socioeca8.sandag.org_abm2_trb[[#This Row],[route]],[2]transit_general!$B$2:$M$139,3,FALSE),0)</f>
        <v>3.1390910000000001</v>
      </c>
      <c r="H133" s="263">
        <f>IFERROR(VLOOKUP(Table_socioeca8.sandag.org_abm2_trb[[#This Row],[route]],[2]transit_general!$B$2:$M$139,4,FALSE),0)</f>
        <v>33.004181000000003</v>
      </c>
      <c r="I133" s="263">
        <f>IFERROR(VLOOKUP(Table_socioeca8.sandag.org_abm2_trb[[#This Row],[route]],[2]transit_general!$B$2:$M$139,5,FALSE),0)</f>
        <v>54.056719000000001</v>
      </c>
      <c r="J133" s="263">
        <f>IFERROR(VLOOKUP(Table_socioeca8.sandag.org_abm2_trb[[#This Row],[route]],[2]transit_general!$B$2:$M$139,6,FALSE),0)</f>
        <v>43.861423000000002</v>
      </c>
      <c r="K133" s="263">
        <f>IFERROR(VLOOKUP(Table_socioeca8.sandag.org_abm2_trb[[#This Row],[route]],[2]transit_general!$B$2:$M$139,7,FALSE),0)</f>
        <v>33.802188999999998</v>
      </c>
      <c r="L133" s="263">
        <f>IFERROR(VLOOKUP(Table_socioeca8.sandag.org_abm2_trb[[#This Row],[route]],[2]transit_general!$B$2:$M$139,8,FALSE),0)</f>
        <v>5.0286068858749999</v>
      </c>
      <c r="M133" s="263">
        <f>IFERROR(VLOOKUP(Table_socioeca8.sandag.org_abm2_trb[[#This Row],[route]],[2]transit_general!$B$2:$M$139,9,FALSE),0)</f>
        <v>77.614604771318</v>
      </c>
      <c r="N133" s="263">
        <f>IFERROR(VLOOKUP(Table_socioeca8.sandag.org_abm2_trb[[#This Row],[route]],[2]transit_general!$B$2:$M$139,10,FALSE),0)</f>
        <v>102.20860931541201</v>
      </c>
      <c r="O133" s="263">
        <f>IFERROR(VLOOKUP(Table_socioeca8.sandag.org_abm2_trb[[#This Row],[route]],[2]transit_general!$B$2:$M$139,11,FALSE),0)</f>
        <v>84.967182222426004</v>
      </c>
      <c r="P133" s="263">
        <f>IFERROR(VLOOKUP(Table_socioeca8.sandag.org_abm2_trb[[#This Row],[route]],[2]transit_general!$B$2:$M$139,12,FALSE),0)</f>
        <v>55.727193462702999</v>
      </c>
      <c r="Q133" s="263">
        <f>IFERROR(VLOOKUP(Table_socioeca8.sandag.org_abm2_trb[[#This Row],[route]],[2]transit_general!$B$2:$M$139,2,FALSE),0)</f>
        <v>29</v>
      </c>
      <c r="S133" s="5">
        <f>Table_socioeca8.sandag.org_abm2_trb[[#This Row],[scenario_id]]</f>
        <v>259</v>
      </c>
      <c r="T133" s="5">
        <f>Table_socioeca8.sandag.org_abm2_trb[[#This Row],[route]]</f>
        <v>967</v>
      </c>
      <c r="U133" s="3">
        <f>Table_socioeca8.sandag.org_abm2_trb[[#This Row],[boarding_EA]]</f>
        <v>3.1390910000000001</v>
      </c>
      <c r="V133" s="3">
        <f>Table_socioeca8.sandag.org_abm2_trb[[#This Row],[boarding_AM]]</f>
        <v>33.004181000000003</v>
      </c>
      <c r="W133" s="3">
        <f>Table_socioeca8.sandag.org_abm2_trb[[#This Row],[boarding_MD]]</f>
        <v>54.056719000000001</v>
      </c>
      <c r="X133" s="3">
        <f>Table_socioeca8.sandag.org_abm2_trb[[#This Row],[boarding_PM]]</f>
        <v>43.861423000000002</v>
      </c>
      <c r="Y133" s="3">
        <f>Table_socioeca8.sandag.org_abm2_trb[[#This Row],[boarding_EV]]</f>
        <v>33.802188999999998</v>
      </c>
      <c r="Z133" s="3">
        <f>Table_socioeca8.sandag.org_abm2_trb[[#This Row],[passenger_mile_EA]]</f>
        <v>5.0286068858749999</v>
      </c>
      <c r="AA133" s="3">
        <f>Table_socioeca8.sandag.org_abm2_trb[[#This Row],[passenger_mile_AM]]</f>
        <v>77.614604771318</v>
      </c>
      <c r="AB133" s="3">
        <f>Table_socioeca8.sandag.org_abm2_trb[[#This Row],[passenger_mile_MD]]</f>
        <v>102.20860931541201</v>
      </c>
      <c r="AC133" s="3">
        <f>Table_socioeca8.sandag.org_abm2_trb[[#This Row],[passenger_mile_PM]]</f>
        <v>84.967182222426004</v>
      </c>
      <c r="AD133" s="3">
        <f>Table_socioeca8.sandag.org_abm2_trb[[#This Row],[passenger_mile_EV]]</f>
        <v>55.727193462702999</v>
      </c>
      <c r="AE133" s="5">
        <f>Table_socioeca8.sandag.org_abm2_trb[[#This Row],[mode_transit_route_id]]</f>
        <v>29</v>
      </c>
      <c r="AF133"/>
    </row>
    <row r="134" spans="5:32" x14ac:dyDescent="0.25">
      <c r="E134" s="47">
        <f t="shared" si="2"/>
        <v>259</v>
      </c>
      <c r="F134" s="47">
        <v>968</v>
      </c>
      <c r="G134" s="263">
        <f>IFERROR(VLOOKUP(Table_socioeca8.sandag.org_abm2_trb[[#This Row],[route]],[2]transit_general!$B$2:$M$139,3,FALSE),0)</f>
        <v>3.911775</v>
      </c>
      <c r="H134" s="263">
        <f>IFERROR(VLOOKUP(Table_socioeca8.sandag.org_abm2_trb[[#This Row],[route]],[2]transit_general!$B$2:$M$139,4,FALSE),0)</f>
        <v>42.798741999999997</v>
      </c>
      <c r="I134" s="263">
        <f>IFERROR(VLOOKUP(Table_socioeca8.sandag.org_abm2_trb[[#This Row],[route]],[2]transit_general!$B$2:$M$139,5,FALSE),0)</f>
        <v>69.636748999999995</v>
      </c>
      <c r="J134" s="263">
        <f>IFERROR(VLOOKUP(Table_socioeca8.sandag.org_abm2_trb[[#This Row],[route]],[2]transit_general!$B$2:$M$139,6,FALSE),0)</f>
        <v>72.778469999999999</v>
      </c>
      <c r="K134" s="263">
        <f>IFERROR(VLOOKUP(Table_socioeca8.sandag.org_abm2_trb[[#This Row],[route]],[2]transit_general!$B$2:$M$139,7,FALSE),0)</f>
        <v>39.144086999999999</v>
      </c>
      <c r="L134" s="263">
        <f>IFERROR(VLOOKUP(Table_socioeca8.sandag.org_abm2_trb[[#This Row],[route]],[2]transit_general!$B$2:$M$139,8,FALSE),0)</f>
        <v>9.6481238392739996</v>
      </c>
      <c r="M134" s="263">
        <f>IFERROR(VLOOKUP(Table_socioeca8.sandag.org_abm2_trb[[#This Row],[route]],[2]transit_general!$B$2:$M$139,9,FALSE),0)</f>
        <v>136.42091937100901</v>
      </c>
      <c r="N134" s="263">
        <f>IFERROR(VLOOKUP(Table_socioeca8.sandag.org_abm2_trb[[#This Row],[route]],[2]transit_general!$B$2:$M$139,10,FALSE),0)</f>
        <v>161.40230944359701</v>
      </c>
      <c r="O134" s="263">
        <f>IFERROR(VLOOKUP(Table_socioeca8.sandag.org_abm2_trb[[#This Row],[route]],[2]transit_general!$B$2:$M$139,11,FALSE),0)</f>
        <v>188.163905248243</v>
      </c>
      <c r="P134" s="263">
        <f>IFERROR(VLOOKUP(Table_socioeca8.sandag.org_abm2_trb[[#This Row],[route]],[2]transit_general!$B$2:$M$139,12,FALSE),0)</f>
        <v>77.673442981704994</v>
      </c>
      <c r="Q134" s="263">
        <f>IFERROR(VLOOKUP(Table_socioeca8.sandag.org_abm2_trb[[#This Row],[route]],[2]transit_general!$B$2:$M$139,2,FALSE),0)</f>
        <v>29</v>
      </c>
      <c r="S134" s="5">
        <f>Table_socioeca8.sandag.org_abm2_trb[[#This Row],[scenario_id]]</f>
        <v>259</v>
      </c>
      <c r="T134" s="5">
        <f>Table_socioeca8.sandag.org_abm2_trb[[#This Row],[route]]</f>
        <v>968</v>
      </c>
      <c r="U134" s="3">
        <f>Table_socioeca8.sandag.org_abm2_trb[[#This Row],[boarding_EA]]</f>
        <v>3.911775</v>
      </c>
      <c r="V134" s="3">
        <f>Table_socioeca8.sandag.org_abm2_trb[[#This Row],[boarding_AM]]</f>
        <v>42.798741999999997</v>
      </c>
      <c r="W134" s="3">
        <f>Table_socioeca8.sandag.org_abm2_trb[[#This Row],[boarding_MD]]</f>
        <v>69.636748999999995</v>
      </c>
      <c r="X134" s="3">
        <f>Table_socioeca8.sandag.org_abm2_trb[[#This Row],[boarding_PM]]</f>
        <v>72.778469999999999</v>
      </c>
      <c r="Y134" s="3">
        <f>Table_socioeca8.sandag.org_abm2_trb[[#This Row],[boarding_EV]]</f>
        <v>39.144086999999999</v>
      </c>
      <c r="Z134" s="3">
        <f>Table_socioeca8.sandag.org_abm2_trb[[#This Row],[passenger_mile_EA]]</f>
        <v>9.6481238392739996</v>
      </c>
      <c r="AA134" s="3">
        <f>Table_socioeca8.sandag.org_abm2_trb[[#This Row],[passenger_mile_AM]]</f>
        <v>136.42091937100901</v>
      </c>
      <c r="AB134" s="3">
        <f>Table_socioeca8.sandag.org_abm2_trb[[#This Row],[passenger_mile_MD]]</f>
        <v>161.40230944359701</v>
      </c>
      <c r="AC134" s="3">
        <f>Table_socioeca8.sandag.org_abm2_trb[[#This Row],[passenger_mile_PM]]</f>
        <v>188.163905248243</v>
      </c>
      <c r="AD134" s="3">
        <f>Table_socioeca8.sandag.org_abm2_trb[[#This Row],[passenger_mile_EV]]</f>
        <v>77.673442981704994</v>
      </c>
      <c r="AE134" s="5">
        <f>Table_socioeca8.sandag.org_abm2_trb[[#This Row],[mode_transit_route_id]]</f>
        <v>29</v>
      </c>
      <c r="AF134"/>
    </row>
    <row r="135" spans="5:32" x14ac:dyDescent="0.25">
      <c r="E135" s="47">
        <f t="shared" si="2"/>
        <v>259</v>
      </c>
      <c r="F135" s="47">
        <v>972</v>
      </c>
      <c r="G135" s="263">
        <f>IFERROR(VLOOKUP(Table_socioeca8.sandag.org_abm2_trb[[#This Row],[route]],[2]transit_general!$B$2:$M$139,3,FALSE),0)</f>
        <v>0</v>
      </c>
      <c r="H135" s="263">
        <f>IFERROR(VLOOKUP(Table_socioeca8.sandag.org_abm2_trb[[#This Row],[route]],[2]transit_general!$B$2:$M$139,4,FALSE),0)</f>
        <v>86.050631999999993</v>
      </c>
      <c r="I135" s="263">
        <f>IFERROR(VLOOKUP(Table_socioeca8.sandag.org_abm2_trb[[#This Row],[route]],[2]transit_general!$B$2:$M$139,5,FALSE),0)</f>
        <v>0</v>
      </c>
      <c r="J135" s="263">
        <f>IFERROR(VLOOKUP(Table_socioeca8.sandag.org_abm2_trb[[#This Row],[route]],[2]transit_general!$B$2:$M$139,6,FALSE),0)</f>
        <v>112.382999</v>
      </c>
      <c r="K135" s="263">
        <f>IFERROR(VLOOKUP(Table_socioeca8.sandag.org_abm2_trb[[#This Row],[route]],[2]transit_general!$B$2:$M$139,7,FALSE),0)</f>
        <v>0</v>
      </c>
      <c r="L135" s="263">
        <f>IFERROR(VLOOKUP(Table_socioeca8.sandag.org_abm2_trb[[#This Row],[route]],[2]transit_general!$B$2:$M$139,8,FALSE),0)</f>
        <v>0</v>
      </c>
      <c r="M135" s="263">
        <f>IFERROR(VLOOKUP(Table_socioeca8.sandag.org_abm2_trb[[#This Row],[route]],[2]transit_general!$B$2:$M$139,9,FALSE),0)</f>
        <v>194.35414502507501</v>
      </c>
      <c r="N135" s="263">
        <f>IFERROR(VLOOKUP(Table_socioeca8.sandag.org_abm2_trb[[#This Row],[route]],[2]transit_general!$B$2:$M$139,10,FALSE),0)</f>
        <v>0</v>
      </c>
      <c r="O135" s="263">
        <f>IFERROR(VLOOKUP(Table_socioeca8.sandag.org_abm2_trb[[#This Row],[route]],[2]transit_general!$B$2:$M$139,11,FALSE),0)</f>
        <v>231.55078636086299</v>
      </c>
      <c r="P135" s="263">
        <f>IFERROR(VLOOKUP(Table_socioeca8.sandag.org_abm2_trb[[#This Row],[route]],[2]transit_general!$B$2:$M$139,12,FALSE),0)</f>
        <v>0</v>
      </c>
      <c r="Q135" s="263">
        <f>IFERROR(VLOOKUP(Table_socioeca8.sandag.org_abm2_trb[[#This Row],[route]],[2]transit_general!$B$2:$M$139,2,FALSE),0)</f>
        <v>29</v>
      </c>
      <c r="S135" s="5">
        <f>Table_socioeca8.sandag.org_abm2_trb[[#This Row],[scenario_id]]</f>
        <v>259</v>
      </c>
      <c r="T135" s="5">
        <f>Table_socioeca8.sandag.org_abm2_trb[[#This Row],[route]]</f>
        <v>972</v>
      </c>
      <c r="U135" s="3">
        <f>Table_socioeca8.sandag.org_abm2_trb[[#This Row],[boarding_EA]]</f>
        <v>0</v>
      </c>
      <c r="V135" s="3">
        <f>Table_socioeca8.sandag.org_abm2_trb[[#This Row],[boarding_AM]]</f>
        <v>86.050631999999993</v>
      </c>
      <c r="W135" s="3">
        <f>Table_socioeca8.sandag.org_abm2_trb[[#This Row],[boarding_MD]]</f>
        <v>0</v>
      </c>
      <c r="X135" s="3">
        <f>Table_socioeca8.sandag.org_abm2_trb[[#This Row],[boarding_PM]]</f>
        <v>112.382999</v>
      </c>
      <c r="Y135" s="3">
        <f>Table_socioeca8.sandag.org_abm2_trb[[#This Row],[boarding_EV]]</f>
        <v>0</v>
      </c>
      <c r="Z135" s="3">
        <f>Table_socioeca8.sandag.org_abm2_trb[[#This Row],[passenger_mile_EA]]</f>
        <v>0</v>
      </c>
      <c r="AA135" s="3">
        <f>Table_socioeca8.sandag.org_abm2_trb[[#This Row],[passenger_mile_AM]]</f>
        <v>194.35414502507501</v>
      </c>
      <c r="AB135" s="3">
        <f>Table_socioeca8.sandag.org_abm2_trb[[#This Row],[passenger_mile_MD]]</f>
        <v>0</v>
      </c>
      <c r="AC135" s="3">
        <f>Table_socioeca8.sandag.org_abm2_trb[[#This Row],[passenger_mile_PM]]</f>
        <v>231.55078636086299</v>
      </c>
      <c r="AD135" s="3">
        <f>Table_socioeca8.sandag.org_abm2_trb[[#This Row],[passenger_mile_EV]]</f>
        <v>0</v>
      </c>
      <c r="AE135" s="5">
        <f>Table_socioeca8.sandag.org_abm2_trb[[#This Row],[mode_transit_route_id]]</f>
        <v>29</v>
      </c>
      <c r="AF135"/>
    </row>
    <row r="136" spans="5:32" x14ac:dyDescent="0.25">
      <c r="E136" s="47">
        <f t="shared" si="2"/>
        <v>259</v>
      </c>
      <c r="F136" s="47">
        <v>973</v>
      </c>
      <c r="G136" s="263">
        <f>IFERROR(VLOOKUP(Table_socioeca8.sandag.org_abm2_trb[[#This Row],[route]],[2]transit_general!$B$2:$M$139,3,FALSE),0)</f>
        <v>0</v>
      </c>
      <c r="H136" s="263">
        <f>IFERROR(VLOOKUP(Table_socioeca8.sandag.org_abm2_trb[[#This Row],[route]],[2]transit_general!$B$2:$M$139,4,FALSE),0)</f>
        <v>91.441033000000004</v>
      </c>
      <c r="I136" s="263">
        <f>IFERROR(VLOOKUP(Table_socioeca8.sandag.org_abm2_trb[[#This Row],[route]],[2]transit_general!$B$2:$M$139,5,FALSE),0)</f>
        <v>0</v>
      </c>
      <c r="J136" s="263">
        <f>IFERROR(VLOOKUP(Table_socioeca8.sandag.org_abm2_trb[[#This Row],[route]],[2]transit_general!$B$2:$M$139,6,FALSE),0)</f>
        <v>84.172725999999997</v>
      </c>
      <c r="K136" s="263">
        <f>IFERROR(VLOOKUP(Table_socioeca8.sandag.org_abm2_trb[[#This Row],[route]],[2]transit_general!$B$2:$M$139,7,FALSE),0)</f>
        <v>0</v>
      </c>
      <c r="L136" s="263">
        <f>IFERROR(VLOOKUP(Table_socioeca8.sandag.org_abm2_trb[[#This Row],[route]],[2]transit_general!$B$2:$M$139,8,FALSE),0)</f>
        <v>0</v>
      </c>
      <c r="M136" s="263">
        <f>IFERROR(VLOOKUP(Table_socioeca8.sandag.org_abm2_trb[[#This Row],[route]],[2]transit_general!$B$2:$M$139,9,FALSE),0)</f>
        <v>246.421177066344</v>
      </c>
      <c r="N136" s="263">
        <f>IFERROR(VLOOKUP(Table_socioeca8.sandag.org_abm2_trb[[#This Row],[route]],[2]transit_general!$B$2:$M$139,10,FALSE),0)</f>
        <v>0</v>
      </c>
      <c r="O136" s="263">
        <f>IFERROR(VLOOKUP(Table_socioeca8.sandag.org_abm2_trb[[#This Row],[route]],[2]transit_general!$B$2:$M$139,11,FALSE),0)</f>
        <v>234.26407840934201</v>
      </c>
      <c r="P136" s="263">
        <f>IFERROR(VLOOKUP(Table_socioeca8.sandag.org_abm2_trb[[#This Row],[route]],[2]transit_general!$B$2:$M$139,12,FALSE),0)</f>
        <v>0</v>
      </c>
      <c r="Q136" s="263">
        <f>IFERROR(VLOOKUP(Table_socioeca8.sandag.org_abm2_trb[[#This Row],[route]],[2]transit_general!$B$2:$M$139,2,FALSE),0)</f>
        <v>29</v>
      </c>
      <c r="S136" s="5">
        <f>Table_socioeca8.sandag.org_abm2_trb[[#This Row],[scenario_id]]</f>
        <v>259</v>
      </c>
      <c r="T136" s="5">
        <f>Table_socioeca8.sandag.org_abm2_trb[[#This Row],[route]]</f>
        <v>973</v>
      </c>
      <c r="U136" s="3">
        <f>Table_socioeca8.sandag.org_abm2_trb[[#This Row],[boarding_EA]]</f>
        <v>0</v>
      </c>
      <c r="V136" s="3">
        <f>Table_socioeca8.sandag.org_abm2_trb[[#This Row],[boarding_AM]]</f>
        <v>91.441033000000004</v>
      </c>
      <c r="W136" s="3">
        <f>Table_socioeca8.sandag.org_abm2_trb[[#This Row],[boarding_MD]]</f>
        <v>0</v>
      </c>
      <c r="X136" s="3">
        <f>Table_socioeca8.sandag.org_abm2_trb[[#This Row],[boarding_PM]]</f>
        <v>84.172725999999997</v>
      </c>
      <c r="Y136" s="3">
        <f>Table_socioeca8.sandag.org_abm2_trb[[#This Row],[boarding_EV]]</f>
        <v>0</v>
      </c>
      <c r="Z136" s="3">
        <f>Table_socioeca8.sandag.org_abm2_trb[[#This Row],[passenger_mile_EA]]</f>
        <v>0</v>
      </c>
      <c r="AA136" s="3">
        <f>Table_socioeca8.sandag.org_abm2_trb[[#This Row],[passenger_mile_AM]]</f>
        <v>246.421177066344</v>
      </c>
      <c r="AB136" s="3">
        <f>Table_socioeca8.sandag.org_abm2_trb[[#This Row],[passenger_mile_MD]]</f>
        <v>0</v>
      </c>
      <c r="AC136" s="3">
        <f>Table_socioeca8.sandag.org_abm2_trb[[#This Row],[passenger_mile_PM]]</f>
        <v>234.26407840934201</v>
      </c>
      <c r="AD136" s="3">
        <f>Table_socioeca8.sandag.org_abm2_trb[[#This Row],[passenger_mile_EV]]</f>
        <v>0</v>
      </c>
      <c r="AE136" s="5">
        <f>Table_socioeca8.sandag.org_abm2_trb[[#This Row],[mode_transit_route_id]]</f>
        <v>29</v>
      </c>
      <c r="AF136"/>
    </row>
    <row r="137" spans="5:32" x14ac:dyDescent="0.25">
      <c r="E137" s="47">
        <f t="shared" si="2"/>
        <v>259</v>
      </c>
      <c r="F137" s="47">
        <v>978</v>
      </c>
      <c r="G137" s="263">
        <f>IFERROR(VLOOKUP(Table_socioeca8.sandag.org_abm2_trb[[#This Row],[route]],[2]transit_general!$B$2:$M$139,3,FALSE),0)</f>
        <v>0</v>
      </c>
      <c r="H137" s="263">
        <f>IFERROR(VLOOKUP(Table_socioeca8.sandag.org_abm2_trb[[#This Row],[route]],[2]transit_general!$B$2:$M$139,4,FALSE),0)</f>
        <v>62.997548999999999</v>
      </c>
      <c r="I137" s="263">
        <f>IFERROR(VLOOKUP(Table_socioeca8.sandag.org_abm2_trb[[#This Row],[route]],[2]transit_general!$B$2:$M$139,5,FALSE),0)</f>
        <v>0</v>
      </c>
      <c r="J137" s="263">
        <f>IFERROR(VLOOKUP(Table_socioeca8.sandag.org_abm2_trb[[#This Row],[route]],[2]transit_general!$B$2:$M$139,6,FALSE),0)</f>
        <v>69.641005000000007</v>
      </c>
      <c r="K137" s="263">
        <f>IFERROR(VLOOKUP(Table_socioeca8.sandag.org_abm2_trb[[#This Row],[route]],[2]transit_general!$B$2:$M$139,7,FALSE),0)</f>
        <v>0</v>
      </c>
      <c r="L137" s="263">
        <f>IFERROR(VLOOKUP(Table_socioeca8.sandag.org_abm2_trb[[#This Row],[route]],[2]transit_general!$B$2:$M$139,8,FALSE),0)</f>
        <v>0</v>
      </c>
      <c r="M137" s="263">
        <f>IFERROR(VLOOKUP(Table_socioeca8.sandag.org_abm2_trb[[#This Row],[route]],[2]transit_general!$B$2:$M$139,9,FALSE),0)</f>
        <v>173.38914288051399</v>
      </c>
      <c r="N137" s="263">
        <f>IFERROR(VLOOKUP(Table_socioeca8.sandag.org_abm2_trb[[#This Row],[route]],[2]transit_general!$B$2:$M$139,10,FALSE),0)</f>
        <v>0</v>
      </c>
      <c r="O137" s="263">
        <f>IFERROR(VLOOKUP(Table_socioeca8.sandag.org_abm2_trb[[#This Row],[route]],[2]transit_general!$B$2:$M$139,11,FALSE),0)</f>
        <v>157.909987316491</v>
      </c>
      <c r="P137" s="263">
        <f>IFERROR(VLOOKUP(Table_socioeca8.sandag.org_abm2_trb[[#This Row],[route]],[2]transit_general!$B$2:$M$139,12,FALSE),0)</f>
        <v>0</v>
      </c>
      <c r="Q137" s="263">
        <f>IFERROR(VLOOKUP(Table_socioeca8.sandag.org_abm2_trb[[#This Row],[route]],[2]transit_general!$B$2:$M$139,2,FALSE),0)</f>
        <v>29</v>
      </c>
      <c r="S137" s="5">
        <f>Table_socioeca8.sandag.org_abm2_trb[[#This Row],[scenario_id]]</f>
        <v>259</v>
      </c>
      <c r="T137" s="5">
        <f>Table_socioeca8.sandag.org_abm2_trb[[#This Row],[route]]</f>
        <v>978</v>
      </c>
      <c r="U137" s="3">
        <f>Table_socioeca8.sandag.org_abm2_trb[[#This Row],[boarding_EA]]</f>
        <v>0</v>
      </c>
      <c r="V137" s="3">
        <f>Table_socioeca8.sandag.org_abm2_trb[[#This Row],[boarding_AM]]</f>
        <v>62.997548999999999</v>
      </c>
      <c r="W137" s="3">
        <f>Table_socioeca8.sandag.org_abm2_trb[[#This Row],[boarding_MD]]</f>
        <v>0</v>
      </c>
      <c r="X137" s="3">
        <f>Table_socioeca8.sandag.org_abm2_trb[[#This Row],[boarding_PM]]</f>
        <v>69.641005000000007</v>
      </c>
      <c r="Y137" s="3">
        <f>Table_socioeca8.sandag.org_abm2_trb[[#This Row],[boarding_EV]]</f>
        <v>0</v>
      </c>
      <c r="Z137" s="3">
        <f>Table_socioeca8.sandag.org_abm2_trb[[#This Row],[passenger_mile_EA]]</f>
        <v>0</v>
      </c>
      <c r="AA137" s="3">
        <f>Table_socioeca8.sandag.org_abm2_trb[[#This Row],[passenger_mile_AM]]</f>
        <v>173.38914288051399</v>
      </c>
      <c r="AB137" s="3">
        <f>Table_socioeca8.sandag.org_abm2_trb[[#This Row],[passenger_mile_MD]]</f>
        <v>0</v>
      </c>
      <c r="AC137" s="3">
        <f>Table_socioeca8.sandag.org_abm2_trb[[#This Row],[passenger_mile_PM]]</f>
        <v>157.909987316491</v>
      </c>
      <c r="AD137" s="3">
        <f>Table_socioeca8.sandag.org_abm2_trb[[#This Row],[passenger_mile_EV]]</f>
        <v>0</v>
      </c>
      <c r="AE137" s="5">
        <f>Table_socioeca8.sandag.org_abm2_trb[[#This Row],[mode_transit_route_id]]</f>
        <v>29</v>
      </c>
      <c r="AF137"/>
    </row>
    <row r="138" spans="5:32" x14ac:dyDescent="0.25">
      <c r="E138" s="47">
        <f t="shared" si="2"/>
        <v>259</v>
      </c>
      <c r="F138" s="47">
        <v>979</v>
      </c>
      <c r="G138" s="263">
        <f>IFERROR(VLOOKUP(Table_socioeca8.sandag.org_abm2_trb[[#This Row],[route]],[2]transit_general!$B$2:$M$139,3,FALSE),0)</f>
        <v>0</v>
      </c>
      <c r="H138" s="263">
        <f>IFERROR(VLOOKUP(Table_socioeca8.sandag.org_abm2_trb[[#This Row],[route]],[2]transit_general!$B$2:$M$139,4,FALSE),0)</f>
        <v>122.85561199999999</v>
      </c>
      <c r="I138" s="263">
        <f>IFERROR(VLOOKUP(Table_socioeca8.sandag.org_abm2_trb[[#This Row],[route]],[2]transit_general!$B$2:$M$139,5,FALSE),0)</f>
        <v>0</v>
      </c>
      <c r="J138" s="263">
        <f>IFERROR(VLOOKUP(Table_socioeca8.sandag.org_abm2_trb[[#This Row],[route]],[2]transit_general!$B$2:$M$139,6,FALSE),0)</f>
        <v>172.582323</v>
      </c>
      <c r="K138" s="263">
        <f>IFERROR(VLOOKUP(Table_socioeca8.sandag.org_abm2_trb[[#This Row],[route]],[2]transit_general!$B$2:$M$139,7,FALSE),0)</f>
        <v>0</v>
      </c>
      <c r="L138" s="263">
        <f>IFERROR(VLOOKUP(Table_socioeca8.sandag.org_abm2_trb[[#This Row],[route]],[2]transit_general!$B$2:$M$139,8,FALSE),0)</f>
        <v>0</v>
      </c>
      <c r="M138" s="263">
        <f>IFERROR(VLOOKUP(Table_socioeca8.sandag.org_abm2_trb[[#This Row],[route]],[2]transit_general!$B$2:$M$139,9,FALSE),0)</f>
        <v>298.91211883353202</v>
      </c>
      <c r="N138" s="263">
        <f>IFERROR(VLOOKUP(Table_socioeca8.sandag.org_abm2_trb[[#This Row],[route]],[2]transit_general!$B$2:$M$139,10,FALSE),0)</f>
        <v>0</v>
      </c>
      <c r="O138" s="263">
        <f>IFERROR(VLOOKUP(Table_socioeca8.sandag.org_abm2_trb[[#This Row],[route]],[2]transit_general!$B$2:$M$139,11,FALSE),0)</f>
        <v>385.063163496865</v>
      </c>
      <c r="P138" s="263">
        <f>IFERROR(VLOOKUP(Table_socioeca8.sandag.org_abm2_trb[[#This Row],[route]],[2]transit_general!$B$2:$M$139,12,FALSE),0)</f>
        <v>0</v>
      </c>
      <c r="Q138" s="263">
        <f>IFERROR(VLOOKUP(Table_socioeca8.sandag.org_abm2_trb[[#This Row],[route]],[2]transit_general!$B$2:$M$139,2,FALSE),0)</f>
        <v>29</v>
      </c>
      <c r="S138" s="5">
        <f>Table_socioeca8.sandag.org_abm2_trb[[#This Row],[scenario_id]]</f>
        <v>259</v>
      </c>
      <c r="T138" s="5">
        <f>Table_socioeca8.sandag.org_abm2_trb[[#This Row],[route]]</f>
        <v>979</v>
      </c>
      <c r="U138" s="3">
        <f>Table_socioeca8.sandag.org_abm2_trb[[#This Row],[boarding_EA]]</f>
        <v>0</v>
      </c>
      <c r="V138" s="3">
        <f>Table_socioeca8.sandag.org_abm2_trb[[#This Row],[boarding_AM]]</f>
        <v>122.85561199999999</v>
      </c>
      <c r="W138" s="3">
        <f>Table_socioeca8.sandag.org_abm2_trb[[#This Row],[boarding_MD]]</f>
        <v>0</v>
      </c>
      <c r="X138" s="3">
        <f>Table_socioeca8.sandag.org_abm2_trb[[#This Row],[boarding_PM]]</f>
        <v>172.582323</v>
      </c>
      <c r="Y138" s="3">
        <f>Table_socioeca8.sandag.org_abm2_trb[[#This Row],[boarding_EV]]</f>
        <v>0</v>
      </c>
      <c r="Z138" s="3">
        <f>Table_socioeca8.sandag.org_abm2_trb[[#This Row],[passenger_mile_EA]]</f>
        <v>0</v>
      </c>
      <c r="AA138" s="3">
        <f>Table_socioeca8.sandag.org_abm2_trb[[#This Row],[passenger_mile_AM]]</f>
        <v>298.91211883353202</v>
      </c>
      <c r="AB138" s="3">
        <f>Table_socioeca8.sandag.org_abm2_trb[[#This Row],[passenger_mile_MD]]</f>
        <v>0</v>
      </c>
      <c r="AC138" s="3">
        <f>Table_socioeca8.sandag.org_abm2_trb[[#This Row],[passenger_mile_PM]]</f>
        <v>385.063163496865</v>
      </c>
      <c r="AD138" s="3">
        <f>Table_socioeca8.sandag.org_abm2_trb[[#This Row],[passenger_mile_EV]]</f>
        <v>0</v>
      </c>
      <c r="AE138" s="5">
        <f>Table_socioeca8.sandag.org_abm2_trb[[#This Row],[mode_transit_route_id]]</f>
        <v>29</v>
      </c>
      <c r="AF138"/>
    </row>
    <row r="139" spans="5:32" x14ac:dyDescent="0.25">
      <c r="E139" s="47">
        <f t="shared" si="2"/>
        <v>259</v>
      </c>
      <c r="F139" s="47">
        <v>992</v>
      </c>
      <c r="G139" s="263">
        <f>IFERROR(VLOOKUP(Table_socioeca8.sandag.org_abm2_trb[[#This Row],[route]],[2]transit_general!$B$2:$M$139,3,FALSE),0)</f>
        <v>96.969868000000005</v>
      </c>
      <c r="H139" s="263">
        <f>IFERROR(VLOOKUP(Table_socioeca8.sandag.org_abm2_trb[[#This Row],[route]],[2]transit_general!$B$2:$M$139,4,FALSE),0)</f>
        <v>351.45837399999999</v>
      </c>
      <c r="I139" s="263">
        <f>IFERROR(VLOOKUP(Table_socioeca8.sandag.org_abm2_trb[[#This Row],[route]],[2]transit_general!$B$2:$M$139,5,FALSE),0)</f>
        <v>338.57511599999998</v>
      </c>
      <c r="J139" s="263">
        <f>IFERROR(VLOOKUP(Table_socioeca8.sandag.org_abm2_trb[[#This Row],[route]],[2]transit_general!$B$2:$M$139,6,FALSE),0)</f>
        <v>326.45203800000002</v>
      </c>
      <c r="K139" s="263">
        <f>IFERROR(VLOOKUP(Table_socioeca8.sandag.org_abm2_trb[[#This Row],[route]],[2]transit_general!$B$2:$M$139,7,FALSE),0)</f>
        <v>126.90320699999999</v>
      </c>
      <c r="L139" s="263">
        <f>IFERROR(VLOOKUP(Table_socioeca8.sandag.org_abm2_trb[[#This Row],[route]],[2]transit_general!$B$2:$M$139,8,FALSE),0)</f>
        <v>191.80614926394401</v>
      </c>
      <c r="M139" s="263">
        <f>IFERROR(VLOOKUP(Table_socioeca8.sandag.org_abm2_trb[[#This Row],[route]],[2]transit_general!$B$2:$M$139,9,FALSE),0)</f>
        <v>631.57253473983906</v>
      </c>
      <c r="N139" s="263">
        <f>IFERROR(VLOOKUP(Table_socioeca8.sandag.org_abm2_trb[[#This Row],[route]],[2]transit_general!$B$2:$M$139,10,FALSE),0)</f>
        <v>655.84816698788097</v>
      </c>
      <c r="O139" s="263">
        <f>IFERROR(VLOOKUP(Table_socioeca8.sandag.org_abm2_trb[[#This Row],[route]],[2]transit_general!$B$2:$M$139,11,FALSE),0)</f>
        <v>825.50379392364403</v>
      </c>
      <c r="P139" s="263">
        <f>IFERROR(VLOOKUP(Table_socioeca8.sandag.org_abm2_trb[[#This Row],[route]],[2]transit_general!$B$2:$M$139,12,FALSE),0)</f>
        <v>319.37759568902402</v>
      </c>
      <c r="Q139" s="263">
        <f>IFERROR(VLOOKUP(Table_socioeca8.sandag.org_abm2_trb[[#This Row],[route]],[2]transit_general!$B$2:$M$139,2,FALSE),0)</f>
        <v>29</v>
      </c>
      <c r="S139" s="5">
        <f>Table_socioeca8.sandag.org_abm2_trb[[#This Row],[scenario_id]]</f>
        <v>259</v>
      </c>
      <c r="T139" s="5">
        <f>Table_socioeca8.sandag.org_abm2_trb[[#This Row],[route]]</f>
        <v>992</v>
      </c>
      <c r="U139" s="3">
        <f>Table_socioeca8.sandag.org_abm2_trb[[#This Row],[boarding_EA]]</f>
        <v>96.969868000000005</v>
      </c>
      <c r="V139" s="3">
        <f>Table_socioeca8.sandag.org_abm2_trb[[#This Row],[boarding_AM]]</f>
        <v>351.45837399999999</v>
      </c>
      <c r="W139" s="3">
        <f>Table_socioeca8.sandag.org_abm2_trb[[#This Row],[boarding_MD]]</f>
        <v>338.57511599999998</v>
      </c>
      <c r="X139" s="3">
        <f>Table_socioeca8.sandag.org_abm2_trb[[#This Row],[boarding_PM]]</f>
        <v>326.45203800000002</v>
      </c>
      <c r="Y139" s="3">
        <f>Table_socioeca8.sandag.org_abm2_trb[[#This Row],[boarding_EV]]</f>
        <v>126.90320699999999</v>
      </c>
      <c r="Z139" s="3">
        <f>Table_socioeca8.sandag.org_abm2_trb[[#This Row],[passenger_mile_EA]]</f>
        <v>191.80614926394401</v>
      </c>
      <c r="AA139" s="3">
        <f>Table_socioeca8.sandag.org_abm2_trb[[#This Row],[passenger_mile_AM]]</f>
        <v>631.57253473983906</v>
      </c>
      <c r="AB139" s="3">
        <f>Table_socioeca8.sandag.org_abm2_trb[[#This Row],[passenger_mile_MD]]</f>
        <v>655.84816698788097</v>
      </c>
      <c r="AC139" s="3">
        <f>Table_socioeca8.sandag.org_abm2_trb[[#This Row],[passenger_mile_PM]]</f>
        <v>825.50379392364403</v>
      </c>
      <c r="AD139" s="3">
        <f>Table_socioeca8.sandag.org_abm2_trb[[#This Row],[passenger_mile_EV]]</f>
        <v>319.37759568902402</v>
      </c>
      <c r="AE139" s="5">
        <f>Table_socioeca8.sandag.org_abm2_trb[[#This Row],[mode_transit_route_id]]</f>
        <v>29</v>
      </c>
    </row>
  </sheetData>
  <hyperlinks>
    <hyperlink ref="B20" r:id="rId1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142"/>
  <sheetViews>
    <sheetView workbookViewId="0">
      <pane ySplit="2" topLeftCell="A101" activePane="bottomLeft" state="frozen"/>
      <selection pane="bottomLeft" activeCell="D141" sqref="D141"/>
    </sheetView>
  </sheetViews>
  <sheetFormatPr defaultRowHeight="15" x14ac:dyDescent="0.25"/>
  <cols>
    <col min="1" max="1" width="9.140625" style="5" bestFit="1" customWidth="1"/>
    <col min="2" max="2" width="9.140625" style="5" customWidth="1"/>
    <col min="3" max="3" width="15" style="6" bestFit="1" customWidth="1"/>
    <col min="4" max="4" width="15" style="282" customWidth="1"/>
    <col min="5" max="5" width="9.140625" style="248" bestFit="1" customWidth="1"/>
    <col min="6" max="6" width="10.140625" style="248" bestFit="1" customWidth="1"/>
    <col min="7" max="7" width="11.140625" style="248" bestFit="1" customWidth="1"/>
    <col min="8" max="9" width="10.140625" style="248" bestFit="1" customWidth="1"/>
    <col min="10" max="10" width="10.140625" style="5" bestFit="1" customWidth="1"/>
    <col min="11" max="14" width="11.140625" style="5" bestFit="1" customWidth="1"/>
    <col min="15" max="19" width="9.140625" style="252"/>
    <col min="20" max="20" width="9.140625" style="5"/>
    <col min="21" max="21" width="9.85546875" style="5" bestFit="1" customWidth="1"/>
    <col min="22" max="22" width="11.5703125" style="5" bestFit="1" customWidth="1"/>
    <col min="23" max="16384" width="9.140625" style="5"/>
  </cols>
  <sheetData>
    <row r="1" spans="1:19" x14ac:dyDescent="0.25">
      <c r="A1" s="5" t="s">
        <v>1</v>
      </c>
      <c r="B1" s="5" t="s">
        <v>2</v>
      </c>
      <c r="C1" s="6" t="s">
        <v>96</v>
      </c>
      <c r="D1" s="282" t="s">
        <v>97</v>
      </c>
      <c r="E1" s="248" t="s">
        <v>4</v>
      </c>
      <c r="F1" s="248" t="s">
        <v>5</v>
      </c>
      <c r="G1" s="248" t="s">
        <v>6</v>
      </c>
      <c r="H1" s="248" t="s">
        <v>7</v>
      </c>
      <c r="I1" s="248" t="s">
        <v>8</v>
      </c>
      <c r="J1" s="5" t="s">
        <v>4</v>
      </c>
      <c r="K1" s="5" t="s">
        <v>5</v>
      </c>
      <c r="L1" s="5" t="s">
        <v>6</v>
      </c>
      <c r="M1" s="5" t="s">
        <v>7</v>
      </c>
      <c r="N1" s="5" t="s">
        <v>8</v>
      </c>
      <c r="O1" s="252" t="s">
        <v>4</v>
      </c>
      <c r="P1" s="252" t="s">
        <v>5</v>
      </c>
      <c r="Q1" s="252" t="s">
        <v>6</v>
      </c>
      <c r="R1" s="252" t="s">
        <v>7</v>
      </c>
      <c r="S1" s="252" t="s">
        <v>8</v>
      </c>
    </row>
    <row r="2" spans="1:19" x14ac:dyDescent="0.25">
      <c r="A2" s="4">
        <v>398</v>
      </c>
      <c r="B2" s="5">
        <v>4</v>
      </c>
      <c r="C2" s="6" t="s">
        <v>12</v>
      </c>
      <c r="D2" s="282" t="str">
        <f>VLOOKUP(A2,abm2_mode!$A$2:$C$139,3,FALSE)</f>
        <v xml:space="preserve">Commuter Rail                                                              </v>
      </c>
      <c r="E2" s="249">
        <v>128.5277731580745</v>
      </c>
      <c r="F2" s="249">
        <v>1674.3999884886084</v>
      </c>
      <c r="G2" s="249">
        <v>775.69084873576924</v>
      </c>
      <c r="H2" s="249">
        <v>2135.6163612602081</v>
      </c>
      <c r="I2" s="249">
        <v>300.76109340881982</v>
      </c>
      <c r="J2" s="4">
        <v>3400.5878222163342</v>
      </c>
      <c r="K2" s="4">
        <v>39093.184108910056</v>
      </c>
      <c r="L2" s="4">
        <v>20105.041468705818</v>
      </c>
      <c r="M2" s="4">
        <v>48388.058295557006</v>
      </c>
      <c r="N2" s="4">
        <v>7451.255716314623</v>
      </c>
      <c r="O2" s="253">
        <f t="shared" ref="O2:S8" si="0">J2/E2</f>
        <v>26.457999999999995</v>
      </c>
      <c r="P2" s="253">
        <f t="shared" si="0"/>
        <v>23.347577865308867</v>
      </c>
      <c r="Q2" s="253">
        <f t="shared" si="0"/>
        <v>25.918884438914382</v>
      </c>
      <c r="R2" s="253">
        <f t="shared" si="0"/>
        <v>22.657654798544268</v>
      </c>
      <c r="S2" s="253">
        <f t="shared" si="0"/>
        <v>24.774666270368449</v>
      </c>
    </row>
    <row r="3" spans="1:19" x14ac:dyDescent="0.25">
      <c r="A3" s="4">
        <v>399</v>
      </c>
      <c r="B3" s="5">
        <v>5</v>
      </c>
      <c r="C3" s="6" t="s">
        <v>13</v>
      </c>
      <c r="D3" s="282" t="str">
        <f>VLOOKUP(A3,abm2_mode!$A$2:$C$139,3,FALSE)</f>
        <v xml:space="preserve">Light Rail                                                                 </v>
      </c>
      <c r="E3" s="249">
        <v>338.45245283018869</v>
      </c>
      <c r="F3" s="249">
        <v>2040.978679245283</v>
      </c>
      <c r="G3" s="249">
        <v>3954.4584905660349</v>
      </c>
      <c r="H3" s="249">
        <v>2471.5711320754763</v>
      </c>
      <c r="I3" s="249">
        <v>1010.2992452830173</v>
      </c>
      <c r="J3" s="4">
        <v>2931.9152830188686</v>
      </c>
      <c r="K3" s="4">
        <v>15473.950188679244</v>
      </c>
      <c r="L3" s="4">
        <v>28316.459622641494</v>
      </c>
      <c r="M3" s="4">
        <v>18886.206603773619</v>
      </c>
      <c r="N3" s="4">
        <v>8274.1883018867811</v>
      </c>
      <c r="O3" s="253">
        <f t="shared" si="0"/>
        <v>8.6627095135572691</v>
      </c>
      <c r="P3" s="253">
        <f t="shared" si="0"/>
        <v>7.5816324521338121</v>
      </c>
      <c r="Q3" s="253">
        <f t="shared" si="0"/>
        <v>7.1606415113965003</v>
      </c>
      <c r="R3" s="253">
        <f t="shared" si="0"/>
        <v>7.6413769195928918</v>
      </c>
      <c r="S3" s="253">
        <f t="shared" si="0"/>
        <v>8.1898391397579591</v>
      </c>
    </row>
    <row r="4" spans="1:19" x14ac:dyDescent="0.25">
      <c r="A4" s="4">
        <v>510</v>
      </c>
      <c r="B4" s="5">
        <v>5</v>
      </c>
      <c r="C4" s="6" t="s">
        <v>13</v>
      </c>
      <c r="D4" s="282" t="str">
        <f>VLOOKUP(A4,abm2_mode!$A$2:$C$139,3,FALSE)</f>
        <v xml:space="preserve">Light Rail                                                                 </v>
      </c>
      <c r="E4" s="249">
        <v>2757.4081075268809</v>
      </c>
      <c r="F4" s="249">
        <v>10163.451003584229</v>
      </c>
      <c r="G4" s="249">
        <v>19981.119124402867</v>
      </c>
      <c r="H4" s="249">
        <v>13674.460637294218</v>
      </c>
      <c r="I4" s="249">
        <v>5260.1213333333162</v>
      </c>
      <c r="J4" s="4">
        <v>20115.601641577061</v>
      </c>
      <c r="K4" s="4">
        <v>63661.031247311803</v>
      </c>
      <c r="L4" s="4">
        <v>113411.91242245938</v>
      </c>
      <c r="M4" s="4">
        <v>82707.204553063653</v>
      </c>
      <c r="N4" s="4">
        <v>32146.675777777673</v>
      </c>
      <c r="O4" s="253">
        <f t="shared" si="0"/>
        <v>7.295112242060803</v>
      </c>
      <c r="P4" s="253">
        <f t="shared" si="0"/>
        <v>6.2637219606668237</v>
      </c>
      <c r="Q4" s="253">
        <f t="shared" si="0"/>
        <v>5.6759539701632544</v>
      </c>
      <c r="R4" s="253">
        <f t="shared" si="0"/>
        <v>6.0482973878689688</v>
      </c>
      <c r="S4" s="253">
        <f t="shared" si="0"/>
        <v>6.1113943463746043</v>
      </c>
    </row>
    <row r="5" spans="1:19" x14ac:dyDescent="0.25">
      <c r="A5" s="4">
        <v>520</v>
      </c>
      <c r="B5" s="5">
        <v>5</v>
      </c>
      <c r="C5" s="6" t="s">
        <v>13</v>
      </c>
      <c r="D5" s="282" t="str">
        <f>VLOOKUP(A5,abm2_mode!$A$2:$C$139,3,FALSE)</f>
        <v xml:space="preserve">Light Rail                                                                 </v>
      </c>
      <c r="E5" s="249">
        <v>934.38754716981111</v>
      </c>
      <c r="F5" s="249">
        <v>5037.9356603773585</v>
      </c>
      <c r="G5" s="249">
        <v>11086.707924528288</v>
      </c>
      <c r="H5" s="249">
        <v>6544.0641509434172</v>
      </c>
      <c r="I5" s="249">
        <v>2969.064716981125</v>
      </c>
      <c r="J5" s="4">
        <v>5429.6671698113214</v>
      </c>
      <c r="K5" s="4">
        <v>26119.409433962264</v>
      </c>
      <c r="L5" s="4">
        <v>48821.427547169755</v>
      </c>
      <c r="M5" s="4">
        <v>32385.773584905754</v>
      </c>
      <c r="N5" s="4">
        <v>14643.872264150914</v>
      </c>
      <c r="O5" s="253">
        <f t="shared" si="0"/>
        <v>5.8109369995965494</v>
      </c>
      <c r="P5" s="253">
        <f t="shared" si="0"/>
        <v>5.1845460511510053</v>
      </c>
      <c r="Q5" s="253">
        <f t="shared" si="0"/>
        <v>4.4036000478696646</v>
      </c>
      <c r="R5" s="253">
        <f t="shared" si="0"/>
        <v>4.948877767378991</v>
      </c>
      <c r="S5" s="253">
        <f t="shared" si="0"/>
        <v>4.9321499057927101</v>
      </c>
    </row>
    <row r="6" spans="1:19" x14ac:dyDescent="0.25">
      <c r="A6" s="4">
        <v>530</v>
      </c>
      <c r="B6" s="5">
        <v>5</v>
      </c>
      <c r="C6" s="6" t="s">
        <v>13</v>
      </c>
      <c r="D6" s="282" t="str">
        <f>VLOOKUP(A6,abm2_mode!$A$2:$C$139,3,FALSE)</f>
        <v xml:space="preserve">Light Rail                                                                 </v>
      </c>
      <c r="E6" s="249">
        <v>729.18014925373132</v>
      </c>
      <c r="F6" s="249">
        <v>5475.2638805970146</v>
      </c>
      <c r="G6" s="249">
        <v>13208.901940298492</v>
      </c>
      <c r="H6" s="249">
        <v>8487.438805970176</v>
      </c>
      <c r="I6" s="249">
        <v>3973.8652238805885</v>
      </c>
      <c r="J6" s="4">
        <v>4645.7594029850743</v>
      </c>
      <c r="K6" s="4">
        <v>33698.409552238809</v>
      </c>
      <c r="L6" s="4">
        <v>72664.740298507386</v>
      </c>
      <c r="M6" s="4">
        <v>47205.91656716432</v>
      </c>
      <c r="N6" s="4">
        <v>21031.51417910443</v>
      </c>
      <c r="O6" s="253">
        <f t="shared" si="0"/>
        <v>6.3712093749942431</v>
      </c>
      <c r="P6" s="253">
        <f t="shared" si="0"/>
        <v>6.1546640101964156</v>
      </c>
      <c r="Q6" s="253">
        <f t="shared" si="0"/>
        <v>5.5011946206381879</v>
      </c>
      <c r="R6" s="253">
        <f t="shared" si="0"/>
        <v>5.5618564853697752</v>
      </c>
      <c r="S6" s="253">
        <f t="shared" si="0"/>
        <v>5.2924578450012403</v>
      </c>
    </row>
    <row r="7" spans="1:19" x14ac:dyDescent="0.25">
      <c r="A7" s="4">
        <v>235</v>
      </c>
      <c r="B7" s="5">
        <v>6</v>
      </c>
      <c r="C7" s="6" t="s">
        <v>11</v>
      </c>
      <c r="D7" s="282" t="str">
        <f>VLOOKUP(A7,abm2_mode!$A$2:$C$139,3,FALSE)</f>
        <v xml:space="preserve">Freeway Rapid                                                              </v>
      </c>
      <c r="E7" s="249">
        <v>212.83589446589443</v>
      </c>
      <c r="F7" s="249">
        <v>1289.7216929408644</v>
      </c>
      <c r="G7" s="249">
        <v>1843.2850113278521</v>
      </c>
      <c r="H7" s="249">
        <v>1456.2494505278571</v>
      </c>
      <c r="I7" s="249">
        <v>517.11795073753251</v>
      </c>
      <c r="J7" s="4">
        <v>3579.8673264010754</v>
      </c>
      <c r="K7" s="4">
        <v>20321.968535270287</v>
      </c>
      <c r="L7" s="4">
        <v>31183.483768700669</v>
      </c>
      <c r="M7" s="4">
        <v>23386.157900091359</v>
      </c>
      <c r="N7" s="4">
        <v>9959.8924695366059</v>
      </c>
      <c r="O7" s="253">
        <f t="shared" si="0"/>
        <v>16.819847683045428</v>
      </c>
      <c r="P7" s="253">
        <f t="shared" si="0"/>
        <v>15.756863396576271</v>
      </c>
      <c r="Q7" s="253">
        <f t="shared" si="0"/>
        <v>16.917342449520024</v>
      </c>
      <c r="R7" s="253">
        <f t="shared" si="0"/>
        <v>16.059170282683652</v>
      </c>
      <c r="S7" s="253">
        <f t="shared" si="0"/>
        <v>19.26038818674046</v>
      </c>
    </row>
    <row r="8" spans="1:19" x14ac:dyDescent="0.25">
      <c r="A8" s="4">
        <v>237</v>
      </c>
      <c r="B8" s="5">
        <v>6</v>
      </c>
      <c r="C8" s="6" t="s">
        <v>11</v>
      </c>
      <c r="D8" s="282" t="str">
        <f>VLOOKUP(A8,abm2_mode!$A$2:$C$139,3,FALSE)</f>
        <v xml:space="preserve">Freeway Rapid                                                              </v>
      </c>
      <c r="E8" s="249">
        <v>10.743942964001848</v>
      </c>
      <c r="F8" s="249">
        <v>400.23931686425931</v>
      </c>
      <c r="G8" s="249">
        <v>180.6833947399488</v>
      </c>
      <c r="H8" s="249">
        <v>428.90790425532003</v>
      </c>
      <c r="I8" s="249">
        <v>72.115441176470085</v>
      </c>
      <c r="J8" s="4">
        <v>75.683595605422937</v>
      </c>
      <c r="K8" s="4">
        <v>2752.4322438127674</v>
      </c>
      <c r="L8" s="4">
        <v>1136.7917475655358</v>
      </c>
      <c r="M8" s="4">
        <v>2893.0408117090874</v>
      </c>
      <c r="N8" s="4">
        <v>394.14160130718648</v>
      </c>
      <c r="O8" s="253">
        <f t="shared" si="0"/>
        <v>7.0443035540122327</v>
      </c>
      <c r="P8" s="253">
        <f t="shared" si="0"/>
        <v>6.8769661745806232</v>
      </c>
      <c r="Q8" s="253">
        <f t="shared" si="0"/>
        <v>6.2916226983762389</v>
      </c>
      <c r="R8" s="253">
        <f t="shared" si="0"/>
        <v>6.745132889849752</v>
      </c>
      <c r="S8" s="253">
        <f t="shared" si="0"/>
        <v>5.4654259181844607</v>
      </c>
    </row>
    <row r="9" spans="1:19" x14ac:dyDescent="0.25">
      <c r="A9" s="4">
        <v>280</v>
      </c>
      <c r="B9" s="5">
        <v>6</v>
      </c>
      <c r="C9" s="6" t="s">
        <v>11</v>
      </c>
      <c r="D9" s="282" t="str">
        <f>VLOOKUP(A9,abm2_mode!$A$2:$C$139,3,FALSE)</f>
        <v xml:space="preserve">Freeway Rapid                                                              </v>
      </c>
      <c r="E9" s="249">
        <v>35.699056603773585</v>
      </c>
      <c r="F9" s="249">
        <v>233.54094339622645</v>
      </c>
      <c r="G9" s="249">
        <v>14.583442622950553</v>
      </c>
      <c r="H9" s="249">
        <v>235.67655737704942</v>
      </c>
      <c r="I9" s="249">
        <v>0</v>
      </c>
      <c r="J9" s="4">
        <v>1085.5262264150945</v>
      </c>
      <c r="K9" s="4">
        <v>7041.7537735849073</v>
      </c>
      <c r="L9" s="4">
        <v>439.35295081966416</v>
      </c>
      <c r="M9" s="4">
        <v>7050.3170491803357</v>
      </c>
      <c r="N9" s="4">
        <v>0</v>
      </c>
      <c r="O9" s="253">
        <f t="shared" ref="O9:R15" si="1">J9/E9</f>
        <v>30.407700642160624</v>
      </c>
      <c r="P9" s="253">
        <f t="shared" si="1"/>
        <v>30.152116674624548</v>
      </c>
      <c r="Q9" s="253">
        <f t="shared" si="1"/>
        <v>30.12683370991131</v>
      </c>
      <c r="R9" s="253">
        <f t="shared" si="1"/>
        <v>29.915224185411102</v>
      </c>
      <c r="S9" s="253">
        <v>0</v>
      </c>
    </row>
    <row r="10" spans="1:19" x14ac:dyDescent="0.25">
      <c r="A10" s="4">
        <v>290</v>
      </c>
      <c r="B10" s="5">
        <v>6</v>
      </c>
      <c r="C10" s="6" t="s">
        <v>11</v>
      </c>
      <c r="D10" s="282" t="str">
        <f>VLOOKUP(A10,abm2_mode!$A$2:$C$139,3,FALSE)</f>
        <v xml:space="preserve">Freeway Rapid                                                              </v>
      </c>
      <c r="E10" s="249">
        <v>30.776086956521745</v>
      </c>
      <c r="F10" s="249">
        <v>327.64391304347828</v>
      </c>
      <c r="G10" s="249">
        <v>20.292244897958764</v>
      </c>
      <c r="H10" s="249">
        <v>297.98775510204121</v>
      </c>
      <c r="I10" s="249">
        <v>0</v>
      </c>
      <c r="J10" s="4">
        <v>638.70000000000005</v>
      </c>
      <c r="K10" s="4">
        <v>6671.75</v>
      </c>
      <c r="L10" s="4">
        <v>413.07061224488945</v>
      </c>
      <c r="M10" s="4">
        <v>6052.2493877551115</v>
      </c>
      <c r="N10" s="4">
        <v>0</v>
      </c>
      <c r="O10" s="253">
        <f t="shared" si="1"/>
        <v>20.753125662216569</v>
      </c>
      <c r="P10" s="253">
        <f t="shared" si="1"/>
        <v>20.36280771410107</v>
      </c>
      <c r="Q10" s="253">
        <f t="shared" si="1"/>
        <v>20.356082548877627</v>
      </c>
      <c r="R10" s="253">
        <f t="shared" si="1"/>
        <v>20.310396263372009</v>
      </c>
      <c r="S10" s="253">
        <v>0</v>
      </c>
    </row>
    <row r="11" spans="1:19" x14ac:dyDescent="0.25">
      <c r="A11" s="4">
        <v>201</v>
      </c>
      <c r="B11" s="5">
        <v>7</v>
      </c>
      <c r="C11" s="6" t="s">
        <v>10</v>
      </c>
      <c r="D11" s="282" t="str">
        <f>VLOOKUP(A11,abm2_mode!$A$2:$C$139,3,FALSE)</f>
        <v xml:space="preserve">Arterial Rapid                                                             </v>
      </c>
      <c r="E11" s="249">
        <v>1.7679999999999987</v>
      </c>
      <c r="F11" s="249">
        <v>185.72866666666661</v>
      </c>
      <c r="G11" s="249">
        <v>1556.0061363636328</v>
      </c>
      <c r="H11" s="249">
        <v>1709.882250733144</v>
      </c>
      <c r="I11" s="249">
        <v>678.77494623655673</v>
      </c>
      <c r="J11" s="4">
        <v>3.6519999999999975</v>
      </c>
      <c r="K11" s="4">
        <v>435.92633333333328</v>
      </c>
      <c r="L11" s="4">
        <v>3111.2335227272661</v>
      </c>
      <c r="M11" s="4">
        <v>3352.1382416911169</v>
      </c>
      <c r="N11" s="4">
        <v>1395.6299022482847</v>
      </c>
      <c r="O11" s="253">
        <f t="shared" si="1"/>
        <v>2.065610859728507</v>
      </c>
      <c r="P11" s="253">
        <f t="shared" si="1"/>
        <v>2.3471138901551729</v>
      </c>
      <c r="Q11" s="253">
        <f t="shared" si="1"/>
        <v>1.9994995199685912</v>
      </c>
      <c r="R11" s="253">
        <f t="shared" si="1"/>
        <v>1.960449756264693</v>
      </c>
      <c r="S11" s="253">
        <f>N11/I11</f>
        <v>2.0561010832622868</v>
      </c>
    </row>
    <row r="12" spans="1:19" x14ac:dyDescent="0.25">
      <c r="A12" s="4">
        <v>202</v>
      </c>
      <c r="B12" s="5">
        <v>7</v>
      </c>
      <c r="C12" s="6" t="s">
        <v>10</v>
      </c>
      <c r="D12" s="282" t="str">
        <f>VLOOKUP(A12,abm2_mode!$A$2:$C$139,3,FALSE)</f>
        <v xml:space="preserve">Arterial Rapid                                                             </v>
      </c>
      <c r="E12" s="249">
        <v>4.4307692307692212</v>
      </c>
      <c r="F12" s="249">
        <v>870.71938130686522</v>
      </c>
      <c r="G12" s="249">
        <v>2407.593788856303</v>
      </c>
      <c r="H12" s="249">
        <v>817.05606060606351</v>
      </c>
      <c r="I12" s="249">
        <v>345.979999999999</v>
      </c>
      <c r="J12" s="4">
        <v>10.176923076923057</v>
      </c>
      <c r="K12" s="4">
        <v>1947.6916145574855</v>
      </c>
      <c r="L12" s="4">
        <v>5123.707219941346</v>
      </c>
      <c r="M12" s="4">
        <v>1667.1387585532805</v>
      </c>
      <c r="N12" s="4">
        <v>721.79548387096565</v>
      </c>
      <c r="O12" s="253">
        <f t="shared" si="1"/>
        <v>2.2968750000000004</v>
      </c>
      <c r="P12" s="253">
        <f t="shared" si="1"/>
        <v>2.2368763764442563</v>
      </c>
      <c r="Q12" s="253">
        <f t="shared" si="1"/>
        <v>2.1281443919886911</v>
      </c>
      <c r="R12" s="253">
        <f t="shared" si="1"/>
        <v>2.0404215070831926</v>
      </c>
      <c r="S12" s="253">
        <f>N12/I12</f>
        <v>2.0862347068355622</v>
      </c>
    </row>
    <row r="13" spans="1:19" x14ac:dyDescent="0.25">
      <c r="A13" s="4">
        <v>204</v>
      </c>
      <c r="B13" s="5">
        <v>7</v>
      </c>
      <c r="C13" s="6" t="s">
        <v>10</v>
      </c>
      <c r="D13" s="282" t="str">
        <f>VLOOKUP(A13,abm2_mode!$A$2:$C$139,3,FALSE)</f>
        <v xml:space="preserve">Arterial Rapid                                                             </v>
      </c>
      <c r="E13" s="249">
        <v>2.4500000000000002</v>
      </c>
      <c r="F13" s="249">
        <v>113.17133333333334</v>
      </c>
      <c r="G13" s="249">
        <v>291.34199999999959</v>
      </c>
      <c r="H13" s="249">
        <v>178.77205128205216</v>
      </c>
      <c r="I13" s="249">
        <v>110.49461538461486</v>
      </c>
      <c r="J13" s="4">
        <v>5.31</v>
      </c>
      <c r="K13" s="4">
        <v>202.63200000000001</v>
      </c>
      <c r="L13" s="4">
        <v>517.40533333333281</v>
      </c>
      <c r="M13" s="4">
        <v>292.06189743589886</v>
      </c>
      <c r="N13" s="4">
        <v>171.78076923076839</v>
      </c>
      <c r="O13" s="253">
        <f t="shared" si="1"/>
        <v>2.16734693877551</v>
      </c>
      <c r="P13" s="253">
        <f t="shared" si="1"/>
        <v>1.7904887574591917</v>
      </c>
      <c r="Q13" s="253">
        <f t="shared" si="1"/>
        <v>1.7759380155739082</v>
      </c>
      <c r="R13" s="253">
        <f t="shared" si="1"/>
        <v>1.6337111720842039</v>
      </c>
      <c r="S13" s="253">
        <f>N13/I13</f>
        <v>1.5546528546465888</v>
      </c>
    </row>
    <row r="14" spans="1:19" x14ac:dyDescent="0.25">
      <c r="A14" s="4">
        <v>215</v>
      </c>
      <c r="B14" s="5">
        <v>7</v>
      </c>
      <c r="C14" s="6" t="s">
        <v>10</v>
      </c>
      <c r="D14" s="282" t="str">
        <f>VLOOKUP(A14,abm2_mode!$A$2:$C$139,3,FALSE)</f>
        <v xml:space="preserve">Arterial Rapid                                                             </v>
      </c>
      <c r="E14" s="249">
        <v>201.20931220247041</v>
      </c>
      <c r="F14" s="249">
        <v>1246.5294633077337</v>
      </c>
      <c r="G14" s="249">
        <v>2816.5485464271155</v>
      </c>
      <c r="H14" s="249">
        <v>1766.8620276293227</v>
      </c>
      <c r="I14" s="249">
        <v>893.7720328937736</v>
      </c>
      <c r="J14" s="4">
        <v>783.55435321532798</v>
      </c>
      <c r="K14" s="4">
        <v>4426.3554427030404</v>
      </c>
      <c r="L14" s="4">
        <v>9426.9211300075458</v>
      </c>
      <c r="M14" s="4">
        <v>5860.9870958226993</v>
      </c>
      <c r="N14" s="4">
        <v>3336.5143625388446</v>
      </c>
      <c r="O14" s="253">
        <f t="shared" si="1"/>
        <v>3.8942250964352119</v>
      </c>
      <c r="P14" s="253">
        <f t="shared" si="1"/>
        <v>3.5509432973669677</v>
      </c>
      <c r="Q14" s="253">
        <f t="shared" si="1"/>
        <v>3.3469762635428051</v>
      </c>
      <c r="R14" s="253">
        <f t="shared" si="1"/>
        <v>3.3171730470016643</v>
      </c>
      <c r="S14" s="253">
        <f>N14/I14</f>
        <v>3.7330708947517439</v>
      </c>
    </row>
    <row r="15" spans="1:19" x14ac:dyDescent="0.25">
      <c r="A15" s="4">
        <v>350</v>
      </c>
      <c r="B15" s="5">
        <v>7</v>
      </c>
      <c r="C15" s="6" t="s">
        <v>10</v>
      </c>
      <c r="D15" s="282" t="str">
        <f>VLOOKUP(A15,abm2_mode!$A$2:$C$139,3,FALSE)</f>
        <v xml:space="preserve">Arterial Rapid                                                             </v>
      </c>
      <c r="E15" s="249">
        <v>44.288760845406365</v>
      </c>
      <c r="F15" s="249">
        <v>474.35023590901147</v>
      </c>
      <c r="G15" s="249">
        <v>1014.6863567240357</v>
      </c>
      <c r="H15" s="249">
        <v>433.64193585794601</v>
      </c>
      <c r="I15" s="249">
        <v>100.00775365258657</v>
      </c>
      <c r="J15" s="4">
        <v>87.183587021057306</v>
      </c>
      <c r="K15" s="4">
        <v>1070.6294659877362</v>
      </c>
      <c r="L15" s="4">
        <v>2397.767120903688</v>
      </c>
      <c r="M15" s="4">
        <v>1005.7996036283801</v>
      </c>
      <c r="N15" s="4">
        <v>212.43831202350648</v>
      </c>
      <c r="O15" s="253">
        <f t="shared" si="1"/>
        <v>1.9685262210288279</v>
      </c>
      <c r="P15" s="253">
        <f t="shared" si="1"/>
        <v>2.2570442363880292</v>
      </c>
      <c r="Q15" s="253">
        <f t="shared" si="1"/>
        <v>2.363062344353378</v>
      </c>
      <c r="R15" s="253">
        <f t="shared" si="1"/>
        <v>2.3194242079895693</v>
      </c>
      <c r="S15" s="253">
        <f>N15/I15</f>
        <v>2.1242184157189299</v>
      </c>
    </row>
    <row r="16" spans="1:19" x14ac:dyDescent="0.25">
      <c r="A16" s="272">
        <v>870</v>
      </c>
      <c r="B16" s="273">
        <v>8</v>
      </c>
      <c r="C16" s="277" t="s">
        <v>14</v>
      </c>
      <c r="D16" s="283" t="str">
        <f>VLOOKUP(A16,abm2_mode!$A$2:$C$139,3,FALSE)</f>
        <v xml:space="preserve">Premium Express Bus                                                        </v>
      </c>
      <c r="E16" s="274">
        <v>0</v>
      </c>
      <c r="F16" s="274">
        <v>29.48</v>
      </c>
      <c r="G16" s="274">
        <v>0</v>
      </c>
      <c r="H16" s="274">
        <v>23.77</v>
      </c>
      <c r="I16" s="274">
        <v>0</v>
      </c>
      <c r="J16" s="272">
        <v>0</v>
      </c>
      <c r="K16" s="272">
        <v>323.86</v>
      </c>
      <c r="L16" s="272">
        <v>0</v>
      </c>
      <c r="M16" s="272">
        <v>322.45999999999998</v>
      </c>
      <c r="N16" s="272">
        <v>0</v>
      </c>
      <c r="O16" s="275">
        <v>0</v>
      </c>
      <c r="P16" s="275">
        <f t="shared" ref="P16:P48" si="2">K16/F16</f>
        <v>10.985753052917232</v>
      </c>
      <c r="Q16" s="275">
        <v>0</v>
      </c>
      <c r="R16" s="275">
        <f t="shared" ref="R16:R48" si="3">M16/H16</f>
        <v>13.565839293226755</v>
      </c>
      <c r="S16" s="275">
        <v>0</v>
      </c>
    </row>
    <row r="17" spans="1:19" x14ac:dyDescent="0.25">
      <c r="A17" s="4">
        <v>10</v>
      </c>
      <c r="B17" s="5">
        <v>9</v>
      </c>
      <c r="C17" s="6" t="s">
        <v>9</v>
      </c>
      <c r="D17" s="282" t="str">
        <f>VLOOKUP(A17,abm2_mode!$A$2:$C$139,3,FALSE)</f>
        <v xml:space="preserve">Express Bus                                                                </v>
      </c>
      <c r="E17" s="249">
        <v>83.471336466165397</v>
      </c>
      <c r="F17" s="249">
        <v>806.82754080656184</v>
      </c>
      <c r="G17" s="249">
        <v>1995.7452728643452</v>
      </c>
      <c r="H17" s="249">
        <v>1072.2860005721491</v>
      </c>
      <c r="I17" s="249">
        <v>477.61984929077863</v>
      </c>
      <c r="J17" s="4">
        <v>371.14096616541343</v>
      </c>
      <c r="K17" s="4">
        <v>2719.3538338345857</v>
      </c>
      <c r="L17" s="4">
        <v>5447.3801819921446</v>
      </c>
      <c r="M17" s="4">
        <v>3274.7624075468675</v>
      </c>
      <c r="N17" s="4">
        <v>1653.812610460988</v>
      </c>
      <c r="O17" s="253">
        <f>J17/E17</f>
        <v>4.4463283071531166</v>
      </c>
      <c r="P17" s="253">
        <f t="shared" si="2"/>
        <v>3.3704276270937994</v>
      </c>
      <c r="Q17" s="253">
        <f>L17/G17</f>
        <v>2.7294967228828373</v>
      </c>
      <c r="R17" s="253">
        <f t="shared" si="3"/>
        <v>3.0540008969617469</v>
      </c>
      <c r="S17" s="253">
        <f>N17/I17</f>
        <v>3.4626128141800367</v>
      </c>
    </row>
    <row r="18" spans="1:19" x14ac:dyDescent="0.25">
      <c r="A18" s="4">
        <v>20</v>
      </c>
      <c r="B18" s="5">
        <v>9</v>
      </c>
      <c r="C18" s="6" t="s">
        <v>9</v>
      </c>
      <c r="D18" s="282" t="str">
        <f>VLOOKUP(A18,abm2_mode!$A$2:$C$139,3,FALSE)</f>
        <v xml:space="preserve">Express Bus                                                                </v>
      </c>
      <c r="E18" s="249">
        <v>48.798728058555263</v>
      </c>
      <c r="F18" s="249">
        <v>633.14510730234804</v>
      </c>
      <c r="G18" s="249">
        <v>997.37781757755033</v>
      </c>
      <c r="H18" s="249">
        <v>598.7012887079768</v>
      </c>
      <c r="I18" s="249">
        <v>138.05742602878999</v>
      </c>
      <c r="J18" s="4">
        <v>431.64548721089818</v>
      </c>
      <c r="K18" s="4">
        <v>5053.558512370606</v>
      </c>
      <c r="L18" s="4">
        <v>8566.1477696714537</v>
      </c>
      <c r="M18" s="4">
        <v>4904.4296368288569</v>
      </c>
      <c r="N18" s="4">
        <v>1341.743917548979</v>
      </c>
      <c r="O18" s="253">
        <f>J18/E18</f>
        <v>8.8454249605225783</v>
      </c>
      <c r="P18" s="253">
        <f t="shared" si="2"/>
        <v>7.9816750600859692</v>
      </c>
      <c r="Q18" s="253">
        <f>L18/G18</f>
        <v>8.588668826099493</v>
      </c>
      <c r="R18" s="253">
        <f t="shared" si="3"/>
        <v>8.1917806581188888</v>
      </c>
      <c r="S18" s="253">
        <f>N18/I18</f>
        <v>9.7187377466328879</v>
      </c>
    </row>
    <row r="19" spans="1:19" x14ac:dyDescent="0.25">
      <c r="A19" s="4">
        <v>50</v>
      </c>
      <c r="B19" s="5">
        <v>9</v>
      </c>
      <c r="C19" s="6" t="s">
        <v>9</v>
      </c>
      <c r="D19" s="282" t="str">
        <f>VLOOKUP(A19,abm2_mode!$A$2:$C$139,3,FALSE)</f>
        <v xml:space="preserve">Express Bus                                                                </v>
      </c>
      <c r="E19" s="249">
        <v>43.834133157547782</v>
      </c>
      <c r="F19" s="249">
        <v>282.30860995534391</v>
      </c>
      <c r="G19" s="249">
        <v>271.98734049914776</v>
      </c>
      <c r="H19" s="249">
        <v>251.62573034144893</v>
      </c>
      <c r="I19" s="249">
        <v>5.7641860465114823</v>
      </c>
      <c r="J19" s="4">
        <v>468.39814800680011</v>
      </c>
      <c r="K19" s="4">
        <v>2374.4192248309682</v>
      </c>
      <c r="L19" s="4">
        <v>1985.8193997374781</v>
      </c>
      <c r="M19" s="4">
        <v>1927.8102041689403</v>
      </c>
      <c r="N19" s="4">
        <v>49.613023255812699</v>
      </c>
      <c r="O19" s="253">
        <f>J19/E19</f>
        <v>10.685694326913975</v>
      </c>
      <c r="P19" s="253">
        <f t="shared" si="2"/>
        <v>8.4107219585210604</v>
      </c>
      <c r="Q19" s="253">
        <f>L19/G19</f>
        <v>7.3011464287018919</v>
      </c>
      <c r="R19" s="253">
        <f t="shared" si="3"/>
        <v>7.661419210002717</v>
      </c>
      <c r="S19" s="253">
        <f>N19/I19</f>
        <v>8.6071169208424116</v>
      </c>
    </row>
    <row r="20" spans="1:19" x14ac:dyDescent="0.25">
      <c r="A20" s="4">
        <v>60</v>
      </c>
      <c r="B20" s="5">
        <v>9</v>
      </c>
      <c r="C20" s="6" t="s">
        <v>9</v>
      </c>
      <c r="D20" s="282" t="str">
        <f>VLOOKUP(A20,abm2_mode!$A$2:$C$139,3,FALSE)</f>
        <v xml:space="preserve">Express Bus                                                                </v>
      </c>
      <c r="E20" s="249">
        <v>54.233500000000006</v>
      </c>
      <c r="F20" s="249">
        <v>131.28649999999999</v>
      </c>
      <c r="G20" s="249">
        <v>2.0984615384612804</v>
      </c>
      <c r="H20" s="249">
        <v>129.48153846153872</v>
      </c>
      <c r="I20" s="249">
        <v>0</v>
      </c>
      <c r="J20" s="4">
        <v>633.05900000000008</v>
      </c>
      <c r="K20" s="4">
        <v>1324.9009999999998</v>
      </c>
      <c r="L20" s="4">
        <v>21.349230769228146</v>
      </c>
      <c r="M20" s="4">
        <v>1328.3507692307719</v>
      </c>
      <c r="N20" s="4">
        <v>0</v>
      </c>
      <c r="O20" s="253">
        <f>J20/E20</f>
        <v>11.672840587459781</v>
      </c>
      <c r="P20" s="253">
        <f t="shared" si="2"/>
        <v>10.091677362105013</v>
      </c>
      <c r="Q20" s="253">
        <f>L20/G20</f>
        <v>10.173753665689151</v>
      </c>
      <c r="R20" s="253">
        <f t="shared" si="3"/>
        <v>10.258997421669855</v>
      </c>
      <c r="S20" s="253">
        <v>0</v>
      </c>
    </row>
    <row r="21" spans="1:19" x14ac:dyDescent="0.25">
      <c r="A21" s="4">
        <v>110</v>
      </c>
      <c r="B21" s="5">
        <v>9</v>
      </c>
      <c r="C21" s="6" t="s">
        <v>9</v>
      </c>
      <c r="D21" s="282" t="str">
        <f>VLOOKUP(A21,abm2_mode!$A$2:$C$139,3,FALSE)</f>
        <v xml:space="preserve">Express Bus                                                                </v>
      </c>
      <c r="E21" s="249">
        <v>0</v>
      </c>
      <c r="F21" s="249">
        <v>104.18</v>
      </c>
      <c r="G21" s="249">
        <v>0</v>
      </c>
      <c r="H21" s="249">
        <v>106.83</v>
      </c>
      <c r="I21" s="249">
        <v>0</v>
      </c>
      <c r="J21" s="4">
        <v>0</v>
      </c>
      <c r="K21" s="4">
        <v>1540.7099999999998</v>
      </c>
      <c r="L21" s="4">
        <v>0</v>
      </c>
      <c r="M21" s="4">
        <v>1544.41</v>
      </c>
      <c r="N21" s="4">
        <v>0</v>
      </c>
      <c r="O21" s="253">
        <v>0</v>
      </c>
      <c r="P21" s="253">
        <f t="shared" si="2"/>
        <v>14.788923017853712</v>
      </c>
      <c r="Q21" s="253">
        <v>0</v>
      </c>
      <c r="R21" s="253">
        <f t="shared" si="3"/>
        <v>14.456706917532529</v>
      </c>
      <c r="S21" s="253">
        <v>0</v>
      </c>
    </row>
    <row r="22" spans="1:19" x14ac:dyDescent="0.25">
      <c r="A22" s="4">
        <v>120</v>
      </c>
      <c r="B22" s="5">
        <v>9</v>
      </c>
      <c r="C22" s="6" t="s">
        <v>9</v>
      </c>
      <c r="D22" s="282" t="str">
        <f>VLOOKUP(A22,abm2_mode!$A$2:$C$139,3,FALSE)</f>
        <v xml:space="preserve">Express Bus                                                                </v>
      </c>
      <c r="E22" s="249">
        <v>36.811445035460984</v>
      </c>
      <c r="F22" s="249">
        <v>517.04645293461601</v>
      </c>
      <c r="G22" s="249">
        <v>1236.3561291281267</v>
      </c>
      <c r="H22" s="249">
        <v>603.86304480854199</v>
      </c>
      <c r="I22" s="249">
        <v>272.96631008838796</v>
      </c>
      <c r="J22" s="4">
        <v>134.62173997545005</v>
      </c>
      <c r="K22" s="4">
        <v>1974.0267453605509</v>
      </c>
      <c r="L22" s="4">
        <v>4445.7789365377394</v>
      </c>
      <c r="M22" s="4">
        <v>2215.3361592459541</v>
      </c>
      <c r="N22" s="4">
        <v>1072.7117751542014</v>
      </c>
      <c r="O22" s="253">
        <f>J22/E22</f>
        <v>3.6570620861464969</v>
      </c>
      <c r="P22" s="253">
        <f t="shared" si="2"/>
        <v>3.8178905089794317</v>
      </c>
      <c r="Q22" s="253">
        <f t="shared" ref="Q22:Q54" si="4">L22/G22</f>
        <v>3.5958724446756976</v>
      </c>
      <c r="R22" s="253">
        <f t="shared" si="3"/>
        <v>3.6686069437290012</v>
      </c>
      <c r="S22" s="253">
        <f t="shared" ref="S22:S36" si="5">N22/I22</f>
        <v>3.929832127660192</v>
      </c>
    </row>
    <row r="23" spans="1:19" x14ac:dyDescent="0.25">
      <c r="A23" s="4">
        <v>150</v>
      </c>
      <c r="B23" s="5">
        <v>9</v>
      </c>
      <c r="C23" s="6" t="s">
        <v>9</v>
      </c>
      <c r="D23" s="282" t="str">
        <f>VLOOKUP(A23,abm2_mode!$A$2:$C$139,3,FALSE)</f>
        <v xml:space="preserve">Express Bus                                                                </v>
      </c>
      <c r="E23" s="249">
        <v>0</v>
      </c>
      <c r="F23" s="249">
        <v>817.61195700311009</v>
      </c>
      <c r="G23" s="249">
        <v>1340.0985980385158</v>
      </c>
      <c r="H23" s="249">
        <v>896.23412580943852</v>
      </c>
      <c r="I23" s="249">
        <v>293.83531914893547</v>
      </c>
      <c r="J23" s="4">
        <v>0</v>
      </c>
      <c r="K23" s="4">
        <v>7161.1232026794933</v>
      </c>
      <c r="L23" s="4">
        <v>9868.338448569335</v>
      </c>
      <c r="M23" s="4">
        <v>7202.8815352924948</v>
      </c>
      <c r="N23" s="4">
        <v>1959.8668134586792</v>
      </c>
      <c r="O23" s="253">
        <v>0</v>
      </c>
      <c r="P23" s="253">
        <f t="shared" si="2"/>
        <v>8.7585842420015556</v>
      </c>
      <c r="Q23" s="253">
        <f t="shared" si="4"/>
        <v>7.3638898384144937</v>
      </c>
      <c r="R23" s="253">
        <f t="shared" si="3"/>
        <v>8.0368302521254424</v>
      </c>
      <c r="S23" s="253">
        <f t="shared" si="5"/>
        <v>6.6699497498640969</v>
      </c>
    </row>
    <row r="24" spans="1:19" x14ac:dyDescent="0.25">
      <c r="A24" s="4">
        <v>950</v>
      </c>
      <c r="B24" s="5">
        <v>9</v>
      </c>
      <c r="C24" s="6" t="s">
        <v>9</v>
      </c>
      <c r="D24" s="282" t="str">
        <f>VLOOKUP(A24,abm2_mode!$A$2:$C$139,3,FALSE)</f>
        <v xml:space="preserve">Express Bus                                                                </v>
      </c>
      <c r="E24" s="249">
        <v>202.17000000000002</v>
      </c>
      <c r="F24" s="249">
        <v>392.63428571428568</v>
      </c>
      <c r="G24" s="249">
        <v>309.42714285714158</v>
      </c>
      <c r="H24" s="249">
        <v>273.45857142857267</v>
      </c>
      <c r="I24" s="249">
        <v>26.16</v>
      </c>
      <c r="J24" s="4">
        <v>1701.5885714285716</v>
      </c>
      <c r="K24" s="4">
        <v>3304.6642857142856</v>
      </c>
      <c r="L24" s="4">
        <v>2611.2971428571323</v>
      </c>
      <c r="M24" s="4">
        <v>2345.2700000000109</v>
      </c>
      <c r="N24" s="4">
        <v>224.37</v>
      </c>
      <c r="O24" s="253">
        <f t="shared" ref="O24:O37" si="6">J24/E24</f>
        <v>8.4166225029854651</v>
      </c>
      <c r="P24" s="253">
        <f t="shared" si="2"/>
        <v>8.4166472617193762</v>
      </c>
      <c r="Q24" s="253">
        <f t="shared" si="4"/>
        <v>8.4391340680243214</v>
      </c>
      <c r="R24" s="253">
        <f t="shared" si="3"/>
        <v>8.5763265263476853</v>
      </c>
      <c r="S24" s="253">
        <f t="shared" si="5"/>
        <v>8.5768348623853221</v>
      </c>
    </row>
    <row r="25" spans="1:19" x14ac:dyDescent="0.25">
      <c r="A25" s="276" t="s">
        <v>108</v>
      </c>
      <c r="B25" s="1">
        <v>9</v>
      </c>
      <c r="C25" s="278" t="s">
        <v>9</v>
      </c>
      <c r="D25" s="284" t="str">
        <f>VLOOKUP(A25,abm2_mode!$A$2:$C$139,3,FALSE)</f>
        <v xml:space="preserve">Express Bus                                                                </v>
      </c>
      <c r="E25" s="270">
        <f>466/3373*E140</f>
        <v>6.9743132935459302</v>
      </c>
      <c r="F25" s="270">
        <f t="shared" ref="F25:N25" si="7">466/3373*F140</f>
        <v>121.71898601798074</v>
      </c>
      <c r="G25" s="270">
        <f t="shared" si="7"/>
        <v>213.50626019820723</v>
      </c>
      <c r="H25" s="270">
        <f t="shared" si="7"/>
        <v>102.15159548527924</v>
      </c>
      <c r="I25" s="270">
        <f t="shared" si="7"/>
        <v>21.581431566917637</v>
      </c>
      <c r="J25" s="264">
        <f t="shared" si="7"/>
        <v>34.115279805101878</v>
      </c>
      <c r="K25" s="264">
        <f t="shared" si="7"/>
        <v>664.83587399915882</v>
      </c>
      <c r="L25" s="264">
        <f t="shared" si="7"/>
        <v>849.31106989133411</v>
      </c>
      <c r="M25" s="264">
        <f t="shared" si="7"/>
        <v>489.42560580160546</v>
      </c>
      <c r="N25" s="264">
        <f t="shared" si="7"/>
        <v>97.206832348893585</v>
      </c>
      <c r="O25" s="266"/>
      <c r="P25" s="266"/>
      <c r="Q25" s="266"/>
      <c r="R25" s="266"/>
      <c r="S25" s="266"/>
    </row>
    <row r="26" spans="1:19" x14ac:dyDescent="0.25">
      <c r="A26" s="4">
        <v>1</v>
      </c>
      <c r="B26" s="5">
        <v>10</v>
      </c>
      <c r="C26" s="6" t="s">
        <v>0</v>
      </c>
      <c r="D26" s="282" t="str">
        <f>VLOOKUP(A26,abm2_mode!$A$2:$C$139,3,FALSE)</f>
        <v xml:space="preserve">Local Bus                                                                  </v>
      </c>
      <c r="E26" s="249">
        <v>78.088549666153028</v>
      </c>
      <c r="F26" s="249">
        <v>592.48473431812374</v>
      </c>
      <c r="G26" s="249">
        <v>2056.0246148436245</v>
      </c>
      <c r="H26" s="249">
        <v>983.34922306421265</v>
      </c>
      <c r="I26" s="249">
        <v>388.54287810788554</v>
      </c>
      <c r="J26" s="4">
        <v>226.03021664098608</v>
      </c>
      <c r="K26" s="4">
        <v>1469.3117869364994</v>
      </c>
      <c r="L26" s="4">
        <v>4588.2222368802368</v>
      </c>
      <c r="M26" s="4">
        <v>2201.1120383894831</v>
      </c>
      <c r="N26" s="4">
        <v>1194.493721152794</v>
      </c>
      <c r="O26" s="253">
        <f t="shared" si="6"/>
        <v>2.8945372606780198</v>
      </c>
      <c r="P26" s="253">
        <f t="shared" si="2"/>
        <v>2.4799150118652333</v>
      </c>
      <c r="Q26" s="253">
        <f t="shared" si="4"/>
        <v>2.2315988844468206</v>
      </c>
      <c r="R26" s="253">
        <f t="shared" si="3"/>
        <v>2.238382851954265</v>
      </c>
      <c r="S26" s="253">
        <f t="shared" si="5"/>
        <v>3.0742906084643828</v>
      </c>
    </row>
    <row r="27" spans="1:19" x14ac:dyDescent="0.25">
      <c r="A27" s="4">
        <v>2</v>
      </c>
      <c r="B27" s="5">
        <v>10</v>
      </c>
      <c r="C27" s="6" t="s">
        <v>0</v>
      </c>
      <c r="D27" s="282" t="str">
        <f>VLOOKUP(A27,abm2_mode!$A$2:$C$139,3,FALSE)</f>
        <v xml:space="preserve">Local Bus                                                                  </v>
      </c>
      <c r="E27" s="249">
        <v>63.664679802955639</v>
      </c>
      <c r="F27" s="249">
        <v>648.65559046731471</v>
      </c>
      <c r="G27" s="249">
        <v>1428.1042575596216</v>
      </c>
      <c r="H27" s="249">
        <v>872.06058816522579</v>
      </c>
      <c r="I27" s="249">
        <v>346.07488400488273</v>
      </c>
      <c r="J27" s="4">
        <v>116.15054187192115</v>
      </c>
      <c r="K27" s="4">
        <v>1310.4886473172678</v>
      </c>
      <c r="L27" s="4">
        <v>2667.3895912986104</v>
      </c>
      <c r="M27" s="4">
        <v>1721.7970168259988</v>
      </c>
      <c r="N27" s="4">
        <v>764.44420268620013</v>
      </c>
      <c r="O27" s="253">
        <f t="shared" si="6"/>
        <v>1.8244109957265324</v>
      </c>
      <c r="P27" s="253">
        <f t="shared" si="2"/>
        <v>2.0203150432622414</v>
      </c>
      <c r="Q27" s="253">
        <f t="shared" si="4"/>
        <v>1.8677835159295084</v>
      </c>
      <c r="R27" s="253">
        <f t="shared" si="3"/>
        <v>1.9744006783388506</v>
      </c>
      <c r="S27" s="253">
        <f t="shared" si="5"/>
        <v>2.2088982414436487</v>
      </c>
    </row>
    <row r="28" spans="1:19" x14ac:dyDescent="0.25">
      <c r="A28" s="4">
        <v>3</v>
      </c>
      <c r="B28" s="5">
        <v>10</v>
      </c>
      <c r="C28" s="6" t="s">
        <v>0</v>
      </c>
      <c r="D28" s="282" t="str">
        <f>VLOOKUP(A28,abm2_mode!$A$2:$C$139,3,FALSE)</f>
        <v xml:space="preserve">Local Bus                                                                  </v>
      </c>
      <c r="E28" s="249">
        <v>96.849907711238714</v>
      </c>
      <c r="F28" s="249">
        <v>926.2134861400807</v>
      </c>
      <c r="G28" s="249">
        <v>2565.1600676871399</v>
      </c>
      <c r="H28" s="249">
        <v>1206.9894645444056</v>
      </c>
      <c r="I28" s="249">
        <v>427.65707391713602</v>
      </c>
      <c r="J28" s="4">
        <v>236.22543068088595</v>
      </c>
      <c r="K28" s="4">
        <v>1911.8952346494304</v>
      </c>
      <c r="L28" s="4">
        <v>4828.5376703340135</v>
      </c>
      <c r="M28" s="4">
        <v>2363.4899555203206</v>
      </c>
      <c r="N28" s="4">
        <v>1024.1417088153498</v>
      </c>
      <c r="O28" s="253">
        <f t="shared" si="6"/>
        <v>2.4390878242775416</v>
      </c>
      <c r="P28" s="253">
        <f t="shared" si="2"/>
        <v>2.064205783287715</v>
      </c>
      <c r="Q28" s="253">
        <f t="shared" si="4"/>
        <v>1.8823533592145902</v>
      </c>
      <c r="R28" s="253">
        <f t="shared" si="3"/>
        <v>1.9581694993605032</v>
      </c>
      <c r="S28" s="253">
        <f t="shared" si="5"/>
        <v>2.3947732219993401</v>
      </c>
    </row>
    <row r="29" spans="1:19" x14ac:dyDescent="0.25">
      <c r="A29" s="4">
        <v>4</v>
      </c>
      <c r="B29" s="5">
        <v>10</v>
      </c>
      <c r="C29" s="6" t="s">
        <v>0</v>
      </c>
      <c r="D29" s="282" t="str">
        <f>VLOOKUP(A29,abm2_mode!$A$2:$C$139,3,FALSE)</f>
        <v xml:space="preserve">Local Bus                                                                  </v>
      </c>
      <c r="E29" s="249">
        <v>59.859999999999985</v>
      </c>
      <c r="F29" s="249">
        <v>423.85219999999993</v>
      </c>
      <c r="G29" s="249">
        <v>1000.7774054459557</v>
      </c>
      <c r="H29" s="249">
        <v>645.91167839325715</v>
      </c>
      <c r="I29" s="249">
        <v>265.21871616078698</v>
      </c>
      <c r="J29" s="4">
        <v>170.03400000000002</v>
      </c>
      <c r="K29" s="4">
        <v>1176.3778</v>
      </c>
      <c r="L29" s="4">
        <v>2681.0321121978286</v>
      </c>
      <c r="M29" s="4">
        <v>1731.101752281254</v>
      </c>
      <c r="N29" s="4">
        <v>889.39433552091725</v>
      </c>
      <c r="O29" s="253">
        <f t="shared" si="6"/>
        <v>2.8405278984296705</v>
      </c>
      <c r="P29" s="253">
        <f t="shared" si="2"/>
        <v>2.7754434210793293</v>
      </c>
      <c r="Q29" s="253">
        <f t="shared" si="4"/>
        <v>2.6789494822808635</v>
      </c>
      <c r="R29" s="253">
        <f t="shared" si="3"/>
        <v>2.6800904987311429</v>
      </c>
      <c r="S29" s="253">
        <f t="shared" si="5"/>
        <v>3.3534373003364069</v>
      </c>
    </row>
    <row r="30" spans="1:19" x14ac:dyDescent="0.25">
      <c r="A30" s="4">
        <v>5</v>
      </c>
      <c r="B30" s="5">
        <v>10</v>
      </c>
      <c r="C30" s="6" t="s">
        <v>0</v>
      </c>
      <c r="D30" s="282" t="str">
        <f>VLOOKUP(A30,abm2_mode!$A$2:$C$139,3,FALSE)</f>
        <v xml:space="preserve">Local Bus                                                                  </v>
      </c>
      <c r="E30" s="249">
        <v>61.864736842105216</v>
      </c>
      <c r="F30" s="249">
        <v>553.53676315789471</v>
      </c>
      <c r="G30" s="249">
        <v>1241.8362591973225</v>
      </c>
      <c r="H30" s="249">
        <v>670.28081223124946</v>
      </c>
      <c r="I30" s="249">
        <v>198.771428571428</v>
      </c>
      <c r="J30" s="4">
        <v>141.38297368421044</v>
      </c>
      <c r="K30" s="4">
        <v>1049.7076929824561</v>
      </c>
      <c r="L30" s="4">
        <v>2195.2325273132637</v>
      </c>
      <c r="M30" s="4">
        <v>1252.4710917343568</v>
      </c>
      <c r="N30" s="4">
        <v>407.00571428571334</v>
      </c>
      <c r="O30" s="253">
        <f t="shared" si="6"/>
        <v>2.2853564227559278</v>
      </c>
      <c r="P30" s="253">
        <f t="shared" si="2"/>
        <v>1.8963649080757263</v>
      </c>
      <c r="Q30" s="253">
        <f t="shared" si="4"/>
        <v>1.767731060399365</v>
      </c>
      <c r="R30" s="253">
        <f t="shared" si="3"/>
        <v>1.8685766754460658</v>
      </c>
      <c r="S30" s="253">
        <f t="shared" si="5"/>
        <v>2.0476067270375173</v>
      </c>
    </row>
    <row r="31" spans="1:19" x14ac:dyDescent="0.25">
      <c r="A31" s="4">
        <v>6</v>
      </c>
      <c r="B31" s="5">
        <v>10</v>
      </c>
      <c r="C31" s="6" t="s">
        <v>0</v>
      </c>
      <c r="D31" s="282" t="str">
        <f>VLOOKUP(A31,abm2_mode!$A$2:$C$139,3,FALSE)</f>
        <v xml:space="preserve">Local Bus                                                                  </v>
      </c>
      <c r="E31" s="249">
        <v>16.127894736842098</v>
      </c>
      <c r="F31" s="249">
        <v>248.96827127106306</v>
      </c>
      <c r="G31" s="249">
        <v>724.74351790014009</v>
      </c>
      <c r="H31" s="249">
        <v>373.28031609195483</v>
      </c>
      <c r="I31" s="249">
        <v>145.53</v>
      </c>
      <c r="J31" s="4">
        <v>43.552105263157877</v>
      </c>
      <c r="K31" s="4">
        <v>604.96834928229669</v>
      </c>
      <c r="L31" s="4">
        <v>1592.0614707419002</v>
      </c>
      <c r="M31" s="4">
        <v>849.8480747126456</v>
      </c>
      <c r="N31" s="4">
        <v>376.88999999999993</v>
      </c>
      <c r="O31" s="253">
        <f t="shared" si="6"/>
        <v>2.700420977058382</v>
      </c>
      <c r="P31" s="253">
        <f t="shared" si="2"/>
        <v>2.4299013934335441</v>
      </c>
      <c r="Q31" s="253">
        <f t="shared" si="4"/>
        <v>2.1967239877559894</v>
      </c>
      <c r="R31" s="253">
        <f t="shared" si="3"/>
        <v>2.2767020870805625</v>
      </c>
      <c r="S31" s="253">
        <f t="shared" si="5"/>
        <v>2.5897753040610176</v>
      </c>
    </row>
    <row r="32" spans="1:19" x14ac:dyDescent="0.25">
      <c r="A32" s="4">
        <v>7</v>
      </c>
      <c r="B32" s="5">
        <v>10</v>
      </c>
      <c r="C32" s="6" t="s">
        <v>0</v>
      </c>
      <c r="D32" s="282" t="str">
        <f>VLOOKUP(A32,abm2_mode!$A$2:$C$139,3,FALSE)</f>
        <v xml:space="preserve">Local Bus                                                                  </v>
      </c>
      <c r="E32" s="249">
        <v>157.40996897479366</v>
      </c>
      <c r="F32" s="249">
        <v>1401.2616608383953</v>
      </c>
      <c r="G32" s="249">
        <v>3824.072408814844</v>
      </c>
      <c r="H32" s="249">
        <v>2037.7329192089157</v>
      </c>
      <c r="I32" s="249">
        <v>904.84542421772335</v>
      </c>
      <c r="J32" s="4">
        <v>519.88841016544598</v>
      </c>
      <c r="K32" s="4">
        <v>3839.0230423799235</v>
      </c>
      <c r="L32" s="4">
        <v>9609.7073553134269</v>
      </c>
      <c r="M32" s="4">
        <v>5218.0221897108277</v>
      </c>
      <c r="N32" s="4">
        <v>2859.1967317072731</v>
      </c>
      <c r="O32" s="253">
        <f t="shared" si="6"/>
        <v>3.3027667405785248</v>
      </c>
      <c r="P32" s="253">
        <f t="shared" si="2"/>
        <v>2.7396903445449152</v>
      </c>
      <c r="Q32" s="253">
        <f t="shared" si="4"/>
        <v>2.5129512017508229</v>
      </c>
      <c r="R32" s="253">
        <f t="shared" si="3"/>
        <v>2.5606997563432192</v>
      </c>
      <c r="S32" s="253">
        <f t="shared" si="5"/>
        <v>3.1598731177528672</v>
      </c>
    </row>
    <row r="33" spans="1:19" x14ac:dyDescent="0.25">
      <c r="A33" s="4">
        <v>8</v>
      </c>
      <c r="B33" s="5">
        <v>10</v>
      </c>
      <c r="C33" s="6" t="s">
        <v>0</v>
      </c>
      <c r="D33" s="282" t="str">
        <f>VLOOKUP(A33,abm2_mode!$A$2:$C$139,3,FALSE)</f>
        <v xml:space="preserve">Local Bus                                                                  </v>
      </c>
      <c r="E33" s="249">
        <v>26.192105263157906</v>
      </c>
      <c r="F33" s="249">
        <v>176.51831140350876</v>
      </c>
      <c r="G33" s="249">
        <v>602.57202777777684</v>
      </c>
      <c r="H33" s="249">
        <v>342.68755555555691</v>
      </c>
      <c r="I33" s="249">
        <v>162.24474619289305</v>
      </c>
      <c r="J33" s="4">
        <v>85.974736842105301</v>
      </c>
      <c r="K33" s="4">
        <v>548.86359649122801</v>
      </c>
      <c r="L33" s="4">
        <v>1595.4519333333308</v>
      </c>
      <c r="M33" s="4">
        <v>967.93473333333679</v>
      </c>
      <c r="N33" s="4">
        <v>484.76078680202943</v>
      </c>
      <c r="O33" s="253">
        <f t="shared" si="6"/>
        <v>3.2824675977092332</v>
      </c>
      <c r="P33" s="253">
        <f t="shared" si="2"/>
        <v>3.1093861714808919</v>
      </c>
      <c r="Q33" s="253">
        <f t="shared" si="4"/>
        <v>2.647736469310054</v>
      </c>
      <c r="R33" s="253">
        <f t="shared" si="3"/>
        <v>2.8245400734326171</v>
      </c>
      <c r="S33" s="253">
        <f t="shared" si="5"/>
        <v>2.9878365751560088</v>
      </c>
    </row>
    <row r="34" spans="1:19" x14ac:dyDescent="0.25">
      <c r="A34" s="4">
        <v>9</v>
      </c>
      <c r="B34" s="5">
        <v>10</v>
      </c>
      <c r="C34" s="6" t="s">
        <v>0</v>
      </c>
      <c r="D34" s="282" t="str">
        <f>VLOOKUP(A34,abm2_mode!$A$2:$C$139,3,FALSE)</f>
        <v xml:space="preserve">Local Bus                                                                  </v>
      </c>
      <c r="E34" s="249">
        <v>5.1552941176470615</v>
      </c>
      <c r="F34" s="249">
        <v>176.18846763783887</v>
      </c>
      <c r="G34" s="249">
        <v>572.09288689316213</v>
      </c>
      <c r="H34" s="249">
        <v>308.24077070619086</v>
      </c>
      <c r="I34" s="249">
        <v>81.182580645161153</v>
      </c>
      <c r="J34" s="4">
        <v>16.981176470588245</v>
      </c>
      <c r="K34" s="4">
        <v>460.33503042596351</v>
      </c>
      <c r="L34" s="4">
        <v>1618.4797544934079</v>
      </c>
      <c r="M34" s="4">
        <v>852.85597409391187</v>
      </c>
      <c r="N34" s="4">
        <v>216.95806451612867</v>
      </c>
      <c r="O34" s="253">
        <f t="shared" si="6"/>
        <v>3.2939297124600642</v>
      </c>
      <c r="P34" s="253">
        <f t="shared" si="2"/>
        <v>2.6127421198315726</v>
      </c>
      <c r="Q34" s="253">
        <f t="shared" si="4"/>
        <v>2.8290506516919125</v>
      </c>
      <c r="R34" s="253">
        <f t="shared" si="3"/>
        <v>2.766849992426335</v>
      </c>
      <c r="S34" s="253">
        <f t="shared" si="5"/>
        <v>2.6724706555514057</v>
      </c>
    </row>
    <row r="35" spans="1:19" x14ac:dyDescent="0.25">
      <c r="A35" s="4">
        <v>11</v>
      </c>
      <c r="B35" s="5">
        <v>10</v>
      </c>
      <c r="C35" s="6" t="s">
        <v>0</v>
      </c>
      <c r="D35" s="282" t="str">
        <f>VLOOKUP(A35,abm2_mode!$A$2:$C$139,3,FALSE)</f>
        <v xml:space="preserve">Local Bus                                                                  </v>
      </c>
      <c r="E35" s="249">
        <v>170.32674941830811</v>
      </c>
      <c r="F35" s="249">
        <v>1422.0867305425918</v>
      </c>
      <c r="G35" s="249">
        <v>3185.1401625117578</v>
      </c>
      <c r="H35" s="249">
        <v>1893.3271890100827</v>
      </c>
      <c r="I35" s="249">
        <v>530.76916851726025</v>
      </c>
      <c r="J35" s="4">
        <v>717.85002410314644</v>
      </c>
      <c r="K35" s="4">
        <v>4983.7449738021742</v>
      </c>
      <c r="L35" s="4">
        <v>9612.0413375160024</v>
      </c>
      <c r="M35" s="4">
        <v>5919.8803035020028</v>
      </c>
      <c r="N35" s="4">
        <v>2143.7533610766723</v>
      </c>
      <c r="O35" s="253">
        <f t="shared" si="6"/>
        <v>4.2145466085316254</v>
      </c>
      <c r="P35" s="253">
        <f t="shared" si="2"/>
        <v>3.5045295527795588</v>
      </c>
      <c r="Q35" s="253">
        <f t="shared" si="4"/>
        <v>3.0177765646382353</v>
      </c>
      <c r="R35" s="253">
        <f t="shared" si="3"/>
        <v>3.1267074903187675</v>
      </c>
      <c r="S35" s="253">
        <f t="shared" si="5"/>
        <v>4.038956081539915</v>
      </c>
    </row>
    <row r="36" spans="1:19" x14ac:dyDescent="0.25">
      <c r="A36" s="4">
        <v>13</v>
      </c>
      <c r="B36" s="5">
        <v>10</v>
      </c>
      <c r="C36" s="6" t="s">
        <v>0</v>
      </c>
      <c r="D36" s="282" t="str">
        <f>VLOOKUP(A36,abm2_mode!$A$2:$C$139,3,FALSE)</f>
        <v xml:space="preserve">Local Bus                                                                  </v>
      </c>
      <c r="E36" s="249">
        <v>161.53663793103448</v>
      </c>
      <c r="F36" s="249">
        <v>1232.715820942751</v>
      </c>
      <c r="G36" s="249">
        <v>2863.8941450630491</v>
      </c>
      <c r="H36" s="249">
        <v>1550.9338724143392</v>
      </c>
      <c r="I36" s="249">
        <v>491.74952364882728</v>
      </c>
      <c r="J36" s="4">
        <v>489.97895905172413</v>
      </c>
      <c r="K36" s="4">
        <v>3280.2269630490814</v>
      </c>
      <c r="L36" s="4">
        <v>7430.8343115137213</v>
      </c>
      <c r="M36" s="4">
        <v>4256.6920005470683</v>
      </c>
      <c r="N36" s="4">
        <v>1426.4377658384058</v>
      </c>
      <c r="O36" s="253">
        <f t="shared" si="6"/>
        <v>3.0332373220551547</v>
      </c>
      <c r="P36" s="253">
        <f t="shared" si="2"/>
        <v>2.6609757961412743</v>
      </c>
      <c r="Q36" s="253">
        <f t="shared" si="4"/>
        <v>2.5946609529278293</v>
      </c>
      <c r="R36" s="253">
        <f t="shared" si="3"/>
        <v>2.7445992870867375</v>
      </c>
      <c r="S36" s="253">
        <f t="shared" si="5"/>
        <v>2.9007405136950712</v>
      </c>
    </row>
    <row r="37" spans="1:19" x14ac:dyDescent="0.25">
      <c r="A37" s="4">
        <v>14</v>
      </c>
      <c r="B37" s="5">
        <v>10</v>
      </c>
      <c r="C37" s="6" t="s">
        <v>0</v>
      </c>
      <c r="D37" s="282" t="str">
        <f>VLOOKUP(A37,abm2_mode!$A$2:$C$139,3,FALSE)</f>
        <v xml:space="preserve">Local Bus                                                                  </v>
      </c>
      <c r="E37" s="249">
        <v>2.3863636363636362</v>
      </c>
      <c r="F37" s="249">
        <v>67.425693101225008</v>
      </c>
      <c r="G37" s="249">
        <v>109.18794326241135</v>
      </c>
      <c r="H37" s="249">
        <v>50</v>
      </c>
      <c r="I37" s="249">
        <v>0</v>
      </c>
      <c r="J37" s="4">
        <v>3.773863636363636</v>
      </c>
      <c r="K37" s="4">
        <v>114.23672590264346</v>
      </c>
      <c r="L37" s="4">
        <v>215.6494104609929</v>
      </c>
      <c r="M37" s="4">
        <v>100.94999999999999</v>
      </c>
      <c r="N37" s="4">
        <v>0</v>
      </c>
      <c r="O37" s="253">
        <f t="shared" si="6"/>
        <v>1.5814285714285714</v>
      </c>
      <c r="P37" s="253">
        <f t="shared" si="2"/>
        <v>1.6942610546270822</v>
      </c>
      <c r="Q37" s="253">
        <f t="shared" si="4"/>
        <v>1.9750295134942026</v>
      </c>
      <c r="R37" s="253">
        <f t="shared" si="3"/>
        <v>2.0189999999999997</v>
      </c>
      <c r="S37" s="253">
        <v>0</v>
      </c>
    </row>
    <row r="38" spans="1:19" x14ac:dyDescent="0.25">
      <c r="A38" s="4">
        <v>18</v>
      </c>
      <c r="B38" s="5">
        <v>10</v>
      </c>
      <c r="C38" s="6" t="s">
        <v>0</v>
      </c>
      <c r="D38" s="282" t="str">
        <f>VLOOKUP(A38,abm2_mode!$A$2:$C$139,3,FALSE)</f>
        <v xml:space="preserve">Local Bus                                                                  </v>
      </c>
      <c r="E38" s="249">
        <v>0</v>
      </c>
      <c r="F38" s="249">
        <v>20</v>
      </c>
      <c r="G38" s="249">
        <v>65.999999999999758</v>
      </c>
      <c r="H38" s="249">
        <v>28.000000000000242</v>
      </c>
      <c r="I38" s="249">
        <v>0</v>
      </c>
      <c r="J38" s="4">
        <v>0</v>
      </c>
      <c r="K38" s="4">
        <v>47.26</v>
      </c>
      <c r="L38" s="4">
        <v>172.1799999999995</v>
      </c>
      <c r="M38" s="4">
        <v>74.520000000000493</v>
      </c>
      <c r="N38" s="4">
        <v>0</v>
      </c>
      <c r="O38" s="253">
        <v>0</v>
      </c>
      <c r="P38" s="253">
        <f t="shared" si="2"/>
        <v>2.363</v>
      </c>
      <c r="Q38" s="253">
        <f t="shared" si="4"/>
        <v>2.6087878787878807</v>
      </c>
      <c r="R38" s="253">
        <f t="shared" si="3"/>
        <v>2.6614285714285661</v>
      </c>
      <c r="S38" s="253">
        <v>0</v>
      </c>
    </row>
    <row r="39" spans="1:19" x14ac:dyDescent="0.25">
      <c r="A39" s="4">
        <v>25</v>
      </c>
      <c r="B39" s="5">
        <v>10</v>
      </c>
      <c r="C39" s="6" t="s">
        <v>0</v>
      </c>
      <c r="D39" s="282" t="str">
        <f>VLOOKUP(A39,abm2_mode!$A$2:$C$139,3,FALSE)</f>
        <v xml:space="preserve">Local Bus                                                                  </v>
      </c>
      <c r="E39" s="249">
        <v>0</v>
      </c>
      <c r="F39" s="249">
        <v>49.15094339622641</v>
      </c>
      <c r="G39" s="249">
        <v>216.82489693990772</v>
      </c>
      <c r="H39" s="249">
        <v>79.082983193277698</v>
      </c>
      <c r="I39" s="249">
        <v>0.94117647058817866</v>
      </c>
      <c r="J39" s="4">
        <v>0</v>
      </c>
      <c r="K39" s="4">
        <v>169.81490566037732</v>
      </c>
      <c r="L39" s="4">
        <v>857.1012638074086</v>
      </c>
      <c r="M39" s="4">
        <v>342.25088935574365</v>
      </c>
      <c r="N39" s="4">
        <v>4.9129411764702926</v>
      </c>
      <c r="O39" s="253">
        <v>0</v>
      </c>
      <c r="P39" s="253">
        <f t="shared" si="2"/>
        <v>3.4549673704414583</v>
      </c>
      <c r="Q39" s="253">
        <f t="shared" si="4"/>
        <v>3.9529651617680757</v>
      </c>
      <c r="R39" s="253">
        <f t="shared" si="3"/>
        <v>4.3277437893217465</v>
      </c>
      <c r="S39" s="253">
        <f t="shared" ref="S39:S46" si="8">N39/I39</f>
        <v>5.22</v>
      </c>
    </row>
    <row r="40" spans="1:19" x14ac:dyDescent="0.25">
      <c r="A40" s="4">
        <v>27</v>
      </c>
      <c r="B40" s="5">
        <v>10</v>
      </c>
      <c r="C40" s="6" t="s">
        <v>0</v>
      </c>
      <c r="D40" s="282" t="str">
        <f>VLOOKUP(A40,abm2_mode!$A$2:$C$139,3,FALSE)</f>
        <v xml:space="preserve">Local Bus                                                                  </v>
      </c>
      <c r="E40" s="249">
        <v>8.789775171065493</v>
      </c>
      <c r="F40" s="249">
        <v>219.3025325212422</v>
      </c>
      <c r="G40" s="249">
        <v>511.62170649208866</v>
      </c>
      <c r="H40" s="249">
        <v>276.04434295846113</v>
      </c>
      <c r="I40" s="249">
        <v>51.26164285714249</v>
      </c>
      <c r="J40" s="4">
        <v>31.254936461388066</v>
      </c>
      <c r="K40" s="4">
        <v>667.28942251297099</v>
      </c>
      <c r="L40" s="4">
        <v>1450.5572296781208</v>
      </c>
      <c r="M40" s="4">
        <v>818.17237466798463</v>
      </c>
      <c r="N40" s="4">
        <v>171.88603667953544</v>
      </c>
      <c r="O40" s="253">
        <f t="shared" ref="O40:O46" si="9">J40/E40</f>
        <v>3.5558288867585852</v>
      </c>
      <c r="P40" s="253">
        <f t="shared" si="2"/>
        <v>3.0427802854868338</v>
      </c>
      <c r="Q40" s="253">
        <f t="shared" si="4"/>
        <v>2.8352144001547579</v>
      </c>
      <c r="R40" s="253">
        <f t="shared" si="3"/>
        <v>2.9639164704458456</v>
      </c>
      <c r="S40" s="253">
        <f t="shared" si="8"/>
        <v>3.3531121341263423</v>
      </c>
    </row>
    <row r="41" spans="1:19" x14ac:dyDescent="0.25">
      <c r="A41" s="4">
        <v>28</v>
      </c>
      <c r="B41" s="5">
        <v>10</v>
      </c>
      <c r="C41" s="6" t="s">
        <v>0</v>
      </c>
      <c r="D41" s="282" t="str">
        <f>VLOOKUP(A41,abm2_mode!$A$2:$C$139,3,FALSE)</f>
        <v xml:space="preserve">Local Bus                                                                  </v>
      </c>
      <c r="E41" s="249">
        <v>18.127058823529417</v>
      </c>
      <c r="F41" s="249">
        <v>300.64873065015479</v>
      </c>
      <c r="G41" s="249">
        <v>459.79690617848843</v>
      </c>
      <c r="H41" s="249">
        <v>287.22730434782784</v>
      </c>
      <c r="I41" s="249">
        <v>100.56999999999952</v>
      </c>
      <c r="J41" s="4">
        <v>43.110588235294131</v>
      </c>
      <c r="K41" s="4">
        <v>638.77256965944264</v>
      </c>
      <c r="L41" s="4">
        <v>929.9769290617827</v>
      </c>
      <c r="M41" s="4">
        <v>578.90167774936413</v>
      </c>
      <c r="N41" s="4">
        <v>213.6382352941167</v>
      </c>
      <c r="O41" s="253">
        <f t="shared" si="9"/>
        <v>2.3782450674974038</v>
      </c>
      <c r="P41" s="253">
        <f t="shared" si="2"/>
        <v>2.1246474857156152</v>
      </c>
      <c r="Q41" s="253">
        <f t="shared" si="4"/>
        <v>2.0225819629607842</v>
      </c>
      <c r="R41" s="253">
        <f t="shared" si="3"/>
        <v>2.0154827517662568</v>
      </c>
      <c r="S41" s="253">
        <f t="shared" si="8"/>
        <v>2.1242739911913864</v>
      </c>
    </row>
    <row r="42" spans="1:19" x14ac:dyDescent="0.25">
      <c r="A42" s="4">
        <v>30</v>
      </c>
      <c r="B42" s="5">
        <v>10</v>
      </c>
      <c r="C42" s="6" t="s">
        <v>0</v>
      </c>
      <c r="D42" s="282" t="str">
        <f>VLOOKUP(A42,abm2_mode!$A$2:$C$139,3,FALSE)</f>
        <v xml:space="preserve">Local Bus                                                                  </v>
      </c>
      <c r="E42" s="249">
        <v>56.728661078549734</v>
      </c>
      <c r="F42" s="249">
        <v>963.55981529939174</v>
      </c>
      <c r="G42" s="249">
        <v>2192.2231445384541</v>
      </c>
      <c r="H42" s="249">
        <v>1343.5618155318136</v>
      </c>
      <c r="I42" s="249">
        <v>582.72301594605153</v>
      </c>
      <c r="J42" s="4">
        <v>456.65765890152443</v>
      </c>
      <c r="K42" s="4">
        <v>6981.7290707888133</v>
      </c>
      <c r="L42" s="4">
        <v>13435.971137122697</v>
      </c>
      <c r="M42" s="4">
        <v>8116.3925194333215</v>
      </c>
      <c r="N42" s="4">
        <v>3472.8097069155565</v>
      </c>
      <c r="O42" s="253">
        <f t="shared" si="9"/>
        <v>8.0498578711246189</v>
      </c>
      <c r="P42" s="253">
        <f t="shared" si="2"/>
        <v>7.2457661267448046</v>
      </c>
      <c r="Q42" s="253">
        <f t="shared" si="4"/>
        <v>6.1289249548323133</v>
      </c>
      <c r="R42" s="253">
        <f t="shared" si="3"/>
        <v>6.0409520616069763</v>
      </c>
      <c r="S42" s="253">
        <f t="shared" si="8"/>
        <v>5.9596233748849707</v>
      </c>
    </row>
    <row r="43" spans="1:19" x14ac:dyDescent="0.25">
      <c r="A43" s="4">
        <v>31</v>
      </c>
      <c r="B43" s="5">
        <v>10</v>
      </c>
      <c r="C43" s="6" t="s">
        <v>0</v>
      </c>
      <c r="D43" s="282" t="str">
        <f>VLOOKUP(A43,abm2_mode!$A$2:$C$139,3,FALSE)</f>
        <v xml:space="preserve">Local Bus                                                                  </v>
      </c>
      <c r="E43" s="249">
        <v>6.9596296296296316</v>
      </c>
      <c r="F43" s="249">
        <v>168.46972520908</v>
      </c>
      <c r="G43" s="249">
        <v>59.958457661289764</v>
      </c>
      <c r="H43" s="249">
        <v>129.57089717742002</v>
      </c>
      <c r="I43" s="249">
        <v>0.20129032258054869</v>
      </c>
      <c r="J43" s="4">
        <v>28.017407407407415</v>
      </c>
      <c r="K43" s="4">
        <v>627.29420549581835</v>
      </c>
      <c r="L43" s="4">
        <v>241.11994959677222</v>
      </c>
      <c r="M43" s="4">
        <v>502.67779233871215</v>
      </c>
      <c r="N43" s="4">
        <v>0.95064516128986687</v>
      </c>
      <c r="O43" s="253">
        <f t="shared" si="9"/>
        <v>4.0257037943696448</v>
      </c>
      <c r="P43" s="253">
        <f t="shared" si="2"/>
        <v>3.7234832829299891</v>
      </c>
      <c r="Q43" s="253">
        <f t="shared" si="4"/>
        <v>4.0214501673621852</v>
      </c>
      <c r="R43" s="253">
        <f t="shared" si="3"/>
        <v>3.8795578582002168</v>
      </c>
      <c r="S43" s="253">
        <f t="shared" si="8"/>
        <v>4.7227564102564097</v>
      </c>
    </row>
    <row r="44" spans="1:19" x14ac:dyDescent="0.25">
      <c r="A44" s="4">
        <v>35</v>
      </c>
      <c r="B44" s="5">
        <v>10</v>
      </c>
      <c r="C44" s="6" t="s">
        <v>0</v>
      </c>
      <c r="D44" s="282" t="str">
        <f>VLOOKUP(A44,abm2_mode!$A$2:$C$139,3,FALSE)</f>
        <v xml:space="preserve">Local Bus                                                                  </v>
      </c>
      <c r="E44" s="249">
        <v>23.456956521739116</v>
      </c>
      <c r="F44" s="249">
        <v>254.4661204013378</v>
      </c>
      <c r="G44" s="249">
        <v>614.11868444055824</v>
      </c>
      <c r="H44" s="249">
        <v>474.07203173981401</v>
      </c>
      <c r="I44" s="249">
        <v>190.51620689655104</v>
      </c>
      <c r="J44" s="4">
        <v>59.133043478260838</v>
      </c>
      <c r="K44" s="4">
        <v>553.53349498327771</v>
      </c>
      <c r="L44" s="4">
        <v>1188.2537456293683</v>
      </c>
      <c r="M44" s="4">
        <v>994.00247452978442</v>
      </c>
      <c r="N44" s="4">
        <v>431.63724137930882</v>
      </c>
      <c r="O44" s="253">
        <f t="shared" si="9"/>
        <v>2.5209171285054959</v>
      </c>
      <c r="P44" s="253">
        <f t="shared" si="2"/>
        <v>2.17527384042425</v>
      </c>
      <c r="Q44" s="253">
        <f t="shared" si="4"/>
        <v>1.9348926774827377</v>
      </c>
      <c r="R44" s="253">
        <f t="shared" si="3"/>
        <v>2.096733002539422</v>
      </c>
      <c r="S44" s="253">
        <f t="shared" si="8"/>
        <v>2.2656195418255667</v>
      </c>
    </row>
    <row r="45" spans="1:19" x14ac:dyDescent="0.25">
      <c r="A45" s="4">
        <v>41</v>
      </c>
      <c r="B45" s="5">
        <v>10</v>
      </c>
      <c r="C45" s="6" t="s">
        <v>0</v>
      </c>
      <c r="D45" s="282" t="str">
        <f>VLOOKUP(A45,abm2_mode!$A$2:$C$139,3,FALSE)</f>
        <v xml:space="preserve">Local Bus                                                                  </v>
      </c>
      <c r="E45" s="249">
        <v>44.040083333333335</v>
      </c>
      <c r="F45" s="249">
        <v>973.19463157349924</v>
      </c>
      <c r="G45" s="249">
        <v>2056.0790682586053</v>
      </c>
      <c r="H45" s="249">
        <v>1118.4643070989091</v>
      </c>
      <c r="I45" s="249">
        <v>507.86190973565311</v>
      </c>
      <c r="J45" s="4">
        <v>275.23673648648651</v>
      </c>
      <c r="K45" s="4">
        <v>4170.9017109255228</v>
      </c>
      <c r="L45" s="4">
        <v>8461.2951270217072</v>
      </c>
      <c r="M45" s="4">
        <v>4942.3106255447983</v>
      </c>
      <c r="N45" s="4">
        <v>2559.7958000214853</v>
      </c>
      <c r="O45" s="253">
        <f t="shared" si="9"/>
        <v>6.249687004523981</v>
      </c>
      <c r="P45" s="253">
        <f t="shared" si="2"/>
        <v>4.2857837226062845</v>
      </c>
      <c r="Q45" s="253">
        <f t="shared" si="4"/>
        <v>4.1152576560141707</v>
      </c>
      <c r="R45" s="253">
        <f t="shared" si="3"/>
        <v>4.4188362508985595</v>
      </c>
      <c r="S45" s="253">
        <f t="shared" si="8"/>
        <v>5.0403382316147374</v>
      </c>
    </row>
    <row r="46" spans="1:19" x14ac:dyDescent="0.25">
      <c r="A46" s="4">
        <v>44</v>
      </c>
      <c r="B46" s="5">
        <v>10</v>
      </c>
      <c r="C46" s="6" t="s">
        <v>0</v>
      </c>
      <c r="D46" s="282" t="str">
        <f>VLOOKUP(A46,abm2_mode!$A$2:$C$139,3,FALSE)</f>
        <v xml:space="preserve">Local Bus                                                                  </v>
      </c>
      <c r="E46" s="249">
        <v>56.260999999999981</v>
      </c>
      <c r="F46" s="249">
        <v>812.16124424506165</v>
      </c>
      <c r="G46" s="249">
        <v>1777.6127620635466</v>
      </c>
      <c r="H46" s="249">
        <v>998.00520142086179</v>
      </c>
      <c r="I46" s="249">
        <v>343.86979227053058</v>
      </c>
      <c r="J46" s="4">
        <v>244.37649999999994</v>
      </c>
      <c r="K46" s="4">
        <v>3026.317049072728</v>
      </c>
      <c r="L46" s="4">
        <v>6656.1499846868519</v>
      </c>
      <c r="M46" s="4">
        <v>3765.6379445012926</v>
      </c>
      <c r="N46" s="4">
        <v>1541.6885217391266</v>
      </c>
      <c r="O46" s="253">
        <f t="shared" si="9"/>
        <v>4.3436216917580568</v>
      </c>
      <c r="P46" s="253">
        <f t="shared" si="2"/>
        <v>3.7262514931820196</v>
      </c>
      <c r="Q46" s="253">
        <f t="shared" si="4"/>
        <v>3.7444319295728064</v>
      </c>
      <c r="R46" s="253">
        <f t="shared" si="3"/>
        <v>3.7731646479799377</v>
      </c>
      <c r="S46" s="253">
        <f t="shared" si="8"/>
        <v>4.4833496759326952</v>
      </c>
    </row>
    <row r="47" spans="1:19" x14ac:dyDescent="0.25">
      <c r="A47" s="4">
        <v>83</v>
      </c>
      <c r="B47" s="5">
        <v>10</v>
      </c>
      <c r="C47" s="6" t="s">
        <v>0</v>
      </c>
      <c r="D47" s="282" t="str">
        <f>VLOOKUP(A47,abm2_mode!$A$2:$C$139,3,FALSE)</f>
        <v xml:space="preserve">Local Bus                                                                  </v>
      </c>
      <c r="E47" s="249">
        <v>0</v>
      </c>
      <c r="F47" s="249">
        <v>39</v>
      </c>
      <c r="G47" s="249">
        <v>85.66406249999973</v>
      </c>
      <c r="H47" s="249">
        <v>44.64062500000027</v>
      </c>
      <c r="I47" s="249">
        <v>0</v>
      </c>
      <c r="J47" s="4">
        <v>0</v>
      </c>
      <c r="K47" s="4">
        <v>102.3</v>
      </c>
      <c r="L47" s="4">
        <v>175.48890624999945</v>
      </c>
      <c r="M47" s="4">
        <v>95.878359375000542</v>
      </c>
      <c r="N47" s="4">
        <v>0</v>
      </c>
      <c r="O47" s="253">
        <v>0</v>
      </c>
      <c r="P47" s="253">
        <f t="shared" si="2"/>
        <v>2.6230769230769231</v>
      </c>
      <c r="Q47" s="253">
        <f t="shared" si="4"/>
        <v>2.0485709074327407</v>
      </c>
      <c r="R47" s="253">
        <f t="shared" si="3"/>
        <v>2.1477826391319557</v>
      </c>
      <c r="S47" s="253">
        <v>0</v>
      </c>
    </row>
    <row r="48" spans="1:19" x14ac:dyDescent="0.25">
      <c r="A48" s="4">
        <v>84</v>
      </c>
      <c r="B48" s="5">
        <v>10</v>
      </c>
      <c r="C48" s="6" t="s">
        <v>0</v>
      </c>
      <c r="D48" s="282" t="str">
        <f>VLOOKUP(A48,abm2_mode!$A$2:$C$139,3,FALSE)</f>
        <v xml:space="preserve">Local Bus                                                                  </v>
      </c>
      <c r="E48" s="249">
        <v>0</v>
      </c>
      <c r="F48" s="249">
        <v>41</v>
      </c>
      <c r="G48" s="249">
        <v>60.681037632444117</v>
      </c>
      <c r="H48" s="249">
        <v>34.579466569236551</v>
      </c>
      <c r="I48" s="249">
        <v>0</v>
      </c>
      <c r="J48" s="4">
        <v>0</v>
      </c>
      <c r="K48" s="4">
        <v>136.87</v>
      </c>
      <c r="L48" s="4">
        <v>236.62639386189213</v>
      </c>
      <c r="M48" s="4">
        <v>113.36856412130116</v>
      </c>
      <c r="N48" s="4">
        <v>0</v>
      </c>
      <c r="O48" s="253">
        <v>0</v>
      </c>
      <c r="P48" s="253">
        <f t="shared" si="2"/>
        <v>3.3382926829268293</v>
      </c>
      <c r="Q48" s="253">
        <f t="shared" si="4"/>
        <v>3.8995113316153303</v>
      </c>
      <c r="R48" s="253">
        <f t="shared" si="3"/>
        <v>3.2784937238493708</v>
      </c>
      <c r="S48" s="253">
        <v>0</v>
      </c>
    </row>
    <row r="49" spans="1:19" x14ac:dyDescent="0.25">
      <c r="A49" s="4">
        <v>88</v>
      </c>
      <c r="B49" s="5">
        <v>10</v>
      </c>
      <c r="C49" s="6" t="s">
        <v>0</v>
      </c>
      <c r="D49" s="282" t="str">
        <f>VLOOKUP(A49,abm2_mode!$A$2:$C$139,3,FALSE)</f>
        <v xml:space="preserve">Local Bus                                                                  </v>
      </c>
      <c r="E49" s="249">
        <v>1.1111111111111112</v>
      </c>
      <c r="F49" s="249">
        <v>79.388888888888886</v>
      </c>
      <c r="G49" s="249">
        <v>123.54054054054012</v>
      </c>
      <c r="H49" s="249">
        <v>83.916666666667183</v>
      </c>
      <c r="I49" s="249">
        <v>38.556306306306205</v>
      </c>
      <c r="J49" s="4">
        <v>0.98333333333333339</v>
      </c>
      <c r="K49" s="4">
        <v>153.67666666666668</v>
      </c>
      <c r="L49" s="4">
        <v>215.1962530712525</v>
      </c>
      <c r="M49" s="4">
        <v>117.31003071253143</v>
      </c>
      <c r="N49" s="4">
        <v>74.876824324324232</v>
      </c>
      <c r="O49" s="253">
        <f t="shared" ref="O49:O74" si="10">J49/E49</f>
        <v>0.88500000000000001</v>
      </c>
      <c r="P49" s="253">
        <f t="shared" ref="P49:P80" si="11">K49/F49</f>
        <v>1.9357452764170751</v>
      </c>
      <c r="Q49" s="253">
        <f t="shared" si="4"/>
        <v>1.7419079771683155</v>
      </c>
      <c r="R49" s="253">
        <f t="shared" ref="R49:R79" si="12">M49/H49</f>
        <v>1.3979348247769299</v>
      </c>
      <c r="S49" s="253">
        <f t="shared" ref="S49:S59" si="13">N49/I49</f>
        <v>1.9420123839009316</v>
      </c>
    </row>
    <row r="50" spans="1:19" x14ac:dyDescent="0.25">
      <c r="A50" s="4">
        <v>105</v>
      </c>
      <c r="B50" s="5">
        <v>10</v>
      </c>
      <c r="C50" s="6" t="s">
        <v>0</v>
      </c>
      <c r="D50" s="282" t="str">
        <f>VLOOKUP(A50,abm2_mode!$A$2:$C$139,3,FALSE)</f>
        <v xml:space="preserve">Local Bus                                                                  </v>
      </c>
      <c r="E50" s="249">
        <v>26.999765291607392</v>
      </c>
      <c r="F50" s="249">
        <v>257.41255469295299</v>
      </c>
      <c r="G50" s="249">
        <v>523.23020419739009</v>
      </c>
      <c r="H50" s="249">
        <v>241.49221378069501</v>
      </c>
      <c r="I50" s="249">
        <v>79.992000626566025</v>
      </c>
      <c r="J50" s="4">
        <v>153.34312944523469</v>
      </c>
      <c r="K50" s="4">
        <v>1102.8117502272012</v>
      </c>
      <c r="L50" s="4">
        <v>1980.3370044603696</v>
      </c>
      <c r="M50" s="4">
        <v>928.49322817857592</v>
      </c>
      <c r="N50" s="4">
        <v>336.94248934836895</v>
      </c>
      <c r="O50" s="253">
        <f t="shared" si="10"/>
        <v>5.6794245353273451</v>
      </c>
      <c r="P50" s="253">
        <f t="shared" si="11"/>
        <v>4.2842189711479213</v>
      </c>
      <c r="Q50" s="253">
        <f t="shared" si="4"/>
        <v>3.7848292942073387</v>
      </c>
      <c r="R50" s="253">
        <f t="shared" si="12"/>
        <v>3.844816417235561</v>
      </c>
      <c r="S50" s="253">
        <f t="shared" si="13"/>
        <v>4.2122023040947356</v>
      </c>
    </row>
    <row r="51" spans="1:19" x14ac:dyDescent="0.25">
      <c r="A51" s="4">
        <v>115</v>
      </c>
      <c r="B51" s="5">
        <v>10</v>
      </c>
      <c r="C51" s="6" t="s">
        <v>0</v>
      </c>
      <c r="D51" s="282" t="str">
        <f>VLOOKUP(A51,abm2_mode!$A$2:$C$139,3,FALSE)</f>
        <v xml:space="preserve">Local Bus                                                                  </v>
      </c>
      <c r="E51" s="249">
        <v>0.83799999999999564</v>
      </c>
      <c r="F51" s="249">
        <v>225.73798669623062</v>
      </c>
      <c r="G51" s="249">
        <v>541.02515471791014</v>
      </c>
      <c r="H51" s="249">
        <v>218.34600144300236</v>
      </c>
      <c r="I51" s="249">
        <v>66.892857142856926</v>
      </c>
      <c r="J51" s="4">
        <v>2.7459999999999853</v>
      </c>
      <c r="K51" s="4">
        <v>959.50944345898017</v>
      </c>
      <c r="L51" s="4">
        <v>2444.4556084890692</v>
      </c>
      <c r="M51" s="4">
        <v>978.19656709957098</v>
      </c>
      <c r="N51" s="4">
        <v>335.12238095238001</v>
      </c>
      <c r="O51" s="253">
        <f t="shared" si="10"/>
        <v>3.2768496420047728</v>
      </c>
      <c r="P51" s="253">
        <f t="shared" si="11"/>
        <v>4.2505448794941438</v>
      </c>
      <c r="Q51" s="253">
        <f t="shared" si="4"/>
        <v>4.518192152754164</v>
      </c>
      <c r="R51" s="253">
        <f t="shared" si="12"/>
        <v>4.4800296805752229</v>
      </c>
      <c r="S51" s="253">
        <f t="shared" si="13"/>
        <v>5.0098380494749977</v>
      </c>
    </row>
    <row r="52" spans="1:19" x14ac:dyDescent="0.25">
      <c r="A52" s="4">
        <v>101</v>
      </c>
      <c r="B52" s="5">
        <v>10</v>
      </c>
      <c r="C52" s="6" t="s">
        <v>0</v>
      </c>
      <c r="D52" s="282" t="str">
        <f>VLOOKUP(A52,abm2_mode!$A$2:$C$139,3,FALSE)</f>
        <v xml:space="preserve">Local Bus                                                                  </v>
      </c>
      <c r="E52" s="249">
        <v>36.427533577533588</v>
      </c>
      <c r="F52" s="249">
        <v>485.09649594807354</v>
      </c>
      <c r="G52" s="249">
        <v>1085.9374880942792</v>
      </c>
      <c r="H52" s="249">
        <v>586.56217257419087</v>
      </c>
      <c r="I52" s="249">
        <v>216.09673815632721</v>
      </c>
      <c r="J52" s="4">
        <v>273.92975030525037</v>
      </c>
      <c r="K52" s="4">
        <v>3315.1969243855719</v>
      </c>
      <c r="L52" s="4">
        <v>7581.4168539171797</v>
      </c>
      <c r="M52" s="4">
        <v>3966.8243533963118</v>
      </c>
      <c r="N52" s="4">
        <v>1648.8405008753537</v>
      </c>
      <c r="O52" s="253">
        <f t="shared" si="10"/>
        <v>7.5198544453252394</v>
      </c>
      <c r="P52" s="253">
        <f t="shared" si="11"/>
        <v>6.8340978590380139</v>
      </c>
      <c r="Q52" s="253">
        <f t="shared" si="4"/>
        <v>6.9814486902205317</v>
      </c>
      <c r="R52" s="253">
        <f t="shared" si="12"/>
        <v>6.7628369828000992</v>
      </c>
      <c r="S52" s="253">
        <f t="shared" si="13"/>
        <v>7.6301036051851963</v>
      </c>
    </row>
    <row r="53" spans="1:19" x14ac:dyDescent="0.25">
      <c r="A53" s="4">
        <v>302</v>
      </c>
      <c r="B53" s="5">
        <v>10</v>
      </c>
      <c r="C53" s="6" t="s">
        <v>0</v>
      </c>
      <c r="D53" s="282" t="str">
        <f>VLOOKUP(A53,abm2_mode!$A$2:$C$139,3,FALSE)</f>
        <v xml:space="preserve">Local Bus                                                                  </v>
      </c>
      <c r="E53" s="249">
        <v>74.094693877551009</v>
      </c>
      <c r="F53" s="249">
        <v>458.56606083943024</v>
      </c>
      <c r="G53" s="249">
        <v>1192.7098103600165</v>
      </c>
      <c r="H53" s="249">
        <v>615.4480686250198</v>
      </c>
      <c r="I53" s="249">
        <v>293.42136629798239</v>
      </c>
      <c r="J53" s="4">
        <v>260.98396217023395</v>
      </c>
      <c r="K53" s="4">
        <v>1684.4299925467474</v>
      </c>
      <c r="L53" s="4">
        <v>4298.2106762413077</v>
      </c>
      <c r="M53" s="4">
        <v>2172.5140808179017</v>
      </c>
      <c r="N53" s="4">
        <v>1213.4912882238095</v>
      </c>
      <c r="O53" s="253">
        <f t="shared" si="10"/>
        <v>3.5223029951582823</v>
      </c>
      <c r="P53" s="253">
        <f t="shared" si="11"/>
        <v>3.6732548184296636</v>
      </c>
      <c r="Q53" s="253">
        <f t="shared" si="4"/>
        <v>3.6037354928303169</v>
      </c>
      <c r="R53" s="253">
        <f t="shared" si="12"/>
        <v>3.5299714006277449</v>
      </c>
      <c r="S53" s="253">
        <f t="shared" si="13"/>
        <v>4.1356609558945872</v>
      </c>
    </row>
    <row r="54" spans="1:19" x14ac:dyDescent="0.25">
      <c r="A54" s="4">
        <v>303</v>
      </c>
      <c r="B54" s="5">
        <v>10</v>
      </c>
      <c r="C54" s="6" t="s">
        <v>0</v>
      </c>
      <c r="D54" s="282" t="str">
        <f>VLOOKUP(A54,abm2_mode!$A$2:$C$139,3,FALSE)</f>
        <v xml:space="preserve">Local Bus                                                                  </v>
      </c>
      <c r="E54" s="249">
        <v>209.56815867561292</v>
      </c>
      <c r="F54" s="249">
        <v>994.0628806646024</v>
      </c>
      <c r="G54" s="249">
        <v>2179.2377880985009</v>
      </c>
      <c r="H54" s="249">
        <v>1117.7773753269573</v>
      </c>
      <c r="I54" s="249">
        <v>473.54379825653683</v>
      </c>
      <c r="J54" s="4">
        <v>778.11098955104876</v>
      </c>
      <c r="K54" s="4">
        <v>2964.7306383148557</v>
      </c>
      <c r="L54" s="4">
        <v>6547.9821574266743</v>
      </c>
      <c r="M54" s="4">
        <v>3364.6947635463066</v>
      </c>
      <c r="N54" s="4">
        <v>1716.909887920295</v>
      </c>
      <c r="O54" s="253">
        <f t="shared" si="10"/>
        <v>3.7129256394120151</v>
      </c>
      <c r="P54" s="253">
        <f t="shared" si="11"/>
        <v>2.9824377270105091</v>
      </c>
      <c r="Q54" s="253">
        <f t="shared" si="4"/>
        <v>3.0047121030973547</v>
      </c>
      <c r="R54" s="253">
        <f t="shared" si="12"/>
        <v>3.0101653851797732</v>
      </c>
      <c r="S54" s="253">
        <f t="shared" si="13"/>
        <v>3.6256622813803152</v>
      </c>
    </row>
    <row r="55" spans="1:19" x14ac:dyDescent="0.25">
      <c r="A55" s="4">
        <v>304</v>
      </c>
      <c r="B55" s="5">
        <v>10</v>
      </c>
      <c r="C55" s="6" t="s">
        <v>0</v>
      </c>
      <c r="D55" s="282" t="str">
        <f>VLOOKUP(A55,abm2_mode!$A$2:$C$139,3,FALSE)</f>
        <v xml:space="preserve">Local Bus                                                                  </v>
      </c>
      <c r="E55" s="249">
        <v>33.387849807445463</v>
      </c>
      <c r="F55" s="249">
        <v>276.51056192478364</v>
      </c>
      <c r="G55" s="249">
        <v>369.06042019033856</v>
      </c>
      <c r="H55" s="249">
        <v>224.44091072675172</v>
      </c>
      <c r="I55" s="249">
        <v>46.108290094339438</v>
      </c>
      <c r="J55" s="4">
        <v>186.13452121831818</v>
      </c>
      <c r="K55" s="4">
        <v>1308.0904765042492</v>
      </c>
      <c r="L55" s="4">
        <v>1653.1963127242302</v>
      </c>
      <c r="M55" s="4">
        <v>1129.4391305499028</v>
      </c>
      <c r="N55" s="4">
        <v>229.9797641509424</v>
      </c>
      <c r="O55" s="253">
        <f t="shared" si="10"/>
        <v>5.5749178905438335</v>
      </c>
      <c r="P55" s="253">
        <f t="shared" si="11"/>
        <v>4.7307070927007686</v>
      </c>
      <c r="Q55" s="253">
        <f t="shared" ref="Q55:Q86" si="14">L55/G55</f>
        <v>4.4794733390039863</v>
      </c>
      <c r="R55" s="253">
        <f t="shared" si="12"/>
        <v>5.0322337709855045</v>
      </c>
      <c r="S55" s="253">
        <f t="shared" si="13"/>
        <v>4.9878181056030151</v>
      </c>
    </row>
    <row r="56" spans="1:19" x14ac:dyDescent="0.25">
      <c r="A56" s="4">
        <v>305</v>
      </c>
      <c r="B56" s="5">
        <v>10</v>
      </c>
      <c r="C56" s="6" t="s">
        <v>0</v>
      </c>
      <c r="D56" s="282" t="str">
        <f>VLOOKUP(A56,abm2_mode!$A$2:$C$139,3,FALSE)</f>
        <v xml:space="preserve">Local Bus                                                                  </v>
      </c>
      <c r="E56" s="249">
        <v>79.1819261006208</v>
      </c>
      <c r="F56" s="249">
        <v>458.28914475586026</v>
      </c>
      <c r="G56" s="249">
        <v>989.82026907258296</v>
      </c>
      <c r="H56" s="249">
        <v>490.54928072615496</v>
      </c>
      <c r="I56" s="249">
        <v>224.39049458318175</v>
      </c>
      <c r="J56" s="4">
        <v>299.05059647557982</v>
      </c>
      <c r="K56" s="4">
        <v>1431.2015941029681</v>
      </c>
      <c r="L56" s="4">
        <v>3335.4183508888755</v>
      </c>
      <c r="M56" s="4">
        <v>1761.8405996104584</v>
      </c>
      <c r="N56" s="4">
        <v>1013.0837116932508</v>
      </c>
      <c r="O56" s="253">
        <f t="shared" si="10"/>
        <v>3.7767532466381266</v>
      </c>
      <c r="P56" s="253">
        <f t="shared" si="11"/>
        <v>3.1229227453454032</v>
      </c>
      <c r="Q56" s="253">
        <f t="shared" si="14"/>
        <v>3.3697212060670494</v>
      </c>
      <c r="R56" s="253">
        <f t="shared" si="12"/>
        <v>3.5915669818176559</v>
      </c>
      <c r="S56" s="253">
        <f t="shared" si="13"/>
        <v>4.5148245409196681</v>
      </c>
    </row>
    <row r="57" spans="1:19" x14ac:dyDescent="0.25">
      <c r="A57" s="4">
        <v>306</v>
      </c>
      <c r="B57" s="5">
        <v>10</v>
      </c>
      <c r="C57" s="6" t="s">
        <v>0</v>
      </c>
      <c r="D57" s="282" t="str">
        <f>VLOOKUP(A57,abm2_mode!$A$2:$C$139,3,FALSE)</f>
        <v xml:space="preserve">Local Bus                                                                  </v>
      </c>
      <c r="E57" s="249">
        <v>47.59869802043314</v>
      </c>
      <c r="F57" s="249">
        <v>264.41867744087773</v>
      </c>
      <c r="G57" s="249">
        <v>354.74337830825118</v>
      </c>
      <c r="H57" s="249">
        <v>238.44457214621193</v>
      </c>
      <c r="I57" s="249">
        <v>77.678837209301875</v>
      </c>
      <c r="J57" s="4">
        <v>292.65073358668928</v>
      </c>
      <c r="K57" s="4">
        <v>1986.7555808436503</v>
      </c>
      <c r="L57" s="4">
        <v>2401.6503425012979</v>
      </c>
      <c r="M57" s="4">
        <v>1710.3498701037834</v>
      </c>
      <c r="N57" s="4">
        <v>609.2116279069736</v>
      </c>
      <c r="O57" s="253">
        <f t="shared" si="10"/>
        <v>6.1482928264353021</v>
      </c>
      <c r="P57" s="253">
        <f t="shared" si="11"/>
        <v>7.5136733912750007</v>
      </c>
      <c r="Q57" s="253">
        <f t="shared" si="14"/>
        <v>6.7701061932561419</v>
      </c>
      <c r="R57" s="253">
        <f t="shared" si="12"/>
        <v>7.1729452874901813</v>
      </c>
      <c r="S57" s="253">
        <f t="shared" si="13"/>
        <v>7.8426975710962603</v>
      </c>
    </row>
    <row r="58" spans="1:19" x14ac:dyDescent="0.25">
      <c r="A58" s="4">
        <v>308</v>
      </c>
      <c r="B58" s="5">
        <v>10</v>
      </c>
      <c r="C58" s="6" t="s">
        <v>0</v>
      </c>
      <c r="D58" s="282" t="str">
        <f>VLOOKUP(A58,abm2_mode!$A$2:$C$139,3,FALSE)</f>
        <v xml:space="preserve">Local Bus                                                                  </v>
      </c>
      <c r="E58" s="249">
        <v>5.7245759955816586</v>
      </c>
      <c r="F58" s="249">
        <v>128.44046030180118</v>
      </c>
      <c r="G58" s="249">
        <v>264.95166198115197</v>
      </c>
      <c r="H58" s="249">
        <v>166.74953696790297</v>
      </c>
      <c r="I58" s="249">
        <v>21.727114923833433</v>
      </c>
      <c r="J58" s="4">
        <v>39.509115329506081</v>
      </c>
      <c r="K58" s="4">
        <v>668.92018608320848</v>
      </c>
      <c r="L58" s="4">
        <v>1246.6350546470021</v>
      </c>
      <c r="M58" s="4">
        <v>733.48992364330411</v>
      </c>
      <c r="N58" s="4">
        <v>103.5402434177673</v>
      </c>
      <c r="O58" s="253">
        <f t="shared" si="10"/>
        <v>6.9016666666666664</v>
      </c>
      <c r="P58" s="253">
        <f t="shared" si="11"/>
        <v>5.2080176644604244</v>
      </c>
      <c r="Q58" s="253">
        <f t="shared" si="14"/>
        <v>4.7051414787339008</v>
      </c>
      <c r="R58" s="253">
        <f t="shared" si="12"/>
        <v>4.398752386247951</v>
      </c>
      <c r="S58" s="253">
        <f t="shared" si="13"/>
        <v>4.7654851452085536</v>
      </c>
    </row>
    <row r="59" spans="1:19" x14ac:dyDescent="0.25">
      <c r="A59" s="4">
        <v>309</v>
      </c>
      <c r="B59" s="5">
        <v>10</v>
      </c>
      <c r="C59" s="6" t="s">
        <v>0</v>
      </c>
      <c r="D59" s="282" t="str">
        <f>VLOOKUP(A59,abm2_mode!$A$2:$C$139,3,FALSE)</f>
        <v xml:space="preserve">Local Bus                                                                  </v>
      </c>
      <c r="E59" s="249">
        <v>58.39431992788213</v>
      </c>
      <c r="F59" s="249">
        <v>297.98615218555028</v>
      </c>
      <c r="G59" s="249">
        <v>712.2281102582275</v>
      </c>
      <c r="H59" s="249">
        <v>404.69713845477122</v>
      </c>
      <c r="I59" s="249">
        <v>147.88654439042762</v>
      </c>
      <c r="J59" s="4">
        <v>349.6552686969826</v>
      </c>
      <c r="K59" s="4">
        <v>1718.4564242298907</v>
      </c>
      <c r="L59" s="4">
        <v>3490.9697346486832</v>
      </c>
      <c r="M59" s="4">
        <v>2408.1413570401696</v>
      </c>
      <c r="N59" s="4">
        <v>831.44625130300551</v>
      </c>
      <c r="O59" s="253">
        <f t="shared" si="10"/>
        <v>5.9878301370546341</v>
      </c>
      <c r="P59" s="253">
        <f t="shared" si="11"/>
        <v>5.7669002791775394</v>
      </c>
      <c r="Q59" s="253">
        <f t="shared" si="14"/>
        <v>4.901477046985673</v>
      </c>
      <c r="R59" s="253">
        <f t="shared" si="12"/>
        <v>5.950477846804203</v>
      </c>
      <c r="S59" s="253">
        <f t="shared" si="13"/>
        <v>5.6221900020055058</v>
      </c>
    </row>
    <row r="60" spans="1:19" x14ac:dyDescent="0.25">
      <c r="A60" s="4">
        <v>311</v>
      </c>
      <c r="B60" s="5">
        <v>10</v>
      </c>
      <c r="C60" s="6" t="s">
        <v>0</v>
      </c>
      <c r="D60" s="282" t="str">
        <f>VLOOKUP(A60,abm2_mode!$A$2:$C$139,3,FALSE)</f>
        <v xml:space="preserve">Local Bus                                                                  </v>
      </c>
      <c r="E60" s="249">
        <v>14.639457843855434</v>
      </c>
      <c r="F60" s="249">
        <v>155.62876923076919</v>
      </c>
      <c r="G60" s="249">
        <v>255.55848552652529</v>
      </c>
      <c r="H60" s="249">
        <v>51.128000000000199</v>
      </c>
      <c r="I60" s="249">
        <v>0</v>
      </c>
      <c r="J60" s="4">
        <v>38.20853570331974</v>
      </c>
      <c r="K60" s="4">
        <v>655.55238461538454</v>
      </c>
      <c r="L60" s="4">
        <v>955.53663672361188</v>
      </c>
      <c r="M60" s="4">
        <v>216.70480000000089</v>
      </c>
      <c r="N60" s="4">
        <v>0</v>
      </c>
      <c r="O60" s="253">
        <f t="shared" si="10"/>
        <v>2.609969311080524</v>
      </c>
      <c r="P60" s="253">
        <f t="shared" si="11"/>
        <v>4.2122827794346911</v>
      </c>
      <c r="Q60" s="253">
        <f t="shared" si="14"/>
        <v>3.7390135363923709</v>
      </c>
      <c r="R60" s="253">
        <f t="shared" si="12"/>
        <v>4.2384759818494766</v>
      </c>
      <c r="S60" s="253">
        <v>0</v>
      </c>
    </row>
    <row r="61" spans="1:19" x14ac:dyDescent="0.25">
      <c r="A61" s="4">
        <v>313</v>
      </c>
      <c r="B61" s="5">
        <v>10</v>
      </c>
      <c r="C61" s="6" t="s">
        <v>0</v>
      </c>
      <c r="D61" s="282" t="str">
        <f>VLOOKUP(A61,abm2_mode!$A$2:$C$139,3,FALSE)</f>
        <v xml:space="preserve">Local Bus                                                                  </v>
      </c>
      <c r="E61" s="249">
        <v>7.1162790697674376</v>
      </c>
      <c r="F61" s="249">
        <v>107.103783469389</v>
      </c>
      <c r="G61" s="249">
        <v>190.62879842596723</v>
      </c>
      <c r="H61" s="249">
        <v>92.852451879105459</v>
      </c>
      <c r="I61" s="249">
        <v>8</v>
      </c>
      <c r="J61" s="4">
        <v>39.001395348837185</v>
      </c>
      <c r="K61" s="4">
        <v>435.07852991640152</v>
      </c>
      <c r="L61" s="4">
        <v>560.45471818202782</v>
      </c>
      <c r="M61" s="4">
        <v>233.50708934276824</v>
      </c>
      <c r="N61" s="4">
        <v>28.09</v>
      </c>
      <c r="O61" s="253">
        <f t="shared" si="10"/>
        <v>5.4805882352941175</v>
      </c>
      <c r="P61" s="253">
        <f t="shared" si="11"/>
        <v>4.0622143851785584</v>
      </c>
      <c r="Q61" s="253">
        <f t="shared" si="14"/>
        <v>2.9400317413199586</v>
      </c>
      <c r="R61" s="253">
        <f t="shared" si="12"/>
        <v>2.5148187755644416</v>
      </c>
      <c r="S61" s="253">
        <f>N61/I61</f>
        <v>3.51125</v>
      </c>
    </row>
    <row r="62" spans="1:19" x14ac:dyDescent="0.25">
      <c r="A62" s="4">
        <v>315</v>
      </c>
      <c r="B62" s="5">
        <v>10</v>
      </c>
      <c r="C62" s="6" t="s">
        <v>0</v>
      </c>
      <c r="D62" s="282" t="str">
        <f>VLOOKUP(A62,abm2_mode!$A$2:$C$139,3,FALSE)</f>
        <v xml:space="preserve">Local Bus                                                                  </v>
      </c>
      <c r="E62" s="249">
        <v>19.1833688871715</v>
      </c>
      <c r="F62" s="249">
        <v>120.85132153972947</v>
      </c>
      <c r="G62" s="249">
        <v>211.15547117701738</v>
      </c>
      <c r="H62" s="249">
        <v>110.48959747108464</v>
      </c>
      <c r="I62" s="249">
        <v>41.412050765263892</v>
      </c>
      <c r="J62" s="4">
        <v>72.883742128659776</v>
      </c>
      <c r="K62" s="4">
        <v>400.00461122001377</v>
      </c>
      <c r="L62" s="4">
        <v>721.09699551619474</v>
      </c>
      <c r="M62" s="4">
        <v>515.13494427518151</v>
      </c>
      <c r="N62" s="4">
        <v>144.25152402652421</v>
      </c>
      <c r="O62" s="253">
        <f t="shared" si="10"/>
        <v>3.7993192205879613</v>
      </c>
      <c r="P62" s="253">
        <f t="shared" si="11"/>
        <v>3.3098902529461673</v>
      </c>
      <c r="Q62" s="253">
        <f t="shared" si="14"/>
        <v>3.4150050268490535</v>
      </c>
      <c r="R62" s="253">
        <f t="shared" si="12"/>
        <v>4.6622936101291659</v>
      </c>
      <c r="S62" s="253">
        <f>N62/I62</f>
        <v>3.4833223991776152</v>
      </c>
    </row>
    <row r="63" spans="1:19" x14ac:dyDescent="0.25">
      <c r="A63" s="4">
        <v>316</v>
      </c>
      <c r="B63" s="5">
        <v>10</v>
      </c>
      <c r="C63" s="6" t="s">
        <v>0</v>
      </c>
      <c r="D63" s="282" t="str">
        <f>VLOOKUP(A63,abm2_mode!$A$2:$C$139,3,FALSE)</f>
        <v xml:space="preserve">Local Bus                                                                  </v>
      </c>
      <c r="E63" s="249">
        <v>1.9456250000000022</v>
      </c>
      <c r="F63" s="249">
        <v>34.007708333333326</v>
      </c>
      <c r="G63" s="249">
        <v>67.208888888888765</v>
      </c>
      <c r="H63" s="249">
        <v>30.647777777777904</v>
      </c>
      <c r="I63" s="249">
        <v>0</v>
      </c>
      <c r="J63" s="4">
        <v>2.4818750000000027</v>
      </c>
      <c r="K63" s="4">
        <v>59.440902777777772</v>
      </c>
      <c r="L63" s="4">
        <v>102.66888888888862</v>
      </c>
      <c r="M63" s="4">
        <v>58.518333333333615</v>
      </c>
      <c r="N63" s="4">
        <v>0</v>
      </c>
      <c r="O63" s="253">
        <f t="shared" si="10"/>
        <v>1.2756183745583038</v>
      </c>
      <c r="P63" s="253">
        <f t="shared" si="11"/>
        <v>1.7478655778612286</v>
      </c>
      <c r="Q63" s="253">
        <f t="shared" si="14"/>
        <v>1.527608781907154</v>
      </c>
      <c r="R63" s="253">
        <f t="shared" si="12"/>
        <v>1.9093825907261732</v>
      </c>
      <c r="S63" s="253">
        <v>0</v>
      </c>
    </row>
    <row r="64" spans="1:19" x14ac:dyDescent="0.25">
      <c r="A64" s="4">
        <v>318</v>
      </c>
      <c r="B64" s="5">
        <v>10</v>
      </c>
      <c r="C64" s="6" t="s">
        <v>0</v>
      </c>
      <c r="D64" s="282" t="str">
        <f>VLOOKUP(A64,abm2_mode!$A$2:$C$139,3,FALSE)</f>
        <v xml:space="preserve">Local Bus                                                                  </v>
      </c>
      <c r="E64" s="249">
        <v>33.205028461013512</v>
      </c>
      <c r="F64" s="249">
        <v>151.38616800638312</v>
      </c>
      <c r="G64" s="249">
        <v>351.84006795757807</v>
      </c>
      <c r="H64" s="249">
        <v>194.05301636246847</v>
      </c>
      <c r="I64" s="249">
        <v>24.58</v>
      </c>
      <c r="J64" s="4">
        <v>110.00757344203078</v>
      </c>
      <c r="K64" s="4">
        <v>509.72893348719805</v>
      </c>
      <c r="L64" s="4">
        <v>1215.6289822436229</v>
      </c>
      <c r="M64" s="4">
        <v>529.18855296271761</v>
      </c>
      <c r="N64" s="4">
        <v>79.739999999999995</v>
      </c>
      <c r="O64" s="253">
        <f t="shared" si="10"/>
        <v>3.3129793450167404</v>
      </c>
      <c r="P64" s="253">
        <f t="shared" si="11"/>
        <v>3.3670773241694421</v>
      </c>
      <c r="Q64" s="253">
        <f t="shared" si="14"/>
        <v>3.4550612421726603</v>
      </c>
      <c r="R64" s="253">
        <f t="shared" si="12"/>
        <v>2.7270308026248609</v>
      </c>
      <c r="S64" s="253">
        <f>N64/I64</f>
        <v>3.244100895036615</v>
      </c>
    </row>
    <row r="65" spans="1:19" x14ac:dyDescent="0.25">
      <c r="A65" s="4">
        <v>323</v>
      </c>
      <c r="B65" s="5">
        <v>10</v>
      </c>
      <c r="C65" s="6" t="s">
        <v>0</v>
      </c>
      <c r="D65" s="282" t="str">
        <f>VLOOKUP(A65,abm2_mode!$A$2:$C$139,3,FALSE)</f>
        <v xml:space="preserve">Local Bus                                                                  </v>
      </c>
      <c r="E65" s="249">
        <v>3.9882352941176498</v>
      </c>
      <c r="F65" s="249">
        <v>65.215663111756768</v>
      </c>
      <c r="G65" s="249">
        <v>85.246514149347675</v>
      </c>
      <c r="H65" s="249">
        <v>23.117388289676711</v>
      </c>
      <c r="I65" s="249">
        <v>0</v>
      </c>
      <c r="J65" s="4">
        <v>8.6223529411764748</v>
      </c>
      <c r="K65" s="4">
        <v>193.27773853919871</v>
      </c>
      <c r="L65" s="4">
        <v>255.09205438009599</v>
      </c>
      <c r="M65" s="4">
        <v>56.668189522343084</v>
      </c>
      <c r="N65" s="4">
        <v>0</v>
      </c>
      <c r="O65" s="253">
        <f t="shared" si="10"/>
        <v>2.1619469026548668</v>
      </c>
      <c r="P65" s="253">
        <f t="shared" si="11"/>
        <v>2.9636705251005186</v>
      </c>
      <c r="Q65" s="253">
        <f t="shared" si="14"/>
        <v>2.9924045214703714</v>
      </c>
      <c r="R65" s="253">
        <f t="shared" si="12"/>
        <v>2.4513231690471193</v>
      </c>
      <c r="S65" s="253">
        <v>0</v>
      </c>
    </row>
    <row r="66" spans="1:19" x14ac:dyDescent="0.25">
      <c r="A66" s="4">
        <v>325</v>
      </c>
      <c r="B66" s="5">
        <v>10</v>
      </c>
      <c r="C66" s="6" t="s">
        <v>0</v>
      </c>
      <c r="D66" s="282" t="str">
        <f>VLOOKUP(A66,abm2_mode!$A$2:$C$139,3,FALSE)</f>
        <v xml:space="preserve">Local Bus                                                                  </v>
      </c>
      <c r="E66" s="249">
        <v>11.060951690821256</v>
      </c>
      <c r="F66" s="249">
        <v>125.95724634890625</v>
      </c>
      <c r="G66" s="249">
        <v>375.02468175519175</v>
      </c>
      <c r="H66" s="249">
        <v>192.68093606338036</v>
      </c>
      <c r="I66" s="249">
        <v>41.418498455689871</v>
      </c>
      <c r="J66" s="4">
        <v>28.155772946859905</v>
      </c>
      <c r="K66" s="4">
        <v>363.71896210433528</v>
      </c>
      <c r="L66" s="4">
        <v>1018.2952244846633</v>
      </c>
      <c r="M66" s="4">
        <v>491.72892072684596</v>
      </c>
      <c r="N66" s="4">
        <v>96.79582425414857</v>
      </c>
      <c r="O66" s="253">
        <f t="shared" si="10"/>
        <v>2.545510886755296</v>
      </c>
      <c r="P66" s="253">
        <f t="shared" si="11"/>
        <v>2.8876382474797855</v>
      </c>
      <c r="Q66" s="253">
        <f t="shared" si="14"/>
        <v>2.7152752179372159</v>
      </c>
      <c r="R66" s="253">
        <f t="shared" si="12"/>
        <v>2.5520372216019176</v>
      </c>
      <c r="S66" s="253">
        <f>N66/I66</f>
        <v>2.3370191548035519</v>
      </c>
    </row>
    <row r="67" spans="1:19" x14ac:dyDescent="0.25">
      <c r="A67" s="4">
        <v>332</v>
      </c>
      <c r="B67" s="5">
        <v>10</v>
      </c>
      <c r="C67" s="6" t="s">
        <v>0</v>
      </c>
      <c r="D67" s="282" t="str">
        <f>VLOOKUP(A67,abm2_mode!$A$2:$C$139,3,FALSE)</f>
        <v xml:space="preserve">Local Bus                                                                  </v>
      </c>
      <c r="E67" s="249">
        <v>48.346736980883314</v>
      </c>
      <c r="F67" s="249">
        <v>421.89228669567149</v>
      </c>
      <c r="G67" s="249">
        <v>652.32737859812585</v>
      </c>
      <c r="H67" s="249">
        <v>366.64796301400196</v>
      </c>
      <c r="I67" s="249">
        <v>87.1388888888888</v>
      </c>
      <c r="J67" s="4">
        <v>235.73946605141725</v>
      </c>
      <c r="K67" s="4">
        <v>1354.3891033068071</v>
      </c>
      <c r="L67" s="4">
        <v>2550.2464921982182</v>
      </c>
      <c r="M67" s="4">
        <v>1411.0018528869512</v>
      </c>
      <c r="N67" s="4">
        <v>306.43277777777774</v>
      </c>
      <c r="O67" s="253">
        <f t="shared" si="10"/>
        <v>4.8760160617381585</v>
      </c>
      <c r="P67" s="253">
        <f t="shared" si="11"/>
        <v>3.210272256728373</v>
      </c>
      <c r="Q67" s="253">
        <f t="shared" si="14"/>
        <v>3.9094580050875471</v>
      </c>
      <c r="R67" s="253">
        <f t="shared" si="12"/>
        <v>3.8483831773887864</v>
      </c>
      <c r="S67" s="253">
        <f>N67/I67</f>
        <v>3.5166018489002262</v>
      </c>
    </row>
    <row r="68" spans="1:19" x14ac:dyDescent="0.25">
      <c r="A68" s="4">
        <v>334</v>
      </c>
      <c r="B68" s="5">
        <v>10</v>
      </c>
      <c r="C68" s="6" t="s">
        <v>0</v>
      </c>
      <c r="D68" s="282" t="str">
        <f>VLOOKUP(A68,abm2_mode!$A$2:$C$139,3,FALSE)</f>
        <v xml:space="preserve">Local Bus                                                                  </v>
      </c>
      <c r="E68" s="249">
        <v>9.33</v>
      </c>
      <c r="F68" s="249">
        <v>50.988846153846147</v>
      </c>
      <c r="G68" s="249">
        <v>122.55334134615367</v>
      </c>
      <c r="H68" s="249">
        <v>62.822256944444725</v>
      </c>
      <c r="I68" s="249">
        <v>8.7055555555554527</v>
      </c>
      <c r="J68" s="4">
        <v>15.450000000000001</v>
      </c>
      <c r="K68" s="4">
        <v>69.417692307692306</v>
      </c>
      <c r="L68" s="4">
        <v>203.80168269230748</v>
      </c>
      <c r="M68" s="4">
        <v>101.18395833333379</v>
      </c>
      <c r="N68" s="4">
        <v>14.436666666666458</v>
      </c>
      <c r="O68" s="253">
        <f t="shared" si="10"/>
        <v>1.6559485530546625</v>
      </c>
      <c r="P68" s="253">
        <f t="shared" si="11"/>
        <v>1.361428970136757</v>
      </c>
      <c r="Q68" s="253">
        <f t="shared" si="14"/>
        <v>1.6629630857364117</v>
      </c>
      <c r="R68" s="253">
        <f t="shared" si="12"/>
        <v>1.6106387012299361</v>
      </c>
      <c r="S68" s="253">
        <f>N68/I68</f>
        <v>1.6583280153158859</v>
      </c>
    </row>
    <row r="69" spans="1:19" x14ac:dyDescent="0.25">
      <c r="A69" s="4">
        <v>335</v>
      </c>
      <c r="B69" s="5">
        <v>10</v>
      </c>
      <c r="C69" s="6" t="s">
        <v>0</v>
      </c>
      <c r="D69" s="282" t="str">
        <f>VLOOKUP(A69,abm2_mode!$A$2:$C$139,3,FALSE)</f>
        <v xml:space="preserve">Local Bus                                                                  </v>
      </c>
      <c r="E69" s="249">
        <v>1.6935485098847851</v>
      </c>
      <c r="F69" s="249">
        <v>36.005230641647096</v>
      </c>
      <c r="G69" s="249">
        <v>6.715384615384516</v>
      </c>
      <c r="H69" s="249">
        <v>27.484615384615481</v>
      </c>
      <c r="I69" s="249">
        <v>0</v>
      </c>
      <c r="J69" s="4">
        <v>3.6907677870592566</v>
      </c>
      <c r="K69" s="4">
        <v>79.71513369952865</v>
      </c>
      <c r="L69" s="4">
        <v>14.546153846153631</v>
      </c>
      <c r="M69" s="4">
        <v>59.743846153846363</v>
      </c>
      <c r="N69" s="4">
        <v>0</v>
      </c>
      <c r="O69" s="253">
        <f t="shared" si="10"/>
        <v>2.1793103448275866</v>
      </c>
      <c r="P69" s="253">
        <f t="shared" si="11"/>
        <v>2.213987586773642</v>
      </c>
      <c r="Q69" s="253">
        <f t="shared" si="14"/>
        <v>2.1660939289805268</v>
      </c>
      <c r="R69" s="253">
        <f t="shared" si="12"/>
        <v>2.1737195633921074</v>
      </c>
      <c r="S69" s="253">
        <v>0</v>
      </c>
    </row>
    <row r="70" spans="1:19" x14ac:dyDescent="0.25">
      <c r="A70" s="4">
        <v>347</v>
      </c>
      <c r="B70" s="5">
        <v>10</v>
      </c>
      <c r="C70" s="6" t="s">
        <v>0</v>
      </c>
      <c r="D70" s="282" t="str">
        <f>VLOOKUP(A70,abm2_mode!$A$2:$C$139,3,FALSE)</f>
        <v xml:space="preserve">Local Bus                                                                  </v>
      </c>
      <c r="E70" s="249">
        <v>3.2840909090909096</v>
      </c>
      <c r="F70" s="249">
        <v>87.438120097391774</v>
      </c>
      <c r="G70" s="249">
        <v>216.19547101449251</v>
      </c>
      <c r="H70" s="249">
        <v>76.875851449275729</v>
      </c>
      <c r="I70" s="249">
        <v>2.939981884057854</v>
      </c>
      <c r="J70" s="4">
        <v>3.4613636363636364</v>
      </c>
      <c r="K70" s="4">
        <v>132.24644835778048</v>
      </c>
      <c r="L70" s="4">
        <v>331.4263405797098</v>
      </c>
      <c r="M70" s="4">
        <v>129.53989130434843</v>
      </c>
      <c r="N70" s="4">
        <v>5.3259420289853008</v>
      </c>
      <c r="O70" s="253">
        <f t="shared" si="10"/>
        <v>1.0539792387543252</v>
      </c>
      <c r="P70" s="253">
        <f t="shared" si="11"/>
        <v>1.5124575895556716</v>
      </c>
      <c r="Q70" s="253">
        <f t="shared" si="14"/>
        <v>1.5329939106702788</v>
      </c>
      <c r="R70" s="253">
        <f t="shared" si="12"/>
        <v>1.6850530935559331</v>
      </c>
      <c r="S70" s="253">
        <f t="shared" ref="S70:S76" si="15">N70/I70</f>
        <v>1.8115560704184581</v>
      </c>
    </row>
    <row r="71" spans="1:19" x14ac:dyDescent="0.25">
      <c r="A71" s="4">
        <v>351</v>
      </c>
      <c r="B71" s="5">
        <v>10</v>
      </c>
      <c r="C71" s="6" t="s">
        <v>0</v>
      </c>
      <c r="D71" s="282" t="str">
        <f>VLOOKUP(A71,abm2_mode!$A$2:$C$139,3,FALSE)</f>
        <v xml:space="preserve">Local Bus                                                                  </v>
      </c>
      <c r="E71" s="249">
        <v>36.03142857142857</v>
      </c>
      <c r="F71" s="249">
        <v>183.43829479895359</v>
      </c>
      <c r="G71" s="249">
        <v>408.48810893794791</v>
      </c>
      <c r="H71" s="249">
        <v>217.71280423449315</v>
      </c>
      <c r="I71" s="249">
        <v>120.52294117647033</v>
      </c>
      <c r="J71" s="4">
        <v>75.181428571428569</v>
      </c>
      <c r="K71" s="4">
        <v>350.89488527527982</v>
      </c>
      <c r="L71" s="4">
        <v>696.57674548263958</v>
      </c>
      <c r="M71" s="4">
        <v>429.23999522719919</v>
      </c>
      <c r="N71" s="4">
        <v>298.40588235294058</v>
      </c>
      <c r="O71" s="253">
        <f t="shared" si="10"/>
        <v>2.0865514233605582</v>
      </c>
      <c r="P71" s="253">
        <f t="shared" si="11"/>
        <v>1.9128769467676139</v>
      </c>
      <c r="Q71" s="253">
        <f t="shared" si="14"/>
        <v>1.7052558697331732</v>
      </c>
      <c r="R71" s="253">
        <f t="shared" si="12"/>
        <v>1.9715881972879981</v>
      </c>
      <c r="S71" s="253">
        <f t="shared" si="15"/>
        <v>2.4759259891941494</v>
      </c>
    </row>
    <row r="72" spans="1:19" x14ac:dyDescent="0.25">
      <c r="A72" s="4">
        <v>352</v>
      </c>
      <c r="B72" s="5">
        <v>10</v>
      </c>
      <c r="C72" s="6" t="s">
        <v>0</v>
      </c>
      <c r="D72" s="282" t="str">
        <f>VLOOKUP(A72,abm2_mode!$A$2:$C$139,3,FALSE)</f>
        <v xml:space="preserve">Local Bus                                                                  </v>
      </c>
      <c r="E72" s="249">
        <v>35.928606673656937</v>
      </c>
      <c r="F72" s="249">
        <v>211.69187177736609</v>
      </c>
      <c r="G72" s="249">
        <v>378.23951081137909</v>
      </c>
      <c r="H72" s="249">
        <v>215.22400917405329</v>
      </c>
      <c r="I72" s="249">
        <v>71.457142857142472</v>
      </c>
      <c r="J72" s="4">
        <v>89.635924109431116</v>
      </c>
      <c r="K72" s="4">
        <v>451.10012938389872</v>
      </c>
      <c r="L72" s="4">
        <v>768.27766399482539</v>
      </c>
      <c r="M72" s="4">
        <v>432.00711542917531</v>
      </c>
      <c r="N72" s="4">
        <v>161.5414285714279</v>
      </c>
      <c r="O72" s="253">
        <f t="shared" si="10"/>
        <v>2.494834406566417</v>
      </c>
      <c r="P72" s="253">
        <f t="shared" si="11"/>
        <v>2.1309279642929111</v>
      </c>
      <c r="Q72" s="253">
        <f t="shared" si="14"/>
        <v>2.0311935745336531</v>
      </c>
      <c r="R72" s="253">
        <f t="shared" si="12"/>
        <v>2.0072440667147311</v>
      </c>
      <c r="S72" s="253">
        <f t="shared" si="15"/>
        <v>2.2606757297081197</v>
      </c>
    </row>
    <row r="73" spans="1:19" x14ac:dyDescent="0.25">
      <c r="A73" s="4">
        <v>353</v>
      </c>
      <c r="B73" s="5">
        <v>10</v>
      </c>
      <c r="C73" s="6" t="s">
        <v>0</v>
      </c>
      <c r="D73" s="282" t="str">
        <f>VLOOKUP(A73,abm2_mode!$A$2:$C$139,3,FALSE)</f>
        <v xml:space="preserve">Local Bus                                                                  </v>
      </c>
      <c r="E73" s="249">
        <v>15.704230769230769</v>
      </c>
      <c r="F73" s="249">
        <v>95.394340659340656</v>
      </c>
      <c r="G73" s="249">
        <v>222.50918291385989</v>
      </c>
      <c r="H73" s="249">
        <v>101.33891232423537</v>
      </c>
      <c r="I73" s="249">
        <v>21.543333333333305</v>
      </c>
      <c r="J73" s="4">
        <v>24.844615384615381</v>
      </c>
      <c r="K73" s="4">
        <v>146.52502747252748</v>
      </c>
      <c r="L73" s="4">
        <v>348.15218096419653</v>
      </c>
      <c r="M73" s="4">
        <v>166.04150951199404</v>
      </c>
      <c r="N73" s="4">
        <v>41.076666666666618</v>
      </c>
      <c r="O73" s="253">
        <f t="shared" si="10"/>
        <v>1.5820332590433737</v>
      </c>
      <c r="P73" s="253">
        <f t="shared" si="11"/>
        <v>1.5359928739984461</v>
      </c>
      <c r="Q73" s="253">
        <f t="shared" si="14"/>
        <v>1.5646643271301612</v>
      </c>
      <c r="R73" s="253">
        <f t="shared" si="12"/>
        <v>1.6384773203479996</v>
      </c>
      <c r="S73" s="253">
        <f t="shared" si="15"/>
        <v>1.9066996750734955</v>
      </c>
    </row>
    <row r="74" spans="1:19" x14ac:dyDescent="0.25">
      <c r="A74" s="4">
        <v>354</v>
      </c>
      <c r="B74" s="5">
        <v>10</v>
      </c>
      <c r="C74" s="6" t="s">
        <v>0</v>
      </c>
      <c r="D74" s="282" t="str">
        <f>VLOOKUP(A74,abm2_mode!$A$2:$C$139,3,FALSE)</f>
        <v xml:space="preserve">Local Bus                                                                  </v>
      </c>
      <c r="E74" s="249">
        <v>11.298656715436394</v>
      </c>
      <c r="F74" s="249">
        <v>214.95612039648347</v>
      </c>
      <c r="G74" s="249">
        <v>362.80527609046402</v>
      </c>
      <c r="H74" s="249">
        <v>174.83965180265764</v>
      </c>
      <c r="I74" s="249">
        <v>30.85461538461535</v>
      </c>
      <c r="J74" s="4">
        <v>24.200255719311283</v>
      </c>
      <c r="K74" s="4">
        <v>465.88406467347704</v>
      </c>
      <c r="L74" s="4">
        <v>851.39877670612884</v>
      </c>
      <c r="M74" s="4">
        <v>386.55696641131487</v>
      </c>
      <c r="N74" s="4">
        <v>73.596538461538302</v>
      </c>
      <c r="O74" s="253">
        <f t="shared" si="10"/>
        <v>2.1418701646407694</v>
      </c>
      <c r="P74" s="253">
        <f t="shared" si="11"/>
        <v>2.1673449623772543</v>
      </c>
      <c r="Q74" s="253">
        <f t="shared" si="14"/>
        <v>2.3467100199883424</v>
      </c>
      <c r="R74" s="253">
        <f t="shared" si="12"/>
        <v>2.2109227650923464</v>
      </c>
      <c r="S74" s="253">
        <f t="shared" si="15"/>
        <v>2.3852683802448182</v>
      </c>
    </row>
    <row r="75" spans="1:19" x14ac:dyDescent="0.25">
      <c r="A75" s="4">
        <v>355</v>
      </c>
      <c r="B75" s="5">
        <v>10</v>
      </c>
      <c r="C75" s="6" t="s">
        <v>0</v>
      </c>
      <c r="D75" s="282" t="str">
        <f>VLOOKUP(A75,abm2_mode!$A$2:$C$139,3,FALSE)</f>
        <v xml:space="preserve">Local Bus                                                                  </v>
      </c>
      <c r="E75" s="249">
        <v>0</v>
      </c>
      <c r="F75" s="249">
        <v>67.76444444444445</v>
      </c>
      <c r="G75" s="249">
        <v>120.40698412698383</v>
      </c>
      <c r="H75" s="249">
        <v>71.528571428571723</v>
      </c>
      <c r="I75" s="249">
        <v>22.2</v>
      </c>
      <c r="J75" s="4">
        <v>0</v>
      </c>
      <c r="K75" s="4">
        <v>177.17488888888892</v>
      </c>
      <c r="L75" s="4">
        <v>368.97286621315089</v>
      </c>
      <c r="M75" s="4">
        <v>231.70224489796021</v>
      </c>
      <c r="N75" s="4">
        <v>82.3</v>
      </c>
      <c r="O75" s="253">
        <v>0</v>
      </c>
      <c r="P75" s="253">
        <f t="shared" si="11"/>
        <v>2.6145700793598743</v>
      </c>
      <c r="Q75" s="253">
        <f t="shared" si="14"/>
        <v>3.0643809317906681</v>
      </c>
      <c r="R75" s="253">
        <f t="shared" si="12"/>
        <v>3.2392964135924003</v>
      </c>
      <c r="S75" s="253">
        <f t="shared" si="15"/>
        <v>3.7072072072072073</v>
      </c>
    </row>
    <row r="76" spans="1:19" x14ac:dyDescent="0.25">
      <c r="A76" s="4">
        <v>356</v>
      </c>
      <c r="B76" s="5">
        <v>10</v>
      </c>
      <c r="C76" s="6" t="s">
        <v>0</v>
      </c>
      <c r="D76" s="282" t="str">
        <f>VLOOKUP(A76,abm2_mode!$A$2:$C$139,3,FALSE)</f>
        <v xml:space="preserve">Local Bus                                                                  </v>
      </c>
      <c r="E76" s="249">
        <v>17</v>
      </c>
      <c r="F76" s="249">
        <v>97.27</v>
      </c>
      <c r="G76" s="249">
        <v>203.99672049535982</v>
      </c>
      <c r="H76" s="249">
        <v>123.34</v>
      </c>
      <c r="I76" s="249">
        <v>46.439961285341482</v>
      </c>
      <c r="J76" s="4">
        <v>31.47</v>
      </c>
      <c r="K76" s="4">
        <v>174.52</v>
      </c>
      <c r="L76" s="4">
        <v>320.08247632988986</v>
      </c>
      <c r="M76" s="4">
        <v>233.26</v>
      </c>
      <c r="N76" s="4">
        <v>80.001681363783746</v>
      </c>
      <c r="O76" s="253">
        <f>J76/E76</f>
        <v>1.8511764705882352</v>
      </c>
      <c r="P76" s="253">
        <f t="shared" si="11"/>
        <v>1.7941811452657552</v>
      </c>
      <c r="Q76" s="253">
        <f t="shared" si="14"/>
        <v>1.569056970879934</v>
      </c>
      <c r="R76" s="253">
        <f t="shared" si="12"/>
        <v>1.8911950705367275</v>
      </c>
      <c r="S76" s="253">
        <f t="shared" si="15"/>
        <v>1.7226905266399486</v>
      </c>
    </row>
    <row r="77" spans="1:19" x14ac:dyDescent="0.25">
      <c r="A77" s="4">
        <v>357</v>
      </c>
      <c r="B77" s="5">
        <v>10</v>
      </c>
      <c r="C77" s="6" t="s">
        <v>0</v>
      </c>
      <c r="D77" s="282" t="str">
        <f>VLOOKUP(A77,abm2_mode!$A$2:$C$139,3,FALSE)</f>
        <v xml:space="preserve">Local Bus                                                                  </v>
      </c>
      <c r="E77" s="249">
        <v>0</v>
      </c>
      <c r="F77" s="249">
        <v>67.966027818652861</v>
      </c>
      <c r="G77" s="249">
        <v>171.33341463414635</v>
      </c>
      <c r="H77" s="249">
        <v>58.43</v>
      </c>
      <c r="I77" s="249">
        <v>0</v>
      </c>
      <c r="J77" s="4">
        <v>0</v>
      </c>
      <c r="K77" s="4">
        <v>240.14906095234923</v>
      </c>
      <c r="L77" s="4">
        <v>527.51317073170731</v>
      </c>
      <c r="M77" s="4">
        <v>173.81</v>
      </c>
      <c r="N77" s="4">
        <v>0</v>
      </c>
      <c r="O77" s="253">
        <v>0</v>
      </c>
      <c r="P77" s="253">
        <f t="shared" si="11"/>
        <v>3.5333690765791932</v>
      </c>
      <c r="Q77" s="253">
        <f t="shared" si="14"/>
        <v>3.0788691853140429</v>
      </c>
      <c r="R77" s="253">
        <f t="shared" si="12"/>
        <v>2.9746705459524216</v>
      </c>
      <c r="S77" s="253">
        <v>0</v>
      </c>
    </row>
    <row r="78" spans="1:19" x14ac:dyDescent="0.25">
      <c r="A78" s="4">
        <v>358</v>
      </c>
      <c r="B78" s="5">
        <v>10</v>
      </c>
      <c r="C78" s="6" t="s">
        <v>0</v>
      </c>
      <c r="D78" s="282" t="str">
        <f>VLOOKUP(A78,abm2_mode!$A$2:$C$139,3,FALSE)</f>
        <v xml:space="preserve">Local Bus                                                                  </v>
      </c>
      <c r="E78" s="249">
        <v>0</v>
      </c>
      <c r="F78" s="249">
        <v>39.439034843526571</v>
      </c>
      <c r="G78" s="249">
        <v>70.11</v>
      </c>
      <c r="H78" s="249">
        <v>40.75</v>
      </c>
      <c r="I78" s="249">
        <v>9.73</v>
      </c>
      <c r="J78" s="4">
        <v>0</v>
      </c>
      <c r="K78" s="4">
        <v>124.34670818997111</v>
      </c>
      <c r="L78" s="4">
        <v>230.02</v>
      </c>
      <c r="M78" s="4">
        <v>122.32</v>
      </c>
      <c r="N78" s="4">
        <v>29.44</v>
      </c>
      <c r="O78" s="253">
        <v>0</v>
      </c>
      <c r="P78" s="253">
        <f t="shared" si="11"/>
        <v>3.1528841586340466</v>
      </c>
      <c r="Q78" s="253">
        <f t="shared" si="14"/>
        <v>3.2808443873912423</v>
      </c>
      <c r="R78" s="253">
        <f t="shared" si="12"/>
        <v>3.0017177914110427</v>
      </c>
      <c r="S78" s="253">
        <f>N78/I78</f>
        <v>3.025693730729702</v>
      </c>
    </row>
    <row r="79" spans="1:19" x14ac:dyDescent="0.25">
      <c r="A79" s="4">
        <v>359</v>
      </c>
      <c r="B79" s="5">
        <v>10</v>
      </c>
      <c r="C79" s="6" t="s">
        <v>0</v>
      </c>
      <c r="D79" s="282" t="str">
        <f>VLOOKUP(A79,abm2_mode!$A$2:$C$139,3,FALSE)</f>
        <v xml:space="preserve">Local Bus                                                                  </v>
      </c>
      <c r="E79" s="249">
        <v>4.8863262161083805</v>
      </c>
      <c r="F79" s="249">
        <v>24.287915603597536</v>
      </c>
      <c r="G79" s="249">
        <v>69.329268292682713</v>
      </c>
      <c r="H79" s="249">
        <v>25.670731707317291</v>
      </c>
      <c r="I79" s="249">
        <v>9.25</v>
      </c>
      <c r="J79" s="4">
        <v>21.636365053974018</v>
      </c>
      <c r="K79" s="4">
        <v>85.647238484993807</v>
      </c>
      <c r="L79" s="4">
        <v>230.10487804877982</v>
      </c>
      <c r="M79" s="4">
        <v>81.455121951220164</v>
      </c>
      <c r="N79" s="4">
        <v>26.1</v>
      </c>
      <c r="O79" s="253">
        <f>J79/E79</f>
        <v>4.427941176470588</v>
      </c>
      <c r="P79" s="253">
        <f t="shared" si="11"/>
        <v>3.5263313609467462</v>
      </c>
      <c r="Q79" s="253">
        <f t="shared" si="14"/>
        <v>3.3190149516270897</v>
      </c>
      <c r="R79" s="253">
        <f t="shared" si="12"/>
        <v>3.173073634204274</v>
      </c>
      <c r="S79" s="253">
        <f>N79/I79</f>
        <v>2.8216216216216217</v>
      </c>
    </row>
    <row r="80" spans="1:19" x14ac:dyDescent="0.25">
      <c r="A80" s="4">
        <v>371</v>
      </c>
      <c r="B80" s="5">
        <v>10</v>
      </c>
      <c r="C80" s="6" t="s">
        <v>0</v>
      </c>
      <c r="D80" s="282" t="str">
        <f>VLOOKUP(A80,abm2_mode!$A$2:$C$139,3,FALSE)</f>
        <v xml:space="preserve">Local Bus                                                                  </v>
      </c>
      <c r="E80" s="249">
        <v>6.8378378378378359</v>
      </c>
      <c r="F80" s="249">
        <v>18.138906348208671</v>
      </c>
      <c r="G80" s="249">
        <v>3.023255813953496</v>
      </c>
      <c r="H80" s="249">
        <v>0</v>
      </c>
      <c r="I80" s="249">
        <v>0</v>
      </c>
      <c r="J80" s="4">
        <v>43.198648648648643</v>
      </c>
      <c r="K80" s="4">
        <v>82.343909490886219</v>
      </c>
      <c r="L80" s="4">
        <v>7.9874418604651369</v>
      </c>
      <c r="M80" s="4">
        <v>0</v>
      </c>
      <c r="N80" s="4">
        <v>0</v>
      </c>
      <c r="O80" s="253">
        <f>J80/E80</f>
        <v>6.3175889328063253</v>
      </c>
      <c r="P80" s="253">
        <f t="shared" si="11"/>
        <v>4.5396292317821132</v>
      </c>
      <c r="Q80" s="253">
        <f t="shared" si="14"/>
        <v>2.6420000000000003</v>
      </c>
      <c r="R80" s="253">
        <v>0</v>
      </c>
      <c r="S80" s="253">
        <v>0</v>
      </c>
    </row>
    <row r="81" spans="1:19" x14ac:dyDescent="0.25">
      <c r="A81" s="4">
        <v>388</v>
      </c>
      <c r="B81" s="5">
        <v>10</v>
      </c>
      <c r="C81" s="6" t="s">
        <v>0</v>
      </c>
      <c r="D81" s="282" t="str">
        <f>VLOOKUP(A81,abm2_mode!$A$2:$C$139,3,FALSE)</f>
        <v xml:space="preserve">Local Bus                                                                  </v>
      </c>
      <c r="E81" s="249">
        <v>17.255813953488378</v>
      </c>
      <c r="F81" s="249">
        <v>82.514186046511625</v>
      </c>
      <c r="G81" s="249">
        <v>301.47212258064474</v>
      </c>
      <c r="H81" s="249">
        <v>179.64787741935532</v>
      </c>
      <c r="I81" s="249">
        <v>88.53</v>
      </c>
      <c r="J81" s="4">
        <v>201.77581395348844</v>
      </c>
      <c r="K81" s="4">
        <v>1008.8641860465116</v>
      </c>
      <c r="L81" s="4">
        <v>3068.4282967741883</v>
      </c>
      <c r="M81" s="4">
        <v>1955.1317032258116</v>
      </c>
      <c r="N81" s="4">
        <v>1062.03</v>
      </c>
      <c r="O81" s="253">
        <f>J81/E81</f>
        <v>11.693207547169811</v>
      </c>
      <c r="P81" s="253">
        <f t="shared" ref="P81:P109" si="16">K81/F81</f>
        <v>12.226554419113274</v>
      </c>
      <c r="Q81" s="253">
        <f t="shared" si="14"/>
        <v>10.178149377488044</v>
      </c>
      <c r="R81" s="253">
        <f>M81/H81</f>
        <v>10.883132777917059</v>
      </c>
      <c r="S81" s="253">
        <f>N81/I81</f>
        <v>11.996272450016942</v>
      </c>
    </row>
    <row r="82" spans="1:19" x14ac:dyDescent="0.25">
      <c r="A82" s="4">
        <v>389</v>
      </c>
      <c r="B82" s="5">
        <v>10</v>
      </c>
      <c r="C82" s="6" t="s">
        <v>0</v>
      </c>
      <c r="D82" s="282" t="str">
        <f>VLOOKUP(A82,abm2_mode!$A$2:$C$139,3,FALSE)</f>
        <v xml:space="preserve">Local Bus                                                                  </v>
      </c>
      <c r="E82" s="249">
        <v>0</v>
      </c>
      <c r="F82" s="249">
        <v>24.72169607733499</v>
      </c>
      <c r="G82" s="249">
        <v>83.342604980838146</v>
      </c>
      <c r="H82" s="249">
        <v>34.38009039003002</v>
      </c>
      <c r="I82" s="249">
        <v>23.720673389105144</v>
      </c>
      <c r="J82" s="4">
        <v>0</v>
      </c>
      <c r="K82" s="4">
        <v>431.68394739359553</v>
      </c>
      <c r="L82" s="4">
        <v>1352.266677535385</v>
      </c>
      <c r="M82" s="4">
        <v>631.22656090772966</v>
      </c>
      <c r="N82" s="4">
        <v>362.02927923315337</v>
      </c>
      <c r="O82" s="253">
        <v>0</v>
      </c>
      <c r="P82" s="253">
        <f t="shared" si="16"/>
        <v>17.461744778480881</v>
      </c>
      <c r="Q82" s="253">
        <f t="shared" si="14"/>
        <v>16.225394896719315</v>
      </c>
      <c r="R82" s="253">
        <f>M82/H82</f>
        <v>18.360235640648021</v>
      </c>
      <c r="S82" s="253">
        <f>N82/I82</f>
        <v>15.262183888903957</v>
      </c>
    </row>
    <row r="83" spans="1:19" x14ac:dyDescent="0.25">
      <c r="A83" s="4">
        <v>392</v>
      </c>
      <c r="B83" s="5">
        <v>10</v>
      </c>
      <c r="C83" s="6" t="s">
        <v>0</v>
      </c>
      <c r="D83" s="282" t="str">
        <f>VLOOKUP(A83,abm2_mode!$A$2:$C$139,3,FALSE)</f>
        <v xml:space="preserve">Local Bus                                                                  </v>
      </c>
      <c r="E83" s="249">
        <v>2.699999999999998</v>
      </c>
      <c r="F83" s="249">
        <v>38.32</v>
      </c>
      <c r="G83" s="249">
        <v>58.449999999999847</v>
      </c>
      <c r="H83" s="249">
        <v>22.810000000000151</v>
      </c>
      <c r="I83" s="249">
        <v>0</v>
      </c>
      <c r="J83" s="4">
        <v>2.2439999999999958</v>
      </c>
      <c r="K83" s="4">
        <v>55.95600000000001</v>
      </c>
      <c r="L83" s="4">
        <v>77.06210526315769</v>
      </c>
      <c r="M83" s="4">
        <v>31.527894736842299</v>
      </c>
      <c r="N83" s="4">
        <v>0</v>
      </c>
      <c r="O83" s="253">
        <f>J83/E83</f>
        <v>0.83111111111111013</v>
      </c>
      <c r="P83" s="253">
        <f t="shared" si="16"/>
        <v>1.460229645093946</v>
      </c>
      <c r="Q83" s="253">
        <f t="shared" si="14"/>
        <v>1.3184278060420511</v>
      </c>
      <c r="R83" s="253">
        <f t="shared" ref="R83:R114" si="17">M83/H83</f>
        <v>1.3821961743464308</v>
      </c>
      <c r="S83" s="253">
        <v>0</v>
      </c>
    </row>
    <row r="84" spans="1:19" x14ac:dyDescent="0.25">
      <c r="A84" s="4">
        <v>395</v>
      </c>
      <c r="B84" s="5">
        <v>10</v>
      </c>
      <c r="C84" s="6" t="s">
        <v>0</v>
      </c>
      <c r="D84" s="282" t="str">
        <f>VLOOKUP(A84,abm2_mode!$A$2:$C$139,3,FALSE)</f>
        <v xml:space="preserve">Local Bus                                                                  </v>
      </c>
      <c r="E84" s="249">
        <v>0</v>
      </c>
      <c r="F84" s="249">
        <v>23.456103896103897</v>
      </c>
      <c r="G84" s="249">
        <v>69.818571428571346</v>
      </c>
      <c r="H84" s="249">
        <v>49.915973009061013</v>
      </c>
      <c r="I84" s="249">
        <v>42.437183209357279</v>
      </c>
      <c r="J84" s="4">
        <v>0</v>
      </c>
      <c r="K84" s="4">
        <v>335.1222077922078</v>
      </c>
      <c r="L84" s="4">
        <v>895.06766233766132</v>
      </c>
      <c r="M84" s="4">
        <v>433.91661481685537</v>
      </c>
      <c r="N84" s="4">
        <v>405.52034572328239</v>
      </c>
      <c r="O84" s="253">
        <v>0</v>
      </c>
      <c r="P84" s="253">
        <f t="shared" si="16"/>
        <v>14.287206830110955</v>
      </c>
      <c r="Q84" s="253">
        <f t="shared" si="14"/>
        <v>12.819907999025304</v>
      </c>
      <c r="R84" s="253">
        <f t="shared" si="17"/>
        <v>8.692941130048462</v>
      </c>
      <c r="S84" s="253">
        <f>N84/I84</f>
        <v>9.5557790375178886</v>
      </c>
    </row>
    <row r="85" spans="1:19" x14ac:dyDescent="0.25">
      <c r="A85" s="4">
        <v>444</v>
      </c>
      <c r="B85" s="5">
        <v>10</v>
      </c>
      <c r="C85" s="6" t="s">
        <v>0</v>
      </c>
      <c r="D85" s="282" t="str">
        <f>VLOOKUP(A85,abm2_mode!$A$2:$C$139,3,FALSE)</f>
        <v xml:space="preserve">Local Bus                                                                  </v>
      </c>
      <c r="E85" s="249">
        <v>0</v>
      </c>
      <c r="F85" s="249">
        <v>26.399999999999981</v>
      </c>
      <c r="G85" s="249">
        <v>2.0000000000000195</v>
      </c>
      <c r="H85" s="249">
        <v>22.2</v>
      </c>
      <c r="I85" s="249">
        <v>0</v>
      </c>
      <c r="J85" s="4">
        <v>0</v>
      </c>
      <c r="K85" s="4">
        <v>98.670769230769167</v>
      </c>
      <c r="L85" s="4">
        <v>8.2192307692308493</v>
      </c>
      <c r="M85" s="4">
        <v>80.11</v>
      </c>
      <c r="N85" s="4">
        <v>0</v>
      </c>
      <c r="O85" s="253">
        <v>0</v>
      </c>
      <c r="P85" s="253">
        <f t="shared" si="16"/>
        <v>3.7375291375291377</v>
      </c>
      <c r="Q85" s="253">
        <f t="shared" si="14"/>
        <v>4.1096153846153847</v>
      </c>
      <c r="R85" s="253">
        <f t="shared" si="17"/>
        <v>3.6085585585585584</v>
      </c>
      <c r="S85" s="253">
        <v>0</v>
      </c>
    </row>
    <row r="86" spans="1:19" x14ac:dyDescent="0.25">
      <c r="A86" s="4">
        <v>445</v>
      </c>
      <c r="B86" s="5">
        <v>10</v>
      </c>
      <c r="C86" s="6" t="s">
        <v>0</v>
      </c>
      <c r="D86" s="282" t="str">
        <f>VLOOKUP(A86,abm2_mode!$A$2:$C$139,3,FALSE)</f>
        <v xml:space="preserve">Local Bus                                                                  </v>
      </c>
      <c r="E86" s="249">
        <v>0</v>
      </c>
      <c r="F86" s="249">
        <v>60.320000000000007</v>
      </c>
      <c r="G86" s="249">
        <v>1.3999999999999955</v>
      </c>
      <c r="H86" s="249">
        <v>45.73</v>
      </c>
      <c r="I86" s="249">
        <v>0</v>
      </c>
      <c r="J86" s="4">
        <v>0</v>
      </c>
      <c r="K86" s="4">
        <v>235.96080000000001</v>
      </c>
      <c r="L86" s="4">
        <v>4.9391999999999836</v>
      </c>
      <c r="M86" s="4">
        <v>175.10999999999999</v>
      </c>
      <c r="N86" s="4">
        <v>0</v>
      </c>
      <c r="O86" s="253">
        <v>0</v>
      </c>
      <c r="P86" s="253">
        <f t="shared" si="16"/>
        <v>3.9118169761273207</v>
      </c>
      <c r="Q86" s="253">
        <f t="shared" si="14"/>
        <v>3.5279999999999996</v>
      </c>
      <c r="R86" s="253">
        <f t="shared" si="17"/>
        <v>3.829214957358408</v>
      </c>
      <c r="S86" s="253">
        <v>0</v>
      </c>
    </row>
    <row r="87" spans="1:19" x14ac:dyDescent="0.25">
      <c r="A87" s="4">
        <v>446</v>
      </c>
      <c r="B87" s="5">
        <v>10</v>
      </c>
      <c r="C87" s="6" t="s">
        <v>0</v>
      </c>
      <c r="D87" s="282" t="str">
        <f>VLOOKUP(A87,abm2_mode!$A$2:$C$139,3,FALSE)</f>
        <v xml:space="preserve">Local Bus                                                                  </v>
      </c>
      <c r="E87" s="249">
        <v>0</v>
      </c>
      <c r="F87" s="249">
        <v>4</v>
      </c>
      <c r="G87" s="249">
        <v>0</v>
      </c>
      <c r="H87" s="249">
        <v>7.5</v>
      </c>
      <c r="I87" s="249">
        <v>0</v>
      </c>
      <c r="J87" s="4">
        <v>0</v>
      </c>
      <c r="K87" s="4">
        <v>12.17</v>
      </c>
      <c r="L87" s="4">
        <v>0</v>
      </c>
      <c r="M87" s="4">
        <v>21.68</v>
      </c>
      <c r="N87" s="4">
        <v>0</v>
      </c>
      <c r="O87" s="253">
        <v>0</v>
      </c>
      <c r="P87" s="253">
        <f t="shared" si="16"/>
        <v>3.0425</v>
      </c>
      <c r="Q87" s="253">
        <v>0</v>
      </c>
      <c r="R87" s="253">
        <f t="shared" si="17"/>
        <v>2.8906666666666667</v>
      </c>
      <c r="S87" s="253">
        <v>0</v>
      </c>
    </row>
    <row r="88" spans="1:19" x14ac:dyDescent="0.25">
      <c r="A88" s="4">
        <v>701</v>
      </c>
      <c r="B88" s="5">
        <v>10</v>
      </c>
      <c r="C88" s="6" t="s">
        <v>0</v>
      </c>
      <c r="D88" s="282" t="str">
        <f>VLOOKUP(A88,abm2_mode!$A$2:$C$139,3,FALSE)</f>
        <v xml:space="preserve">Local Bus                                                                  </v>
      </c>
      <c r="E88" s="249">
        <v>21.859999999999978</v>
      </c>
      <c r="F88" s="249">
        <v>449.1447270615563</v>
      </c>
      <c r="G88" s="249">
        <v>1055.8490837206834</v>
      </c>
      <c r="H88" s="249">
        <v>412.02540490403544</v>
      </c>
      <c r="I88" s="249">
        <v>83.360784313725162</v>
      </c>
      <c r="J88" s="4">
        <v>63.724285714285649</v>
      </c>
      <c r="K88" s="4">
        <v>1224.2195818815328</v>
      </c>
      <c r="L88" s="4">
        <v>2541.1266662308158</v>
      </c>
      <c r="M88" s="4">
        <v>1119.6712308792489</v>
      </c>
      <c r="N88" s="4">
        <v>244.77823529411685</v>
      </c>
      <c r="O88" s="253">
        <f>J88/E88</f>
        <v>2.9151091360606456</v>
      </c>
      <c r="P88" s="253">
        <f t="shared" si="16"/>
        <v>2.7256683828634833</v>
      </c>
      <c r="Q88" s="253">
        <f t="shared" ref="Q88:Q134" si="18">L88/G88</f>
        <v>2.4067139001306845</v>
      </c>
      <c r="R88" s="253">
        <f t="shared" si="17"/>
        <v>2.7174810522667427</v>
      </c>
      <c r="S88" s="253">
        <f t="shared" ref="S88:S95" si="19">N88/I88</f>
        <v>2.9363715481958903</v>
      </c>
    </row>
    <row r="89" spans="1:19" x14ac:dyDescent="0.25">
      <c r="A89" s="4">
        <v>704</v>
      </c>
      <c r="B89" s="5">
        <v>10</v>
      </c>
      <c r="C89" s="6" t="s">
        <v>0</v>
      </c>
      <c r="D89" s="282" t="str">
        <f>VLOOKUP(A89,abm2_mode!$A$2:$C$139,3,FALSE)</f>
        <v xml:space="preserve">Local Bus                                                                  </v>
      </c>
      <c r="E89" s="249">
        <v>44.65588235294117</v>
      </c>
      <c r="F89" s="249">
        <v>374.45788453089801</v>
      </c>
      <c r="G89" s="249">
        <v>842.98771663264301</v>
      </c>
      <c r="H89" s="249">
        <v>393.1169093406611</v>
      </c>
      <c r="I89" s="249">
        <v>100.72160714285677</v>
      </c>
      <c r="J89" s="4">
        <v>138.30529411764704</v>
      </c>
      <c r="K89" s="4">
        <v>1340.8274009403538</v>
      </c>
      <c r="L89" s="4">
        <v>3164.1946936782579</v>
      </c>
      <c r="M89" s="4">
        <v>1498.6844961843774</v>
      </c>
      <c r="N89" s="4">
        <v>439.17811507936341</v>
      </c>
      <c r="O89" s="253">
        <f>J89/E89</f>
        <v>3.0971349535664889</v>
      </c>
      <c r="P89" s="253">
        <f t="shared" si="16"/>
        <v>3.5807161668396295</v>
      </c>
      <c r="Q89" s="253">
        <f t="shared" si="18"/>
        <v>3.7535478053200979</v>
      </c>
      <c r="R89" s="253">
        <f t="shared" si="17"/>
        <v>3.8123124713663001</v>
      </c>
      <c r="S89" s="253">
        <f t="shared" si="19"/>
        <v>4.3603167933615543</v>
      </c>
    </row>
    <row r="90" spans="1:19" x14ac:dyDescent="0.25">
      <c r="A90" s="4">
        <v>705</v>
      </c>
      <c r="B90" s="5">
        <v>10</v>
      </c>
      <c r="C90" s="6" t="s">
        <v>0</v>
      </c>
      <c r="D90" s="282" t="str">
        <f>VLOOKUP(A90,abm2_mode!$A$2:$C$139,3,FALSE)</f>
        <v xml:space="preserve">Local Bus                                                                  </v>
      </c>
      <c r="E90" s="249">
        <v>0</v>
      </c>
      <c r="F90" s="249">
        <v>158.38</v>
      </c>
      <c r="G90" s="249">
        <v>488.71826923076839</v>
      </c>
      <c r="H90" s="249">
        <v>241.06173076923147</v>
      </c>
      <c r="I90" s="249">
        <v>42.54</v>
      </c>
      <c r="J90" s="4">
        <v>0</v>
      </c>
      <c r="K90" s="4">
        <v>614.70000000000005</v>
      </c>
      <c r="L90" s="4">
        <v>1657.6435897435863</v>
      </c>
      <c r="M90" s="4">
        <v>794.36641025641325</v>
      </c>
      <c r="N90" s="4">
        <v>103.35</v>
      </c>
      <c r="O90" s="253">
        <v>0</v>
      </c>
      <c r="P90" s="253">
        <f t="shared" si="16"/>
        <v>3.8811718651344869</v>
      </c>
      <c r="Q90" s="253">
        <f t="shared" si="18"/>
        <v>3.391818342196784</v>
      </c>
      <c r="R90" s="253">
        <f t="shared" si="17"/>
        <v>3.2952821160023142</v>
      </c>
      <c r="S90" s="253">
        <f t="shared" si="19"/>
        <v>2.4294781382228492</v>
      </c>
    </row>
    <row r="91" spans="1:19" x14ac:dyDescent="0.25">
      <c r="A91" s="4">
        <v>707</v>
      </c>
      <c r="B91" s="5">
        <v>10</v>
      </c>
      <c r="C91" s="6" t="s">
        <v>0</v>
      </c>
      <c r="D91" s="282" t="str">
        <f>VLOOKUP(A91,abm2_mode!$A$2:$C$139,3,FALSE)</f>
        <v xml:space="preserve">Local Bus                                                                  </v>
      </c>
      <c r="E91" s="249">
        <v>0</v>
      </c>
      <c r="F91" s="249">
        <v>7.16</v>
      </c>
      <c r="G91" s="249">
        <v>183.7</v>
      </c>
      <c r="H91" s="249">
        <v>49.55</v>
      </c>
      <c r="I91" s="249">
        <v>4.21</v>
      </c>
      <c r="J91" s="4">
        <v>0</v>
      </c>
      <c r="K91" s="4">
        <v>19.05</v>
      </c>
      <c r="L91" s="4">
        <v>595.61</v>
      </c>
      <c r="M91" s="4">
        <v>165.74</v>
      </c>
      <c r="N91" s="4">
        <v>11.96</v>
      </c>
      <c r="O91" s="253">
        <v>0</v>
      </c>
      <c r="P91" s="253">
        <f t="shared" si="16"/>
        <v>2.6606145251396649</v>
      </c>
      <c r="Q91" s="253">
        <f t="shared" si="18"/>
        <v>3.2422972237343499</v>
      </c>
      <c r="R91" s="253">
        <f t="shared" si="17"/>
        <v>3.3449041372351163</v>
      </c>
      <c r="S91" s="253">
        <f t="shared" si="19"/>
        <v>2.8408551068883612</v>
      </c>
    </row>
    <row r="92" spans="1:19" x14ac:dyDescent="0.25">
      <c r="A92" s="264">
        <v>709</v>
      </c>
      <c r="B92" s="1">
        <v>10</v>
      </c>
      <c r="C92" s="278" t="s">
        <v>0</v>
      </c>
      <c r="D92" s="284" t="str">
        <f>VLOOKUP(A92,abm2_mode!$A$2:$C$139,3,FALSE)</f>
        <v xml:space="preserve">Local Bus                                                                  </v>
      </c>
      <c r="E92" s="265">
        <f>(3373-466)/3373*E140</f>
        <v>43.507143228193165</v>
      </c>
      <c r="F92" s="265">
        <f t="shared" ref="F92:N92" si="20">(3373-466)/3373*F140</f>
        <v>759.30706513791836</v>
      </c>
      <c r="G92" s="265">
        <f t="shared" si="20"/>
        <v>1331.8942025669278</v>
      </c>
      <c r="H92" s="265">
        <f t="shared" si="20"/>
        <v>637.24181990495003</v>
      </c>
      <c r="I92" s="265">
        <f t="shared" si="20"/>
        <v>134.62923082624368</v>
      </c>
      <c r="J92" s="264">
        <f t="shared" si="20"/>
        <v>212.81785062968055</v>
      </c>
      <c r="K92" s="264">
        <f t="shared" si="20"/>
        <v>4147.377437157842</v>
      </c>
      <c r="L92" s="264">
        <f t="shared" si="20"/>
        <v>5298.1701291289874</v>
      </c>
      <c r="M92" s="264">
        <f t="shared" si="20"/>
        <v>3053.1335537881264</v>
      </c>
      <c r="N92" s="264">
        <f t="shared" si="20"/>
        <v>606.39541124084462</v>
      </c>
      <c r="O92" s="266">
        <f>J92/E92</f>
        <v>4.8915611285590446</v>
      </c>
      <c r="P92" s="266">
        <f t="shared" si="16"/>
        <v>5.4620556393802611</v>
      </c>
      <c r="Q92" s="266">
        <f t="shared" si="18"/>
        <v>3.9779211583907723</v>
      </c>
      <c r="R92" s="266">
        <f t="shared" si="17"/>
        <v>4.7911694719651745</v>
      </c>
      <c r="S92" s="266">
        <f t="shared" si="19"/>
        <v>4.5041883365097419</v>
      </c>
    </row>
    <row r="93" spans="1:19" x14ac:dyDescent="0.25">
      <c r="A93" s="4">
        <v>712</v>
      </c>
      <c r="B93" s="5">
        <v>10</v>
      </c>
      <c r="C93" s="6" t="s">
        <v>0</v>
      </c>
      <c r="D93" s="282" t="str">
        <f>VLOOKUP(A93,abm2_mode!$A$2:$C$139,3,FALSE)</f>
        <v xml:space="preserve">Local Bus                                                                  </v>
      </c>
      <c r="E93" s="249">
        <v>38.021538461538441</v>
      </c>
      <c r="F93" s="249">
        <v>478.08443956043953</v>
      </c>
      <c r="G93" s="249">
        <v>1183.410307692305</v>
      </c>
      <c r="H93" s="249">
        <v>531.58621428571746</v>
      </c>
      <c r="I93" s="249">
        <v>146.57749999999905</v>
      </c>
      <c r="J93" s="4">
        <v>121.86307692307685</v>
      </c>
      <c r="K93" s="4">
        <v>1875.0957488981608</v>
      </c>
      <c r="L93" s="4">
        <v>3892.4503170358985</v>
      </c>
      <c r="M93" s="4">
        <v>1843.2946071428682</v>
      </c>
      <c r="N93" s="4">
        <v>573.90624999999648</v>
      </c>
      <c r="O93" s="253">
        <f>J93/E93</f>
        <v>3.2051064174152302</v>
      </c>
      <c r="P93" s="253">
        <f t="shared" si="16"/>
        <v>3.9221016074527788</v>
      </c>
      <c r="Q93" s="253">
        <f t="shared" si="18"/>
        <v>3.2891806770099241</v>
      </c>
      <c r="R93" s="253">
        <f t="shared" si="17"/>
        <v>3.4675365116826233</v>
      </c>
      <c r="S93" s="253">
        <f t="shared" si="19"/>
        <v>3.9153775306578447</v>
      </c>
    </row>
    <row r="94" spans="1:19" x14ac:dyDescent="0.25">
      <c r="A94" s="4">
        <v>815</v>
      </c>
      <c r="B94" s="5">
        <v>10</v>
      </c>
      <c r="C94" s="6" t="s">
        <v>0</v>
      </c>
      <c r="D94" s="282" t="str">
        <f>VLOOKUP(A94,abm2_mode!$A$2:$C$139,3,FALSE)</f>
        <v xml:space="preserve">Local Bus                                                                  </v>
      </c>
      <c r="E94" s="249">
        <v>26.380999999999979</v>
      </c>
      <c r="F94" s="249">
        <v>155.13240659340664</v>
      </c>
      <c r="G94" s="249">
        <v>503.28890109890023</v>
      </c>
      <c r="H94" s="249">
        <v>198.557692307693</v>
      </c>
      <c r="I94" s="249">
        <v>64.84</v>
      </c>
      <c r="J94" s="4">
        <v>63.689599999999949</v>
      </c>
      <c r="K94" s="4">
        <v>316.00007032967045</v>
      </c>
      <c r="L94" s="4">
        <v>839.67967032966885</v>
      </c>
      <c r="M94" s="4">
        <v>378.06065934066066</v>
      </c>
      <c r="N94" s="4">
        <v>134.85</v>
      </c>
      <c r="O94" s="253">
        <f>J94/E94</f>
        <v>2.4142223569993555</v>
      </c>
      <c r="P94" s="253">
        <f t="shared" si="16"/>
        <v>2.036970077811588</v>
      </c>
      <c r="Q94" s="253">
        <f t="shared" si="18"/>
        <v>1.6683850339164645</v>
      </c>
      <c r="R94" s="253">
        <f t="shared" si="17"/>
        <v>1.9040343133863715</v>
      </c>
      <c r="S94" s="253">
        <f t="shared" si="19"/>
        <v>2.0797347316471311</v>
      </c>
    </row>
    <row r="95" spans="1:19" x14ac:dyDescent="0.25">
      <c r="A95" s="4">
        <v>816</v>
      </c>
      <c r="B95" s="5">
        <v>10</v>
      </c>
      <c r="C95" s="6" t="s">
        <v>0</v>
      </c>
      <c r="D95" s="282" t="str">
        <f>VLOOKUP(A95,abm2_mode!$A$2:$C$139,3,FALSE)</f>
        <v xml:space="preserve">Local Bus                                                                  </v>
      </c>
      <c r="E95" s="249">
        <v>33.353999999999999</v>
      </c>
      <c r="F95" s="249">
        <v>214.10672192513371</v>
      </c>
      <c r="G95" s="249">
        <v>614.47593582887646</v>
      </c>
      <c r="H95" s="249">
        <v>257.01690474599008</v>
      </c>
      <c r="I95" s="249">
        <v>11.506437499999743</v>
      </c>
      <c r="J95" s="4">
        <v>96.407312500000003</v>
      </c>
      <c r="K95" s="4">
        <v>694.05541477272732</v>
      </c>
      <c r="L95" s="4">
        <v>1891.3748663101587</v>
      </c>
      <c r="M95" s="4">
        <v>756.21959391711448</v>
      </c>
      <c r="N95" s="4">
        <v>36.172812499999289</v>
      </c>
      <c r="O95" s="253">
        <f>J95/E95</f>
        <v>2.890427310067758</v>
      </c>
      <c r="P95" s="253">
        <f t="shared" si="16"/>
        <v>3.2416329974703753</v>
      </c>
      <c r="Q95" s="253">
        <f t="shared" si="18"/>
        <v>3.0780291888222648</v>
      </c>
      <c r="R95" s="253">
        <f t="shared" si="17"/>
        <v>2.9422951562835395</v>
      </c>
      <c r="S95" s="253">
        <f t="shared" si="19"/>
        <v>3.1437021667218978</v>
      </c>
    </row>
    <row r="96" spans="1:19" x14ac:dyDescent="0.25">
      <c r="A96" s="4">
        <v>832</v>
      </c>
      <c r="B96" s="5">
        <v>10</v>
      </c>
      <c r="C96" s="6" t="s">
        <v>0</v>
      </c>
      <c r="D96" s="282" t="str">
        <f>VLOOKUP(A96,abm2_mode!$A$2:$C$139,3,FALSE)</f>
        <v xml:space="preserve">Local Bus                                                                  </v>
      </c>
      <c r="E96" s="249">
        <v>0</v>
      </c>
      <c r="F96" s="249">
        <v>65.459999999999994</v>
      </c>
      <c r="G96" s="249">
        <v>90.21</v>
      </c>
      <c r="H96" s="249">
        <v>38.81</v>
      </c>
      <c r="I96" s="249">
        <v>0</v>
      </c>
      <c r="J96" s="4">
        <v>0</v>
      </c>
      <c r="K96" s="4">
        <v>226.39999999999998</v>
      </c>
      <c r="L96" s="4">
        <v>308.71999999999997</v>
      </c>
      <c r="M96" s="4">
        <v>146.18</v>
      </c>
      <c r="N96" s="4">
        <v>0</v>
      </c>
      <c r="O96" s="253">
        <v>0</v>
      </c>
      <c r="P96" s="253">
        <f t="shared" si="16"/>
        <v>3.4586006721662081</v>
      </c>
      <c r="Q96" s="253">
        <f t="shared" si="18"/>
        <v>3.4222370025496063</v>
      </c>
      <c r="R96" s="253">
        <f t="shared" si="17"/>
        <v>3.7665550115949498</v>
      </c>
      <c r="S96" s="253">
        <v>0</v>
      </c>
    </row>
    <row r="97" spans="1:19" x14ac:dyDescent="0.25">
      <c r="A97" s="4">
        <v>833</v>
      </c>
      <c r="B97" s="5">
        <v>10</v>
      </c>
      <c r="C97" s="6" t="s">
        <v>0</v>
      </c>
      <c r="D97" s="282" t="str">
        <f>VLOOKUP(A97,abm2_mode!$A$2:$C$139,3,FALSE)</f>
        <v xml:space="preserve">Local Bus                                                                  </v>
      </c>
      <c r="E97" s="249">
        <v>13.333333333333311</v>
      </c>
      <c r="F97" s="249">
        <v>113.9569892473118</v>
      </c>
      <c r="G97" s="249">
        <v>258.86432637571119</v>
      </c>
      <c r="H97" s="249">
        <v>129.84535104364372</v>
      </c>
      <c r="I97" s="249">
        <v>0</v>
      </c>
      <c r="J97" s="4">
        <v>39.177777777777706</v>
      </c>
      <c r="K97" s="4">
        <v>393.10200716845867</v>
      </c>
      <c r="L97" s="4">
        <v>772.47798545224464</v>
      </c>
      <c r="M97" s="4">
        <v>378.29222960151913</v>
      </c>
      <c r="N97" s="4">
        <v>0</v>
      </c>
      <c r="O97" s="253">
        <f>J97/E97</f>
        <v>2.938333333333333</v>
      </c>
      <c r="P97" s="253">
        <f t="shared" si="16"/>
        <v>3.449564697741712</v>
      </c>
      <c r="Q97" s="253">
        <f t="shared" si="18"/>
        <v>2.9841036664553133</v>
      </c>
      <c r="R97" s="253">
        <f t="shared" si="17"/>
        <v>2.9134060369582833</v>
      </c>
      <c r="S97" s="253">
        <v>0</v>
      </c>
    </row>
    <row r="98" spans="1:19" x14ac:dyDescent="0.25">
      <c r="A98" s="4">
        <v>834</v>
      </c>
      <c r="B98" s="5">
        <v>10</v>
      </c>
      <c r="C98" s="6" t="s">
        <v>0</v>
      </c>
      <c r="D98" s="282" t="str">
        <f>VLOOKUP(A98,abm2_mode!$A$2:$C$139,3,FALSE)</f>
        <v xml:space="preserve">Local Bus                                                                  </v>
      </c>
      <c r="E98" s="249">
        <v>0</v>
      </c>
      <c r="F98" s="249">
        <v>37.33</v>
      </c>
      <c r="G98" s="249">
        <v>52.446461538461392</v>
      </c>
      <c r="H98" s="249">
        <v>1.527866722028648E-13</v>
      </c>
      <c r="I98" s="249">
        <v>0</v>
      </c>
      <c r="J98" s="4">
        <v>0</v>
      </c>
      <c r="K98" s="4">
        <v>155.78</v>
      </c>
      <c r="L98" s="4">
        <v>283.52646153846058</v>
      </c>
      <c r="M98" s="4">
        <v>9.1496588083828088E-13</v>
      </c>
      <c r="N98" s="4">
        <v>0</v>
      </c>
      <c r="O98" s="253">
        <v>0</v>
      </c>
      <c r="P98" s="253">
        <f t="shared" si="16"/>
        <v>4.1730511652826143</v>
      </c>
      <c r="Q98" s="253">
        <f t="shared" si="18"/>
        <v>5.4060169784864831</v>
      </c>
      <c r="R98" s="253">
        <f t="shared" si="17"/>
        <v>5.9885189437428235</v>
      </c>
      <c r="S98" s="253">
        <v>0</v>
      </c>
    </row>
    <row r="99" spans="1:19" x14ac:dyDescent="0.25">
      <c r="A99" s="4">
        <v>848</v>
      </c>
      <c r="B99" s="5">
        <v>10</v>
      </c>
      <c r="C99" s="6" t="s">
        <v>0</v>
      </c>
      <c r="D99" s="282" t="str">
        <f>VLOOKUP(A99,abm2_mode!$A$2:$C$139,3,FALSE)</f>
        <v xml:space="preserve">Local Bus                                                                  </v>
      </c>
      <c r="E99" s="249">
        <v>55.052166666666658</v>
      </c>
      <c r="F99" s="249">
        <v>256.97401754385965</v>
      </c>
      <c r="G99" s="249">
        <v>596.3902965587032</v>
      </c>
      <c r="H99" s="249">
        <v>316.06718589743753</v>
      </c>
      <c r="I99" s="249">
        <v>100.29633333333294</v>
      </c>
      <c r="J99" s="4">
        <v>218.76283333333328</v>
      </c>
      <c r="K99" s="4">
        <v>1089.9286140350875</v>
      </c>
      <c r="L99" s="4">
        <v>2238.4058026315747</v>
      </c>
      <c r="M99" s="4">
        <v>1245.6104166666732</v>
      </c>
      <c r="N99" s="4">
        <v>426.73233333333161</v>
      </c>
      <c r="O99" s="253">
        <f t="shared" ref="O99:O105" si="21">J99/E99</f>
        <v>3.9737370312400659</v>
      </c>
      <c r="P99" s="253">
        <f t="shared" si="16"/>
        <v>4.2413961709146779</v>
      </c>
      <c r="Q99" s="253">
        <f t="shared" si="18"/>
        <v>3.7532565763521717</v>
      </c>
      <c r="R99" s="253">
        <f t="shared" si="17"/>
        <v>3.940967212809205</v>
      </c>
      <c r="S99" s="253">
        <f>N99/I99</f>
        <v>4.2547151939751862</v>
      </c>
    </row>
    <row r="100" spans="1:19" x14ac:dyDescent="0.25">
      <c r="A100" s="4">
        <v>851</v>
      </c>
      <c r="B100" s="5">
        <v>10</v>
      </c>
      <c r="C100" s="6" t="s">
        <v>0</v>
      </c>
      <c r="D100" s="282" t="str">
        <f>VLOOKUP(A100,abm2_mode!$A$2:$C$139,3,FALSE)</f>
        <v xml:space="preserve">Local Bus                                                                  </v>
      </c>
      <c r="E100" s="249">
        <v>22.000000000000011</v>
      </c>
      <c r="F100" s="249">
        <v>98.222222222222229</v>
      </c>
      <c r="G100" s="249">
        <v>111.77777777777776</v>
      </c>
      <c r="H100" s="249">
        <v>98</v>
      </c>
      <c r="I100" s="249">
        <v>0</v>
      </c>
      <c r="J100" s="4">
        <v>61.336666666666702</v>
      </c>
      <c r="K100" s="4">
        <v>369.13481481481489</v>
      </c>
      <c r="L100" s="4">
        <v>393.08851851851847</v>
      </c>
      <c r="M100" s="4">
        <v>317.89</v>
      </c>
      <c r="N100" s="4">
        <v>0</v>
      </c>
      <c r="O100" s="253">
        <f t="shared" si="21"/>
        <v>2.7880303030303031</v>
      </c>
      <c r="P100" s="253">
        <f t="shared" si="16"/>
        <v>3.7581598793363504</v>
      </c>
      <c r="Q100" s="253">
        <f t="shared" si="18"/>
        <v>3.5166964877402256</v>
      </c>
      <c r="R100" s="253">
        <f t="shared" si="17"/>
        <v>3.2437755102040815</v>
      </c>
      <c r="S100" s="253">
        <v>0</v>
      </c>
    </row>
    <row r="101" spans="1:19" x14ac:dyDescent="0.25">
      <c r="A101" s="4">
        <v>854</v>
      </c>
      <c r="B101" s="5">
        <v>10</v>
      </c>
      <c r="C101" s="6" t="s">
        <v>0</v>
      </c>
      <c r="D101" s="282" t="str">
        <f>VLOOKUP(A101,abm2_mode!$A$2:$C$139,3,FALSE)</f>
        <v xml:space="preserve">Local Bus                                                                  </v>
      </c>
      <c r="E101" s="249">
        <v>6.56</v>
      </c>
      <c r="F101" s="249">
        <v>142.67499999999998</v>
      </c>
      <c r="G101" s="249">
        <v>507.91318181818156</v>
      </c>
      <c r="H101" s="249">
        <v>178.51931818181865</v>
      </c>
      <c r="I101" s="249">
        <v>48.592499999999788</v>
      </c>
      <c r="J101" s="4">
        <v>19.5</v>
      </c>
      <c r="K101" s="4">
        <v>420.08590909090913</v>
      </c>
      <c r="L101" s="4">
        <v>1531.4995454545449</v>
      </c>
      <c r="M101" s="4">
        <v>541.19412878788035</v>
      </c>
      <c r="N101" s="4">
        <v>164.38041666666584</v>
      </c>
      <c r="O101" s="253">
        <f t="shared" si="21"/>
        <v>2.9725609756097562</v>
      </c>
      <c r="P101" s="253">
        <f t="shared" si="16"/>
        <v>2.9443554167927752</v>
      </c>
      <c r="Q101" s="253">
        <f t="shared" si="18"/>
        <v>3.0152782016253679</v>
      </c>
      <c r="R101" s="253">
        <f t="shared" si="17"/>
        <v>3.0315717889796332</v>
      </c>
      <c r="S101" s="253">
        <f t="shared" ref="S101:S109" si="22">N101/I101</f>
        <v>3.3828351425974494</v>
      </c>
    </row>
    <row r="102" spans="1:19" x14ac:dyDescent="0.25">
      <c r="A102" s="4">
        <v>855</v>
      </c>
      <c r="B102" s="5">
        <v>10</v>
      </c>
      <c r="C102" s="6" t="s">
        <v>0</v>
      </c>
      <c r="D102" s="282" t="str">
        <f>VLOOKUP(A102,abm2_mode!$A$2:$C$139,3,FALSE)</f>
        <v xml:space="preserve">Local Bus                                                                  </v>
      </c>
      <c r="E102" s="249">
        <v>18.71</v>
      </c>
      <c r="F102" s="249">
        <v>219.78</v>
      </c>
      <c r="G102" s="249">
        <v>441.30999999999995</v>
      </c>
      <c r="H102" s="249">
        <v>209.48999999999995</v>
      </c>
      <c r="I102" s="249">
        <v>85.95</v>
      </c>
      <c r="J102" s="4">
        <v>41.269999999999996</v>
      </c>
      <c r="K102" s="4">
        <v>492.42</v>
      </c>
      <c r="L102" s="4">
        <v>1046.8399999999999</v>
      </c>
      <c r="M102" s="4">
        <v>485.72</v>
      </c>
      <c r="N102" s="4">
        <v>218.04999999999998</v>
      </c>
      <c r="O102" s="253">
        <f t="shared" si="21"/>
        <v>2.2057723142704435</v>
      </c>
      <c r="P102" s="253">
        <f t="shared" si="16"/>
        <v>2.2405132405132404</v>
      </c>
      <c r="Q102" s="253">
        <f t="shared" si="18"/>
        <v>2.3721193718701139</v>
      </c>
      <c r="R102" s="253">
        <f t="shared" si="17"/>
        <v>2.3185832259296393</v>
      </c>
      <c r="S102" s="253">
        <f t="shared" si="22"/>
        <v>2.5369400814426988</v>
      </c>
    </row>
    <row r="103" spans="1:19" x14ac:dyDescent="0.25">
      <c r="A103" s="4">
        <v>856</v>
      </c>
      <c r="B103" s="5">
        <v>10</v>
      </c>
      <c r="C103" s="6" t="s">
        <v>0</v>
      </c>
      <c r="D103" s="282" t="str">
        <f>VLOOKUP(A103,abm2_mode!$A$2:$C$139,3,FALSE)</f>
        <v xml:space="preserve">Local Bus                                                                  </v>
      </c>
      <c r="E103" s="249">
        <v>78.586660965013536</v>
      </c>
      <c r="F103" s="249">
        <v>469.68094596332122</v>
      </c>
      <c r="G103" s="249">
        <v>1070.126568937671</v>
      </c>
      <c r="H103" s="249">
        <v>600.29093310617952</v>
      </c>
      <c r="I103" s="249">
        <v>189.92489102781479</v>
      </c>
      <c r="J103" s="4">
        <v>314.21281067013666</v>
      </c>
      <c r="K103" s="4">
        <v>1800.6497816299875</v>
      </c>
      <c r="L103" s="4">
        <v>4042.0669737447911</v>
      </c>
      <c r="M103" s="4">
        <v>2157.6570611882412</v>
      </c>
      <c r="N103" s="4">
        <v>784.43337276684497</v>
      </c>
      <c r="O103" s="253">
        <f t="shared" si="21"/>
        <v>3.9982969986474286</v>
      </c>
      <c r="P103" s="253">
        <f t="shared" si="16"/>
        <v>3.8337722598834265</v>
      </c>
      <c r="Q103" s="253">
        <f t="shared" si="18"/>
        <v>3.7771858872333253</v>
      </c>
      <c r="R103" s="253">
        <f t="shared" si="17"/>
        <v>3.5943522418763481</v>
      </c>
      <c r="S103" s="253">
        <f t="shared" si="22"/>
        <v>4.1302294213345814</v>
      </c>
    </row>
    <row r="104" spans="1:19" x14ac:dyDescent="0.25">
      <c r="A104" s="4">
        <v>864</v>
      </c>
      <c r="B104" s="5">
        <v>10</v>
      </c>
      <c r="C104" s="6" t="s">
        <v>0</v>
      </c>
      <c r="D104" s="282" t="str">
        <f>VLOOKUP(A104,abm2_mode!$A$2:$C$139,3,FALSE)</f>
        <v xml:space="preserve">Local Bus                                                                  </v>
      </c>
      <c r="E104" s="249">
        <v>37.354210526315804</v>
      </c>
      <c r="F104" s="249">
        <v>270.41131328320802</v>
      </c>
      <c r="G104" s="249">
        <v>602.30841418614943</v>
      </c>
      <c r="H104" s="249">
        <v>301.31342556066511</v>
      </c>
      <c r="I104" s="249">
        <v>155.9126364436616</v>
      </c>
      <c r="J104" s="4">
        <v>368.40473684210536</v>
      </c>
      <c r="K104" s="4">
        <v>1915.2748822055137</v>
      </c>
      <c r="L104" s="4">
        <v>3295.9530910152048</v>
      </c>
      <c r="M104" s="4">
        <v>1829.2904237399969</v>
      </c>
      <c r="N104" s="4">
        <v>1248.8368661971797</v>
      </c>
      <c r="O104" s="253">
        <f t="shared" si="21"/>
        <v>9.8624688261733322</v>
      </c>
      <c r="P104" s="253">
        <f t="shared" si="16"/>
        <v>7.0828208293178996</v>
      </c>
      <c r="Q104" s="253">
        <f t="shared" si="18"/>
        <v>5.4722016385388859</v>
      </c>
      <c r="R104" s="253">
        <f t="shared" si="17"/>
        <v>6.0710551490899158</v>
      </c>
      <c r="S104" s="253">
        <f t="shared" si="22"/>
        <v>8.0098502256322366</v>
      </c>
    </row>
    <row r="105" spans="1:19" x14ac:dyDescent="0.25">
      <c r="A105" s="4">
        <v>871</v>
      </c>
      <c r="B105" s="5">
        <v>10</v>
      </c>
      <c r="C105" s="6" t="s">
        <v>0</v>
      </c>
      <c r="D105" s="282" t="str">
        <f>VLOOKUP(A105,abm2_mode!$A$2:$C$139,3,FALSE)</f>
        <v xml:space="preserve">Local Bus                                                                  </v>
      </c>
      <c r="E105" s="249">
        <v>4.43</v>
      </c>
      <c r="F105" s="249">
        <v>36.39</v>
      </c>
      <c r="G105" s="249">
        <v>103.89666666666645</v>
      </c>
      <c r="H105" s="249">
        <v>47.923333333333574</v>
      </c>
      <c r="I105" s="249">
        <v>20.88</v>
      </c>
      <c r="J105" s="4">
        <v>8.1300000000000008</v>
      </c>
      <c r="K105" s="4">
        <v>91.07</v>
      </c>
      <c r="L105" s="4">
        <v>266.01999999999947</v>
      </c>
      <c r="M105" s="4">
        <v>135.58000000000055</v>
      </c>
      <c r="N105" s="4">
        <v>71.410000000000011</v>
      </c>
      <c r="O105" s="253">
        <f t="shared" si="21"/>
        <v>1.8352144469525962</v>
      </c>
      <c r="P105" s="253">
        <f t="shared" si="16"/>
        <v>2.5026106073097001</v>
      </c>
      <c r="Q105" s="253">
        <f t="shared" si="18"/>
        <v>2.5604286310115825</v>
      </c>
      <c r="R105" s="253">
        <f t="shared" si="17"/>
        <v>2.8291020379773224</v>
      </c>
      <c r="S105" s="253">
        <f t="shared" si="22"/>
        <v>3.4200191570881233</v>
      </c>
    </row>
    <row r="106" spans="1:19" x14ac:dyDescent="0.25">
      <c r="A106" s="4">
        <v>872</v>
      </c>
      <c r="B106" s="5">
        <v>10</v>
      </c>
      <c r="C106" s="6" t="s">
        <v>0</v>
      </c>
      <c r="D106" s="282" t="str">
        <f>VLOOKUP(A106,abm2_mode!$A$2:$C$139,3,FALSE)</f>
        <v xml:space="preserve">Local Bus                                                                  </v>
      </c>
      <c r="E106" s="249">
        <v>0</v>
      </c>
      <c r="F106" s="249">
        <v>24.593333333333344</v>
      </c>
      <c r="G106" s="249">
        <v>86.776666666666642</v>
      </c>
      <c r="H106" s="249">
        <v>36.819130434782743</v>
      </c>
      <c r="I106" s="249">
        <v>30.360869565217257</v>
      </c>
      <c r="J106" s="4">
        <v>0</v>
      </c>
      <c r="K106" s="4">
        <v>55.643333333333359</v>
      </c>
      <c r="L106" s="4">
        <v>209.52666666666664</v>
      </c>
      <c r="M106" s="4">
        <v>92.751739130435155</v>
      </c>
      <c r="N106" s="4">
        <v>80.998260869564859</v>
      </c>
      <c r="O106" s="253">
        <v>0</v>
      </c>
      <c r="P106" s="253">
        <f t="shared" si="16"/>
        <v>2.2625372729737054</v>
      </c>
      <c r="Q106" s="253">
        <f t="shared" si="18"/>
        <v>2.4145507624937581</v>
      </c>
      <c r="R106" s="253">
        <f t="shared" si="17"/>
        <v>2.5191181332955468</v>
      </c>
      <c r="S106" s="253">
        <f t="shared" si="22"/>
        <v>2.6678504940569954</v>
      </c>
    </row>
    <row r="107" spans="1:19" x14ac:dyDescent="0.25">
      <c r="A107" s="4">
        <v>874</v>
      </c>
      <c r="B107" s="5">
        <v>10</v>
      </c>
      <c r="C107" s="6" t="s">
        <v>0</v>
      </c>
      <c r="D107" s="282" t="str">
        <f>VLOOKUP(A107,abm2_mode!$A$2:$C$139,3,FALSE)</f>
        <v xml:space="preserve">Local Bus                                                                  </v>
      </c>
      <c r="E107" s="249">
        <v>18.759999999999987</v>
      </c>
      <c r="F107" s="249">
        <v>151.7521568627451</v>
      </c>
      <c r="G107" s="249">
        <v>410.91747276688409</v>
      </c>
      <c r="H107" s="249">
        <v>172.99037037037101</v>
      </c>
      <c r="I107" s="249">
        <v>55.879999999999825</v>
      </c>
      <c r="J107" s="4">
        <v>42.915454545454509</v>
      </c>
      <c r="K107" s="4">
        <v>422.35101604278083</v>
      </c>
      <c r="L107" s="4">
        <v>1366.0763071895408</v>
      </c>
      <c r="M107" s="4">
        <v>630.32222222222435</v>
      </c>
      <c r="N107" s="4">
        <v>193.8749999999994</v>
      </c>
      <c r="O107" s="253">
        <f>J107/E107</f>
        <v>2.287604186857918</v>
      </c>
      <c r="P107" s="253">
        <f t="shared" si="16"/>
        <v>2.7831631838009634</v>
      </c>
      <c r="Q107" s="253">
        <f t="shared" si="18"/>
        <v>3.3244541732215995</v>
      </c>
      <c r="R107" s="253">
        <f t="shared" si="17"/>
        <v>3.6436838702218481</v>
      </c>
      <c r="S107" s="253">
        <f t="shared" si="22"/>
        <v>3.4694881889763782</v>
      </c>
    </row>
    <row r="108" spans="1:19" x14ac:dyDescent="0.25">
      <c r="A108" s="4">
        <v>875</v>
      </c>
      <c r="B108" s="5">
        <v>10</v>
      </c>
      <c r="C108" s="6" t="s">
        <v>0</v>
      </c>
      <c r="D108" s="282" t="str">
        <f>VLOOKUP(A108,abm2_mode!$A$2:$C$139,3,FALSE)</f>
        <v xml:space="preserve">Local Bus                                                                  </v>
      </c>
      <c r="E108" s="249">
        <v>0</v>
      </c>
      <c r="F108" s="249">
        <v>102.71529411764709</v>
      </c>
      <c r="G108" s="249">
        <v>351.18891640866832</v>
      </c>
      <c r="H108" s="249">
        <v>182.86507518797075</v>
      </c>
      <c r="I108" s="249">
        <v>59.850714285713877</v>
      </c>
      <c r="J108" s="4">
        <v>0</v>
      </c>
      <c r="K108" s="4">
        <v>349.75294117647076</v>
      </c>
      <c r="L108" s="4">
        <v>1130.2081114551072</v>
      </c>
      <c r="M108" s="4">
        <v>525.81894736842321</v>
      </c>
      <c r="N108" s="4">
        <v>204.22999999999877</v>
      </c>
      <c r="O108" s="253">
        <v>0</v>
      </c>
      <c r="P108" s="253">
        <f t="shared" si="16"/>
        <v>3.4050717001878414</v>
      </c>
      <c r="Q108" s="253">
        <f t="shared" si="18"/>
        <v>3.2182340006992618</v>
      </c>
      <c r="R108" s="253">
        <f t="shared" si="17"/>
        <v>2.875447631691963</v>
      </c>
      <c r="S108" s="253">
        <f t="shared" si="22"/>
        <v>3.4123235192323786</v>
      </c>
    </row>
    <row r="109" spans="1:19" x14ac:dyDescent="0.25">
      <c r="A109" s="4">
        <v>901</v>
      </c>
      <c r="B109" s="5">
        <v>10</v>
      </c>
      <c r="C109" s="6" t="s">
        <v>0</v>
      </c>
      <c r="D109" s="282" t="str">
        <f>VLOOKUP(A109,abm2_mode!$A$2:$C$139,3,FALSE)</f>
        <v xml:space="preserve">Local Bus                                                                  </v>
      </c>
      <c r="E109" s="249">
        <v>99.785850389496474</v>
      </c>
      <c r="F109" s="249">
        <v>525.87021172230482</v>
      </c>
      <c r="G109" s="249">
        <v>1049.3432319485669</v>
      </c>
      <c r="H109" s="249">
        <v>606.47688347586416</v>
      </c>
      <c r="I109" s="249">
        <v>290.04382246376764</v>
      </c>
      <c r="J109" s="4">
        <v>928.20513250726651</v>
      </c>
      <c r="K109" s="4">
        <v>3461.2013022753417</v>
      </c>
      <c r="L109" s="4">
        <v>6382.5411942339333</v>
      </c>
      <c r="M109" s="4">
        <v>3887.4129869254898</v>
      </c>
      <c r="N109" s="4">
        <v>2578.0793840579677</v>
      </c>
      <c r="O109" s="253">
        <f>J109/E109</f>
        <v>9.3019714607249568</v>
      </c>
      <c r="P109" s="253">
        <f t="shared" si="16"/>
        <v>6.5818546575197363</v>
      </c>
      <c r="Q109" s="253">
        <f t="shared" si="18"/>
        <v>6.0824151716135253</v>
      </c>
      <c r="R109" s="253">
        <f t="shared" si="17"/>
        <v>6.4098287879429066</v>
      </c>
      <c r="S109" s="253">
        <f t="shared" si="22"/>
        <v>8.8885857390740401</v>
      </c>
    </row>
    <row r="110" spans="1:19" x14ac:dyDescent="0.25">
      <c r="A110" s="4">
        <v>904</v>
      </c>
      <c r="B110" s="5">
        <v>10</v>
      </c>
      <c r="C110" s="6" t="s">
        <v>0</v>
      </c>
      <c r="D110" s="282" t="str">
        <f>VLOOKUP(A110,abm2_mode!$A$2:$C$139,3,FALSE)</f>
        <v xml:space="preserve">Local Bus                                                                  </v>
      </c>
      <c r="E110" s="249">
        <v>0</v>
      </c>
      <c r="F110" s="249">
        <v>0</v>
      </c>
      <c r="G110" s="249">
        <v>79.946232727272587</v>
      </c>
      <c r="H110" s="249">
        <v>55.272727272727401</v>
      </c>
      <c r="I110" s="249">
        <v>0</v>
      </c>
      <c r="J110" s="4">
        <v>0</v>
      </c>
      <c r="K110" s="4">
        <v>0</v>
      </c>
      <c r="L110" s="4">
        <v>80.105507878787762</v>
      </c>
      <c r="M110" s="4">
        <v>62.954545454545567</v>
      </c>
      <c r="N110" s="4">
        <v>0</v>
      </c>
      <c r="O110" s="253">
        <v>0</v>
      </c>
      <c r="P110" s="253">
        <v>0</v>
      </c>
      <c r="Q110" s="253">
        <f t="shared" si="18"/>
        <v>1.0019922783861315</v>
      </c>
      <c r="R110" s="253">
        <f t="shared" si="17"/>
        <v>1.138980263157894</v>
      </c>
      <c r="S110" s="253">
        <v>0</v>
      </c>
    </row>
    <row r="111" spans="1:19" x14ac:dyDescent="0.25">
      <c r="A111" s="4">
        <v>905</v>
      </c>
      <c r="B111" s="5">
        <v>10</v>
      </c>
      <c r="C111" s="6" t="s">
        <v>0</v>
      </c>
      <c r="D111" s="282" t="str">
        <f>VLOOKUP(A111,abm2_mode!$A$2:$C$139,3,FALSE)</f>
        <v xml:space="preserve">Local Bus                                                                  </v>
      </c>
      <c r="E111" s="249">
        <v>173.12633333333332</v>
      </c>
      <c r="F111" s="249">
        <v>450.97249783549779</v>
      </c>
      <c r="G111" s="249">
        <v>614.98390635129624</v>
      </c>
      <c r="H111" s="249">
        <v>475.55000322061409</v>
      </c>
      <c r="I111" s="249">
        <v>102.32725925925853</v>
      </c>
      <c r="J111" s="4">
        <v>1310.7626666666667</v>
      </c>
      <c r="K111" s="4">
        <v>2709.1666839826839</v>
      </c>
      <c r="L111" s="4">
        <v>4274.8394094150535</v>
      </c>
      <c r="M111" s="4">
        <v>3315.5390177133804</v>
      </c>
      <c r="N111" s="4">
        <v>824.18222222221652</v>
      </c>
      <c r="O111" s="253">
        <f t="shared" ref="O111:O133" si="23">J111/E111</f>
        <v>7.5711339888597742</v>
      </c>
      <c r="P111" s="253">
        <f t="shared" ref="P111:P133" si="24">K111/F111</f>
        <v>6.0073878052113781</v>
      </c>
      <c r="Q111" s="253">
        <f t="shared" si="18"/>
        <v>6.9511402904471193</v>
      </c>
      <c r="R111" s="253">
        <f t="shared" si="17"/>
        <v>6.9720092424755107</v>
      </c>
      <c r="S111" s="253">
        <f t="shared" ref="S111:S133" si="25">N111/I111</f>
        <v>8.0543760107367959</v>
      </c>
    </row>
    <row r="112" spans="1:19" x14ac:dyDescent="0.25">
      <c r="A112" s="4">
        <v>906</v>
      </c>
      <c r="B112" s="5">
        <v>10</v>
      </c>
      <c r="C112" s="6" t="s">
        <v>0</v>
      </c>
      <c r="D112" s="282" t="str">
        <f>VLOOKUP(A112,abm2_mode!$A$2:$C$139,3,FALSE)</f>
        <v xml:space="preserve">Local Bus                                                                  </v>
      </c>
      <c r="E112" s="249">
        <v>168.63</v>
      </c>
      <c r="F112" s="249">
        <v>423.12902173913045</v>
      </c>
      <c r="G112" s="249">
        <v>1314.4265726664626</v>
      </c>
      <c r="H112" s="249">
        <v>651.85450789619756</v>
      </c>
      <c r="I112" s="249">
        <v>219.04451634227703</v>
      </c>
      <c r="J112" s="4">
        <v>486.48642857142858</v>
      </c>
      <c r="K112" s="4">
        <v>861.97204968944118</v>
      </c>
      <c r="L112" s="4">
        <v>2099.6393539069604</v>
      </c>
      <c r="M112" s="4">
        <v>1003.5960041493058</v>
      </c>
      <c r="N112" s="4">
        <v>448.60333741167722</v>
      </c>
      <c r="O112" s="253">
        <f t="shared" si="23"/>
        <v>2.8849340483391366</v>
      </c>
      <c r="P112" s="253">
        <f t="shared" si="24"/>
        <v>2.0371376232870841</v>
      </c>
      <c r="Q112" s="253">
        <f t="shared" si="18"/>
        <v>1.5973804832989682</v>
      </c>
      <c r="R112" s="253">
        <f t="shared" si="17"/>
        <v>1.5396012330854667</v>
      </c>
      <c r="S112" s="253">
        <f t="shared" si="25"/>
        <v>2.0480007667057669</v>
      </c>
    </row>
    <row r="113" spans="1:19" x14ac:dyDescent="0.25">
      <c r="A113" s="4">
        <v>907</v>
      </c>
      <c r="B113" s="5">
        <v>10</v>
      </c>
      <c r="C113" s="6" t="s">
        <v>0</v>
      </c>
      <c r="D113" s="282" t="str">
        <f>VLOOKUP(A113,abm2_mode!$A$2:$C$139,3,FALSE)</f>
        <v xml:space="preserve">Local Bus                                                                  </v>
      </c>
      <c r="E113" s="249">
        <v>155.72363636363639</v>
      </c>
      <c r="F113" s="249">
        <v>620.44617647058817</v>
      </c>
      <c r="G113" s="249">
        <v>1763.0498235294101</v>
      </c>
      <c r="H113" s="249">
        <v>771.40346428571684</v>
      </c>
      <c r="I113" s="249">
        <v>255.67056460488567</v>
      </c>
      <c r="J113" s="4">
        <v>287.8986363636364</v>
      </c>
      <c r="K113" s="4">
        <v>751.9560049019608</v>
      </c>
      <c r="L113" s="4">
        <v>2405.17532843137</v>
      </c>
      <c r="M113" s="4">
        <v>1147.8239345238137</v>
      </c>
      <c r="N113" s="4">
        <v>442.65173984701585</v>
      </c>
      <c r="O113" s="253">
        <f t="shared" si="23"/>
        <v>1.8487793059966373</v>
      </c>
      <c r="P113" s="253">
        <f t="shared" si="24"/>
        <v>1.2119600916544722</v>
      </c>
      <c r="Q113" s="253">
        <f t="shared" si="18"/>
        <v>1.3642129089786601</v>
      </c>
      <c r="R113" s="253">
        <f t="shared" si="17"/>
        <v>1.4879683429820274</v>
      </c>
      <c r="S113" s="253">
        <f t="shared" si="25"/>
        <v>1.731336341088352</v>
      </c>
    </row>
    <row r="114" spans="1:19" x14ac:dyDescent="0.25">
      <c r="A114" s="4">
        <v>916</v>
      </c>
      <c r="B114" s="5">
        <v>10</v>
      </c>
      <c r="C114" s="6" t="s">
        <v>0</v>
      </c>
      <c r="D114" s="282" t="str">
        <f>VLOOKUP(A114,abm2_mode!$A$2:$C$139,3,FALSE)</f>
        <v xml:space="preserve">Local Bus                                                                  </v>
      </c>
      <c r="E114" s="249">
        <v>6.58</v>
      </c>
      <c r="F114" s="249">
        <v>55.04804347826088</v>
      </c>
      <c r="G114" s="249">
        <v>137.40034480012696</v>
      </c>
      <c r="H114" s="249">
        <v>93.060842490843015</v>
      </c>
      <c r="I114" s="249">
        <v>26.620769230769138</v>
      </c>
      <c r="J114" s="4">
        <v>9.43</v>
      </c>
      <c r="K114" s="4">
        <v>168.24173913043481</v>
      </c>
      <c r="L114" s="4">
        <v>429.23730848861135</v>
      </c>
      <c r="M114" s="4">
        <v>276.97402930403103</v>
      </c>
      <c r="N114" s="4">
        <v>84.056923076922786</v>
      </c>
      <c r="O114" s="253">
        <f t="shared" si="23"/>
        <v>1.4331306990881458</v>
      </c>
      <c r="P114" s="253">
        <f t="shared" si="24"/>
        <v>3.0562710043795733</v>
      </c>
      <c r="Q114" s="253">
        <f t="shared" si="18"/>
        <v>3.1239900388387869</v>
      </c>
      <c r="R114" s="253">
        <f t="shared" si="17"/>
        <v>2.9762682336696518</v>
      </c>
      <c r="S114" s="253">
        <f t="shared" si="25"/>
        <v>3.1575692778917559</v>
      </c>
    </row>
    <row r="115" spans="1:19" x14ac:dyDescent="0.25">
      <c r="A115" s="4">
        <v>917</v>
      </c>
      <c r="B115" s="5">
        <v>10</v>
      </c>
      <c r="C115" s="6" t="s">
        <v>0</v>
      </c>
      <c r="D115" s="282" t="str">
        <f>VLOOKUP(A115,abm2_mode!$A$2:$C$139,3,FALSE)</f>
        <v xml:space="preserve">Local Bus                                                                  </v>
      </c>
      <c r="E115" s="249">
        <v>6.27</v>
      </c>
      <c r="F115" s="249">
        <v>66.995999999999995</v>
      </c>
      <c r="G115" s="249">
        <v>134.64494339622624</v>
      </c>
      <c r="H115" s="249">
        <v>92.740943396226726</v>
      </c>
      <c r="I115" s="249">
        <v>43.178113207547028</v>
      </c>
      <c r="J115" s="4">
        <v>11.68</v>
      </c>
      <c r="K115" s="4">
        <v>194.11199999999999</v>
      </c>
      <c r="L115" s="4">
        <v>432.01762264150886</v>
      </c>
      <c r="M115" s="4">
        <v>314.84679245283121</v>
      </c>
      <c r="N115" s="4">
        <v>170.50358490565992</v>
      </c>
      <c r="O115" s="253">
        <f t="shared" si="23"/>
        <v>1.8628389154704945</v>
      </c>
      <c r="P115" s="253">
        <f t="shared" si="24"/>
        <v>2.8973670069854918</v>
      </c>
      <c r="Q115" s="253">
        <f t="shared" si="18"/>
        <v>3.2085692321187995</v>
      </c>
      <c r="R115" s="253">
        <f t="shared" ref="R115:R138" si="26">M115/H115</f>
        <v>3.3949060784046448</v>
      </c>
      <c r="S115" s="253">
        <f t="shared" si="25"/>
        <v>3.9488428798657624</v>
      </c>
    </row>
    <row r="116" spans="1:19" x14ac:dyDescent="0.25">
      <c r="A116" s="4">
        <v>921</v>
      </c>
      <c r="B116" s="5">
        <v>10</v>
      </c>
      <c r="C116" s="6" t="s">
        <v>0</v>
      </c>
      <c r="D116" s="282" t="str">
        <f>VLOOKUP(A116,abm2_mode!$A$2:$C$139,3,FALSE)</f>
        <v xml:space="preserve">Local Bus                                                                  </v>
      </c>
      <c r="E116" s="249">
        <v>0.83333333333333282</v>
      </c>
      <c r="F116" s="249">
        <v>187.67607500378682</v>
      </c>
      <c r="G116" s="249">
        <v>456.95215255868828</v>
      </c>
      <c r="H116" s="249">
        <v>267.74602734567441</v>
      </c>
      <c r="I116" s="249">
        <v>23.957652916073624</v>
      </c>
      <c r="J116" s="4">
        <v>1.4499999999999991</v>
      </c>
      <c r="K116" s="4">
        <v>662.70530165066612</v>
      </c>
      <c r="L116" s="4">
        <v>1587.6966016606657</v>
      </c>
      <c r="M116" s="4">
        <v>931.88877564991174</v>
      </c>
      <c r="N116" s="4">
        <v>89.507724039828091</v>
      </c>
      <c r="O116" s="253">
        <f t="shared" si="23"/>
        <v>1.74</v>
      </c>
      <c r="P116" s="253">
        <f t="shared" si="24"/>
        <v>3.5311123255177539</v>
      </c>
      <c r="Q116" s="253">
        <f t="shared" si="18"/>
        <v>3.4745357752894077</v>
      </c>
      <c r="R116" s="253">
        <f t="shared" si="26"/>
        <v>3.4804952472620392</v>
      </c>
      <c r="S116" s="253">
        <f t="shared" si="25"/>
        <v>3.7360806734025158</v>
      </c>
    </row>
    <row r="117" spans="1:19" x14ac:dyDescent="0.25">
      <c r="A117" s="4">
        <v>923</v>
      </c>
      <c r="B117" s="5">
        <v>10</v>
      </c>
      <c r="C117" s="6" t="s">
        <v>0</v>
      </c>
      <c r="D117" s="282" t="str">
        <f>VLOOKUP(A117,abm2_mode!$A$2:$C$139,3,FALSE)</f>
        <v xml:space="preserve">Local Bus                                                                  </v>
      </c>
      <c r="E117" s="249">
        <v>12.319215686274502</v>
      </c>
      <c r="F117" s="249">
        <v>222.39997755950412</v>
      </c>
      <c r="G117" s="249">
        <v>369.94497342088778</v>
      </c>
      <c r="H117" s="249">
        <v>246.35464540121572</v>
      </c>
      <c r="I117" s="249">
        <v>7.5711879321179572</v>
      </c>
      <c r="J117" s="4">
        <v>55.114673202614341</v>
      </c>
      <c r="K117" s="4">
        <v>1023.7602986547964</v>
      </c>
      <c r="L117" s="4">
        <v>1609.7466948092544</v>
      </c>
      <c r="M117" s="4">
        <v>1087.9541724282449</v>
      </c>
      <c r="N117" s="4">
        <v>37.924160905090098</v>
      </c>
      <c r="O117" s="253">
        <f t="shared" si="23"/>
        <v>4.4738784193883827</v>
      </c>
      <c r="P117" s="253">
        <f t="shared" si="24"/>
        <v>4.6032392174180172</v>
      </c>
      <c r="Q117" s="253">
        <f t="shared" si="18"/>
        <v>4.3513138722332085</v>
      </c>
      <c r="R117" s="253">
        <f t="shared" si="26"/>
        <v>4.4162113146126858</v>
      </c>
      <c r="S117" s="253">
        <f t="shared" si="25"/>
        <v>5.0090106394283129</v>
      </c>
    </row>
    <row r="118" spans="1:19" x14ac:dyDescent="0.25">
      <c r="A118" s="4">
        <v>928</v>
      </c>
      <c r="B118" s="5">
        <v>10</v>
      </c>
      <c r="C118" s="6" t="s">
        <v>0</v>
      </c>
      <c r="D118" s="282" t="str">
        <f>VLOOKUP(A118,abm2_mode!$A$2:$C$139,3,FALSE)</f>
        <v xml:space="preserve">Local Bus                                                                  </v>
      </c>
      <c r="E118" s="249">
        <v>17.921944444444435</v>
      </c>
      <c r="F118" s="249">
        <v>196.87694444444443</v>
      </c>
      <c r="G118" s="249">
        <v>484.06192506459877</v>
      </c>
      <c r="H118" s="249">
        <v>228.32953692370572</v>
      </c>
      <c r="I118" s="249">
        <v>47.289649122806665</v>
      </c>
      <c r="J118" s="4">
        <v>86.693055555555532</v>
      </c>
      <c r="K118" s="4">
        <v>850.70611111111111</v>
      </c>
      <c r="L118" s="4">
        <v>2137.8036240310043</v>
      </c>
      <c r="M118" s="4">
        <v>1047.3616829865416</v>
      </c>
      <c r="N118" s="4">
        <v>228.42552631578781</v>
      </c>
      <c r="O118" s="253">
        <f t="shared" si="23"/>
        <v>4.83725724205273</v>
      </c>
      <c r="P118" s="253">
        <f t="shared" si="24"/>
        <v>4.32100423699519</v>
      </c>
      <c r="Q118" s="253">
        <f t="shared" si="18"/>
        <v>4.416384584979931</v>
      </c>
      <c r="R118" s="253">
        <f t="shared" si="26"/>
        <v>4.5870617402272762</v>
      </c>
      <c r="S118" s="253">
        <f t="shared" si="25"/>
        <v>4.8303493587484381</v>
      </c>
    </row>
    <row r="119" spans="1:19" x14ac:dyDescent="0.25">
      <c r="A119" s="4">
        <v>929</v>
      </c>
      <c r="B119" s="5">
        <v>10</v>
      </c>
      <c r="C119" s="6" t="s">
        <v>0</v>
      </c>
      <c r="D119" s="282" t="str">
        <f>VLOOKUP(A119,abm2_mode!$A$2:$C$139,3,FALSE)</f>
        <v xml:space="preserve">Local Bus                                                                  </v>
      </c>
      <c r="E119" s="249">
        <v>164.04551319648093</v>
      </c>
      <c r="F119" s="249">
        <v>1147.0849658858401</v>
      </c>
      <c r="G119" s="249">
        <v>3683.521279112651</v>
      </c>
      <c r="H119" s="249">
        <v>1564.020455539164</v>
      </c>
      <c r="I119" s="249">
        <v>681.49679669646025</v>
      </c>
      <c r="J119" s="4">
        <v>719.4951116813296</v>
      </c>
      <c r="K119" s="4">
        <v>3786.0984409502494</v>
      </c>
      <c r="L119" s="4">
        <v>10663.480097781043</v>
      </c>
      <c r="M119" s="4">
        <v>5003.3880897754361</v>
      </c>
      <c r="N119" s="4">
        <v>3092.8307979237379</v>
      </c>
      <c r="O119" s="253">
        <f t="shared" si="23"/>
        <v>4.3859481290388871</v>
      </c>
      <c r="P119" s="253">
        <f t="shared" si="24"/>
        <v>3.3006259811158998</v>
      </c>
      <c r="Q119" s="253">
        <f t="shared" si="18"/>
        <v>2.8949147540556202</v>
      </c>
      <c r="R119" s="253">
        <f t="shared" si="26"/>
        <v>3.1990554036907533</v>
      </c>
      <c r="S119" s="253">
        <f t="shared" si="25"/>
        <v>4.5382910278025701</v>
      </c>
    </row>
    <row r="120" spans="1:19" x14ac:dyDescent="0.25">
      <c r="A120" s="4">
        <v>932</v>
      </c>
      <c r="B120" s="5">
        <v>10</v>
      </c>
      <c r="C120" s="6" t="s">
        <v>0</v>
      </c>
      <c r="D120" s="282" t="str">
        <f>VLOOKUP(A120,abm2_mode!$A$2:$C$139,3,FALSE)</f>
        <v xml:space="preserve">Local Bus                                                                  </v>
      </c>
      <c r="E120" s="249">
        <v>88.98310559006211</v>
      </c>
      <c r="F120" s="249">
        <v>567.56791968466337</v>
      </c>
      <c r="G120" s="249">
        <v>2110.1038462791566</v>
      </c>
      <c r="H120" s="249">
        <v>906.08935293747004</v>
      </c>
      <c r="I120" s="249">
        <v>248.59577550864785</v>
      </c>
      <c r="J120" s="4">
        <v>236.31586956521738</v>
      </c>
      <c r="K120" s="4">
        <v>1427.8454798853322</v>
      </c>
      <c r="L120" s="4">
        <v>5184.51686796799</v>
      </c>
      <c r="M120" s="4">
        <v>2192.4405202262747</v>
      </c>
      <c r="N120" s="4">
        <v>716.98126235518544</v>
      </c>
      <c r="O120" s="253">
        <f t="shared" si="23"/>
        <v>2.6557386146298971</v>
      </c>
      <c r="P120" s="253">
        <f t="shared" si="24"/>
        <v>2.5157261895257097</v>
      </c>
      <c r="Q120" s="253">
        <f t="shared" si="18"/>
        <v>2.4569960749136057</v>
      </c>
      <c r="R120" s="253">
        <f t="shared" si="26"/>
        <v>2.4196736371733714</v>
      </c>
      <c r="S120" s="253">
        <f t="shared" si="25"/>
        <v>2.8841248846171319</v>
      </c>
    </row>
    <row r="121" spans="1:19" x14ac:dyDescent="0.25">
      <c r="A121" s="4">
        <v>933</v>
      </c>
      <c r="B121" s="5">
        <v>10</v>
      </c>
      <c r="C121" s="6" t="s">
        <v>0</v>
      </c>
      <c r="D121" s="282" t="str">
        <f>VLOOKUP(A121,abm2_mode!$A$2:$C$139,3,FALSE)</f>
        <v xml:space="preserve">Local Bus                                                                  </v>
      </c>
      <c r="E121" s="249">
        <v>95.915060568086886</v>
      </c>
      <c r="F121" s="249">
        <v>505.09039397736768</v>
      </c>
      <c r="G121" s="249">
        <v>1322.5782440846808</v>
      </c>
      <c r="H121" s="249">
        <v>666.53959140796928</v>
      </c>
      <c r="I121" s="249">
        <v>247.64745679953197</v>
      </c>
      <c r="J121" s="4">
        <v>292.95622807017543</v>
      </c>
      <c r="K121" s="4">
        <v>1678.4134688995211</v>
      </c>
      <c r="L121" s="4">
        <v>4236.368933167284</v>
      </c>
      <c r="M121" s="4">
        <v>2112.2662966005714</v>
      </c>
      <c r="N121" s="4">
        <v>805.32706771748178</v>
      </c>
      <c r="O121" s="253">
        <f t="shared" si="23"/>
        <v>3.0543298032139137</v>
      </c>
      <c r="P121" s="253">
        <f t="shared" si="24"/>
        <v>3.3229962179299104</v>
      </c>
      <c r="Q121" s="253">
        <f t="shared" si="18"/>
        <v>3.2031140328481329</v>
      </c>
      <c r="R121" s="253">
        <f t="shared" si="26"/>
        <v>3.1690034978098027</v>
      </c>
      <c r="S121" s="253">
        <f t="shared" si="25"/>
        <v>3.2519092993124725</v>
      </c>
    </row>
    <row r="122" spans="1:19" x14ac:dyDescent="0.25">
      <c r="A122" s="4">
        <v>934</v>
      </c>
      <c r="B122" s="5">
        <v>10</v>
      </c>
      <c r="C122" s="6" t="s">
        <v>0</v>
      </c>
      <c r="D122" s="282" t="str">
        <f>VLOOKUP(A122,abm2_mode!$A$2:$C$139,3,FALSE)</f>
        <v xml:space="preserve">Local Bus                                                                  </v>
      </c>
      <c r="E122" s="249">
        <v>86.004999999999981</v>
      </c>
      <c r="F122" s="249">
        <v>608.27264448924734</v>
      </c>
      <c r="G122" s="249">
        <v>1168.9421947801575</v>
      </c>
      <c r="H122" s="249">
        <v>628.79799681982558</v>
      </c>
      <c r="I122" s="249">
        <v>227.97089896535286</v>
      </c>
      <c r="J122" s="4">
        <v>259.61142857142846</v>
      </c>
      <c r="K122" s="4">
        <v>1800.6908652335569</v>
      </c>
      <c r="L122" s="4">
        <v>3593.4308075648723</v>
      </c>
      <c r="M122" s="4">
        <v>2030.3110134315541</v>
      </c>
      <c r="N122" s="4">
        <v>810.72994515353446</v>
      </c>
      <c r="O122" s="253">
        <f t="shared" si="23"/>
        <v>3.018562043734998</v>
      </c>
      <c r="P122" s="253">
        <f t="shared" si="24"/>
        <v>2.9603351088483616</v>
      </c>
      <c r="Q122" s="253">
        <f t="shared" si="18"/>
        <v>3.0740876868087454</v>
      </c>
      <c r="R122" s="253">
        <f t="shared" si="26"/>
        <v>3.2288764018014438</v>
      </c>
      <c r="S122" s="253">
        <f t="shared" si="25"/>
        <v>3.5562870034422667</v>
      </c>
    </row>
    <row r="123" spans="1:19" x14ac:dyDescent="0.25">
      <c r="A123" s="4">
        <v>936</v>
      </c>
      <c r="B123" s="5">
        <v>10</v>
      </c>
      <c r="C123" s="6" t="s">
        <v>0</v>
      </c>
      <c r="D123" s="282" t="str">
        <f>VLOOKUP(A123,abm2_mode!$A$2:$C$139,3,FALSE)</f>
        <v xml:space="preserve">Local Bus                                                                  </v>
      </c>
      <c r="E123" s="249">
        <v>26.881273809523808</v>
      </c>
      <c r="F123" s="249">
        <v>303.77553369907696</v>
      </c>
      <c r="G123" s="249">
        <v>807.96805052156651</v>
      </c>
      <c r="H123" s="249">
        <v>419.91571044528558</v>
      </c>
      <c r="I123" s="249">
        <v>176.39943152454714</v>
      </c>
      <c r="J123" s="4">
        <v>78.647821428571433</v>
      </c>
      <c r="K123" s="4">
        <v>824.12818812418584</v>
      </c>
      <c r="L123" s="4">
        <v>1924.4891279805133</v>
      </c>
      <c r="M123" s="4">
        <v>1050.1205213814592</v>
      </c>
      <c r="N123" s="4">
        <v>518.90434108526949</v>
      </c>
      <c r="O123" s="253">
        <f t="shared" si="23"/>
        <v>2.9257475663488526</v>
      </c>
      <c r="P123" s="253">
        <f t="shared" si="24"/>
        <v>2.7129511652527465</v>
      </c>
      <c r="Q123" s="253">
        <f t="shared" si="18"/>
        <v>2.3818876584763475</v>
      </c>
      <c r="R123" s="253">
        <f t="shared" si="26"/>
        <v>2.5007888375214491</v>
      </c>
      <c r="S123" s="253">
        <f t="shared" si="25"/>
        <v>2.9416440665403196</v>
      </c>
    </row>
    <row r="124" spans="1:19" x14ac:dyDescent="0.25">
      <c r="A124" s="4">
        <v>944</v>
      </c>
      <c r="B124" s="5">
        <v>10</v>
      </c>
      <c r="C124" s="6" t="s">
        <v>0</v>
      </c>
      <c r="D124" s="282" t="str">
        <f>VLOOKUP(A124,abm2_mode!$A$2:$C$139,3,FALSE)</f>
        <v xml:space="preserve">Local Bus                                                                  </v>
      </c>
      <c r="E124" s="249">
        <v>3</v>
      </c>
      <c r="F124" s="249">
        <v>56</v>
      </c>
      <c r="G124" s="249">
        <v>88.374999999999801</v>
      </c>
      <c r="H124" s="249">
        <v>69.625000000000313</v>
      </c>
      <c r="I124" s="249">
        <v>1.9999999999999085</v>
      </c>
      <c r="J124" s="4">
        <v>11.74</v>
      </c>
      <c r="K124" s="4">
        <v>200.44</v>
      </c>
      <c r="L124" s="4">
        <v>304.77249999999924</v>
      </c>
      <c r="M124" s="4">
        <v>225.90750000000108</v>
      </c>
      <c r="N124" s="4">
        <v>4.9699999999996551</v>
      </c>
      <c r="O124" s="253">
        <f t="shared" si="23"/>
        <v>3.9133333333333336</v>
      </c>
      <c r="P124" s="253">
        <f t="shared" si="24"/>
        <v>3.5792857142857142</v>
      </c>
      <c r="Q124" s="253">
        <f t="shared" si="18"/>
        <v>3.4486280056577079</v>
      </c>
      <c r="R124" s="253">
        <f t="shared" si="26"/>
        <v>3.2446319569120297</v>
      </c>
      <c r="S124" s="253">
        <f t="shared" si="25"/>
        <v>2.4849999999999413</v>
      </c>
    </row>
    <row r="125" spans="1:19" x14ac:dyDescent="0.25">
      <c r="A125" s="4">
        <v>945</v>
      </c>
      <c r="B125" s="5">
        <v>10</v>
      </c>
      <c r="C125" s="6" t="s">
        <v>0</v>
      </c>
      <c r="D125" s="282" t="str">
        <f>VLOOKUP(A125,abm2_mode!$A$2:$C$139,3,FALSE)</f>
        <v xml:space="preserve">Local Bus                                                                  </v>
      </c>
      <c r="E125" s="249">
        <v>8.012987012987006</v>
      </c>
      <c r="F125" s="249">
        <v>191</v>
      </c>
      <c r="G125" s="249">
        <v>288</v>
      </c>
      <c r="H125" s="249">
        <v>157</v>
      </c>
      <c r="I125" s="249">
        <v>8.8291866028704611</v>
      </c>
      <c r="J125" s="4">
        <v>38.848961038961008</v>
      </c>
      <c r="K125" s="4">
        <v>747</v>
      </c>
      <c r="L125" s="4">
        <v>1224</v>
      </c>
      <c r="M125" s="4">
        <v>644</v>
      </c>
      <c r="N125" s="4">
        <v>38.36442583731943</v>
      </c>
      <c r="O125" s="253">
        <f t="shared" si="23"/>
        <v>4.8482495948136144</v>
      </c>
      <c r="P125" s="253">
        <f t="shared" si="24"/>
        <v>3.9109947643979059</v>
      </c>
      <c r="Q125" s="253">
        <f t="shared" si="18"/>
        <v>4.25</v>
      </c>
      <c r="R125" s="253">
        <f t="shared" si="26"/>
        <v>4.1019108280254777</v>
      </c>
      <c r="S125" s="253">
        <f t="shared" si="25"/>
        <v>4.3451823551726445</v>
      </c>
    </row>
    <row r="126" spans="1:19" x14ac:dyDescent="0.25">
      <c r="A126" s="4">
        <v>955</v>
      </c>
      <c r="B126" s="5">
        <v>10</v>
      </c>
      <c r="C126" s="6" t="s">
        <v>0</v>
      </c>
      <c r="D126" s="282" t="str">
        <f>VLOOKUP(A126,abm2_mode!$A$2:$C$139,3,FALSE)</f>
        <v xml:space="preserve">Local Bus                                                                  </v>
      </c>
      <c r="E126" s="249">
        <v>111.12909090909089</v>
      </c>
      <c r="F126" s="249">
        <v>873.86628534601232</v>
      </c>
      <c r="G126" s="249">
        <v>2168.5142789173078</v>
      </c>
      <c r="H126" s="249">
        <v>1116.5351071643104</v>
      </c>
      <c r="I126" s="249">
        <v>411.74523766327854</v>
      </c>
      <c r="J126" s="4">
        <v>298.7849318181818</v>
      </c>
      <c r="K126" s="4">
        <v>2228.9067707085756</v>
      </c>
      <c r="L126" s="4">
        <v>5175.7888147146141</v>
      </c>
      <c r="M126" s="4">
        <v>2814.3845371853381</v>
      </c>
      <c r="N126" s="4">
        <v>1096.37494557329</v>
      </c>
      <c r="O126" s="253">
        <f t="shared" si="23"/>
        <v>2.6886293172559355</v>
      </c>
      <c r="P126" s="253">
        <f t="shared" si="24"/>
        <v>2.5506268042209994</v>
      </c>
      <c r="Q126" s="253">
        <f t="shared" si="18"/>
        <v>2.3867902854201049</v>
      </c>
      <c r="R126" s="253">
        <f t="shared" si="26"/>
        <v>2.5206413297053367</v>
      </c>
      <c r="S126" s="253">
        <f t="shared" si="25"/>
        <v>2.6627507625720139</v>
      </c>
    </row>
    <row r="127" spans="1:19" x14ac:dyDescent="0.25">
      <c r="A127" s="4">
        <v>961</v>
      </c>
      <c r="B127" s="5">
        <v>10</v>
      </c>
      <c r="C127" s="6" t="s">
        <v>0</v>
      </c>
      <c r="D127" s="282" t="str">
        <f>VLOOKUP(A127,abm2_mode!$A$2:$C$139,3,FALSE)</f>
        <v xml:space="preserve">Local Bus                                                                  </v>
      </c>
      <c r="E127" s="249">
        <v>52.268960373907753</v>
      </c>
      <c r="F127" s="249">
        <v>383.2000790997763</v>
      </c>
      <c r="G127" s="249">
        <v>938.86492971398957</v>
      </c>
      <c r="H127" s="249">
        <v>513.1793783733026</v>
      </c>
      <c r="I127" s="249">
        <v>147.32665243902355</v>
      </c>
      <c r="J127" s="4">
        <v>161.214305832148</v>
      </c>
      <c r="K127" s="4">
        <v>1086.8412994310102</v>
      </c>
      <c r="L127" s="4">
        <v>2674.2340091159235</v>
      </c>
      <c r="M127" s="4">
        <v>1597.9488734257995</v>
      </c>
      <c r="N127" s="4">
        <v>538.94151219511923</v>
      </c>
      <c r="O127" s="253">
        <f t="shared" si="23"/>
        <v>3.0843220274307366</v>
      </c>
      <c r="P127" s="253">
        <f t="shared" si="24"/>
        <v>2.836224099912104</v>
      </c>
      <c r="Q127" s="253">
        <f t="shared" si="18"/>
        <v>2.8483692642887268</v>
      </c>
      <c r="R127" s="253">
        <f t="shared" si="26"/>
        <v>3.1138212889439254</v>
      </c>
      <c r="S127" s="253">
        <f t="shared" si="25"/>
        <v>3.658139944625292</v>
      </c>
    </row>
    <row r="128" spans="1:19" x14ac:dyDescent="0.25">
      <c r="A128" s="4">
        <v>962</v>
      </c>
      <c r="B128" s="5">
        <v>10</v>
      </c>
      <c r="C128" s="6" t="s">
        <v>0</v>
      </c>
      <c r="D128" s="282" t="str">
        <f>VLOOKUP(A128,abm2_mode!$A$2:$C$139,3,FALSE)</f>
        <v xml:space="preserve">Local Bus                                                                  </v>
      </c>
      <c r="E128" s="249">
        <v>30.108722689075631</v>
      </c>
      <c r="F128" s="249">
        <v>267.80416192630895</v>
      </c>
      <c r="G128" s="249">
        <v>693.72072165639111</v>
      </c>
      <c r="H128" s="249">
        <v>341.51137442320533</v>
      </c>
      <c r="I128" s="249">
        <v>98.475019305018918</v>
      </c>
      <c r="J128" s="4">
        <v>102.67834453781514</v>
      </c>
      <c r="K128" s="4">
        <v>883.86620674423602</v>
      </c>
      <c r="L128" s="4">
        <v>1995.7826089966909</v>
      </c>
      <c r="M128" s="4">
        <v>1081.3973262077459</v>
      </c>
      <c r="N128" s="4">
        <v>363.035513513512</v>
      </c>
      <c r="O128" s="253">
        <f t="shared" si="23"/>
        <v>3.4102524241279086</v>
      </c>
      <c r="P128" s="253">
        <f t="shared" si="24"/>
        <v>3.3004199799831619</v>
      </c>
      <c r="Q128" s="253">
        <f t="shared" si="18"/>
        <v>2.8769251756403897</v>
      </c>
      <c r="R128" s="253">
        <f t="shared" si="26"/>
        <v>3.1665045652847401</v>
      </c>
      <c r="S128" s="253">
        <f t="shared" si="25"/>
        <v>3.6865746874244012</v>
      </c>
    </row>
    <row r="129" spans="1:19" x14ac:dyDescent="0.25">
      <c r="A129" s="4">
        <v>963</v>
      </c>
      <c r="B129" s="5">
        <v>10</v>
      </c>
      <c r="C129" s="6" t="s">
        <v>0</v>
      </c>
      <c r="D129" s="282" t="str">
        <f>VLOOKUP(A129,abm2_mode!$A$2:$C$139,3,FALSE)</f>
        <v xml:space="preserve">Local Bus                                                                  </v>
      </c>
      <c r="E129" s="249">
        <v>7.9706578947368349</v>
      </c>
      <c r="F129" s="249">
        <v>115.06780364372472</v>
      </c>
      <c r="G129" s="249">
        <v>381.50015915119309</v>
      </c>
      <c r="H129" s="249">
        <v>195.11637931034571</v>
      </c>
      <c r="I129" s="249">
        <v>54.73499999999968</v>
      </c>
      <c r="J129" s="4">
        <v>17.915263157894724</v>
      </c>
      <c r="K129" s="4">
        <v>259.65935222672067</v>
      </c>
      <c r="L129" s="4">
        <v>881.02855702917623</v>
      </c>
      <c r="M129" s="4">
        <v>473.88182758620906</v>
      </c>
      <c r="N129" s="4">
        <v>146.35499999999905</v>
      </c>
      <c r="O129" s="253">
        <f t="shared" si="23"/>
        <v>2.2476517490136523</v>
      </c>
      <c r="P129" s="253">
        <f t="shared" si="24"/>
        <v>2.2565769398943538</v>
      </c>
      <c r="Q129" s="253">
        <f t="shared" si="18"/>
        <v>2.3093792647148388</v>
      </c>
      <c r="R129" s="253">
        <f t="shared" si="26"/>
        <v>2.4287137208120706</v>
      </c>
      <c r="S129" s="253">
        <f t="shared" si="25"/>
        <v>2.673883255686488</v>
      </c>
    </row>
    <row r="130" spans="1:19" x14ac:dyDescent="0.25">
      <c r="A130" s="4">
        <v>964</v>
      </c>
      <c r="B130" s="5">
        <v>10</v>
      </c>
      <c r="C130" s="6" t="s">
        <v>0</v>
      </c>
      <c r="D130" s="282" t="str">
        <f>VLOOKUP(A130,abm2_mode!$A$2:$C$139,3,FALSE)</f>
        <v xml:space="preserve">Local Bus                                                                  </v>
      </c>
      <c r="E130" s="249">
        <v>5.8965517241379191</v>
      </c>
      <c r="F130" s="249">
        <v>137.70344827586212</v>
      </c>
      <c r="G130" s="249">
        <v>288.87365591397821</v>
      </c>
      <c r="H130" s="249">
        <v>173.70537634408635</v>
      </c>
      <c r="I130" s="249">
        <v>32.074193548387015</v>
      </c>
      <c r="J130" s="4">
        <v>16.968965517241344</v>
      </c>
      <c r="K130" s="4">
        <v>318.8430344827587</v>
      </c>
      <c r="L130" s="4">
        <v>572.1540306451609</v>
      </c>
      <c r="M130" s="4">
        <v>325.44540483871043</v>
      </c>
      <c r="N130" s="4">
        <v>69.264370967741669</v>
      </c>
      <c r="O130" s="253">
        <f t="shared" si="23"/>
        <v>2.8777777777777778</v>
      </c>
      <c r="P130" s="253">
        <f t="shared" si="24"/>
        <v>2.315432463564882</v>
      </c>
      <c r="Q130" s="253">
        <f t="shared" si="18"/>
        <v>1.9806376210904426</v>
      </c>
      <c r="R130" s="253">
        <f t="shared" si="26"/>
        <v>1.8735482556052154</v>
      </c>
      <c r="S130" s="253">
        <f t="shared" si="25"/>
        <v>2.1595046766569417</v>
      </c>
    </row>
    <row r="131" spans="1:19" x14ac:dyDescent="0.25">
      <c r="A131" s="4">
        <v>965</v>
      </c>
      <c r="B131" s="5">
        <v>10</v>
      </c>
      <c r="C131" s="6" t="s">
        <v>0</v>
      </c>
      <c r="D131" s="282" t="str">
        <f>VLOOKUP(A131,abm2_mode!$A$2:$C$139,3,FALSE)</f>
        <v xml:space="preserve">Local Bus                                                                  </v>
      </c>
      <c r="E131" s="249">
        <v>13</v>
      </c>
      <c r="F131" s="249">
        <v>58.916666666666693</v>
      </c>
      <c r="G131" s="249">
        <v>105.04761904761889</v>
      </c>
      <c r="H131" s="249">
        <v>73.920329670329878</v>
      </c>
      <c r="I131" s="249">
        <v>21.115384615384542</v>
      </c>
      <c r="J131" s="4">
        <v>33.47</v>
      </c>
      <c r="K131" s="4">
        <v>126.53916666666672</v>
      </c>
      <c r="L131" s="4">
        <v>195.31261904761877</v>
      </c>
      <c r="M131" s="4">
        <v>135.96206043956079</v>
      </c>
      <c r="N131" s="4">
        <v>37.786153846153702</v>
      </c>
      <c r="O131" s="253">
        <f t="shared" si="23"/>
        <v>2.5746153846153845</v>
      </c>
      <c r="P131" s="253">
        <f t="shared" si="24"/>
        <v>2.1477652050919378</v>
      </c>
      <c r="Q131" s="253">
        <f t="shared" si="18"/>
        <v>1.8592769718948323</v>
      </c>
      <c r="R131" s="253">
        <f t="shared" si="26"/>
        <v>1.8393053852157426</v>
      </c>
      <c r="S131" s="253">
        <f t="shared" si="25"/>
        <v>1.7895081967213109</v>
      </c>
    </row>
    <row r="132" spans="1:19" x14ac:dyDescent="0.25">
      <c r="A132" s="4">
        <v>967</v>
      </c>
      <c r="B132" s="5">
        <v>10</v>
      </c>
      <c r="C132" s="6" t="s">
        <v>0</v>
      </c>
      <c r="D132" s="282" t="str">
        <f>VLOOKUP(A132,abm2_mode!$A$2:$C$139,3,FALSE)</f>
        <v xml:space="preserve">Local Bus                                                                  </v>
      </c>
      <c r="E132" s="249">
        <v>1.94</v>
      </c>
      <c r="F132" s="249">
        <v>52.55</v>
      </c>
      <c r="G132" s="249">
        <v>103.0765116279068</v>
      </c>
      <c r="H132" s="249">
        <v>45.823488372093188</v>
      </c>
      <c r="I132" s="249">
        <v>17.600000000000001</v>
      </c>
      <c r="J132" s="4">
        <v>5.1100000000000003</v>
      </c>
      <c r="K132" s="4">
        <v>165.71</v>
      </c>
      <c r="L132" s="4">
        <v>282.86651162790645</v>
      </c>
      <c r="M132" s="4">
        <v>134.96348837209356</v>
      </c>
      <c r="N132" s="4">
        <v>63.97</v>
      </c>
      <c r="O132" s="253">
        <f t="shared" si="23"/>
        <v>2.6340206185567014</v>
      </c>
      <c r="P132" s="253">
        <f t="shared" si="24"/>
        <v>3.1533777354900097</v>
      </c>
      <c r="Q132" s="253">
        <f t="shared" si="18"/>
        <v>2.7442383057065305</v>
      </c>
      <c r="R132" s="253">
        <f t="shared" si="26"/>
        <v>2.9452905740429669</v>
      </c>
      <c r="S132" s="253">
        <f t="shared" si="25"/>
        <v>3.6346590909090906</v>
      </c>
    </row>
    <row r="133" spans="1:19" x14ac:dyDescent="0.25">
      <c r="A133" s="4">
        <v>968</v>
      </c>
      <c r="B133" s="5">
        <v>10</v>
      </c>
      <c r="C133" s="6" t="s">
        <v>0</v>
      </c>
      <c r="D133" s="282" t="str">
        <f>VLOOKUP(A133,abm2_mode!$A$2:$C$139,3,FALSE)</f>
        <v xml:space="preserve">Local Bus                                                                  </v>
      </c>
      <c r="E133" s="249">
        <v>14.573023255813951</v>
      </c>
      <c r="F133" s="249">
        <v>37.081657595249872</v>
      </c>
      <c r="G133" s="249">
        <v>100.36531914893618</v>
      </c>
      <c r="H133" s="249">
        <v>43.980909090909151</v>
      </c>
      <c r="I133" s="249">
        <v>11.849090909090849</v>
      </c>
      <c r="J133" s="4">
        <v>39.983488372093014</v>
      </c>
      <c r="K133" s="4">
        <v>99.473532904502704</v>
      </c>
      <c r="L133" s="4">
        <v>308.70297872340427</v>
      </c>
      <c r="M133" s="4">
        <v>134.18772727272744</v>
      </c>
      <c r="N133" s="4">
        <v>39.822272727272562</v>
      </c>
      <c r="O133" s="253">
        <f t="shared" si="23"/>
        <v>2.7436646240265543</v>
      </c>
      <c r="P133" s="253">
        <f t="shared" si="24"/>
        <v>2.6825535684048054</v>
      </c>
      <c r="Q133" s="253">
        <f t="shared" si="18"/>
        <v>3.0757933252352574</v>
      </c>
      <c r="R133" s="253">
        <f t="shared" si="26"/>
        <v>3.0510448748423902</v>
      </c>
      <c r="S133" s="253">
        <f t="shared" si="25"/>
        <v>3.3607871720116647</v>
      </c>
    </row>
    <row r="134" spans="1:19" x14ac:dyDescent="0.25">
      <c r="A134" s="4">
        <v>972</v>
      </c>
      <c r="B134" s="5">
        <v>10</v>
      </c>
      <c r="C134" s="6" t="s">
        <v>0</v>
      </c>
      <c r="D134" s="282" t="str">
        <f>VLOOKUP(A134,abm2_mode!$A$2:$C$139,3,FALSE)</f>
        <v xml:space="preserve">Local Bus                                                                  </v>
      </c>
      <c r="E134" s="249">
        <v>0</v>
      </c>
      <c r="F134" s="249">
        <v>73.619047619047635</v>
      </c>
      <c r="G134" s="249">
        <v>8.3809523809523583</v>
      </c>
      <c r="H134" s="249">
        <v>58</v>
      </c>
      <c r="I134" s="249">
        <v>0</v>
      </c>
      <c r="J134" s="4">
        <v>0</v>
      </c>
      <c r="K134" s="4">
        <v>184.25904761904766</v>
      </c>
      <c r="L134" s="4">
        <v>16.860952380952334</v>
      </c>
      <c r="M134" s="4">
        <v>156.52999999999997</v>
      </c>
      <c r="N134" s="4">
        <v>0</v>
      </c>
      <c r="O134" s="253">
        <v>0</v>
      </c>
      <c r="P134" s="253">
        <f>K134/F134</f>
        <v>2.5028719275549807</v>
      </c>
      <c r="Q134" s="253">
        <f t="shared" si="18"/>
        <v>2.0118181818181817</v>
      </c>
      <c r="R134" s="253">
        <f t="shared" si="26"/>
        <v>2.6987931034482755</v>
      </c>
      <c r="S134" s="253">
        <v>0</v>
      </c>
    </row>
    <row r="135" spans="1:19" x14ac:dyDescent="0.25">
      <c r="A135" s="4">
        <v>973</v>
      </c>
      <c r="B135" s="5">
        <v>10</v>
      </c>
      <c r="C135" s="6" t="s">
        <v>0</v>
      </c>
      <c r="D135" s="282" t="str">
        <f>VLOOKUP(A135,abm2_mode!$A$2:$C$139,3,FALSE)</f>
        <v xml:space="preserve">Local Bus                                                                  </v>
      </c>
      <c r="E135" s="249">
        <v>0</v>
      </c>
      <c r="F135" s="249">
        <v>49</v>
      </c>
      <c r="G135" s="249">
        <v>0</v>
      </c>
      <c r="H135" s="249">
        <v>50</v>
      </c>
      <c r="I135" s="249">
        <v>0</v>
      </c>
      <c r="J135" s="4">
        <v>0</v>
      </c>
      <c r="K135" s="4">
        <v>151.13999999999999</v>
      </c>
      <c r="L135" s="4">
        <v>0</v>
      </c>
      <c r="M135" s="4">
        <v>188.94</v>
      </c>
      <c r="N135" s="4">
        <v>0</v>
      </c>
      <c r="O135" s="253">
        <v>0</v>
      </c>
      <c r="P135" s="253">
        <f>K135/F135</f>
        <v>3.0844897959183672</v>
      </c>
      <c r="Q135" s="253">
        <v>0</v>
      </c>
      <c r="R135" s="253">
        <f t="shared" si="26"/>
        <v>3.7787999999999999</v>
      </c>
      <c r="S135" s="253">
        <v>0</v>
      </c>
    </row>
    <row r="136" spans="1:19" x14ac:dyDescent="0.25">
      <c r="A136" s="4">
        <v>978</v>
      </c>
      <c r="B136" s="5">
        <v>10</v>
      </c>
      <c r="C136" s="6" t="s">
        <v>0</v>
      </c>
      <c r="D136" s="282" t="str">
        <f>VLOOKUP(A136,abm2_mode!$A$2:$C$139,3,FALSE)</f>
        <v xml:space="preserve">Local Bus                                                                  </v>
      </c>
      <c r="E136" s="249">
        <v>0</v>
      </c>
      <c r="F136" s="249">
        <v>51</v>
      </c>
      <c r="G136" s="249">
        <v>0</v>
      </c>
      <c r="H136" s="249">
        <v>45</v>
      </c>
      <c r="I136" s="249">
        <v>0</v>
      </c>
      <c r="J136" s="4">
        <v>0</v>
      </c>
      <c r="K136" s="4">
        <v>142.72</v>
      </c>
      <c r="L136" s="4">
        <v>0</v>
      </c>
      <c r="M136" s="4">
        <v>138.08000000000001</v>
      </c>
      <c r="N136" s="4">
        <v>0</v>
      </c>
      <c r="O136" s="253">
        <v>0</v>
      </c>
      <c r="P136" s="253">
        <f>K136/F136</f>
        <v>2.7984313725490195</v>
      </c>
      <c r="Q136" s="253">
        <v>0</v>
      </c>
      <c r="R136" s="253">
        <f t="shared" si="26"/>
        <v>3.0684444444444448</v>
      </c>
      <c r="S136" s="253">
        <v>0</v>
      </c>
    </row>
    <row r="137" spans="1:19" x14ac:dyDescent="0.25">
      <c r="A137" s="4">
        <v>979</v>
      </c>
      <c r="B137" s="5">
        <v>10</v>
      </c>
      <c r="C137" s="6" t="s">
        <v>0</v>
      </c>
      <c r="D137" s="282" t="str">
        <f>VLOOKUP(A137,abm2_mode!$A$2:$C$139,3,FALSE)</f>
        <v xml:space="preserve">Local Bus                                                                  </v>
      </c>
      <c r="E137" s="249">
        <v>0</v>
      </c>
      <c r="F137" s="249">
        <v>37</v>
      </c>
      <c r="G137" s="249">
        <v>0</v>
      </c>
      <c r="H137" s="249">
        <v>40</v>
      </c>
      <c r="I137" s="249">
        <v>0</v>
      </c>
      <c r="J137" s="4">
        <v>0</v>
      </c>
      <c r="K137" s="4">
        <v>92.37</v>
      </c>
      <c r="L137" s="4">
        <v>0</v>
      </c>
      <c r="M137" s="4">
        <v>117.88000000000001</v>
      </c>
      <c r="N137" s="4">
        <v>0</v>
      </c>
      <c r="O137" s="253">
        <v>0</v>
      </c>
      <c r="P137" s="253">
        <f>K137/F137</f>
        <v>2.4964864864864866</v>
      </c>
      <c r="Q137" s="253">
        <v>0</v>
      </c>
      <c r="R137" s="253">
        <f t="shared" si="26"/>
        <v>2.9470000000000001</v>
      </c>
      <c r="S137" s="253">
        <v>0</v>
      </c>
    </row>
    <row r="138" spans="1:19" x14ac:dyDescent="0.25">
      <c r="A138" s="246">
        <v>992</v>
      </c>
      <c r="B138" s="247">
        <v>10</v>
      </c>
      <c r="C138" s="279" t="s">
        <v>0</v>
      </c>
      <c r="D138" s="285" t="str">
        <f>VLOOKUP(A138,abm2_mode!$A$2:$C$139,3,FALSE)</f>
        <v xml:space="preserve">Local Bus                                                                  </v>
      </c>
      <c r="E138" s="250">
        <v>49.118750000000013</v>
      </c>
      <c r="F138" s="250">
        <v>180.21273936170215</v>
      </c>
      <c r="G138" s="250">
        <v>549.64371063829742</v>
      </c>
      <c r="H138" s="250">
        <v>215.88600000000065</v>
      </c>
      <c r="I138" s="250">
        <v>176.54879999999983</v>
      </c>
      <c r="J138" s="246">
        <v>131.88575000000003</v>
      </c>
      <c r="K138" s="246">
        <v>458.27616489361714</v>
      </c>
      <c r="L138" s="246">
        <v>1344.9066851063819</v>
      </c>
      <c r="M138" s="246">
        <v>540.24340000000166</v>
      </c>
      <c r="N138" s="246">
        <v>492.28799999999956</v>
      </c>
      <c r="O138" s="254">
        <f>J138/E138</f>
        <v>2.6850388090087796</v>
      </c>
      <c r="P138" s="254">
        <f>K138/F138</f>
        <v>2.5429731911117464</v>
      </c>
      <c r="Q138" s="254">
        <f>L138/G138</f>
        <v>2.4468699615329923</v>
      </c>
      <c r="R138" s="254">
        <f t="shared" si="26"/>
        <v>2.5024475880788937</v>
      </c>
      <c r="S138" s="254">
        <f>N138/I138</f>
        <v>2.7883961828117778</v>
      </c>
    </row>
    <row r="139" spans="1:19" x14ac:dyDescent="0.25">
      <c r="B139" s="4"/>
      <c r="C139" s="280"/>
      <c r="D139" s="286"/>
      <c r="E139" s="251"/>
      <c r="F139" s="251"/>
      <c r="G139" s="251"/>
      <c r="H139" s="251"/>
      <c r="I139" s="251"/>
    </row>
    <row r="140" spans="1:19" s="2" customFormat="1" x14ac:dyDescent="0.25">
      <c r="A140" s="2" t="s">
        <v>109</v>
      </c>
      <c r="B140" s="267">
        <v>10</v>
      </c>
      <c r="C140" s="281" t="s">
        <v>0</v>
      </c>
      <c r="D140" s="287" t="s">
        <v>0</v>
      </c>
      <c r="E140" s="10">
        <v>50.481456521739098</v>
      </c>
      <c r="F140" s="10">
        <v>881.02605115589915</v>
      </c>
      <c r="G140" s="10">
        <v>1545.400462765135</v>
      </c>
      <c r="H140" s="10">
        <v>739.39341539022928</v>
      </c>
      <c r="I140" s="10">
        <v>156.21066239316133</v>
      </c>
      <c r="J140" s="2">
        <v>246.93313043478244</v>
      </c>
      <c r="K140" s="2">
        <v>4812.213311157001</v>
      </c>
      <c r="L140" s="2">
        <v>6147.4811990203216</v>
      </c>
      <c r="M140" s="2">
        <v>3542.5591595897317</v>
      </c>
      <c r="N140" s="2">
        <v>703.60224358973824</v>
      </c>
      <c r="O140" s="268"/>
      <c r="P140" s="268"/>
      <c r="Q140" s="268"/>
      <c r="R140" s="268"/>
      <c r="S140" s="268"/>
    </row>
    <row r="141" spans="1:19" x14ac:dyDescent="0.25">
      <c r="E141" s="269"/>
      <c r="F141" s="269"/>
      <c r="G141" s="269"/>
      <c r="H141" s="269"/>
      <c r="I141" s="269"/>
      <c r="J141" s="269"/>
      <c r="K141" s="269"/>
      <c r="L141" s="269"/>
      <c r="M141" s="269"/>
      <c r="N141" s="269"/>
    </row>
    <row r="142" spans="1:19" x14ac:dyDescent="0.25">
      <c r="E142" s="271"/>
      <c r="F142" s="271"/>
      <c r="G142" s="271"/>
      <c r="H142" s="271"/>
      <c r="I142" s="271"/>
      <c r="J142" s="271"/>
      <c r="K142" s="271"/>
      <c r="L142" s="271"/>
      <c r="M142" s="271"/>
      <c r="N142" s="27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 tint="0.39997558519241921"/>
  </sheetPr>
  <dimension ref="A1:U45"/>
  <sheetViews>
    <sheetView showGridLines="0" workbookViewId="0">
      <selection activeCell="N35" sqref="N35"/>
    </sheetView>
  </sheetViews>
  <sheetFormatPr defaultRowHeight="15" x14ac:dyDescent="0.25"/>
  <cols>
    <col min="1" max="1" width="15.28515625" style="5" customWidth="1"/>
    <col min="2" max="2" width="16.85546875" style="5" customWidth="1"/>
    <col min="3" max="3" width="9.85546875" style="5" customWidth="1"/>
    <col min="4" max="5" width="9.140625" style="5" customWidth="1"/>
    <col min="6" max="6" width="9.42578125" style="5" customWidth="1"/>
    <col min="7" max="7" width="9" style="5" customWidth="1"/>
    <col min="8" max="8" width="8.85546875" style="5" customWidth="1"/>
    <col min="9" max="9" width="9.28515625" style="7" customWidth="1"/>
    <col min="10" max="12" width="10.28515625" style="7" customWidth="1"/>
    <col min="13" max="13" width="10.140625" style="7" customWidth="1"/>
    <col min="14" max="14" width="11.28515625" style="7" customWidth="1"/>
    <col min="15" max="19" width="9.140625" style="7"/>
    <col min="20" max="20" width="9.5703125" style="7" customWidth="1"/>
    <col min="21" max="21" width="9.140625" style="7"/>
    <col min="22" max="16384" width="9.140625" style="5"/>
  </cols>
  <sheetData>
    <row r="1" spans="1:20" ht="15.75" thickBot="1" x14ac:dyDescent="0.3">
      <c r="A1" s="5" t="s">
        <v>30</v>
      </c>
    </row>
    <row r="2" spans="1:20" x14ac:dyDescent="0.25">
      <c r="A2" s="15"/>
      <c r="B2" s="16"/>
      <c r="C2" s="304" t="s">
        <v>31</v>
      </c>
      <c r="D2" s="304"/>
      <c r="E2" s="304"/>
      <c r="F2" s="304"/>
      <c r="G2" s="304"/>
      <c r="H2" s="305"/>
      <c r="I2" s="306" t="s">
        <v>32</v>
      </c>
      <c r="J2" s="307"/>
      <c r="K2" s="307"/>
      <c r="L2" s="307"/>
      <c r="M2" s="307"/>
      <c r="N2" s="308"/>
      <c r="O2" s="309" t="s">
        <v>33</v>
      </c>
      <c r="P2" s="310"/>
      <c r="Q2" s="310"/>
      <c r="R2" s="310"/>
      <c r="S2" s="310"/>
      <c r="T2" s="311"/>
    </row>
    <row r="3" spans="1:20" x14ac:dyDescent="0.25">
      <c r="A3" s="29"/>
      <c r="B3" s="30"/>
      <c r="C3" s="18" t="s">
        <v>42</v>
      </c>
      <c r="D3" s="18" t="s">
        <v>43</v>
      </c>
      <c r="E3" s="18" t="s">
        <v>44</v>
      </c>
      <c r="F3" s="18" t="s">
        <v>45</v>
      </c>
      <c r="G3" s="18" t="s">
        <v>46</v>
      </c>
      <c r="H3" s="22" t="s">
        <v>47</v>
      </c>
      <c r="I3" s="24" t="s">
        <v>42</v>
      </c>
      <c r="J3" s="19" t="s">
        <v>43</v>
      </c>
      <c r="K3" s="19" t="s">
        <v>44</v>
      </c>
      <c r="L3" s="19" t="s">
        <v>45</v>
      </c>
      <c r="M3" s="19" t="s">
        <v>46</v>
      </c>
      <c r="N3" s="25" t="s">
        <v>47</v>
      </c>
      <c r="O3" s="31" t="s">
        <v>42</v>
      </c>
      <c r="P3" s="32" t="s">
        <v>43</v>
      </c>
      <c r="Q3" s="32" t="s">
        <v>44</v>
      </c>
      <c r="R3" s="32" t="s">
        <v>45</v>
      </c>
      <c r="S3" s="32" t="s">
        <v>46</v>
      </c>
      <c r="T3" s="33" t="s">
        <v>47</v>
      </c>
    </row>
    <row r="4" spans="1:20" x14ac:dyDescent="0.25">
      <c r="A4" s="17" t="s">
        <v>35</v>
      </c>
      <c r="B4" s="13" t="s">
        <v>12</v>
      </c>
      <c r="C4" s="14">
        <f>SUMIF(observed!$C$2:$C$138,sum_by_mode!$B4,observed!E$2:E$138)</f>
        <v>128.5277731580745</v>
      </c>
      <c r="D4" s="14">
        <f>SUMIF(observed!$C$2:$C$138,sum_by_mode!$B4,observed!F$2:F$138)</f>
        <v>1674.3999884886084</v>
      </c>
      <c r="E4" s="14">
        <f>SUMIF(observed!$C$2:$C$138,sum_by_mode!$B4,observed!G$2:G$138)</f>
        <v>775.69084873576924</v>
      </c>
      <c r="F4" s="14">
        <f>SUMIF(observed!$C$2:$C$138,sum_by_mode!$B4,observed!H$2:H$138)</f>
        <v>2135.6163612602081</v>
      </c>
      <c r="G4" s="14">
        <f>SUMIF(observed!$C$2:$C$138,sum_by_mode!$B4,observed!I$2:I$138)</f>
        <v>300.76109340881982</v>
      </c>
      <c r="H4" s="23">
        <f t="shared" ref="H4:H9" si="0">SUM(C4:G4)</f>
        <v>5014.9960650514795</v>
      </c>
      <c r="I4" s="26">
        <f>SUMIF(observed!$C$2:$C$138,sum_by_mode!$B4,observed!J$2:J$138)</f>
        <v>3400.5878222163342</v>
      </c>
      <c r="J4" s="20">
        <f>SUMIF(observed!$C$2:$C$138,sum_by_mode!$B4,observed!K$2:K$138)</f>
        <v>39093.184108910056</v>
      </c>
      <c r="K4" s="20">
        <f>SUMIF(observed!$C$2:$C$138,sum_by_mode!$B4,observed!L$2:L$138)</f>
        <v>20105.041468705818</v>
      </c>
      <c r="L4" s="20">
        <f>SUMIF(observed!$C$2:$C$138,sum_by_mode!$B4,observed!M$2:M$138)</f>
        <v>48388.058295557006</v>
      </c>
      <c r="M4" s="20">
        <f>SUMIF(observed!$C$2:$C$138,sum_by_mode!$B4,observed!N$2:N$138)</f>
        <v>7451.255716314623</v>
      </c>
      <c r="N4" s="27">
        <f t="shared" ref="N4:N8" si="1">SUM(I4:M4)</f>
        <v>118438.12741170384</v>
      </c>
      <c r="O4" s="34">
        <f>I4/C4</f>
        <v>26.457999999999995</v>
      </c>
      <c r="P4" s="35">
        <f t="shared" ref="P4:P9" si="2">J4/D4</f>
        <v>23.347577865308867</v>
      </c>
      <c r="Q4" s="35">
        <f t="shared" ref="Q4:Q9" si="3">K4/E4</f>
        <v>25.918884438914382</v>
      </c>
      <c r="R4" s="35">
        <f t="shared" ref="R4:R9" si="4">L4/F4</f>
        <v>22.657654798544268</v>
      </c>
      <c r="S4" s="35">
        <f t="shared" ref="S4:S9" si="5">M4/G4</f>
        <v>24.774666270368449</v>
      </c>
      <c r="T4" s="36">
        <f t="shared" ref="T4:T9" si="6">N4/H4</f>
        <v>23.616793687451889</v>
      </c>
    </row>
    <row r="5" spans="1:20" x14ac:dyDescent="0.25">
      <c r="A5" s="17"/>
      <c r="B5" s="13" t="s">
        <v>13</v>
      </c>
      <c r="C5" s="14">
        <f>SUMIF(observed!$C$2:$C$138,sum_by_mode!$B5,observed!E$2:E$138)</f>
        <v>4759.4282567806122</v>
      </c>
      <c r="D5" s="14">
        <f>SUMIF(observed!$C$2:$C$138,sum_by_mode!$B5,observed!F$2:F$138)</f>
        <v>22717.629223803888</v>
      </c>
      <c r="E5" s="14">
        <f>SUMIF(observed!$C$2:$C$138,sum_by_mode!$B5,observed!G$2:G$138)</f>
        <v>48231.187479795677</v>
      </c>
      <c r="F5" s="14">
        <f>SUMIF(observed!$C$2:$C$138,sum_by_mode!$B5,observed!H$2:H$138)</f>
        <v>31177.534726283287</v>
      </c>
      <c r="G5" s="14">
        <f>SUMIF(observed!$C$2:$C$138,sum_by_mode!$B5,observed!I$2:I$138)</f>
        <v>13213.350519478046</v>
      </c>
      <c r="H5" s="23">
        <f t="shared" si="0"/>
        <v>120099.13020614152</v>
      </c>
      <c r="I5" s="26">
        <f>SUMIF(observed!$C$2:$C$138,sum_by_mode!$B5,observed!J$2:J$138)</f>
        <v>33122.943497392327</v>
      </c>
      <c r="J5" s="20">
        <f>SUMIF(observed!$C$2:$C$138,sum_by_mode!$B5,observed!K$2:K$138)</f>
        <v>138952.80042219214</v>
      </c>
      <c r="K5" s="20">
        <f>SUMIF(observed!$C$2:$C$138,sum_by_mode!$B5,observed!L$2:L$138)</f>
        <v>263214.53989077802</v>
      </c>
      <c r="L5" s="20">
        <f>SUMIF(observed!$C$2:$C$138,sum_by_mode!$B5,observed!M$2:M$138)</f>
        <v>181185.10130890735</v>
      </c>
      <c r="M5" s="20">
        <f>SUMIF(observed!$C$2:$C$138,sum_by_mode!$B5,observed!N$2:N$138)</f>
        <v>76096.2505229198</v>
      </c>
      <c r="N5" s="27">
        <f t="shared" si="1"/>
        <v>692571.63564218965</v>
      </c>
      <c r="O5" s="34">
        <f t="shared" ref="O5:O9" si="7">I5/C5</f>
        <v>6.9594375018056169</v>
      </c>
      <c r="P5" s="35">
        <f t="shared" si="2"/>
        <v>6.116518543959474</v>
      </c>
      <c r="Q5" s="35">
        <f t="shared" si="3"/>
        <v>5.4573514284930287</v>
      </c>
      <c r="R5" s="35">
        <f t="shared" si="4"/>
        <v>5.8113992302337065</v>
      </c>
      <c r="S5" s="35">
        <f t="shared" si="5"/>
        <v>5.7590427507954853</v>
      </c>
      <c r="T5" s="36">
        <f t="shared" si="6"/>
        <v>5.7666665399944215</v>
      </c>
    </row>
    <row r="6" spans="1:20" x14ac:dyDescent="0.25">
      <c r="A6" s="17"/>
      <c r="B6" s="13" t="s">
        <v>9</v>
      </c>
      <c r="C6" s="14">
        <f>SUMIF(observed!$C$2:$C$138,"Express",observed!E$2:E$138) + SUMIF(observed!$C$2:$C$138,"Limited Express",observed!E$2:E$138)</f>
        <v>476.29345601127534</v>
      </c>
      <c r="D6" s="14">
        <f>SUMIF(observed!$C$2:$C$138,"Express",observed!F$2:F$138) + SUMIF(observed!$C$2:$C$138,"Limited Express",observed!F$2:F$138)</f>
        <v>3836.2394397342464</v>
      </c>
      <c r="E6" s="14">
        <f>SUMIF(observed!$C$2:$C$138,"Express",observed!G$2:G$138) + SUMIF(observed!$C$2:$C$138,"Limited Express",observed!G$2:G$138)</f>
        <v>6366.5970227014959</v>
      </c>
      <c r="F6" s="14">
        <f>SUMIF(observed!$C$2:$C$138,"Express",observed!H$2:H$138) + SUMIF(observed!$C$2:$C$138,"Limited Express",observed!H$2:H$138)</f>
        <v>4058.4018956149457</v>
      </c>
      <c r="G6" s="14">
        <f>SUMIF(observed!$C$2:$C$138,"Express",observed!I$2:I$138) + SUMIF(observed!$C$2:$C$138,"Limited Express",observed!I$2:I$138)</f>
        <v>1235.9845221703213</v>
      </c>
      <c r="H6" s="23">
        <f t="shared" si="0"/>
        <v>15973.516336232286</v>
      </c>
      <c r="I6" s="26">
        <f>SUMIF(observed!$C$2:$C$138,"Express",observed!J$2:J$138) + SUMIF(observed!$C$2:$C$138,"Limited Express",observed!J$2:J$138)</f>
        <v>3774.5691925922351</v>
      </c>
      <c r="J6" s="20">
        <f>SUMIF(observed!$C$2:$C$138,"Express",observed!K$2:K$138) + SUMIF(observed!$C$2:$C$138,"Limited Express",observed!K$2:K$138)</f>
        <v>26441.45267878965</v>
      </c>
      <c r="K6" s="20">
        <f>SUMIF(observed!$C$2:$C$138,"Express",observed!L$2:L$138) + SUMIF(observed!$C$2:$C$138,"Limited Express",observed!L$2:L$138)</f>
        <v>33795.422180025846</v>
      </c>
      <c r="L6" s="20">
        <f>SUMIF(observed!$C$2:$C$138,"Express",observed!M$2:M$138) + SUMIF(observed!$C$2:$C$138,"Limited Express",observed!M$2:M$138)</f>
        <v>25555.136318115503</v>
      </c>
      <c r="M6" s="20">
        <f>SUMIF(observed!$C$2:$C$138,"Express",observed!N$2:N$138) + SUMIF(observed!$C$2:$C$138,"Limited Express",observed!N$2:N$138)</f>
        <v>6399.3249722275541</v>
      </c>
      <c r="N6" s="27">
        <f t="shared" si="1"/>
        <v>95965.905341750782</v>
      </c>
      <c r="O6" s="34">
        <f t="shared" si="7"/>
        <v>7.92488148840508</v>
      </c>
      <c r="P6" s="35">
        <f t="shared" si="2"/>
        <v>6.8925449243130057</v>
      </c>
      <c r="Q6" s="35">
        <f t="shared" si="3"/>
        <v>5.3082395602424448</v>
      </c>
      <c r="R6" s="35">
        <f t="shared" si="4"/>
        <v>6.2968471273698938</v>
      </c>
      <c r="S6" s="35">
        <f t="shared" si="5"/>
        <v>5.1775122240128777</v>
      </c>
      <c r="T6" s="36">
        <f t="shared" si="6"/>
        <v>6.0078133907231166</v>
      </c>
    </row>
    <row r="7" spans="1:20" x14ac:dyDescent="0.25">
      <c r="A7" s="17"/>
      <c r="B7" s="13" t="s">
        <v>50</v>
      </c>
      <c r="C7" s="14">
        <f>SUMIF(observed!$C$2:$C$138,"Arterial Rapid",observed!E$2:E$138) + SUMIF(observed!$C$2:$C$138,"Freeway Rapid",observed!E$2:E$138)</f>
        <v>544.20182326883764</v>
      </c>
      <c r="D7" s="14">
        <f>SUMIF(observed!$C$2:$C$138,"Arterial Rapid",observed!F$2:F$138) + SUMIF(observed!$C$2:$C$138,"Freeway Rapid",observed!F$2:F$138)</f>
        <v>5141.6449467684397</v>
      </c>
      <c r="E7" s="14">
        <f>SUMIF(observed!$C$2:$C$138,"Arterial Rapid",observed!G$2:G$138) + SUMIF(observed!$C$2:$C$138,"Freeway Rapid",observed!G$2:G$138)</f>
        <v>10145.020921959796</v>
      </c>
      <c r="F7" s="14">
        <f>SUMIF(observed!$C$2:$C$138,"Arterial Rapid",observed!H$2:H$138) + SUMIF(observed!$C$2:$C$138,"Freeway Rapid",observed!H$2:H$138)</f>
        <v>7325.0359933707969</v>
      </c>
      <c r="G7" s="14">
        <f>SUMIF(observed!$C$2:$C$138,"Arterial Rapid",observed!I$2:I$138) + SUMIF(observed!$C$2:$C$138,"Freeway Rapid",observed!I$2:I$138)</f>
        <v>2718.2627400815336</v>
      </c>
      <c r="H7" s="23">
        <f t="shared" si="0"/>
        <v>25874.166425449403</v>
      </c>
      <c r="I7" s="26">
        <f>SUMIF(observed!$C$2:$C$138,"Arterial Rapid",observed!J$2:J$138) + SUMIF(observed!$C$2:$C$138,"Freeway Rapid",observed!J$2:J$138)</f>
        <v>6269.6540117349014</v>
      </c>
      <c r="J7" s="20">
        <f>SUMIF(observed!$C$2:$C$138,"Arterial Rapid",observed!K$2:K$138) + SUMIF(observed!$C$2:$C$138,"Freeway Rapid",observed!K$2:K$138)</f>
        <v>44871.139409249561</v>
      </c>
      <c r="K7" s="20">
        <f>SUMIF(observed!$C$2:$C$138,"Arterial Rapid",observed!L$2:L$138) + SUMIF(observed!$C$2:$C$138,"Freeway Rapid",observed!L$2:L$138)</f>
        <v>53749.733406243933</v>
      </c>
      <c r="L7" s="20">
        <f>SUMIF(observed!$C$2:$C$138,"Arterial Rapid",observed!M$2:M$138) + SUMIF(observed!$C$2:$C$138,"Freeway Rapid",observed!M$2:M$138)</f>
        <v>51559.890745867262</v>
      </c>
      <c r="M7" s="20">
        <f>SUMIF(observed!$C$2:$C$138,"Arterial Rapid",observed!N$2:N$138) + SUMIF(observed!$C$2:$C$138,"Freeway Rapid",observed!N$2:N$138)</f>
        <v>16192.192900756163</v>
      </c>
      <c r="N7" s="27">
        <f t="shared" si="1"/>
        <v>172642.61047385182</v>
      </c>
      <c r="O7" s="34">
        <f t="shared" si="7"/>
        <v>11.52082507565887</v>
      </c>
      <c r="P7" s="35">
        <f t="shared" si="2"/>
        <v>8.7270007699484164</v>
      </c>
      <c r="Q7" s="35">
        <f t="shared" si="3"/>
        <v>5.2981392369431068</v>
      </c>
      <c r="R7" s="35">
        <f t="shared" si="4"/>
        <v>7.0388583472530764</v>
      </c>
      <c r="S7" s="35">
        <f t="shared" si="5"/>
        <v>5.9568167057576202</v>
      </c>
      <c r="T7" s="36">
        <f t="shared" si="6"/>
        <v>6.6723931366555407</v>
      </c>
    </row>
    <row r="8" spans="1:20" x14ac:dyDescent="0.25">
      <c r="A8" s="17"/>
      <c r="B8" s="13" t="s">
        <v>0</v>
      </c>
      <c r="C8" s="14">
        <f>SUMIF(observed!$C$2:$C$138,sum_by_mode!$B8,observed!E$2:E$138)</f>
        <v>3851.1938545360426</v>
      </c>
      <c r="D8" s="14">
        <f>SUMIF(observed!$C$2:$C$138,sum_by_mode!$B8,observed!F$2:F$138)</f>
        <v>31304.268236702235</v>
      </c>
      <c r="E8" s="14">
        <f>SUMIF(observed!$C$2:$C$138,sum_by_mode!$B8,observed!G$2:G$138)</f>
        <v>73772.532499953842</v>
      </c>
      <c r="F8" s="14">
        <f>SUMIF(observed!$C$2:$C$138,sum_by_mode!$B8,observed!H$2:H$138)</f>
        <v>38602.81260896851</v>
      </c>
      <c r="G8" s="14">
        <f>SUMIF(observed!$C$2:$C$138,sum_by_mode!$B8,observed!I$2:I$138)</f>
        <v>13023.852596751225</v>
      </c>
      <c r="H8" s="23">
        <f t="shared" si="0"/>
        <v>160554.65979691187</v>
      </c>
      <c r="I8" s="28">
        <f>SUMIF(observed!$C$2:$C$138,sum_by_mode!$B8,observed!J$2:J$138)</f>
        <v>15048.46136809808</v>
      </c>
      <c r="J8" s="21">
        <f>SUMIF(observed!$C$2:$C$138,sum_by_mode!$B8,observed!K$2:K$138)</f>
        <v>109254.58767693343</v>
      </c>
      <c r="K8" s="21">
        <f>SUMIF(observed!$C$2:$C$138,sum_by_mode!$B8,observed!L$2:L$138)</f>
        <v>234100.85041334681</v>
      </c>
      <c r="L8" s="21">
        <f>SUMIF(observed!$C$2:$C$138,sum_by_mode!$B8,observed!M$2:M$138)</f>
        <v>128709.68661147087</v>
      </c>
      <c r="M8" s="21">
        <f>SUMIF(observed!$C$2:$C$138,sum_by_mode!$B8,observed!N$2:N$138)</f>
        <v>50878.772333637426</v>
      </c>
      <c r="N8" s="27">
        <f t="shared" si="1"/>
        <v>537992.35840348667</v>
      </c>
      <c r="O8" s="34">
        <f t="shared" si="7"/>
        <v>3.9074795859402367</v>
      </c>
      <c r="P8" s="35">
        <f t="shared" si="2"/>
        <v>3.490085979676071</v>
      </c>
      <c r="Q8" s="35">
        <f t="shared" si="3"/>
        <v>3.1732793016627601</v>
      </c>
      <c r="R8" s="35">
        <f t="shared" si="4"/>
        <v>3.334204891111173</v>
      </c>
      <c r="S8" s="35">
        <f t="shared" si="5"/>
        <v>3.9065838587830024</v>
      </c>
      <c r="T8" s="36">
        <f t="shared" si="6"/>
        <v>3.3508361518999306</v>
      </c>
    </row>
    <row r="9" spans="1:20" ht="15.75" thickBot="1" x14ac:dyDescent="0.3">
      <c r="A9" s="37"/>
      <c r="B9" s="38" t="s">
        <v>34</v>
      </c>
      <c r="C9" s="39">
        <f>SUM(C4:C8)</f>
        <v>9759.6451637548416</v>
      </c>
      <c r="D9" s="39">
        <f>SUM(D4:D8)</f>
        <v>64674.181835497417</v>
      </c>
      <c r="E9" s="39">
        <f>SUM(E4:E8)</f>
        <v>139291.02877314659</v>
      </c>
      <c r="F9" s="39">
        <f>SUM(F4:F8)</f>
        <v>83299.401585497748</v>
      </c>
      <c r="G9" s="39">
        <f>SUM(G4:G8)</f>
        <v>30492.211471889947</v>
      </c>
      <c r="H9" s="40">
        <f t="shared" si="0"/>
        <v>327516.46882978652</v>
      </c>
      <c r="I9" s="41">
        <f>SUM(I4:I8)</f>
        <v>61616.215892033884</v>
      </c>
      <c r="J9" s="42">
        <f>SUM(J4:J8)</f>
        <v>358613.16429607483</v>
      </c>
      <c r="K9" s="42">
        <f>SUM(K4:K8)</f>
        <v>604965.58735910035</v>
      </c>
      <c r="L9" s="42">
        <f>SUM(L4:L8)</f>
        <v>435397.87327991804</v>
      </c>
      <c r="M9" s="42">
        <f>SUM(M4:M8)</f>
        <v>157017.79644585558</v>
      </c>
      <c r="N9" s="43">
        <f>SUM(I9:M9)</f>
        <v>1617610.6372729826</v>
      </c>
      <c r="O9" s="44">
        <f t="shared" si="7"/>
        <v>6.3133664040228483</v>
      </c>
      <c r="P9" s="45">
        <f t="shared" si="2"/>
        <v>5.54491999927001</v>
      </c>
      <c r="Q9" s="45">
        <f t="shared" si="3"/>
        <v>4.3431769632799888</v>
      </c>
      <c r="R9" s="45">
        <f t="shared" si="4"/>
        <v>5.2269027747219727</v>
      </c>
      <c r="S9" s="45">
        <f t="shared" si="5"/>
        <v>5.1494394426132919</v>
      </c>
      <c r="T9" s="46">
        <f t="shared" si="6"/>
        <v>4.9390207553613754</v>
      </c>
    </row>
    <row r="10" spans="1:20" x14ac:dyDescent="0.25">
      <c r="A10" s="8"/>
      <c r="B10" s="8"/>
      <c r="C10" s="8"/>
      <c r="D10" s="8"/>
      <c r="E10" s="8"/>
      <c r="F10" s="8"/>
      <c r="G10" s="8"/>
      <c r="H10" s="8"/>
    </row>
    <row r="11" spans="1:20" ht="15.75" thickBot="1" x14ac:dyDescent="0.3">
      <c r="A11" s="7" t="s">
        <v>36</v>
      </c>
      <c r="B11" s="7"/>
      <c r="C11" s="7"/>
      <c r="D11" s="7"/>
      <c r="E11" s="7"/>
      <c r="F11" s="7"/>
      <c r="G11" s="7"/>
      <c r="H11" s="7"/>
    </row>
    <row r="12" spans="1:20" x14ac:dyDescent="0.25">
      <c r="A12" s="65"/>
      <c r="B12" s="66"/>
      <c r="C12" s="312" t="s">
        <v>31</v>
      </c>
      <c r="D12" s="312"/>
      <c r="E12" s="312"/>
      <c r="F12" s="312"/>
      <c r="G12" s="312"/>
      <c r="H12" s="313"/>
      <c r="I12" s="314" t="s">
        <v>32</v>
      </c>
      <c r="J12" s="315"/>
      <c r="K12" s="315"/>
      <c r="L12" s="315"/>
      <c r="M12" s="315"/>
      <c r="N12" s="316"/>
      <c r="O12" s="317" t="s">
        <v>33</v>
      </c>
      <c r="P12" s="318"/>
      <c r="Q12" s="318"/>
      <c r="R12" s="318"/>
      <c r="S12" s="318"/>
      <c r="T12" s="319"/>
    </row>
    <row r="13" spans="1:20" x14ac:dyDescent="0.25">
      <c r="A13" s="67"/>
      <c r="B13" s="68"/>
      <c r="C13" s="69" t="s">
        <v>42</v>
      </c>
      <c r="D13" s="69" t="s">
        <v>43</v>
      </c>
      <c r="E13" s="69" t="s">
        <v>44</v>
      </c>
      <c r="F13" s="69" t="s">
        <v>45</v>
      </c>
      <c r="G13" s="69" t="s">
        <v>46</v>
      </c>
      <c r="H13" s="70" t="s">
        <v>47</v>
      </c>
      <c r="I13" s="79" t="s">
        <v>42</v>
      </c>
      <c r="J13" s="80" t="s">
        <v>43</v>
      </c>
      <c r="K13" s="80" t="s">
        <v>44</v>
      </c>
      <c r="L13" s="80" t="s">
        <v>45</v>
      </c>
      <c r="M13" s="80" t="s">
        <v>46</v>
      </c>
      <c r="N13" s="81" t="s">
        <v>47</v>
      </c>
      <c r="O13" s="90" t="s">
        <v>42</v>
      </c>
      <c r="P13" s="91" t="s">
        <v>43</v>
      </c>
      <c r="Q13" s="91" t="s">
        <v>44</v>
      </c>
      <c r="R13" s="91" t="s">
        <v>45</v>
      </c>
      <c r="S13" s="91" t="s">
        <v>46</v>
      </c>
      <c r="T13" s="92" t="s">
        <v>47</v>
      </c>
    </row>
    <row r="14" spans="1:20" x14ac:dyDescent="0.25">
      <c r="A14" s="71" t="s">
        <v>35</v>
      </c>
      <c r="B14" s="72" t="s">
        <v>12</v>
      </c>
      <c r="C14" s="73">
        <f>SUMIF(bd!$B$2:$B$138,"4",bd!K$2:K$138)</f>
        <v>398.45176700000002</v>
      </c>
      <c r="D14" s="73">
        <f>SUMIF(bd!$B$2:$B$138,"4",bd!L$2:L$138)</f>
        <v>1890.0681440000001</v>
      </c>
      <c r="E14" s="73">
        <f>SUMIF(bd!$B$2:$B$138,"4",bd!M$2:M$138)</f>
        <v>753.40213100000005</v>
      </c>
      <c r="F14" s="73">
        <f>SUMIF(bd!$B$2:$B$138,"4",bd!N$2:N$138)</f>
        <v>1884.6275800000001</v>
      </c>
      <c r="G14" s="73">
        <f>SUMIF(bd!$B$2:$B$138,"4",bd!O$2:O$138)</f>
        <v>299</v>
      </c>
      <c r="H14" s="74">
        <f>SUM(C14:G14)</f>
        <v>5225.5496220000005</v>
      </c>
      <c r="I14" s="82">
        <f>SUMIF(pm!$B$2:$B$138,"4",pm!K$2:K$138)</f>
        <v>12334.416312448609</v>
      </c>
      <c r="J14" s="83">
        <f>SUMIF(pm!$B$2:$B$138,"4",pm!L$2:L$138)</f>
        <v>48430.055461573029</v>
      </c>
      <c r="K14" s="83">
        <f>SUMIF(pm!$B$2:$B$138,"4",pm!M$2:M$138)</f>
        <v>18617.489963306449</v>
      </c>
      <c r="L14" s="83">
        <f>SUMIF(pm!$B$2:$B$138,"4",pm!N$2:N$138)</f>
        <v>46658.746465500531</v>
      </c>
      <c r="M14" s="83">
        <f>SUMIF(pm!$B$2:$B$138,"4",pm!O$2:O$138)</f>
        <v>8194.0967520494196</v>
      </c>
      <c r="N14" s="84">
        <f>SUM(I14:M14)</f>
        <v>134234.80495487805</v>
      </c>
      <c r="O14" s="93">
        <f t="shared" ref="O14:O19" si="8">I14/C14</f>
        <v>30.955857983304185</v>
      </c>
      <c r="P14" s="94">
        <f t="shared" ref="P14:P19" si="9">J14/D14</f>
        <v>25.623444115130816</v>
      </c>
      <c r="Q14" s="94">
        <f t="shared" ref="Q14:Q19" si="10">K14/E14</f>
        <v>24.711225515907717</v>
      </c>
      <c r="R14" s="94">
        <f t="shared" ref="R14:R19" si="11">L14/F14</f>
        <v>24.757541999624419</v>
      </c>
      <c r="S14" s="94">
        <f t="shared" ref="S14:S19" si="12">M14/G14</f>
        <v>27.405005859697056</v>
      </c>
      <c r="T14" s="95">
        <f t="shared" ref="T14:T19" si="13">N14/H14</f>
        <v>25.688169602244002</v>
      </c>
    </row>
    <row r="15" spans="1:20" x14ac:dyDescent="0.25">
      <c r="A15" s="71"/>
      <c r="B15" s="72" t="s">
        <v>13</v>
      </c>
      <c r="C15" s="73">
        <f>SUMIF(bd!$B$2:$B$138,"5",bd!K$2:K$138)</f>
        <v>5650.207539</v>
      </c>
      <c r="D15" s="73">
        <f>SUMIF(bd!$B$2:$B$138,"5",bd!L$2:L$138)</f>
        <v>23683.276906000003</v>
      </c>
      <c r="E15" s="73">
        <f>SUMIF(bd!$B$2:$B$138,"5",bd!M$2:M$138)</f>
        <v>35514.156171999995</v>
      </c>
      <c r="F15" s="73">
        <f>SUMIF(bd!$B$2:$B$138,"5",bd!N$2:N$138)</f>
        <v>33908.181530000002</v>
      </c>
      <c r="G15" s="73">
        <f>SUMIF(bd!$B$2:$B$138,"5",bd!O$2:O$138)</f>
        <v>19296.63206</v>
      </c>
      <c r="H15" s="74">
        <f t="shared" ref="H15:H19" si="14">SUM(C15:G15)</f>
        <v>118052.454207</v>
      </c>
      <c r="I15" s="82">
        <f>SUMIF(pm!$B$2:$B$138,"5",pm!K$2:K$138)</f>
        <v>50546.066367741354</v>
      </c>
      <c r="J15" s="83">
        <f>SUMIF(pm!$B$2:$B$138,"5",pm!L$2:L$138)</f>
        <v>175589.6918300495</v>
      </c>
      <c r="K15" s="83">
        <f>SUMIF(pm!$B$2:$B$138,"5",pm!M$2:M$138)</f>
        <v>236172.57704594842</v>
      </c>
      <c r="L15" s="83">
        <f>SUMIF(pm!$B$2:$B$138,"5",pm!N$2:N$138)</f>
        <v>233520.88649771083</v>
      </c>
      <c r="M15" s="83">
        <f>SUMIF(pm!$B$2:$B$138,"5",pm!O$2:O$138)</f>
        <v>137472.84317775385</v>
      </c>
      <c r="N15" s="84">
        <f t="shared" ref="N15:N19" si="15">SUM(I15:M15)</f>
        <v>833302.06491920399</v>
      </c>
      <c r="O15" s="93">
        <f t="shared" si="8"/>
        <v>8.9458778317171745</v>
      </c>
      <c r="P15" s="94">
        <f t="shared" si="9"/>
        <v>7.4140792478580106</v>
      </c>
      <c r="Q15" s="94">
        <f t="shared" si="10"/>
        <v>6.6500968206067403</v>
      </c>
      <c r="R15" s="94">
        <f t="shared" si="11"/>
        <v>6.8868596297653131</v>
      </c>
      <c r="S15" s="94">
        <f t="shared" si="12"/>
        <v>7.1241884464761798</v>
      </c>
      <c r="T15" s="95">
        <f t="shared" si="13"/>
        <v>7.0587441024990802</v>
      </c>
    </row>
    <row r="16" spans="1:20" x14ac:dyDescent="0.25">
      <c r="A16" s="71"/>
      <c r="B16" s="72" t="s">
        <v>9</v>
      </c>
      <c r="C16" s="73">
        <f>SUMIF(bd!$B$2:$B$138,"8",bd!K$2:K$138)+SUMIF(bd!$B$2:$B$138,"9",bd!K$2:K$138)</f>
        <v>1103.6696449999999</v>
      </c>
      <c r="D16" s="73">
        <f>SUMIF(bd!$B$2:$B$138,"8",bd!L$2:L$138)+SUMIF(bd!$B$2:$B$138,"9",bd!L$2:L$138)</f>
        <v>5033.9025209999991</v>
      </c>
      <c r="E16" s="73">
        <f>SUMIF(bd!$B$2:$B$138,"8",bd!M$2:M$138)+SUMIF(bd!$B$2:$B$138,"9",bd!M$2:M$138)</f>
        <v>6677.1794239999999</v>
      </c>
      <c r="F16" s="73">
        <f>SUMIF(bd!$B$2:$B$138,"8",bd!N$2:N$138)+SUMIF(bd!$B$2:$B$138,"9",bd!N$2:N$138)</f>
        <v>6907.8581720000002</v>
      </c>
      <c r="G16" s="73">
        <f>SUMIF(bd!$B$2:$B$138,"8",bd!O$2:O$138)+SUMIF(bd!$B$2:$B$138,"9",bd!O$2:O$138)</f>
        <v>2958.0766990000002</v>
      </c>
      <c r="H16" s="74">
        <f t="shared" si="14"/>
        <v>22680.686461000001</v>
      </c>
      <c r="I16" s="82">
        <f>SUMIF(pm!$B$2:$B$138,"8",pm!K$2:K$138)+SUMIF(pm!$B$2:$B$138,"9",pm!K$2:K$138)</f>
        <v>7994.4465954986354</v>
      </c>
      <c r="J16" s="83">
        <f>SUMIF(pm!$B$2:$B$138,"8",pm!L$2:L$138)+SUMIF(pm!$B$2:$B$138,"9",pm!L$2:L$138)</f>
        <v>30448.659215966811</v>
      </c>
      <c r="K16" s="83">
        <f>SUMIF(pm!$B$2:$B$138,"8",pm!M$2:M$138)+SUMIF(pm!$B$2:$B$138,"9",pm!M$2:M$138)</f>
        <v>35434.25879024867</v>
      </c>
      <c r="L16" s="83">
        <f>SUMIF(pm!$B$2:$B$138,"8",pm!N$2:N$138)+SUMIF(pm!$B$2:$B$138,"9",pm!N$2:N$138)</f>
        <v>39338.165837525878</v>
      </c>
      <c r="M16" s="83">
        <f>SUMIF(pm!$B$2:$B$138,"8",pm!O$2:O$138)+SUMIF(pm!$B$2:$B$138,"9",pm!O$2:O$138)</f>
        <v>15718.821816722098</v>
      </c>
      <c r="N16" s="84">
        <f t="shared" si="15"/>
        <v>128934.35225596209</v>
      </c>
      <c r="O16" s="93">
        <f t="shared" si="8"/>
        <v>7.243514063937706</v>
      </c>
      <c r="P16" s="94">
        <f t="shared" si="9"/>
        <v>6.0487184821207265</v>
      </c>
      <c r="Q16" s="94">
        <f t="shared" si="10"/>
        <v>5.3067704999638288</v>
      </c>
      <c r="R16" s="94">
        <f t="shared" si="11"/>
        <v>5.6946979596334826</v>
      </c>
      <c r="S16" s="94">
        <f t="shared" si="12"/>
        <v>5.3138655336543383</v>
      </c>
      <c r="T16" s="95">
        <f t="shared" si="13"/>
        <v>5.6847641043699397</v>
      </c>
    </row>
    <row r="17" spans="1:20" x14ac:dyDescent="0.25">
      <c r="A17" s="71"/>
      <c r="B17" s="72" t="s">
        <v>50</v>
      </c>
      <c r="C17" s="73">
        <f>SUMIF(bd!$B$2:$B$138,"6",bd!K$2:K$138)+SUMIF(bd!$B$2:$B$138,"7",bd!K$2:K$138)</f>
        <v>1033.3608989999998</v>
      </c>
      <c r="D17" s="73">
        <f>SUMIF(bd!$B$2:$B$138,"6",bd!L$2:L$138)+SUMIF(bd!$B$2:$B$138,"7",bd!L$2:L$138)</f>
        <v>5809.3954800000001</v>
      </c>
      <c r="E17" s="73">
        <f>SUMIF(bd!$B$2:$B$138,"6",bd!M$2:M$138)+SUMIF(bd!$B$2:$B$138,"7",bd!M$2:M$138)</f>
        <v>7700.4671139999991</v>
      </c>
      <c r="F17" s="73">
        <f>SUMIF(bd!$B$2:$B$138,"6",bd!N$2:N$138)+SUMIF(bd!$B$2:$B$138,"7",bd!N$2:N$138)</f>
        <v>8180.2462159999995</v>
      </c>
      <c r="G17" s="73">
        <f>SUMIF(bd!$B$2:$B$138,"6",bd!O$2:O$138)+SUMIF(bd!$B$2:$B$138,"7",bd!O$2:O$138)</f>
        <v>3611.5527309999998</v>
      </c>
      <c r="H17" s="74">
        <f t="shared" si="14"/>
        <v>26335.022439999997</v>
      </c>
      <c r="I17" s="82">
        <f>SUMIF(pm!$B$2:$B$138,"6",pm!K$2:K$138)+SUMIF(pm!$B$2:$B$138,"7",pm!K$2:K$138)</f>
        <v>11024.545653986348</v>
      </c>
      <c r="J17" s="83">
        <f>SUMIF(pm!$B$2:$B$138,"6",pm!L$2:L$138)+SUMIF(pm!$B$2:$B$138,"7",pm!L$2:L$138)</f>
        <v>39247.9843943347</v>
      </c>
      <c r="K17" s="83">
        <f>SUMIF(pm!$B$2:$B$138,"6",pm!M$2:M$138)+SUMIF(pm!$B$2:$B$138,"7",pm!M$2:M$138)</f>
        <v>43220.122357376335</v>
      </c>
      <c r="L17" s="83">
        <f>SUMIF(pm!$B$2:$B$138,"6",pm!N$2:N$138)+SUMIF(pm!$B$2:$B$138,"7",pm!N$2:N$138)</f>
        <v>51131.359996921492</v>
      </c>
      <c r="M17" s="83">
        <f>SUMIF(pm!$B$2:$B$138,"6",pm!O$2:O$138)+SUMIF(pm!$B$2:$B$138,"7",pm!O$2:O$138)</f>
        <v>22226.066356729501</v>
      </c>
      <c r="N17" s="84">
        <f t="shared" si="15"/>
        <v>166850.0787593484</v>
      </c>
      <c r="O17" s="93">
        <f t="shared" si="8"/>
        <v>10.668630547812464</v>
      </c>
      <c r="P17" s="94">
        <f t="shared" si="9"/>
        <v>6.7559498280765524</v>
      </c>
      <c r="Q17" s="94">
        <f t="shared" si="10"/>
        <v>5.612662416127856</v>
      </c>
      <c r="R17" s="94">
        <f t="shared" si="11"/>
        <v>6.2505893645245134</v>
      </c>
      <c r="S17" s="94">
        <f t="shared" si="12"/>
        <v>6.1541580622513425</v>
      </c>
      <c r="T17" s="95">
        <f t="shared" si="13"/>
        <v>6.3356725493395256</v>
      </c>
    </row>
    <row r="18" spans="1:20" x14ac:dyDescent="0.25">
      <c r="A18" s="71"/>
      <c r="B18" s="72" t="s">
        <v>0</v>
      </c>
      <c r="C18" s="73">
        <f>SUMIF(bd!$B$2:$B$138,"10",bd!K$2:K$138)</f>
        <v>5931.1752649999999</v>
      </c>
      <c r="D18" s="73">
        <f>SUMIF(bd!$B$2:$B$138,"10",bd!L$2:L$138)</f>
        <v>30329.071988000007</v>
      </c>
      <c r="E18" s="73">
        <f>SUMIF(bd!$B$2:$B$138,"10",bd!M$2:M$138)</f>
        <v>58280.540986000015</v>
      </c>
      <c r="F18" s="73">
        <f>SUMIF(bd!$B$2:$B$138,"10",bd!N$2:N$138)</f>
        <v>48810.26602999997</v>
      </c>
      <c r="G18" s="73">
        <f>SUMIF(bd!$B$2:$B$138,"10",bd!O$2:O$138)</f>
        <v>27499.062311999998</v>
      </c>
      <c r="H18" s="74">
        <f t="shared" si="14"/>
        <v>170850.11658099998</v>
      </c>
      <c r="I18" s="85">
        <f>SUMIF(pm!$B$2:$B$138,"10",pm!K$2:K$138)</f>
        <v>28661.615318862296</v>
      </c>
      <c r="J18" s="86">
        <f>SUMIF(pm!$B$2:$B$138,"10",pm!L$2:L$138)</f>
        <v>117878.15777661111</v>
      </c>
      <c r="K18" s="86">
        <f>SUMIF(pm!$B$2:$B$138,"10",pm!M$2:M$138)</f>
        <v>204220.21076925404</v>
      </c>
      <c r="L18" s="86">
        <f>SUMIF(pm!$B$2:$B$138,"10",pm!N$2:N$138)</f>
        <v>176699.63677923125</v>
      </c>
      <c r="M18" s="86">
        <f>SUMIF(pm!$B$2:$B$138,"10",pm!O$2:O$138)</f>
        <v>102203.42047143338</v>
      </c>
      <c r="N18" s="84">
        <f t="shared" si="15"/>
        <v>629663.041115392</v>
      </c>
      <c r="O18" s="93">
        <f t="shared" si="8"/>
        <v>4.8323669489241263</v>
      </c>
      <c r="P18" s="94">
        <f t="shared" si="9"/>
        <v>3.8866391237836342</v>
      </c>
      <c r="Q18" s="94">
        <f t="shared" si="10"/>
        <v>3.5040891404613288</v>
      </c>
      <c r="R18" s="94">
        <f t="shared" si="11"/>
        <v>3.6201326309229165</v>
      </c>
      <c r="S18" s="94">
        <f t="shared" si="12"/>
        <v>3.716614745326571</v>
      </c>
      <c r="T18" s="95">
        <f t="shared" si="13"/>
        <v>3.6854703626547951</v>
      </c>
    </row>
    <row r="19" spans="1:20" ht="15.75" thickBot="1" x14ac:dyDescent="0.3">
      <c r="A19" s="75"/>
      <c r="B19" s="76" t="s">
        <v>34</v>
      </c>
      <c r="C19" s="77">
        <f t="shared" ref="C19:M19" si="16">SUM(C14:C18)</f>
        <v>14116.865114999999</v>
      </c>
      <c r="D19" s="77">
        <f t="shared" si="16"/>
        <v>66745.715039000017</v>
      </c>
      <c r="E19" s="77">
        <f t="shared" si="16"/>
        <v>108925.74582700001</v>
      </c>
      <c r="F19" s="77">
        <f t="shared" si="16"/>
        <v>99691.179527999979</v>
      </c>
      <c r="G19" s="77">
        <f t="shared" si="16"/>
        <v>53664.323801999999</v>
      </c>
      <c r="H19" s="78">
        <f t="shared" si="14"/>
        <v>343143.82931100007</v>
      </c>
      <c r="I19" s="87">
        <f t="shared" si="16"/>
        <v>110561.09024853725</v>
      </c>
      <c r="J19" s="88">
        <f t="shared" si="16"/>
        <v>411594.54867853515</v>
      </c>
      <c r="K19" s="88">
        <f t="shared" si="16"/>
        <v>537664.65892613388</v>
      </c>
      <c r="L19" s="88">
        <f t="shared" si="16"/>
        <v>547348.79557689</v>
      </c>
      <c r="M19" s="88">
        <f t="shared" si="16"/>
        <v>285815.24857468827</v>
      </c>
      <c r="N19" s="89">
        <f t="shared" si="15"/>
        <v>1892984.3420047846</v>
      </c>
      <c r="O19" s="96">
        <f t="shared" si="8"/>
        <v>7.831844347018631</v>
      </c>
      <c r="P19" s="97">
        <f t="shared" si="9"/>
        <v>6.1666063272831435</v>
      </c>
      <c r="Q19" s="97">
        <f t="shared" si="10"/>
        <v>4.9360658937334545</v>
      </c>
      <c r="R19" s="97">
        <f t="shared" si="11"/>
        <v>5.4904435695151719</v>
      </c>
      <c r="S19" s="97">
        <f t="shared" si="12"/>
        <v>5.3259824838049354</v>
      </c>
      <c r="T19" s="98">
        <f t="shared" si="13"/>
        <v>5.5165915289973766</v>
      </c>
    </row>
    <row r="20" spans="1:20" x14ac:dyDescent="0.25">
      <c r="A20" s="8"/>
      <c r="B20" s="8"/>
      <c r="C20" s="9"/>
      <c r="D20" s="9"/>
      <c r="E20" s="9"/>
      <c r="F20" s="9"/>
      <c r="G20" s="9"/>
      <c r="H20" s="9"/>
    </row>
    <row r="21" spans="1:20" ht="15.75" thickBot="1" x14ac:dyDescent="0.3">
      <c r="A21" s="7" t="s">
        <v>37</v>
      </c>
      <c r="B21" s="7"/>
      <c r="C21" s="7"/>
      <c r="D21" s="7"/>
      <c r="E21" s="7"/>
      <c r="F21" s="7"/>
      <c r="G21" s="7"/>
      <c r="H21" s="7"/>
    </row>
    <row r="22" spans="1:20" x14ac:dyDescent="0.25">
      <c r="A22" s="99"/>
      <c r="B22" s="100"/>
      <c r="C22" s="298" t="s">
        <v>31</v>
      </c>
      <c r="D22" s="298"/>
      <c r="E22" s="298"/>
      <c r="F22" s="298"/>
      <c r="G22" s="298"/>
      <c r="H22" s="299"/>
      <c r="I22" s="300" t="s">
        <v>32</v>
      </c>
      <c r="J22" s="298"/>
      <c r="K22" s="298"/>
      <c r="L22" s="298"/>
      <c r="M22" s="298"/>
      <c r="N22" s="301"/>
      <c r="O22" s="302" t="s">
        <v>33</v>
      </c>
      <c r="P22" s="298"/>
      <c r="Q22" s="298"/>
      <c r="R22" s="298"/>
      <c r="S22" s="298"/>
      <c r="T22" s="303"/>
    </row>
    <row r="23" spans="1:20" x14ac:dyDescent="0.25">
      <c r="A23" s="101"/>
      <c r="B23" s="102"/>
      <c r="C23" s="103" t="s">
        <v>42</v>
      </c>
      <c r="D23" s="103" t="s">
        <v>43</v>
      </c>
      <c r="E23" s="103" t="s">
        <v>44</v>
      </c>
      <c r="F23" s="103" t="s">
        <v>45</v>
      </c>
      <c r="G23" s="103" t="s">
        <v>46</v>
      </c>
      <c r="H23" s="104" t="s">
        <v>47</v>
      </c>
      <c r="I23" s="105" t="s">
        <v>42</v>
      </c>
      <c r="J23" s="103" t="s">
        <v>43</v>
      </c>
      <c r="K23" s="103" t="s">
        <v>44</v>
      </c>
      <c r="L23" s="103" t="s">
        <v>45</v>
      </c>
      <c r="M23" s="103" t="s">
        <v>46</v>
      </c>
      <c r="N23" s="106" t="s">
        <v>47</v>
      </c>
      <c r="O23" s="107" t="s">
        <v>42</v>
      </c>
      <c r="P23" s="103" t="s">
        <v>43</v>
      </c>
      <c r="Q23" s="103" t="s">
        <v>44</v>
      </c>
      <c r="R23" s="103" t="s">
        <v>45</v>
      </c>
      <c r="S23" s="103" t="s">
        <v>46</v>
      </c>
      <c r="T23" s="108" t="s">
        <v>47</v>
      </c>
    </row>
    <row r="24" spans="1:20" x14ac:dyDescent="0.25">
      <c r="A24" s="109" t="s">
        <v>35</v>
      </c>
      <c r="B24" s="110" t="s">
        <v>12</v>
      </c>
      <c r="C24" s="114">
        <f>C14-C4</f>
        <v>269.92399384192549</v>
      </c>
      <c r="D24" s="114">
        <f t="shared" ref="D24:T24" si="17">D14-D4</f>
        <v>215.66815551139166</v>
      </c>
      <c r="E24" s="114">
        <f t="shared" si="17"/>
        <v>-22.288717735769183</v>
      </c>
      <c r="F24" s="114">
        <f t="shared" si="17"/>
        <v>-250.98878126020804</v>
      </c>
      <c r="G24" s="114">
        <f t="shared" si="17"/>
        <v>-1.7610934088198178</v>
      </c>
      <c r="H24" s="115">
        <f t="shared" si="17"/>
        <v>210.55355694852096</v>
      </c>
      <c r="I24" s="116">
        <f t="shared" si="17"/>
        <v>8933.8284902322757</v>
      </c>
      <c r="J24" s="114">
        <f t="shared" si="17"/>
        <v>9336.8713526629726</v>
      </c>
      <c r="K24" s="114">
        <f t="shared" si="17"/>
        <v>-1487.5515053993695</v>
      </c>
      <c r="L24" s="114">
        <f t="shared" si="17"/>
        <v>-1729.3118300564747</v>
      </c>
      <c r="M24" s="114">
        <f t="shared" si="17"/>
        <v>742.84103573479661</v>
      </c>
      <c r="N24" s="117">
        <f t="shared" si="17"/>
        <v>15796.677543174213</v>
      </c>
      <c r="O24" s="112">
        <f t="shared" si="17"/>
        <v>4.4978579833041898</v>
      </c>
      <c r="P24" s="111">
        <f t="shared" si="17"/>
        <v>2.2758662498219486</v>
      </c>
      <c r="Q24" s="111">
        <f t="shared" si="17"/>
        <v>-1.2076589230066652</v>
      </c>
      <c r="R24" s="111">
        <f t="shared" si="17"/>
        <v>2.0998872010801506</v>
      </c>
      <c r="S24" s="111">
        <f t="shared" si="17"/>
        <v>2.6303395893286066</v>
      </c>
      <c r="T24" s="113">
        <f t="shared" si="17"/>
        <v>2.0713759147921138</v>
      </c>
    </row>
    <row r="25" spans="1:20" x14ac:dyDescent="0.25">
      <c r="A25" s="109"/>
      <c r="B25" s="110" t="s">
        <v>13</v>
      </c>
      <c r="C25" s="114">
        <f t="shared" ref="C25:T25" si="18">C15-C5</f>
        <v>890.77928221938782</v>
      </c>
      <c r="D25" s="114">
        <f t="shared" si="18"/>
        <v>965.64768219611506</v>
      </c>
      <c r="E25" s="114">
        <f t="shared" si="18"/>
        <v>-12717.031307795682</v>
      </c>
      <c r="F25" s="114">
        <f t="shared" si="18"/>
        <v>2730.6468037167142</v>
      </c>
      <c r="G25" s="114">
        <f t="shared" si="18"/>
        <v>6083.2815405219535</v>
      </c>
      <c r="H25" s="115">
        <f t="shared" si="18"/>
        <v>-2046.6759991415165</v>
      </c>
      <c r="I25" s="116">
        <f t="shared" si="18"/>
        <v>17423.122870349027</v>
      </c>
      <c r="J25" s="114">
        <f t="shared" si="18"/>
        <v>36636.891407857358</v>
      </c>
      <c r="K25" s="114">
        <f t="shared" si="18"/>
        <v>-27041.962844829599</v>
      </c>
      <c r="L25" s="114">
        <f t="shared" si="18"/>
        <v>52335.785188803478</v>
      </c>
      <c r="M25" s="114">
        <f t="shared" si="18"/>
        <v>61376.59265483405</v>
      </c>
      <c r="N25" s="117">
        <f t="shared" si="18"/>
        <v>140730.42927701434</v>
      </c>
      <c r="O25" s="112">
        <f t="shared" si="18"/>
        <v>1.9864403299115576</v>
      </c>
      <c r="P25" s="111">
        <f t="shared" si="18"/>
        <v>1.2975607038985366</v>
      </c>
      <c r="Q25" s="111">
        <f t="shared" si="18"/>
        <v>1.1927453921137117</v>
      </c>
      <c r="R25" s="111">
        <f t="shared" si="18"/>
        <v>1.0754603995316065</v>
      </c>
      <c r="S25" s="111">
        <f t="shared" si="18"/>
        <v>1.3651456956806944</v>
      </c>
      <c r="T25" s="113">
        <f t="shared" si="18"/>
        <v>1.2920775625046588</v>
      </c>
    </row>
    <row r="26" spans="1:20" x14ac:dyDescent="0.25">
      <c r="A26" s="109"/>
      <c r="B26" s="110" t="s">
        <v>9</v>
      </c>
      <c r="C26" s="114">
        <f t="shared" ref="C26:T26" si="19">C16-C6</f>
        <v>627.37618898872461</v>
      </c>
      <c r="D26" s="114">
        <f t="shared" si="19"/>
        <v>1197.6630812657527</v>
      </c>
      <c r="E26" s="114">
        <f t="shared" si="19"/>
        <v>310.58240129850401</v>
      </c>
      <c r="F26" s="114">
        <f t="shared" si="19"/>
        <v>2849.4562763850545</v>
      </c>
      <c r="G26" s="114">
        <f t="shared" si="19"/>
        <v>1722.0921768296789</v>
      </c>
      <c r="H26" s="115">
        <f t="shared" si="19"/>
        <v>6707.1701247677156</v>
      </c>
      <c r="I26" s="116">
        <f t="shared" si="19"/>
        <v>4219.8774029064007</v>
      </c>
      <c r="J26" s="114">
        <f t="shared" si="19"/>
        <v>4007.2065371771605</v>
      </c>
      <c r="K26" s="114">
        <f t="shared" si="19"/>
        <v>1638.8366102228247</v>
      </c>
      <c r="L26" s="114">
        <f t="shared" si="19"/>
        <v>13783.029519410375</v>
      </c>
      <c r="M26" s="114">
        <f t="shared" si="19"/>
        <v>9319.4968444945443</v>
      </c>
      <c r="N26" s="117">
        <f t="shared" si="19"/>
        <v>32968.446914211308</v>
      </c>
      <c r="O26" s="112">
        <f t="shared" si="19"/>
        <v>-0.68136742446737397</v>
      </c>
      <c r="P26" s="111">
        <f t="shared" si="19"/>
        <v>-0.8438264421922792</v>
      </c>
      <c r="Q26" s="111">
        <f t="shared" si="19"/>
        <v>-1.4690602786160412E-3</v>
      </c>
      <c r="R26" s="111">
        <f t="shared" si="19"/>
        <v>-0.60214916773641125</v>
      </c>
      <c r="S26" s="111">
        <f t="shared" si="19"/>
        <v>0.13635330964146064</v>
      </c>
      <c r="T26" s="113">
        <f t="shared" si="19"/>
        <v>-0.32304928635317687</v>
      </c>
    </row>
    <row r="27" spans="1:20" x14ac:dyDescent="0.25">
      <c r="A27" s="109"/>
      <c r="B27" s="110" t="s">
        <v>50</v>
      </c>
      <c r="C27" s="114">
        <f t="shared" ref="C27:T27" si="20">C17-C7</f>
        <v>489.15907573116215</v>
      </c>
      <c r="D27" s="114">
        <f t="shared" si="20"/>
        <v>667.75053323156044</v>
      </c>
      <c r="E27" s="114">
        <f t="shared" si="20"/>
        <v>-2444.5538079597973</v>
      </c>
      <c r="F27" s="114">
        <f t="shared" si="20"/>
        <v>855.21022262920269</v>
      </c>
      <c r="G27" s="114">
        <f t="shared" si="20"/>
        <v>893.28999091846617</v>
      </c>
      <c r="H27" s="115">
        <f t="shared" si="20"/>
        <v>460.85601455059441</v>
      </c>
      <c r="I27" s="116">
        <f t="shared" si="20"/>
        <v>4754.8916422514467</v>
      </c>
      <c r="J27" s="114">
        <f t="shared" si="20"/>
        <v>-5623.1550149148607</v>
      </c>
      <c r="K27" s="114">
        <f t="shared" si="20"/>
        <v>-10529.611048867599</v>
      </c>
      <c r="L27" s="114">
        <f t="shared" si="20"/>
        <v>-428.53074894577003</v>
      </c>
      <c r="M27" s="114">
        <f t="shared" si="20"/>
        <v>6033.8734559733384</v>
      </c>
      <c r="N27" s="117">
        <f t="shared" si="20"/>
        <v>-5792.5317145034205</v>
      </c>
      <c r="O27" s="112">
        <f t="shared" si="20"/>
        <v>-0.85219452784640559</v>
      </c>
      <c r="P27" s="111">
        <f t="shared" si="20"/>
        <v>-1.971050941871864</v>
      </c>
      <c r="Q27" s="111">
        <f t="shared" si="20"/>
        <v>0.31452317918474915</v>
      </c>
      <c r="R27" s="111">
        <f t="shared" si="20"/>
        <v>-0.78826898272856294</v>
      </c>
      <c r="S27" s="111">
        <f t="shared" si="20"/>
        <v>0.19734135649372231</v>
      </c>
      <c r="T27" s="113">
        <f t="shared" si="20"/>
        <v>-0.33672058731601506</v>
      </c>
    </row>
    <row r="28" spans="1:20" x14ac:dyDescent="0.25">
      <c r="A28" s="109"/>
      <c r="B28" s="110" t="s">
        <v>0</v>
      </c>
      <c r="C28" s="114">
        <f t="shared" ref="C28:T28" si="21">C18-C8</f>
        <v>2079.9814104639572</v>
      </c>
      <c r="D28" s="114">
        <f t="shared" si="21"/>
        <v>-975.19624870222833</v>
      </c>
      <c r="E28" s="114">
        <f t="shared" si="21"/>
        <v>-15491.991513953828</v>
      </c>
      <c r="F28" s="114">
        <f t="shared" si="21"/>
        <v>10207.45342103146</v>
      </c>
      <c r="G28" s="114">
        <f t="shared" si="21"/>
        <v>14475.209715248773</v>
      </c>
      <c r="H28" s="115">
        <f t="shared" si="21"/>
        <v>10295.456784088106</v>
      </c>
      <c r="I28" s="118">
        <f t="shared" si="21"/>
        <v>13613.153950764216</v>
      </c>
      <c r="J28" s="119">
        <f t="shared" si="21"/>
        <v>8623.5700996776868</v>
      </c>
      <c r="K28" s="119">
        <f t="shared" si="21"/>
        <v>-29880.639644092764</v>
      </c>
      <c r="L28" s="119">
        <f t="shared" si="21"/>
        <v>47989.950167760384</v>
      </c>
      <c r="M28" s="119">
        <f t="shared" si="21"/>
        <v>51324.64813779595</v>
      </c>
      <c r="N28" s="117">
        <f t="shared" si="21"/>
        <v>91670.682711905334</v>
      </c>
      <c r="O28" s="112">
        <f t="shared" si="21"/>
        <v>0.92488736298388963</v>
      </c>
      <c r="P28" s="111">
        <f t="shared" si="21"/>
        <v>0.39655314410756315</v>
      </c>
      <c r="Q28" s="111">
        <f t="shared" si="21"/>
        <v>0.33080983879856873</v>
      </c>
      <c r="R28" s="111">
        <f t="shared" si="21"/>
        <v>0.28592773981174346</v>
      </c>
      <c r="S28" s="111">
        <f t="shared" si="21"/>
        <v>-0.18996911345643142</v>
      </c>
      <c r="T28" s="113">
        <f t="shared" si="21"/>
        <v>0.33463421075486455</v>
      </c>
    </row>
    <row r="29" spans="1:20" ht="15.75" thickBot="1" x14ac:dyDescent="0.3">
      <c r="A29" s="229"/>
      <c r="B29" s="230" t="s">
        <v>34</v>
      </c>
      <c r="C29" s="255">
        <f t="shared" ref="C29:T29" si="22">C19-C9</f>
        <v>4357.2199512451571</v>
      </c>
      <c r="D29" s="255">
        <f t="shared" si="22"/>
        <v>2071.5332035026004</v>
      </c>
      <c r="E29" s="255">
        <f t="shared" si="22"/>
        <v>-30365.282946146588</v>
      </c>
      <c r="F29" s="255">
        <f t="shared" si="22"/>
        <v>16391.777942502231</v>
      </c>
      <c r="G29" s="255">
        <f t="shared" si="22"/>
        <v>23172.112330110052</v>
      </c>
      <c r="H29" s="256">
        <f t="shared" si="22"/>
        <v>15627.360481213545</v>
      </c>
      <c r="I29" s="257">
        <f t="shared" si="22"/>
        <v>48944.874356503366</v>
      </c>
      <c r="J29" s="255">
        <f t="shared" si="22"/>
        <v>52981.384382460325</v>
      </c>
      <c r="K29" s="255">
        <f t="shared" si="22"/>
        <v>-67300.928432966466</v>
      </c>
      <c r="L29" s="255">
        <f t="shared" si="22"/>
        <v>111950.92229697196</v>
      </c>
      <c r="M29" s="255">
        <f t="shared" si="22"/>
        <v>128797.45212883269</v>
      </c>
      <c r="N29" s="258">
        <f t="shared" si="22"/>
        <v>275373.70473180199</v>
      </c>
      <c r="O29" s="259">
        <f t="shared" si="22"/>
        <v>1.5184779429957826</v>
      </c>
      <c r="P29" s="260">
        <f t="shared" si="22"/>
        <v>0.6216863280131335</v>
      </c>
      <c r="Q29" s="260">
        <f t="shared" si="22"/>
        <v>0.59288893045346569</v>
      </c>
      <c r="R29" s="260">
        <f t="shared" si="22"/>
        <v>0.26354079479319914</v>
      </c>
      <c r="S29" s="260">
        <f t="shared" si="22"/>
        <v>0.17654304119164355</v>
      </c>
      <c r="T29" s="261">
        <f t="shared" si="22"/>
        <v>0.57757077363600118</v>
      </c>
    </row>
    <row r="30" spans="1:20" x14ac:dyDescent="0.25">
      <c r="A30" s="7"/>
      <c r="B30" s="7"/>
      <c r="C30" s="7"/>
      <c r="D30" s="7"/>
      <c r="E30" s="7"/>
      <c r="F30" s="7"/>
      <c r="G30" s="7"/>
      <c r="H30" s="7"/>
    </row>
    <row r="31" spans="1:20" ht="15.75" thickBot="1" x14ac:dyDescent="0.3">
      <c r="A31" s="7" t="s">
        <v>38</v>
      </c>
      <c r="B31" s="7"/>
      <c r="C31" s="7"/>
      <c r="D31" s="7"/>
      <c r="E31" s="7"/>
      <c r="F31" s="7"/>
      <c r="G31" s="7"/>
      <c r="H31" s="7"/>
    </row>
    <row r="32" spans="1:20" x14ac:dyDescent="0.25">
      <c r="A32" s="99"/>
      <c r="B32" s="100"/>
      <c r="C32" s="298" t="s">
        <v>31</v>
      </c>
      <c r="D32" s="298"/>
      <c r="E32" s="298"/>
      <c r="F32" s="298"/>
      <c r="G32" s="298"/>
      <c r="H32" s="299"/>
      <c r="I32" s="300" t="s">
        <v>32</v>
      </c>
      <c r="J32" s="298"/>
      <c r="K32" s="298"/>
      <c r="L32" s="298"/>
      <c r="M32" s="298"/>
      <c r="N32" s="301"/>
      <c r="O32" s="302" t="s">
        <v>33</v>
      </c>
      <c r="P32" s="298"/>
      <c r="Q32" s="298"/>
      <c r="R32" s="298"/>
      <c r="S32" s="298"/>
      <c r="T32" s="303"/>
    </row>
    <row r="33" spans="1:20" x14ac:dyDescent="0.25">
      <c r="A33" s="101"/>
      <c r="B33" s="102"/>
      <c r="C33" s="103" t="s">
        <v>42</v>
      </c>
      <c r="D33" s="103" t="s">
        <v>43</v>
      </c>
      <c r="E33" s="103" t="s">
        <v>44</v>
      </c>
      <c r="F33" s="103" t="s">
        <v>45</v>
      </c>
      <c r="G33" s="103" t="s">
        <v>46</v>
      </c>
      <c r="H33" s="104" t="s">
        <v>47</v>
      </c>
      <c r="I33" s="105" t="s">
        <v>42</v>
      </c>
      <c r="J33" s="103" t="s">
        <v>43</v>
      </c>
      <c r="K33" s="103" t="s">
        <v>44</v>
      </c>
      <c r="L33" s="103" t="s">
        <v>45</v>
      </c>
      <c r="M33" s="103" t="s">
        <v>46</v>
      </c>
      <c r="N33" s="106" t="s">
        <v>47</v>
      </c>
      <c r="O33" s="107" t="s">
        <v>42</v>
      </c>
      <c r="P33" s="103" t="s">
        <v>43</v>
      </c>
      <c r="Q33" s="103" t="s">
        <v>44</v>
      </c>
      <c r="R33" s="103" t="s">
        <v>45</v>
      </c>
      <c r="S33" s="103" t="s">
        <v>46</v>
      </c>
      <c r="T33" s="108" t="s">
        <v>47</v>
      </c>
    </row>
    <row r="34" spans="1:20" x14ac:dyDescent="0.25">
      <c r="A34" s="109" t="s">
        <v>35</v>
      </c>
      <c r="B34" s="110" t="s">
        <v>12</v>
      </c>
      <c r="C34" s="120">
        <f>C14/C4-1</f>
        <v>2.1001219208081183</v>
      </c>
      <c r="D34" s="120">
        <f t="shared" ref="D34:T34" si="23">D14/D4-1</f>
        <v>0.12880324712977553</v>
      </c>
      <c r="E34" s="120">
        <f t="shared" si="23"/>
        <v>-2.873402177181239E-2</v>
      </c>
      <c r="F34" s="120">
        <f t="shared" si="23"/>
        <v>-0.11752521932923465</v>
      </c>
      <c r="G34" s="120">
        <f t="shared" si="23"/>
        <v>-5.855456199003739E-3</v>
      </c>
      <c r="H34" s="121">
        <f t="shared" si="23"/>
        <v>4.1984790061118327E-2</v>
      </c>
      <c r="I34" s="122">
        <f t="shared" si="23"/>
        <v>2.6271424110463495</v>
      </c>
      <c r="J34" s="120">
        <f t="shared" si="23"/>
        <v>0.23883629756663716</v>
      </c>
      <c r="K34" s="120">
        <f t="shared" si="23"/>
        <v>-7.3988979715102543E-2</v>
      </c>
      <c r="L34" s="120">
        <f t="shared" si="23"/>
        <v>-3.5738400980955709E-2</v>
      </c>
      <c r="M34" s="120">
        <f t="shared" si="23"/>
        <v>9.9693402564125622E-2</v>
      </c>
      <c r="N34" s="123">
        <f>N14/N4-1</f>
        <v>0.13337493498409714</v>
      </c>
      <c r="O34" s="124">
        <f t="shared" si="23"/>
        <v>0.16999992377746587</v>
      </c>
      <c r="P34" s="120">
        <f t="shared" si="23"/>
        <v>9.7477616862499339E-2</v>
      </c>
      <c r="Q34" s="120">
        <f t="shared" si="23"/>
        <v>-4.6593784769281887E-2</v>
      </c>
      <c r="R34" s="120">
        <f t="shared" si="23"/>
        <v>9.2678929913570185E-2</v>
      </c>
      <c r="S34" s="120">
        <f t="shared" si="23"/>
        <v>0.10617053568445467</v>
      </c>
      <c r="T34" s="125">
        <f t="shared" si="23"/>
        <v>8.7707753313383874E-2</v>
      </c>
    </row>
    <row r="35" spans="1:20" x14ac:dyDescent="0.25">
      <c r="A35" s="109"/>
      <c r="B35" s="110" t="s">
        <v>13</v>
      </c>
      <c r="C35" s="120">
        <f t="shared" ref="C35:T35" si="24">C15/C5-1</f>
        <v>0.18716098534531356</v>
      </c>
      <c r="D35" s="120">
        <f t="shared" si="24"/>
        <v>4.2506534140644092E-2</v>
      </c>
      <c r="E35" s="120">
        <f t="shared" si="24"/>
        <v>-0.26366821909833593</v>
      </c>
      <c r="F35" s="120">
        <f t="shared" si="24"/>
        <v>8.7583794796152414E-2</v>
      </c>
      <c r="G35" s="120">
        <f t="shared" si="24"/>
        <v>0.46038902332564891</v>
      </c>
      <c r="H35" s="121">
        <f t="shared" si="24"/>
        <v>-1.704155555188902E-2</v>
      </c>
      <c r="I35" s="122">
        <f t="shared" si="24"/>
        <v>0.52601372434550386</v>
      </c>
      <c r="J35" s="120">
        <f t="shared" si="24"/>
        <v>0.26366428957559962</v>
      </c>
      <c r="K35" s="120">
        <f t="shared" si="24"/>
        <v>-0.10273734443412885</v>
      </c>
      <c r="L35" s="120">
        <f t="shared" si="24"/>
        <v>0.28885258672331338</v>
      </c>
      <c r="M35" s="120">
        <f t="shared" si="24"/>
        <v>0.80656526744833168</v>
      </c>
      <c r="N35" s="123">
        <f t="shared" si="24"/>
        <v>0.20319981650204544</v>
      </c>
      <c r="O35" s="124">
        <f t="shared" si="24"/>
        <v>0.28543116155525183</v>
      </c>
      <c r="P35" s="120">
        <f t="shared" si="24"/>
        <v>0.21214040218679231</v>
      </c>
      <c r="Q35" s="120">
        <f t="shared" si="24"/>
        <v>0.2185575563058566</v>
      </c>
      <c r="R35" s="120">
        <f t="shared" si="24"/>
        <v>0.18506049178940276</v>
      </c>
      <c r="S35" s="120">
        <f t="shared" si="24"/>
        <v>0.23704385516015303</v>
      </c>
      <c r="T35" s="125">
        <f t="shared" si="24"/>
        <v>0.22405969784164226</v>
      </c>
    </row>
    <row r="36" spans="1:20" x14ac:dyDescent="0.25">
      <c r="A36" s="109"/>
      <c r="B36" s="110" t="s">
        <v>9</v>
      </c>
      <c r="C36" s="120">
        <f t="shared" ref="C36:T36" si="25">C16/C6-1</f>
        <v>1.3172051412225843</v>
      </c>
      <c r="D36" s="120">
        <f t="shared" si="25"/>
        <v>0.31219716602171221</v>
      </c>
      <c r="E36" s="120">
        <f t="shared" si="25"/>
        <v>4.8783109750947684E-2</v>
      </c>
      <c r="F36" s="120">
        <f t="shared" si="25"/>
        <v>0.70211288819469986</v>
      </c>
      <c r="G36" s="120">
        <f t="shared" si="25"/>
        <v>1.3932959077883753</v>
      </c>
      <c r="H36" s="121">
        <f t="shared" si="25"/>
        <v>0.41989315211416711</v>
      </c>
      <c r="I36" s="122">
        <f t="shared" si="25"/>
        <v>1.1179759033661649</v>
      </c>
      <c r="J36" s="120">
        <f t="shared" si="25"/>
        <v>0.15155016578917357</v>
      </c>
      <c r="K36" s="120">
        <f t="shared" si="25"/>
        <v>4.8492858041330411E-2</v>
      </c>
      <c r="L36" s="120">
        <f t="shared" si="25"/>
        <v>0.53934478563668908</v>
      </c>
      <c r="M36" s="120">
        <f t="shared" si="25"/>
        <v>1.4563249850476812</v>
      </c>
      <c r="N36" s="123">
        <f t="shared" si="25"/>
        <v>0.34354333236168721</v>
      </c>
      <c r="O36" s="124">
        <f t="shared" si="25"/>
        <v>-8.5978247809041064E-2</v>
      </c>
      <c r="P36" s="120">
        <f t="shared" si="25"/>
        <v>-0.12242596188466415</v>
      </c>
      <c r="Q36" s="120">
        <f t="shared" si="25"/>
        <v>-2.7675093822421282E-4</v>
      </c>
      <c r="R36" s="120">
        <f t="shared" si="25"/>
        <v>-9.5627090122469061E-2</v>
      </c>
      <c r="S36" s="120">
        <f t="shared" si="25"/>
        <v>2.6335680871802714E-2</v>
      </c>
      <c r="T36" s="125">
        <f t="shared" si="25"/>
        <v>-5.3771524736771825E-2</v>
      </c>
    </row>
    <row r="37" spans="1:20" x14ac:dyDescent="0.25">
      <c r="A37" s="109"/>
      <c r="B37" s="110" t="s">
        <v>50</v>
      </c>
      <c r="C37" s="120">
        <f t="shared" ref="C37:T37" si="26">C17/C7-1</f>
        <v>0.89885600307795332</v>
      </c>
      <c r="D37" s="120">
        <f t="shared" si="26"/>
        <v>0.1298709926774011</v>
      </c>
      <c r="E37" s="120">
        <f t="shared" si="26"/>
        <v>-0.24096094298517845</v>
      </c>
      <c r="F37" s="120">
        <f t="shared" si="26"/>
        <v>0.11675167513213225</v>
      </c>
      <c r="G37" s="120">
        <f t="shared" si="26"/>
        <v>0.3286253303430382</v>
      </c>
      <c r="H37" s="121">
        <f t="shared" si="26"/>
        <v>1.7811434268943493E-2</v>
      </c>
      <c r="I37" s="122">
        <f t="shared" si="26"/>
        <v>0.75839777336225001</v>
      </c>
      <c r="J37" s="120">
        <f t="shared" si="26"/>
        <v>-0.12531785662112527</v>
      </c>
      <c r="K37" s="120">
        <f t="shared" si="26"/>
        <v>-0.19590071208882331</v>
      </c>
      <c r="L37" s="120">
        <f t="shared" si="26"/>
        <v>-8.3113199571727137E-3</v>
      </c>
      <c r="M37" s="120">
        <f t="shared" si="26"/>
        <v>0.37264090743950806</v>
      </c>
      <c r="N37" s="123">
        <f t="shared" si="26"/>
        <v>-3.3552155511346049E-2</v>
      </c>
      <c r="O37" s="124">
        <f t="shared" si="26"/>
        <v>-7.3969921620190004E-2</v>
      </c>
      <c r="P37" s="120">
        <f t="shared" si="26"/>
        <v>-0.22585662518321448</v>
      </c>
      <c r="Q37" s="120">
        <f t="shared" si="26"/>
        <v>5.936483831750361E-2</v>
      </c>
      <c r="R37" s="120">
        <f t="shared" si="26"/>
        <v>-0.11198818669737631</v>
      </c>
      <c r="S37" s="120">
        <f t="shared" si="26"/>
        <v>3.3128660195802295E-2</v>
      </c>
      <c r="T37" s="125">
        <f t="shared" si="26"/>
        <v>-5.0464740374214889E-2</v>
      </c>
    </row>
    <row r="38" spans="1:20" x14ac:dyDescent="0.25">
      <c r="A38" s="109"/>
      <c r="B38" s="110" t="s">
        <v>0</v>
      </c>
      <c r="C38" s="120">
        <f t="shared" ref="C38:T38" si="27">C18/C8-1</f>
        <v>0.54008743496879474</v>
      </c>
      <c r="D38" s="120">
        <f t="shared" si="27"/>
        <v>-3.1152181591610373E-2</v>
      </c>
      <c r="E38" s="120">
        <f t="shared" si="27"/>
        <v>-0.20999674254050482</v>
      </c>
      <c r="F38" s="120">
        <f t="shared" si="27"/>
        <v>0.26442253118779191</v>
      </c>
      <c r="G38" s="120">
        <f t="shared" si="27"/>
        <v>1.1114383864310309</v>
      </c>
      <c r="H38" s="121">
        <f t="shared" si="27"/>
        <v>6.4124310045631683E-2</v>
      </c>
      <c r="I38" s="126">
        <f t="shared" si="27"/>
        <v>0.90462098534693802</v>
      </c>
      <c r="J38" s="127">
        <f t="shared" si="27"/>
        <v>7.8930965582677759E-2</v>
      </c>
      <c r="K38" s="127">
        <f t="shared" si="27"/>
        <v>-0.12764003031741733</v>
      </c>
      <c r="L38" s="127">
        <f t="shared" si="27"/>
        <v>0.37285422279540703</v>
      </c>
      <c r="M38" s="127">
        <f t="shared" si="27"/>
        <v>1.0087634937658225</v>
      </c>
      <c r="N38" s="123">
        <f t="shared" si="27"/>
        <v>0.17039402378119584</v>
      </c>
      <c r="O38" s="124">
        <f t="shared" si="27"/>
        <v>0.23669665896957937</v>
      </c>
      <c r="P38" s="120">
        <f t="shared" si="27"/>
        <v>0.1136227435131465</v>
      </c>
      <c r="Q38" s="120">
        <f t="shared" si="27"/>
        <v>0.10424857295896661</v>
      </c>
      <c r="R38" s="120">
        <f t="shared" si="27"/>
        <v>8.575589957714147E-2</v>
      </c>
      <c r="S38" s="120">
        <f t="shared" si="27"/>
        <v>-4.8627936919703463E-2</v>
      </c>
      <c r="T38" s="125">
        <f t="shared" si="27"/>
        <v>9.986588289765419E-2</v>
      </c>
    </row>
    <row r="39" spans="1:20" ht="15.75" thickBot="1" x14ac:dyDescent="0.3">
      <c r="A39" s="229"/>
      <c r="B39" s="230" t="s">
        <v>34</v>
      </c>
      <c r="C39" s="231">
        <f t="shared" ref="C39:T39" si="28">C19/C9-1</f>
        <v>0.44645270172597118</v>
      </c>
      <c r="D39" s="231">
        <f t="shared" si="28"/>
        <v>3.2030296243586998E-2</v>
      </c>
      <c r="E39" s="231">
        <f t="shared" si="28"/>
        <v>-0.21799884180337536</v>
      </c>
      <c r="F39" s="231">
        <f t="shared" si="28"/>
        <v>0.1967814609769778</v>
      </c>
      <c r="G39" s="231">
        <f t="shared" si="28"/>
        <v>0.75993544618670494</v>
      </c>
      <c r="H39" s="232">
        <f t="shared" si="28"/>
        <v>4.7714731833333301E-2</v>
      </c>
      <c r="I39" s="233">
        <f t="shared" si="28"/>
        <v>0.79435053983623893</v>
      </c>
      <c r="J39" s="231">
        <f t="shared" si="28"/>
        <v>0.14773965279957868</v>
      </c>
      <c r="K39" s="231">
        <f t="shared" si="28"/>
        <v>-0.11124753182533909</v>
      </c>
      <c r="L39" s="231">
        <f t="shared" si="28"/>
        <v>0.25712326395539953</v>
      </c>
      <c r="M39" s="231">
        <f t="shared" si="28"/>
        <v>0.82027295659601163</v>
      </c>
      <c r="N39" s="234">
        <f>N19/N9-1</f>
        <v>0.17023485033211405</v>
      </c>
      <c r="O39" s="235">
        <f t="shared" si="28"/>
        <v>0.240517949667584</v>
      </c>
      <c r="P39" s="231">
        <f t="shared" si="28"/>
        <v>0.11211817809724556</v>
      </c>
      <c r="Q39" s="231">
        <f t="shared" si="28"/>
        <v>0.13651042438890482</v>
      </c>
      <c r="R39" s="231">
        <f t="shared" si="28"/>
        <v>5.0420068279769525E-2</v>
      </c>
      <c r="S39" s="231">
        <f t="shared" si="28"/>
        <v>3.4283933845438153E-2</v>
      </c>
      <c r="T39" s="236">
        <f t="shared" si="28"/>
        <v>0.11694034146526722</v>
      </c>
    </row>
    <row r="42" spans="1:20" x14ac:dyDescent="0.25">
      <c r="A42" s="5" t="s">
        <v>91</v>
      </c>
    </row>
    <row r="43" spans="1:20" x14ac:dyDescent="0.25">
      <c r="B43" s="5" t="s">
        <v>92</v>
      </c>
    </row>
    <row r="44" spans="1:20" x14ac:dyDescent="0.25">
      <c r="B44" s="5" t="s">
        <v>93</v>
      </c>
    </row>
    <row r="45" spans="1:20" x14ac:dyDescent="0.25">
      <c r="B45" s="5" t="s">
        <v>94</v>
      </c>
    </row>
  </sheetData>
  <mergeCells count="12">
    <mergeCell ref="C2:H2"/>
    <mergeCell ref="I2:N2"/>
    <mergeCell ref="O2:T2"/>
    <mergeCell ref="C12:H12"/>
    <mergeCell ref="I12:N12"/>
    <mergeCell ref="O12:T12"/>
    <mergeCell ref="C22:H22"/>
    <mergeCell ref="I22:N22"/>
    <mergeCell ref="O22:T22"/>
    <mergeCell ref="C32:H32"/>
    <mergeCell ref="I32:N32"/>
    <mergeCell ref="O32:T32"/>
  </mergeCells>
  <conditionalFormatting sqref="C24:N29">
    <cfRule type="cellIs" dxfId="10" priority="6" operator="greaterThan">
      <formula>0</formula>
    </cfRule>
    <cfRule type="cellIs" dxfId="9" priority="7" operator="lessThan">
      <formula>0</formula>
    </cfRule>
    <cfRule type="cellIs" dxfId="8" priority="8" operator="lessThan">
      <formula>0</formula>
    </cfRule>
  </conditionalFormatting>
  <conditionalFormatting sqref="C34:N39">
    <cfRule type="cellIs" dxfId="7" priority="1" operator="lessThan">
      <formula>-0.2</formula>
    </cfRule>
    <cfRule type="cellIs" dxfId="6" priority="2" operator="greaterThan">
      <formula>0.2</formula>
    </cfRule>
    <cfRule type="cellIs" dxfId="5" priority="3" operator="greaterThan">
      <formula>0</formula>
    </cfRule>
    <cfRule type="cellIs" dxfId="4" priority="4" operator="lessThan">
      <formula>0</formula>
    </cfRule>
    <cfRule type="cellIs" dxfId="3" priority="5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0.39997558519241921"/>
  </sheetPr>
  <dimension ref="A1"/>
  <sheetViews>
    <sheetView showGridLines="0" topLeftCell="A19" workbookViewId="0">
      <selection activeCell="V60" sqref="V6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B1:P31"/>
  <sheetViews>
    <sheetView showGridLines="0" workbookViewId="0">
      <selection activeCell="M37" sqref="M37"/>
    </sheetView>
  </sheetViews>
  <sheetFormatPr defaultRowHeight="15" x14ac:dyDescent="0.25"/>
  <cols>
    <col min="2" max="3" width="9.140625" customWidth="1"/>
    <col min="4" max="4" width="14.140625" bestFit="1" customWidth="1"/>
    <col min="5" max="5" width="12.7109375" customWidth="1"/>
    <col min="6" max="8" width="11.85546875" customWidth="1"/>
    <col min="9" max="9" width="11.85546875" style="5" customWidth="1"/>
    <col min="10" max="10" width="11.85546875" customWidth="1"/>
    <col min="11" max="11" width="12.7109375" customWidth="1"/>
    <col min="12" max="14" width="11.85546875" customWidth="1"/>
    <col min="15" max="15" width="11.85546875" style="5" customWidth="1"/>
    <col min="16" max="16" width="11.85546875" customWidth="1"/>
  </cols>
  <sheetData>
    <row r="1" spans="2:16" ht="15.75" thickBot="1" x14ac:dyDescent="0.3">
      <c r="B1" s="129"/>
      <c r="C1" s="129"/>
      <c r="D1" s="5"/>
      <c r="E1" s="5"/>
      <c r="F1" s="5"/>
      <c r="G1" s="5"/>
      <c r="H1" s="5"/>
      <c r="J1" s="5"/>
      <c r="K1" s="5"/>
      <c r="L1" s="5"/>
      <c r="M1" s="5"/>
      <c r="N1" s="5"/>
      <c r="P1" s="5"/>
    </row>
    <row r="2" spans="2:16" x14ac:dyDescent="0.25">
      <c r="B2" s="129"/>
      <c r="C2" s="129"/>
      <c r="D2" s="330" t="s">
        <v>55</v>
      </c>
      <c r="E2" s="333" t="s">
        <v>86</v>
      </c>
      <c r="F2" s="334"/>
      <c r="G2" s="334"/>
      <c r="H2" s="334"/>
      <c r="I2" s="334"/>
      <c r="J2" s="334"/>
      <c r="K2" s="335" t="s">
        <v>56</v>
      </c>
      <c r="L2" s="334"/>
      <c r="M2" s="334"/>
      <c r="N2" s="334"/>
      <c r="O2" s="334"/>
      <c r="P2" s="336"/>
    </row>
    <row r="3" spans="2:16" x14ac:dyDescent="0.25">
      <c r="B3" s="129"/>
      <c r="C3" s="129"/>
      <c r="D3" s="331"/>
      <c r="E3" s="337" t="s">
        <v>87</v>
      </c>
      <c r="F3" s="338"/>
      <c r="G3" s="338"/>
      <c r="H3" s="338"/>
      <c r="I3" s="338"/>
      <c r="J3" s="338"/>
      <c r="K3" s="339" t="s">
        <v>87</v>
      </c>
      <c r="L3" s="338"/>
      <c r="M3" s="338"/>
      <c r="N3" s="338"/>
      <c r="O3" s="338"/>
      <c r="P3" s="340"/>
    </row>
    <row r="4" spans="2:16" x14ac:dyDescent="0.25">
      <c r="B4" s="129"/>
      <c r="C4" s="129"/>
      <c r="D4" s="331"/>
      <c r="E4" s="224" t="s">
        <v>12</v>
      </c>
      <c r="F4" s="224" t="s">
        <v>13</v>
      </c>
      <c r="G4" s="224" t="s">
        <v>9</v>
      </c>
      <c r="H4" s="224" t="s">
        <v>50</v>
      </c>
      <c r="I4" s="224" t="s">
        <v>0</v>
      </c>
      <c r="J4" s="217" t="s">
        <v>57</v>
      </c>
      <c r="K4" s="228" t="s">
        <v>12</v>
      </c>
      <c r="L4" s="224" t="s">
        <v>13</v>
      </c>
      <c r="M4" s="224" t="s">
        <v>9</v>
      </c>
      <c r="N4" s="224" t="s">
        <v>50</v>
      </c>
      <c r="O4" s="224" t="s">
        <v>0</v>
      </c>
      <c r="P4" s="218" t="s">
        <v>57</v>
      </c>
    </row>
    <row r="5" spans="2:16" x14ac:dyDescent="0.25">
      <c r="B5" s="129"/>
      <c r="C5" s="129"/>
      <c r="D5" s="332"/>
      <c r="E5" s="219">
        <v>1</v>
      </c>
      <c r="F5" s="220">
        <v>2</v>
      </c>
      <c r="G5" s="220">
        <v>3</v>
      </c>
      <c r="H5" s="220">
        <v>4</v>
      </c>
      <c r="I5" s="221">
        <v>5</v>
      </c>
      <c r="J5" s="221"/>
      <c r="K5" s="222">
        <v>1</v>
      </c>
      <c r="L5" s="220">
        <v>2</v>
      </c>
      <c r="M5" s="220">
        <v>3</v>
      </c>
      <c r="N5" s="220">
        <v>4</v>
      </c>
      <c r="O5" s="221">
        <v>5</v>
      </c>
      <c r="P5" s="223"/>
    </row>
    <row r="6" spans="2:16" x14ac:dyDescent="0.25">
      <c r="B6" s="130">
        <v>1</v>
      </c>
      <c r="C6" s="130">
        <f>MAX(bd!$Q$2:$Q$138)</f>
        <v>7.7996113520491743</v>
      </c>
      <c r="D6" s="131" t="s">
        <v>58</v>
      </c>
      <c r="E6" s="132">
        <f>COUNTIFS(bd!$D$2:$D$138,E$5,bd!$Q$2:$Q$138,"&gt;"&amp;$B6,bd!$Q$2:$Q$138,"&lt;="&amp;$C6)</f>
        <v>0</v>
      </c>
      <c r="F6" s="132">
        <f>COUNTIFS(bd!$D$2:$D$138,F$5,bd!$Q$2:$Q$138,"&gt;"&amp;$B6,bd!$Q$2:$Q$138,"&lt;="&amp;$C6)</f>
        <v>0</v>
      </c>
      <c r="G6" s="132">
        <f>COUNTIFS(bd!$D$2:$D$138,G$5,bd!$Q$2:$Q$138,"&gt;"&amp;$B6,bd!$Q$2:$Q$138,"&lt;="&amp;$C6)</f>
        <v>3</v>
      </c>
      <c r="H6" s="132">
        <f>COUNTIFS(bd!$D$2:$D$138,H$5,bd!$Q$2:$Q$138,"&gt;"&amp;$B6,bd!$Q$2:$Q$138,"&lt;="&amp;$C6)</f>
        <v>0</v>
      </c>
      <c r="I6" s="209">
        <f>COUNTIFS(bd!$D$2:$D$138,I$5,bd!$Q$2:$Q$138,"&gt;"&amp;$B6,bd!$Q$2:$Q$138,"&lt;="&amp;$C6)</f>
        <v>18</v>
      </c>
      <c r="J6" s="133">
        <f>SUM(E6:I6)</f>
        <v>21</v>
      </c>
      <c r="K6" s="134">
        <f>E6/E$23</f>
        <v>0</v>
      </c>
      <c r="L6" s="135">
        <f t="shared" ref="L6:L16" si="0">F6/F$23</f>
        <v>0</v>
      </c>
      <c r="M6" s="135">
        <f t="shared" ref="M6:M16" si="1">G6/G$23</f>
        <v>0.3</v>
      </c>
      <c r="N6" s="135">
        <f t="shared" ref="N6:N16" si="2">H6/H$23</f>
        <v>0</v>
      </c>
      <c r="O6" s="211">
        <f>I6/I$23</f>
        <v>0.15929203539823009</v>
      </c>
      <c r="P6" s="136">
        <f>J6/J$23</f>
        <v>0.15328467153284672</v>
      </c>
    </row>
    <row r="7" spans="2:16" x14ac:dyDescent="0.25">
      <c r="B7" s="130">
        <v>0.5</v>
      </c>
      <c r="C7" s="130">
        <v>1</v>
      </c>
      <c r="D7" s="131" t="s">
        <v>59</v>
      </c>
      <c r="E7" s="137">
        <f>COUNTIFS(bd!$D$2:$D$138,E$5,bd!$Q$2:$Q$138,"&gt;"&amp;$B7,bd!$Q$2:$Q$138,"&lt;="&amp;$C7)</f>
        <v>0</v>
      </c>
      <c r="F7" s="137">
        <f>COUNTIFS(bd!$D$2:$D$138,F$5,bd!$Q$2:$Q$138,"&gt;"&amp;$B7,bd!$Q$2:$Q$138,"&lt;="&amp;$C7)</f>
        <v>1</v>
      </c>
      <c r="G7" s="137">
        <f>COUNTIFS(bd!$D$2:$D$138,G$5,bd!$Q$2:$Q$138,"&gt;"&amp;$B7,bd!$Q$2:$Q$138,"&lt;="&amp;$C7)</f>
        <v>2</v>
      </c>
      <c r="H7" s="137">
        <f>COUNTIFS(bd!$D$2:$D$138,H$5,bd!$Q$2:$Q$138,"&gt;"&amp;$B7,bd!$Q$2:$Q$138,"&lt;="&amp;$C7)</f>
        <v>2</v>
      </c>
      <c r="I7" s="209">
        <f>COUNTIFS(bd!$D$2:$D$138,I$5,bd!$Q$2:$Q$138,"&gt;"&amp;$B7,bd!$Q$2:$Q$138,"&lt;="&amp;$C7)</f>
        <v>17</v>
      </c>
      <c r="J7" s="133">
        <f t="shared" ref="J7:J19" si="3">SUM(E7:I7)</f>
        <v>22</v>
      </c>
      <c r="K7" s="138">
        <f t="shared" ref="K7:K15" si="4">E7/E$23</f>
        <v>0</v>
      </c>
      <c r="L7" s="139">
        <f t="shared" si="0"/>
        <v>0.25</v>
      </c>
      <c r="M7" s="139">
        <f t="shared" si="1"/>
        <v>0.2</v>
      </c>
      <c r="N7" s="139">
        <f t="shared" si="2"/>
        <v>0.22222222222222221</v>
      </c>
      <c r="O7" s="211">
        <f t="shared" ref="O7:P16" si="5">I7/I$23</f>
        <v>0.15044247787610621</v>
      </c>
      <c r="P7" s="136">
        <f t="shared" si="5"/>
        <v>0.16058394160583941</v>
      </c>
    </row>
    <row r="8" spans="2:16" x14ac:dyDescent="0.25">
      <c r="B8" s="130">
        <v>0.30000000000000004</v>
      </c>
      <c r="C8" s="130">
        <v>0.5</v>
      </c>
      <c r="D8" s="131" t="s">
        <v>60</v>
      </c>
      <c r="E8" s="137">
        <f>COUNTIFS(bd!$D$2:$D$138,E$5,bd!$Q$2:$Q$138,"&gt;"&amp;$B8,bd!$Q$2:$Q$138,"&lt;="&amp;$C8)</f>
        <v>0</v>
      </c>
      <c r="F8" s="137">
        <f>COUNTIFS(bd!$D$2:$D$138,F$5,bd!$Q$2:$Q$138,"&gt;"&amp;$B8,bd!$Q$2:$Q$138,"&lt;="&amp;$C8)</f>
        <v>0</v>
      </c>
      <c r="G8" s="137">
        <f>COUNTIFS(bd!$D$2:$D$138,G$5,bd!$Q$2:$Q$138,"&gt;"&amp;$B8,bd!$Q$2:$Q$138,"&lt;="&amp;$C8)</f>
        <v>2</v>
      </c>
      <c r="H8" s="137">
        <f>COUNTIFS(bd!$D$2:$D$138,H$5,bd!$Q$2:$Q$138,"&gt;"&amp;$B8,bd!$Q$2:$Q$138,"&lt;="&amp;$C8)</f>
        <v>1</v>
      </c>
      <c r="I8" s="209">
        <f>COUNTIFS(bd!$D$2:$D$138,I$5,bd!$Q$2:$Q$138,"&gt;"&amp;$B8,bd!$Q$2:$Q$138,"&lt;="&amp;$C8)</f>
        <v>9</v>
      </c>
      <c r="J8" s="133">
        <f t="shared" si="3"/>
        <v>12</v>
      </c>
      <c r="K8" s="138">
        <f t="shared" si="4"/>
        <v>0</v>
      </c>
      <c r="L8" s="139">
        <f t="shared" si="0"/>
        <v>0</v>
      </c>
      <c r="M8" s="139">
        <f t="shared" si="1"/>
        <v>0.2</v>
      </c>
      <c r="N8" s="139">
        <f t="shared" si="2"/>
        <v>0.1111111111111111</v>
      </c>
      <c r="O8" s="211">
        <f t="shared" si="5"/>
        <v>7.9646017699115043E-2</v>
      </c>
      <c r="P8" s="136">
        <f t="shared" si="5"/>
        <v>8.7591240875912413E-2</v>
      </c>
    </row>
    <row r="9" spans="2:16" x14ac:dyDescent="0.25">
      <c r="B9" s="130">
        <v>0.2</v>
      </c>
      <c r="C9" s="130">
        <v>0.30000000000000004</v>
      </c>
      <c r="D9" s="140" t="s">
        <v>61</v>
      </c>
      <c r="E9" s="141">
        <f>COUNTIFS(bd!$D$2:$D$138,E$5,bd!$Q$2:$Q$138,"&gt;"&amp;$B9,bd!$Q$2:$Q$138,"&lt;="&amp;$C9)</f>
        <v>0</v>
      </c>
      <c r="F9" s="141">
        <f>COUNTIFS(bd!$D$2:$D$138,F$5,bd!$Q$2:$Q$138,"&gt;"&amp;$B9,bd!$Q$2:$Q$138,"&lt;="&amp;$C9)</f>
        <v>0</v>
      </c>
      <c r="G9" s="141">
        <f>COUNTIFS(bd!$D$2:$D$138,G$5,bd!$Q$2:$Q$138,"&gt;"&amp;$B9,bd!$Q$2:$Q$138,"&lt;="&amp;$C9)</f>
        <v>0</v>
      </c>
      <c r="H9" s="141">
        <f>COUNTIFS(bd!$D$2:$D$138,H$5,bd!$Q$2:$Q$138,"&gt;"&amp;$B9,bd!$Q$2:$Q$138,"&lt;="&amp;$C9)</f>
        <v>0</v>
      </c>
      <c r="I9" s="142">
        <f>COUNTIFS(bd!$D$2:$D$138,I$5,bd!$Q$2:$Q$138,"&gt;"&amp;$B9,bd!$Q$2:$Q$138,"&lt;="&amp;$C9)</f>
        <v>4</v>
      </c>
      <c r="J9" s="142">
        <f t="shared" si="3"/>
        <v>4</v>
      </c>
      <c r="K9" s="143">
        <f t="shared" si="4"/>
        <v>0</v>
      </c>
      <c r="L9" s="144">
        <f t="shared" si="0"/>
        <v>0</v>
      </c>
      <c r="M9" s="144">
        <f t="shared" si="1"/>
        <v>0</v>
      </c>
      <c r="N9" s="144">
        <f t="shared" si="2"/>
        <v>0</v>
      </c>
      <c r="O9" s="212">
        <f t="shared" si="5"/>
        <v>3.5398230088495575E-2</v>
      </c>
      <c r="P9" s="145">
        <f t="shared" si="5"/>
        <v>2.9197080291970802E-2</v>
      </c>
    </row>
    <row r="10" spans="2:16" x14ac:dyDescent="0.25">
      <c r="B10" s="130">
        <v>0.1</v>
      </c>
      <c r="C10" s="130">
        <v>0.2</v>
      </c>
      <c r="D10" s="140" t="s">
        <v>62</v>
      </c>
      <c r="E10" s="141">
        <f>COUNTIFS(bd!$D$2:$D$138,E$5,bd!$Q$2:$Q$138,"&gt;"&amp;$B10,bd!$Q$2:$Q$138,"&lt;="&amp;$C10)</f>
        <v>0</v>
      </c>
      <c r="F10" s="141">
        <f>COUNTIFS(bd!$D$2:$D$138,F$5,bd!$Q$2:$Q$138,"&gt;"&amp;$B10,bd!$Q$2:$Q$138,"&lt;="&amp;$C10)</f>
        <v>0</v>
      </c>
      <c r="G10" s="141">
        <f>COUNTIFS(bd!$D$2:$D$138,G$5,bd!$Q$2:$Q$138,"&gt;"&amp;$B10,bd!$Q$2:$Q$138,"&lt;="&amp;$C10)</f>
        <v>1</v>
      </c>
      <c r="H10" s="141">
        <f>COUNTIFS(bd!$D$2:$D$138,H$5,bd!$Q$2:$Q$138,"&gt;"&amp;$B10,bd!$Q$2:$Q$138,"&lt;="&amp;$C10)</f>
        <v>0</v>
      </c>
      <c r="I10" s="142">
        <f>COUNTIFS(bd!$D$2:$D$138,I$5,bd!$Q$2:$Q$138,"&gt;"&amp;$B10,bd!$Q$2:$Q$138,"&lt;="&amp;$C10)</f>
        <v>8</v>
      </c>
      <c r="J10" s="142">
        <f t="shared" si="3"/>
        <v>9</v>
      </c>
      <c r="K10" s="143">
        <f t="shared" si="4"/>
        <v>0</v>
      </c>
      <c r="L10" s="144">
        <f t="shared" si="0"/>
        <v>0</v>
      </c>
      <c r="M10" s="144">
        <f t="shared" si="1"/>
        <v>0.1</v>
      </c>
      <c r="N10" s="144">
        <f t="shared" si="2"/>
        <v>0</v>
      </c>
      <c r="O10" s="212">
        <f t="shared" si="5"/>
        <v>7.0796460176991149E-2</v>
      </c>
      <c r="P10" s="145">
        <f t="shared" si="5"/>
        <v>6.569343065693431E-2</v>
      </c>
    </row>
    <row r="11" spans="2:16" x14ac:dyDescent="0.25">
      <c r="B11" s="130">
        <v>0</v>
      </c>
      <c r="C11" s="130">
        <v>0.1</v>
      </c>
      <c r="D11" s="140" t="s">
        <v>63</v>
      </c>
      <c r="E11" s="141">
        <f>COUNTIFS(bd!$D$2:$D$138,E$5,bd!$Q$2:$Q$138,"&gt;"&amp;$B11,bd!$Q$2:$Q$138,"&lt;="&amp;$C11)</f>
        <v>1</v>
      </c>
      <c r="F11" s="141">
        <f>COUNTIFS(bd!$D$2:$D$138,F$5,bd!$Q$2:$Q$138,"&gt;"&amp;$B11,bd!$Q$2:$Q$138,"&lt;="&amp;$C11)</f>
        <v>1</v>
      </c>
      <c r="G11" s="141">
        <f>COUNTIFS(bd!$D$2:$D$138,G$5,bd!$Q$2:$Q$138,"&gt;"&amp;$B11,bd!$Q$2:$Q$138,"&lt;="&amp;$C11)</f>
        <v>0</v>
      </c>
      <c r="H11" s="141">
        <f>COUNTIFS(bd!$D$2:$D$138,H$5,bd!$Q$2:$Q$138,"&gt;"&amp;$B11,bd!$Q$2:$Q$138,"&lt;="&amp;$C11)</f>
        <v>1</v>
      </c>
      <c r="I11" s="142">
        <f>COUNTIFS(bd!$D$2:$D$138,I$5,bd!$Q$2:$Q$138,"&gt;"&amp;$B11,bd!$Q$2:$Q$138,"&lt;="&amp;$C11)</f>
        <v>12</v>
      </c>
      <c r="J11" s="142">
        <f t="shared" si="3"/>
        <v>15</v>
      </c>
      <c r="K11" s="143">
        <f t="shared" si="4"/>
        <v>1</v>
      </c>
      <c r="L11" s="144">
        <f t="shared" si="0"/>
        <v>0.25</v>
      </c>
      <c r="M11" s="144">
        <f t="shared" si="1"/>
        <v>0</v>
      </c>
      <c r="N11" s="144">
        <f t="shared" si="2"/>
        <v>0.1111111111111111</v>
      </c>
      <c r="O11" s="212">
        <f t="shared" si="5"/>
        <v>0.10619469026548672</v>
      </c>
      <c r="P11" s="145">
        <f t="shared" si="5"/>
        <v>0.10948905109489052</v>
      </c>
    </row>
    <row r="12" spans="2:16" x14ac:dyDescent="0.25">
      <c r="B12" s="130">
        <v>-0.1</v>
      </c>
      <c r="C12" s="130">
        <v>0</v>
      </c>
      <c r="D12" s="146" t="s">
        <v>64</v>
      </c>
      <c r="E12" s="147">
        <f>COUNTIFS(bd!$D$2:$D$138,E$5,bd!$Q$2:$Q$138,"&gt;"&amp;$B12,bd!$Q$2:$Q$138,"&lt;="&amp;$C12)</f>
        <v>0</v>
      </c>
      <c r="F12" s="147">
        <f>COUNTIFS(bd!$D$2:$D$138,F$5,bd!$Q$2:$Q$138,"&gt;"&amp;$B12,bd!$Q$2:$Q$138,"&lt;="&amp;$C12)</f>
        <v>1</v>
      </c>
      <c r="G12" s="147">
        <f>COUNTIFS(bd!$D$2:$D$138,G$5,bd!$Q$2:$Q$138,"&gt;"&amp;$B12,bd!$Q$2:$Q$138,"&lt;="&amp;$C12)</f>
        <v>0</v>
      </c>
      <c r="H12" s="147">
        <f>COUNTIFS(bd!$D$2:$D$138,H$5,bd!$Q$2:$Q$138,"&gt;"&amp;$B12,bd!$Q$2:$Q$138,"&lt;="&amp;$C12)</f>
        <v>1</v>
      </c>
      <c r="I12" s="148">
        <f>COUNTIFS(bd!$D$2:$D$138,I$5,bd!$Q$2:$Q$138,"&gt;"&amp;$B12,bd!$Q$2:$Q$138,"&lt;="&amp;$C12)</f>
        <v>10</v>
      </c>
      <c r="J12" s="148">
        <f t="shared" si="3"/>
        <v>12</v>
      </c>
      <c r="K12" s="149">
        <f t="shared" si="4"/>
        <v>0</v>
      </c>
      <c r="L12" s="150">
        <f t="shared" si="0"/>
        <v>0.25</v>
      </c>
      <c r="M12" s="150">
        <f t="shared" si="1"/>
        <v>0</v>
      </c>
      <c r="N12" s="150">
        <f t="shared" si="2"/>
        <v>0.1111111111111111</v>
      </c>
      <c r="O12" s="213">
        <f t="shared" si="5"/>
        <v>8.8495575221238937E-2</v>
      </c>
      <c r="P12" s="151">
        <f t="shared" si="5"/>
        <v>8.7591240875912413E-2</v>
      </c>
    </row>
    <row r="13" spans="2:16" x14ac:dyDescent="0.25">
      <c r="B13" s="130">
        <v>-0.2</v>
      </c>
      <c r="C13" s="130">
        <v>-0.1</v>
      </c>
      <c r="D13" s="152" t="s">
        <v>65</v>
      </c>
      <c r="E13" s="153">
        <f>COUNTIFS(bd!$D$2:$D$138,E$5,bd!$Q$2:$Q$138,"&gt;"&amp;$B13,bd!$Q$2:$Q$138,"&lt;="&amp;$C13)</f>
        <v>0</v>
      </c>
      <c r="F13" s="153">
        <f>COUNTIFS(bd!$D$2:$D$138,F$5,bd!$Q$2:$Q$138,"&gt;"&amp;$B13,bd!$Q$2:$Q$138,"&lt;="&amp;$C13)</f>
        <v>0</v>
      </c>
      <c r="G13" s="153">
        <f>COUNTIFS(bd!$D$2:$D$138,G$5,bd!$Q$2:$Q$138,"&gt;"&amp;$B13,bd!$Q$2:$Q$138,"&lt;="&amp;$C13)</f>
        <v>1</v>
      </c>
      <c r="H13" s="153">
        <f>COUNTIFS(bd!$D$2:$D$138,H$5,bd!$Q$2:$Q$138,"&gt;"&amp;$B13,bd!$Q$2:$Q$138,"&lt;="&amp;$C13)</f>
        <v>0</v>
      </c>
      <c r="I13" s="154">
        <f>COUNTIFS(bd!$D$2:$D$138,I$5,bd!$Q$2:$Q$138,"&gt;"&amp;$B13,bd!$Q$2:$Q$138,"&lt;="&amp;$C13)</f>
        <v>6</v>
      </c>
      <c r="J13" s="154">
        <f t="shared" si="3"/>
        <v>7</v>
      </c>
      <c r="K13" s="155">
        <f t="shared" si="4"/>
        <v>0</v>
      </c>
      <c r="L13" s="156">
        <f t="shared" si="0"/>
        <v>0</v>
      </c>
      <c r="M13" s="156">
        <f t="shared" si="1"/>
        <v>0.1</v>
      </c>
      <c r="N13" s="156">
        <f t="shared" si="2"/>
        <v>0</v>
      </c>
      <c r="O13" s="214">
        <f t="shared" si="5"/>
        <v>5.3097345132743362E-2</v>
      </c>
      <c r="P13" s="157">
        <f t="shared" si="5"/>
        <v>5.1094890510948905E-2</v>
      </c>
    </row>
    <row r="14" spans="2:16" x14ac:dyDescent="0.25">
      <c r="B14" s="130">
        <v>-0.30000000000000004</v>
      </c>
      <c r="C14" s="130">
        <v>-0.2</v>
      </c>
      <c r="D14" s="152" t="s">
        <v>66</v>
      </c>
      <c r="E14" s="153">
        <f>COUNTIFS(bd!$D$2:$D$138,E$5,bd!$Q$2:$Q$138,"&gt;"&amp;$B14,bd!$Q$2:$Q$138,"&lt;="&amp;$C14)</f>
        <v>0</v>
      </c>
      <c r="F14" s="153">
        <f>COUNTIFS(bd!$D$2:$D$138,F$5,bd!$Q$2:$Q$138,"&gt;"&amp;$B14,bd!$Q$2:$Q$138,"&lt;="&amp;$C14)</f>
        <v>1</v>
      </c>
      <c r="G14" s="153">
        <f>COUNTIFS(bd!$D$2:$D$138,G$5,bd!$Q$2:$Q$138,"&gt;"&amp;$B14,bd!$Q$2:$Q$138,"&lt;="&amp;$C14)</f>
        <v>1</v>
      </c>
      <c r="H14" s="153">
        <f>COUNTIFS(bd!$D$2:$D$138,H$5,bd!$Q$2:$Q$138,"&gt;"&amp;$B14,bd!$Q$2:$Q$138,"&lt;="&amp;$C14)</f>
        <v>0</v>
      </c>
      <c r="I14" s="154">
        <f>COUNTIFS(bd!$D$2:$D$138,I$5,bd!$Q$2:$Q$138,"&gt;"&amp;$B14,bd!$Q$2:$Q$138,"&lt;="&amp;$C14)</f>
        <v>10</v>
      </c>
      <c r="J14" s="154">
        <f t="shared" si="3"/>
        <v>12</v>
      </c>
      <c r="K14" s="155">
        <f t="shared" si="4"/>
        <v>0</v>
      </c>
      <c r="L14" s="156">
        <f t="shared" si="0"/>
        <v>0.25</v>
      </c>
      <c r="M14" s="156">
        <f t="shared" si="1"/>
        <v>0.1</v>
      </c>
      <c r="N14" s="156">
        <f t="shared" si="2"/>
        <v>0</v>
      </c>
      <c r="O14" s="214">
        <f t="shared" si="5"/>
        <v>8.8495575221238937E-2</v>
      </c>
      <c r="P14" s="157">
        <f t="shared" si="5"/>
        <v>8.7591240875912413E-2</v>
      </c>
    </row>
    <row r="15" spans="2:16" x14ac:dyDescent="0.25">
      <c r="B15" s="130">
        <v>-0.5</v>
      </c>
      <c r="C15" s="130">
        <v>-0.30000000000000004</v>
      </c>
      <c r="D15" s="158" t="s">
        <v>67</v>
      </c>
      <c r="E15" s="159">
        <f>COUNTIFS(bd!$D$2:$D$138,E$5,bd!$Q$2:$Q$138,"&gt;"&amp;$B15,bd!$Q$2:$Q$138,"&lt;="&amp;$C15)</f>
        <v>0</v>
      </c>
      <c r="F15" s="159">
        <f>COUNTIFS(bd!$D$2:$D$138,F$5,bd!$Q$2:$Q$138,"&gt;"&amp;$B15,bd!$Q$2:$Q$138,"&lt;="&amp;$C15)</f>
        <v>0</v>
      </c>
      <c r="G15" s="159">
        <f>COUNTIFS(bd!$D$2:$D$138,G$5,bd!$Q$2:$Q$138,"&gt;"&amp;$B15,bd!$Q$2:$Q$138,"&lt;="&amp;$C15)</f>
        <v>0</v>
      </c>
      <c r="H15" s="159">
        <f>COUNTIFS(bd!$D$2:$D$138,H$5,bd!$Q$2:$Q$138,"&gt;"&amp;$B15,bd!$Q$2:$Q$138,"&lt;="&amp;$C15)</f>
        <v>0</v>
      </c>
      <c r="I15" s="210">
        <f>COUNTIFS(bd!$D$2:$D$138,I$5,bd!$Q$2:$Q$138,"&gt;"&amp;$B15,bd!$Q$2:$Q$138,"&lt;="&amp;$C15)</f>
        <v>12</v>
      </c>
      <c r="J15" s="160">
        <f t="shared" si="3"/>
        <v>12</v>
      </c>
      <c r="K15" s="161">
        <f t="shared" si="4"/>
        <v>0</v>
      </c>
      <c r="L15" s="162">
        <f t="shared" si="0"/>
        <v>0</v>
      </c>
      <c r="M15" s="162">
        <f t="shared" si="1"/>
        <v>0</v>
      </c>
      <c r="N15" s="162">
        <f t="shared" si="2"/>
        <v>0</v>
      </c>
      <c r="O15" s="215">
        <f t="shared" si="5"/>
        <v>0.10619469026548672</v>
      </c>
      <c r="P15" s="163">
        <f t="shared" si="5"/>
        <v>8.7591240875912413E-2</v>
      </c>
    </row>
    <row r="16" spans="2:16" x14ac:dyDescent="0.25">
      <c r="B16" s="130">
        <f>MIN(bd!Q2:Q138)</f>
        <v>-1</v>
      </c>
      <c r="C16" s="130">
        <v>-0.5</v>
      </c>
      <c r="D16" s="158" t="s">
        <v>68</v>
      </c>
      <c r="E16" s="159">
        <f>COUNTIFS(bd!$D$2:$D$138,E$5,bd!$Q$2:$Q$138,"&gt;"&amp;$B16,bd!$Q$2:$Q$138,"&lt;="&amp;$C16)</f>
        <v>0</v>
      </c>
      <c r="F16" s="159">
        <f>COUNTIFS(bd!$D$2:$D$138,F$5,bd!$Q$2:$Q$138,"&gt;"&amp;$B16,bd!$Q$2:$Q$138,"&lt;="&amp;$C16)</f>
        <v>0</v>
      </c>
      <c r="G16" s="159">
        <f>COUNTIFS(bd!$D$2:$D$138,G$5,bd!$Q$2:$Q$138,"&gt;"&amp;$B16,bd!$Q$2:$Q$138,"&lt;="&amp;$C16)</f>
        <v>0</v>
      </c>
      <c r="H16" s="159">
        <f>COUNTIFS(bd!$D$2:$D$138,H$5,bd!$Q$2:$Q$138,"&gt;"&amp;$B16,bd!$Q$2:$Q$138,"&lt;="&amp;$C16)</f>
        <v>3</v>
      </c>
      <c r="I16" s="210">
        <f>COUNTIFS(bd!$D$2:$D$138,I$5,bd!$Q$2:$Q$138,"&gt;"&amp;$B16,bd!$Q$2:$Q$138,"&lt;="&amp;$C16)</f>
        <v>7</v>
      </c>
      <c r="J16" s="160">
        <f t="shared" si="3"/>
        <v>10</v>
      </c>
      <c r="K16" s="161">
        <f>E16/E$23</f>
        <v>0</v>
      </c>
      <c r="L16" s="162">
        <f t="shared" si="0"/>
        <v>0</v>
      </c>
      <c r="M16" s="162">
        <f t="shared" si="1"/>
        <v>0</v>
      </c>
      <c r="N16" s="162">
        <f t="shared" si="2"/>
        <v>0.33333333333333331</v>
      </c>
      <c r="O16" s="215">
        <f t="shared" si="5"/>
        <v>6.1946902654867256E-2</v>
      </c>
      <c r="P16" s="163">
        <f t="shared" si="5"/>
        <v>7.2992700729927001E-2</v>
      </c>
    </row>
    <row r="17" spans="2:16" x14ac:dyDescent="0.25">
      <c r="B17" s="129"/>
      <c r="C17" s="129"/>
      <c r="D17" s="164" t="s">
        <v>69</v>
      </c>
      <c r="E17" s="165">
        <f>SUM(E11:E12)</f>
        <v>1</v>
      </c>
      <c r="F17" s="165">
        <f t="shared" ref="F17:I17" si="6">SUM(F11:F12)</f>
        <v>2</v>
      </c>
      <c r="G17" s="165">
        <f t="shared" si="6"/>
        <v>0</v>
      </c>
      <c r="H17" s="166">
        <f t="shared" si="6"/>
        <v>2</v>
      </c>
      <c r="I17" s="166">
        <f t="shared" si="6"/>
        <v>22</v>
      </c>
      <c r="J17" s="166">
        <f t="shared" si="3"/>
        <v>27</v>
      </c>
      <c r="K17" s="167">
        <f>SUM(K11:K12)</f>
        <v>1</v>
      </c>
      <c r="L17" s="168">
        <f t="shared" ref="L17:O17" si="7">SUM(L11:L12)</f>
        <v>0.5</v>
      </c>
      <c r="M17" s="168">
        <f t="shared" si="7"/>
        <v>0</v>
      </c>
      <c r="N17" s="169">
        <f t="shared" si="7"/>
        <v>0.22222222222222221</v>
      </c>
      <c r="O17" s="169">
        <f t="shared" si="7"/>
        <v>0.19469026548672566</v>
      </c>
      <c r="P17" s="170">
        <f t="shared" ref="P17" si="8">SUM(P11:P12)</f>
        <v>0.19708029197080293</v>
      </c>
    </row>
    <row r="18" spans="2:16" x14ac:dyDescent="0.25">
      <c r="B18" s="129"/>
      <c r="C18" s="129"/>
      <c r="D18" s="171" t="s">
        <v>70</v>
      </c>
      <c r="E18" s="172">
        <f>SUM(E10:E13)</f>
        <v>1</v>
      </c>
      <c r="F18" s="172">
        <f t="shared" ref="F18:I18" si="9">SUM(F10:F13)</f>
        <v>2</v>
      </c>
      <c r="G18" s="172">
        <f t="shared" si="9"/>
        <v>2</v>
      </c>
      <c r="H18" s="173">
        <f t="shared" si="9"/>
        <v>2</v>
      </c>
      <c r="I18" s="173">
        <f t="shared" si="9"/>
        <v>36</v>
      </c>
      <c r="J18" s="173">
        <f t="shared" si="3"/>
        <v>43</v>
      </c>
      <c r="K18" s="174">
        <f>SUM(K10:K13)</f>
        <v>1</v>
      </c>
      <c r="L18" s="175">
        <f t="shared" ref="L18:O18" si="10">SUM(L10:L13)</f>
        <v>0.5</v>
      </c>
      <c r="M18" s="175">
        <f t="shared" si="10"/>
        <v>0.2</v>
      </c>
      <c r="N18" s="176">
        <f t="shared" si="10"/>
        <v>0.22222222222222221</v>
      </c>
      <c r="O18" s="176">
        <f t="shared" si="10"/>
        <v>0.31858407079646012</v>
      </c>
      <c r="P18" s="177">
        <f t="shared" ref="P18" si="11">SUM(P10:P13)</f>
        <v>0.31386861313868614</v>
      </c>
    </row>
    <row r="19" spans="2:16" ht="15.75" thickBot="1" x14ac:dyDescent="0.3">
      <c r="B19" s="129"/>
      <c r="C19" s="129"/>
      <c r="D19" s="178" t="s">
        <v>71</v>
      </c>
      <c r="E19" s="179">
        <f>SUM(E9:E14)</f>
        <v>1</v>
      </c>
      <c r="F19" s="179">
        <f t="shared" ref="F19:I19" si="12">SUM(F9:F14)</f>
        <v>3</v>
      </c>
      <c r="G19" s="179">
        <f t="shared" si="12"/>
        <v>3</v>
      </c>
      <c r="H19" s="180">
        <f t="shared" si="12"/>
        <v>2</v>
      </c>
      <c r="I19" s="180">
        <f t="shared" si="12"/>
        <v>50</v>
      </c>
      <c r="J19" s="180">
        <f t="shared" si="3"/>
        <v>59</v>
      </c>
      <c r="K19" s="181">
        <f>SUM(K9:K14)</f>
        <v>1</v>
      </c>
      <c r="L19" s="182">
        <f t="shared" ref="L19:O19" si="13">SUM(L9:L14)</f>
        <v>0.75</v>
      </c>
      <c r="M19" s="182">
        <f t="shared" si="13"/>
        <v>0.30000000000000004</v>
      </c>
      <c r="N19" s="183">
        <f t="shared" si="13"/>
        <v>0.22222222222222221</v>
      </c>
      <c r="O19" s="183">
        <f t="shared" si="13"/>
        <v>0.44247787610619471</v>
      </c>
      <c r="P19" s="184">
        <f t="shared" ref="P19" si="14">SUM(P9:P14)</f>
        <v>0.43065693430656932</v>
      </c>
    </row>
    <row r="20" spans="2:16" x14ac:dyDescent="0.25">
      <c r="B20" s="129"/>
      <c r="C20" s="129"/>
      <c r="D20" s="341" t="s">
        <v>72</v>
      </c>
      <c r="E20" s="342"/>
      <c r="F20" s="342"/>
      <c r="G20" s="342"/>
      <c r="H20" s="342"/>
      <c r="I20" s="342"/>
      <c r="J20" s="342"/>
      <c r="K20" s="343" t="s">
        <v>73</v>
      </c>
      <c r="L20" s="344"/>
      <c r="M20" s="344"/>
      <c r="N20" s="344"/>
      <c r="O20" s="344"/>
      <c r="P20" s="345"/>
    </row>
    <row r="21" spans="2:16" x14ac:dyDescent="0.25">
      <c r="B21" s="185"/>
      <c r="C21" s="185"/>
      <c r="D21" s="186" t="s">
        <v>83</v>
      </c>
      <c r="E21" s="187">
        <f>COUNTIFS(bd!$D$2:$D$138,E$5,bd!$Q$2:$Q$138,"&gt;0")</f>
        <v>1</v>
      </c>
      <c r="F21" s="187">
        <f>COUNTIFS(bd!$D$2:$D$138,F$5,bd!$Q$2:$Q$138,"&gt;0")</f>
        <v>2</v>
      </c>
      <c r="G21" s="187">
        <f>COUNTIFS(bd!$D$2:$D$138,G$5,bd!$Q$2:$Q$138,"&gt;0")</f>
        <v>8</v>
      </c>
      <c r="H21" s="187">
        <f>COUNTIFS(bd!$D$2:$D$138,H$5,bd!$Q$2:$Q$138,"&gt;0")</f>
        <v>4</v>
      </c>
      <c r="I21" s="188">
        <f>COUNTIFS(bd!$D$2:$D$138,I$5,bd!$Q$2:$Q$138,"&gt;0")</f>
        <v>68</v>
      </c>
      <c r="J21" s="188">
        <f>SUM(E21:I21)</f>
        <v>83</v>
      </c>
      <c r="K21" s="189">
        <f>E21/E$23</f>
        <v>1</v>
      </c>
      <c r="L21" s="190">
        <f t="shared" ref="L21:P22" si="15">F21/F$23</f>
        <v>0.5</v>
      </c>
      <c r="M21" s="190">
        <f t="shared" si="15"/>
        <v>0.8</v>
      </c>
      <c r="N21" s="190">
        <f t="shared" si="15"/>
        <v>0.44444444444444442</v>
      </c>
      <c r="O21" s="193">
        <f t="shared" si="15"/>
        <v>0.60176991150442483</v>
      </c>
      <c r="P21" s="191">
        <f t="shared" si="15"/>
        <v>0.6058394160583942</v>
      </c>
    </row>
    <row r="22" spans="2:16" x14ac:dyDescent="0.25">
      <c r="B22" s="185"/>
      <c r="C22" s="185"/>
      <c r="D22" s="192" t="s">
        <v>84</v>
      </c>
      <c r="E22" s="187">
        <f>COUNTIFS(bd!$D$2:$D$138,E$5,bd!$Q$2:$Q$138,"&lt;0")</f>
        <v>0</v>
      </c>
      <c r="F22" s="187">
        <f>COUNTIFS(bd!$D$2:$D$138,F$5,bd!$Q$2:$Q$138,"&lt;0")</f>
        <v>2</v>
      </c>
      <c r="G22" s="187">
        <f>COUNTIFS(bd!$D$2:$D$138,G$5,bd!$Q$2:$Q$138,"&lt;0")</f>
        <v>2</v>
      </c>
      <c r="H22" s="188">
        <f>COUNTIFS(bd!$D$2:$D$138,H$5,bd!$Q$2:$Q$138,"&lt;0")</f>
        <v>5</v>
      </c>
      <c r="I22" s="188">
        <f>COUNTIFS(bd!$D$2:$D$138,I$5,bd!$Q$2:$Q$138,"&lt;0")</f>
        <v>45</v>
      </c>
      <c r="J22" s="188">
        <f>SUM(E22:I22)</f>
        <v>54</v>
      </c>
      <c r="K22" s="189">
        <f>E22/E$23</f>
        <v>0</v>
      </c>
      <c r="L22" s="190">
        <f t="shared" si="15"/>
        <v>0.5</v>
      </c>
      <c r="M22" s="190">
        <f t="shared" si="15"/>
        <v>0.2</v>
      </c>
      <c r="N22" s="193">
        <f t="shared" si="15"/>
        <v>0.55555555555555558</v>
      </c>
      <c r="O22" s="193">
        <f t="shared" si="15"/>
        <v>0.39823008849557523</v>
      </c>
      <c r="P22" s="191">
        <f t="shared" si="15"/>
        <v>0.39416058394160586</v>
      </c>
    </row>
    <row r="23" spans="2:16" ht="15.75" thickBot="1" x14ac:dyDescent="0.3">
      <c r="B23" s="185"/>
      <c r="C23" s="185"/>
      <c r="D23" s="194" t="s">
        <v>85</v>
      </c>
      <c r="E23" s="195">
        <f>E21+E22</f>
        <v>1</v>
      </c>
      <c r="F23" s="195">
        <f t="shared" ref="F23:I23" si="16">F21+F22</f>
        <v>4</v>
      </c>
      <c r="G23" s="195">
        <f t="shared" si="16"/>
        <v>10</v>
      </c>
      <c r="H23" s="195">
        <f t="shared" si="16"/>
        <v>9</v>
      </c>
      <c r="I23" s="196">
        <f t="shared" si="16"/>
        <v>113</v>
      </c>
      <c r="J23" s="196">
        <f>J21+J22</f>
        <v>137</v>
      </c>
      <c r="K23" s="197">
        <f>SUM(K21:K22)</f>
        <v>1</v>
      </c>
      <c r="L23" s="198">
        <f t="shared" ref="L23:P23" si="17">SUM(L21:L22)</f>
        <v>1</v>
      </c>
      <c r="M23" s="198">
        <f t="shared" si="17"/>
        <v>1</v>
      </c>
      <c r="N23" s="198">
        <f t="shared" si="17"/>
        <v>1</v>
      </c>
      <c r="O23" s="216">
        <f t="shared" si="17"/>
        <v>1</v>
      </c>
      <c r="P23" s="199">
        <f t="shared" si="17"/>
        <v>1</v>
      </c>
    </row>
    <row r="24" spans="2:16" x14ac:dyDescent="0.25">
      <c r="B24" s="185"/>
      <c r="C24" s="185"/>
      <c r="D24" s="320" t="s">
        <v>74</v>
      </c>
      <c r="E24" s="321"/>
      <c r="F24" s="321"/>
      <c r="G24" s="321"/>
      <c r="H24" s="321"/>
      <c r="I24" s="321"/>
      <c r="J24" s="322"/>
      <c r="K24" s="323"/>
      <c r="L24" s="324"/>
      <c r="M24" s="324"/>
      <c r="N24" s="324"/>
      <c r="O24" s="324"/>
      <c r="P24" s="324"/>
    </row>
    <row r="25" spans="2:16" x14ac:dyDescent="0.25">
      <c r="B25" s="185"/>
      <c r="C25" s="185"/>
      <c r="D25" s="240" t="s">
        <v>75</v>
      </c>
      <c r="E25" s="241">
        <f>IFERROR(AVERAGEIFS(bd!$Q$2:$Q$138,bd!$D$2:$D$138,E$5,bd!$Q$2:$Q$138,"&gt;=0"),"")</f>
        <v>4.1984790061118327E-2</v>
      </c>
      <c r="F25" s="241">
        <f>IFERROR(AVERAGEIFS(bd!$Q$2:$Q$138,bd!$D$2:$D$138,F$5,bd!$Q$2:$Q$138,"&gt;=0"),"")</f>
        <v>0.30106352551651516</v>
      </c>
      <c r="G25" s="241">
        <f>IFERROR(AVERAGEIFS(bd!$Q$2:$Q$138,bd!$D$2:$D$138,G$5,bd!$Q$2:$Q$138,"&gt;=0"),"")</f>
        <v>1.6901009208462809</v>
      </c>
      <c r="H25" s="242">
        <f>IFERROR(AVERAGEIFS(bd!$Q$2:$Q$138,bd!$D$2:$D$138,H$5,bd!$Q$2:$Q$138,"&gt;=0"),"")</f>
        <v>0.48944744101300008</v>
      </c>
      <c r="I25" s="242">
        <f>IFERROR(AVERAGEIFS(bd!$Q$2:$Q$138,bd!$D$2:$D$138,I$5,bd!$Q$2:$Q$138,"&gt;=0"),"")</f>
        <v>0.89685109360981985</v>
      </c>
      <c r="J25" s="242">
        <f>AVERAGEIFS(bd!$Q$2:$Q$138,bd!$Q$2:$Q$138,"&gt;=0")</f>
        <v>0.9290190763540257</v>
      </c>
      <c r="K25" s="200"/>
      <c r="L25" s="201"/>
      <c r="M25" s="201"/>
      <c r="N25" s="201"/>
      <c r="O25" s="201"/>
      <c r="P25" s="201"/>
    </row>
    <row r="26" spans="2:16" x14ac:dyDescent="0.25">
      <c r="B26" s="185"/>
      <c r="C26" s="185"/>
      <c r="D26" s="243" t="s">
        <v>76</v>
      </c>
      <c r="E26" s="244" t="str">
        <f>IFERROR(AVERAGEIFS(bd!$Q$2:$Q$138,bd!$D$2:$D$138,E$5,bd!$Q$2:$Q$138,"&lt;0"),"")</f>
        <v/>
      </c>
      <c r="F26" s="244">
        <f>IFERROR(AVERAGEIFS(bd!$Q$2:$Q$138,bd!$D$2:$D$138,F$5,bd!$Q$2:$Q$138,"&lt;0"),"")</f>
        <v>-0.18276010256815178</v>
      </c>
      <c r="G26" s="244">
        <f>IFERROR(AVERAGEIFS(bd!$Q$2:$Q$138,bd!$D$2:$D$138,G$5,bd!$Q$2:$Q$138,"&lt;0"),"")</f>
        <v>-0.20201129004497453</v>
      </c>
      <c r="H26" s="245">
        <f>IFERROR(AVERAGEIFS(bd!$Q$2:$Q$138,bd!$D$2:$D$138,H$5,bd!$Q$2:$Q$138,"&lt;0"),"")</f>
        <v>-0.58099482897075971</v>
      </c>
      <c r="I26" s="245">
        <f>IFERROR(AVERAGEIFS(bd!$Q$2:$Q$138,bd!$D$2:$D$138,I$5,bd!$Q$2:$Q$138,"&lt;0"),"")</f>
        <v>-0.28729240947075257</v>
      </c>
      <c r="J26" s="245">
        <f>AVERAGEIFS(bd!$Q$2:$Q$138,bd!$Q$2:$Q$138,"&lt;0")</f>
        <v>-0.30745695104192444</v>
      </c>
      <c r="K26" s="200"/>
      <c r="L26" s="201"/>
      <c r="M26" s="201"/>
      <c r="N26" s="201"/>
      <c r="O26" s="201"/>
      <c r="P26" s="201"/>
    </row>
    <row r="27" spans="2:16" ht="15.75" thickBot="1" x14ac:dyDescent="0.3">
      <c r="B27" s="185"/>
      <c r="C27" s="185"/>
      <c r="D27" s="186" t="s">
        <v>77</v>
      </c>
      <c r="E27" s="190">
        <f>AVERAGEIFS(bd!$Q$2:$Q$138,bd!$D$2:$D$138,E$5)</f>
        <v>4.1984790061118327E-2</v>
      </c>
      <c r="F27" s="190">
        <f>AVERAGEIFS(bd!$Q$2:$Q$138,bd!$D$2:$D$138,F$5)</f>
        <v>5.915171147418169E-2</v>
      </c>
      <c r="G27" s="190">
        <f>AVERAGEIFS(bd!$Q$2:$Q$138,bd!$D$2:$D$138,G$5)</f>
        <v>1.31167847866803</v>
      </c>
      <c r="H27" s="190">
        <f>AVERAGEIFS(bd!$Q$2:$Q$138,bd!$D$2:$D$138,H$5)</f>
        <v>-0.10524270897797755</v>
      </c>
      <c r="I27" s="193">
        <f>AVERAGEIFS(bd!$Q$2:$Q$138,bd!$D$2:$D$138,I$5)</f>
        <v>0.42528952158658301</v>
      </c>
      <c r="J27" s="193">
        <f>AVERAGE(bd!Q2:Q138)</f>
        <v>0.4416489633658412</v>
      </c>
      <c r="K27" s="202"/>
      <c r="L27" s="203"/>
      <c r="M27" s="203"/>
      <c r="N27" s="203"/>
      <c r="O27" s="203"/>
      <c r="P27" s="203"/>
    </row>
    <row r="28" spans="2:16" x14ac:dyDescent="0.25">
      <c r="B28" s="129"/>
      <c r="C28" s="129"/>
      <c r="D28" s="325" t="s">
        <v>78</v>
      </c>
      <c r="E28" s="326"/>
      <c r="F28" s="326"/>
      <c r="G28" s="326"/>
      <c r="H28" s="326"/>
      <c r="I28" s="326"/>
      <c r="J28" s="327"/>
      <c r="K28" s="204"/>
      <c r="L28" s="7"/>
      <c r="M28" s="7"/>
      <c r="N28" s="7"/>
      <c r="O28" s="7"/>
      <c r="P28" s="7"/>
    </row>
    <row r="29" spans="2:16" x14ac:dyDescent="0.25">
      <c r="B29" s="129"/>
      <c r="C29" s="129"/>
      <c r="D29" s="205" t="s">
        <v>79</v>
      </c>
      <c r="E29" s="206">
        <f>SQRT(AVERAGE(bd!$R2))/AVERAGE(bd!$J2)</f>
        <v>4.1984790061118347E-2</v>
      </c>
      <c r="F29" s="206">
        <f>SQRT(AVERAGE(bd!$R3:'bd'!$R6))/AVERAGE(bd!$J3:'bd'!$J6)</f>
        <v>0.16688722369451092</v>
      </c>
      <c r="G29" s="206">
        <f>SQRT(AVERAGE(bd!$R7:'bd'!$R16))/AVERAGE(bd!$J7:'bd'!$J16)</f>
        <v>0.90182735308212203</v>
      </c>
      <c r="H29" s="206">
        <f>SQRT(AVERAGE(bd!$R17:'bd'!$R25))/AVERAGE(bd!$J17:'bd'!$J25)</f>
        <v>0.68043543288446107</v>
      </c>
      <c r="I29" s="206">
        <f>SQRT(AVERAGE(bd!$R26:'bd'!$R138))/AVERAGE(bd!$J26:'bd'!$J138)</f>
        <v>0.50089624982251491</v>
      </c>
      <c r="J29" s="206">
        <f>SQRT(AVERAGE(bd!$R2:'bd'!$R138))/AVERAGE(bd!$J2:'bd'!$J138)</f>
        <v>0.52145467251756616</v>
      </c>
      <c r="K29" s="204"/>
      <c r="L29" s="7"/>
      <c r="M29" s="7"/>
      <c r="N29" s="7"/>
      <c r="O29" s="7"/>
      <c r="P29" s="7"/>
    </row>
    <row r="30" spans="2:16" x14ac:dyDescent="0.25">
      <c r="B30" s="129"/>
      <c r="C30" s="129"/>
      <c r="D30" s="328" t="s">
        <v>80</v>
      </c>
      <c r="E30" s="329"/>
      <c r="F30" s="329"/>
      <c r="G30" s="329"/>
      <c r="H30" s="329"/>
      <c r="I30" s="329"/>
      <c r="J30" s="329"/>
      <c r="K30" s="204"/>
      <c r="L30" s="7"/>
      <c r="M30" s="7"/>
      <c r="N30" s="7"/>
      <c r="O30" s="7"/>
      <c r="P30" s="7"/>
    </row>
    <row r="31" spans="2:16" ht="15.75" thickBot="1" x14ac:dyDescent="0.3">
      <c r="B31" s="129"/>
      <c r="C31" s="129"/>
      <c r="D31" s="207" t="s">
        <v>81</v>
      </c>
      <c r="E31" s="208">
        <f>LINEST(bd!$P2:'bd'!$P2,bd!J$2:'bd'!J$2,FALSE)</f>
        <v>1.0419847900611183</v>
      </c>
      <c r="F31" s="208">
        <f>LINEST(bd!$P3:'bd'!$P6,bd!J$3:'bd'!J$6,FALSE)</f>
        <v>0.97992000087713893</v>
      </c>
      <c r="G31" s="208">
        <f>LINEST(bd!$P7:'bd'!$P16,bd!J$7:'bd'!J$16,FALSE)</f>
        <v>1.0804338059143372</v>
      </c>
      <c r="H31" s="208">
        <f>LINEST(bd!$P17:'bd'!$P25,bd!J$17:'bd'!J$25,FALSE)</f>
        <v>1.1052905217479478</v>
      </c>
      <c r="I31" s="208">
        <f>LINEST(bd!$P26:'bd'!$P138,bd!J$26:'bd'!J$138,FALSE)</f>
        <v>0.97234930770283334</v>
      </c>
      <c r="J31" s="208">
        <f>LINEST(bd!$P2:'bd'!$P138,bd!J$2:'bd'!J$138,FALSE)</f>
        <v>0.98317410244380221</v>
      </c>
      <c r="K31" s="204"/>
      <c r="L31" s="7"/>
      <c r="M31" s="7"/>
      <c r="N31" s="7"/>
      <c r="O31" s="7"/>
      <c r="P31" s="7"/>
    </row>
  </sheetData>
  <mergeCells count="11">
    <mergeCell ref="D24:J24"/>
    <mergeCell ref="K24:P24"/>
    <mergeCell ref="D28:J28"/>
    <mergeCell ref="D30:J30"/>
    <mergeCell ref="D2:D5"/>
    <mergeCell ref="E2:J2"/>
    <mergeCell ref="K2:P2"/>
    <mergeCell ref="E3:J3"/>
    <mergeCell ref="K3:P3"/>
    <mergeCell ref="D20:J20"/>
    <mergeCell ref="K20:P20"/>
  </mergeCells>
  <conditionalFormatting sqref="E21:J23">
    <cfRule type="cellIs" dxfId="2" priority="1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 tint="0.79998168889431442"/>
  </sheetPr>
  <dimension ref="A1"/>
  <sheetViews>
    <sheetView showGridLines="0" topLeftCell="A49" workbookViewId="0">
      <selection activeCell="R145" sqref="R145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7" tint="0.39997558519241921"/>
  </sheetPr>
  <dimension ref="B1:P31"/>
  <sheetViews>
    <sheetView showGridLines="0" workbookViewId="0">
      <selection activeCell="R37" sqref="R37"/>
    </sheetView>
  </sheetViews>
  <sheetFormatPr defaultRowHeight="15" x14ac:dyDescent="0.25"/>
  <cols>
    <col min="1" max="1" width="9.140625" style="5"/>
    <col min="2" max="3" width="9.140625" style="5" hidden="1" customWidth="1"/>
    <col min="4" max="4" width="14.140625" style="5" customWidth="1"/>
    <col min="5" max="5" width="12.7109375" style="5" customWidth="1"/>
    <col min="6" max="10" width="11.85546875" style="5" customWidth="1"/>
    <col min="11" max="11" width="12.7109375" style="5" customWidth="1"/>
    <col min="12" max="16" width="11.85546875" style="5" customWidth="1"/>
    <col min="17" max="16384" width="9.140625" style="5"/>
  </cols>
  <sheetData>
    <row r="1" spans="2:16" ht="15.75" thickBot="1" x14ac:dyDescent="0.3">
      <c r="B1" s="129"/>
      <c r="C1" s="129"/>
    </row>
    <row r="2" spans="2:16" x14ac:dyDescent="0.25">
      <c r="B2" s="129"/>
      <c r="C2" s="129"/>
      <c r="D2" s="330" t="s">
        <v>55</v>
      </c>
      <c r="E2" s="333" t="s">
        <v>86</v>
      </c>
      <c r="F2" s="334"/>
      <c r="G2" s="334"/>
      <c r="H2" s="334"/>
      <c r="I2" s="334"/>
      <c r="J2" s="334"/>
      <c r="K2" s="335" t="s">
        <v>56</v>
      </c>
      <c r="L2" s="334"/>
      <c r="M2" s="334"/>
      <c r="N2" s="334"/>
      <c r="O2" s="334"/>
      <c r="P2" s="336"/>
    </row>
    <row r="3" spans="2:16" x14ac:dyDescent="0.25">
      <c r="B3" s="129"/>
      <c r="C3" s="129"/>
      <c r="D3" s="331"/>
      <c r="E3" s="337" t="s">
        <v>87</v>
      </c>
      <c r="F3" s="338"/>
      <c r="G3" s="338"/>
      <c r="H3" s="338"/>
      <c r="I3" s="338"/>
      <c r="J3" s="338"/>
      <c r="K3" s="339" t="s">
        <v>87</v>
      </c>
      <c r="L3" s="338"/>
      <c r="M3" s="338"/>
      <c r="N3" s="338"/>
      <c r="O3" s="338"/>
      <c r="P3" s="340"/>
    </row>
    <row r="4" spans="2:16" x14ac:dyDescent="0.25">
      <c r="B4" s="129"/>
      <c r="C4" s="129"/>
      <c r="D4" s="331"/>
      <c r="E4" s="224" t="s">
        <v>12</v>
      </c>
      <c r="F4" s="224" t="s">
        <v>13</v>
      </c>
      <c r="G4" s="224" t="s">
        <v>9</v>
      </c>
      <c r="H4" s="224" t="s">
        <v>50</v>
      </c>
      <c r="I4" s="224" t="s">
        <v>0</v>
      </c>
      <c r="J4" s="217" t="s">
        <v>57</v>
      </c>
      <c r="K4" s="228" t="s">
        <v>12</v>
      </c>
      <c r="L4" s="224" t="s">
        <v>13</v>
      </c>
      <c r="M4" s="224" t="s">
        <v>9</v>
      </c>
      <c r="N4" s="224" t="s">
        <v>50</v>
      </c>
      <c r="O4" s="224" t="s">
        <v>0</v>
      </c>
      <c r="P4" s="218" t="s">
        <v>57</v>
      </c>
    </row>
    <row r="5" spans="2:16" x14ac:dyDescent="0.25">
      <c r="B5" s="129"/>
      <c r="C5" s="129"/>
      <c r="D5" s="332"/>
      <c r="E5" s="219">
        <v>1</v>
      </c>
      <c r="F5" s="220">
        <v>2</v>
      </c>
      <c r="G5" s="220">
        <v>3</v>
      </c>
      <c r="H5" s="220">
        <v>4</v>
      </c>
      <c r="I5" s="221">
        <v>5</v>
      </c>
      <c r="J5" s="221"/>
      <c r="K5" s="222">
        <v>1</v>
      </c>
      <c r="L5" s="220">
        <v>2</v>
      </c>
      <c r="M5" s="220">
        <v>3</v>
      </c>
      <c r="N5" s="220">
        <v>4</v>
      </c>
      <c r="O5" s="221">
        <v>5</v>
      </c>
      <c r="P5" s="223"/>
    </row>
    <row r="6" spans="2:16" x14ac:dyDescent="0.25">
      <c r="B6" s="130">
        <v>1</v>
      </c>
      <c r="C6" s="130">
        <f>MAX(bd!$Q$2:$Q$138)</f>
        <v>7.7996113520491743</v>
      </c>
      <c r="D6" s="131" t="s">
        <v>58</v>
      </c>
      <c r="E6" s="132">
        <f>COUNTIFS(pm!$D$2:$D$138,E$5,pm!$Q$2:$Q$138,"&gt;"&amp;$B6,pm!$Q$2:$Q$138,"&lt;="&amp;$C6)</f>
        <v>0</v>
      </c>
      <c r="F6" s="132">
        <f>COUNTIFS(pm!$D$2:$D$138,F$5,pm!$Q$2:$Q$138,"&gt;"&amp;$B6,pm!$Q$2:$Q$138,"&lt;="&amp;$C6)</f>
        <v>0</v>
      </c>
      <c r="G6" s="132">
        <f>COUNTIFS(pm!$D$2:$D$138,G$5,pm!$Q$2:$Q$138,"&gt;"&amp;$B6,pm!$Q$2:$Q$138,"&lt;="&amp;$C6)</f>
        <v>2</v>
      </c>
      <c r="H6" s="132">
        <f>COUNTIFS(pm!$D$2:$D$138,H$5,pm!$Q$2:$Q$138,"&gt;"&amp;$B6,pm!$Q$2:$Q$138,"&lt;="&amp;$C6)</f>
        <v>0</v>
      </c>
      <c r="I6" s="209">
        <f>COUNTIFS(pm!$D$2:$D$138,I$5,pm!$Q$2:$Q$138,"&gt;"&amp;$B6,pm!$Q$2:$Q$138,"&lt;="&amp;$C6)</f>
        <v>17</v>
      </c>
      <c r="J6" s="133">
        <f>SUM(E6:I6)</f>
        <v>19</v>
      </c>
      <c r="K6" s="134">
        <f>E6/E$23</f>
        <v>0</v>
      </c>
      <c r="L6" s="135">
        <f t="shared" ref="L6:O16" si="0">F6/F$23</f>
        <v>0</v>
      </c>
      <c r="M6" s="135">
        <f t="shared" si="0"/>
        <v>0.2</v>
      </c>
      <c r="N6" s="135">
        <f t="shared" si="0"/>
        <v>0</v>
      </c>
      <c r="O6" s="211">
        <f t="shared" si="0"/>
        <v>0.15044247787610621</v>
      </c>
      <c r="P6" s="136">
        <f>SUM(K6:O6)</f>
        <v>0.35044247787610622</v>
      </c>
    </row>
    <row r="7" spans="2:16" x14ac:dyDescent="0.25">
      <c r="B7" s="130">
        <v>0.5</v>
      </c>
      <c r="C7" s="130">
        <v>1</v>
      </c>
      <c r="D7" s="131" t="s">
        <v>59</v>
      </c>
      <c r="E7" s="137">
        <f>COUNTIFS(pm!$D$2:$D$138,E$5,pm!$Q$2:$Q$138,"&gt;"&amp;$B7,pm!$Q$2:$Q$138,"&lt;="&amp;$C7)</f>
        <v>0</v>
      </c>
      <c r="F7" s="137">
        <f>COUNTIFS(pm!$D$2:$D$138,F$5,pm!$Q$2:$Q$138,"&gt;"&amp;$B7,pm!$Q$2:$Q$138,"&lt;="&amp;$C7)</f>
        <v>0</v>
      </c>
      <c r="G7" s="137">
        <f>COUNTIFS(pm!$D$2:$D$138,G$5,pm!$Q$2:$Q$138,"&gt;"&amp;$B7,pm!$Q$2:$Q$138,"&lt;="&amp;$C7)</f>
        <v>1</v>
      </c>
      <c r="H7" s="137">
        <f>COUNTIFS(pm!$D$2:$D$138,H$5,pm!$Q$2:$Q$138,"&gt;"&amp;$B7,pm!$Q$2:$Q$138,"&lt;="&amp;$C7)</f>
        <v>1</v>
      </c>
      <c r="I7" s="209">
        <f>COUNTIFS(pm!$D$2:$D$138,I$5,pm!$Q$2:$Q$138,"&gt;"&amp;$B7,pm!$Q$2:$Q$138,"&lt;="&amp;$C7)</f>
        <v>11</v>
      </c>
      <c r="J7" s="133">
        <f t="shared" ref="J7:J19" si="1">SUM(E7:I7)</f>
        <v>13</v>
      </c>
      <c r="K7" s="138">
        <f t="shared" ref="K7:K16" si="2">E7/E$23</f>
        <v>0</v>
      </c>
      <c r="L7" s="139">
        <f t="shared" si="0"/>
        <v>0</v>
      </c>
      <c r="M7" s="139">
        <f t="shared" si="0"/>
        <v>0.1</v>
      </c>
      <c r="N7" s="139">
        <f t="shared" si="0"/>
        <v>0.1111111111111111</v>
      </c>
      <c r="O7" s="211">
        <f t="shared" si="0"/>
        <v>9.7345132743362831E-2</v>
      </c>
      <c r="P7" s="136">
        <f t="shared" ref="P7:P19" si="3">SUM(K7:O7)</f>
        <v>0.30845624385447395</v>
      </c>
    </row>
    <row r="8" spans="2:16" x14ac:dyDescent="0.25">
      <c r="B8" s="130">
        <v>0.30000000000000004</v>
      </c>
      <c r="C8" s="130">
        <v>0.5</v>
      </c>
      <c r="D8" s="131" t="s">
        <v>60</v>
      </c>
      <c r="E8" s="137">
        <f>COUNTIFS(pm!$D$2:$D$138,E$5,pm!$Q$2:$Q$138,"&gt;"&amp;$B8,pm!$Q$2:$Q$138,"&lt;="&amp;$C8)</f>
        <v>0</v>
      </c>
      <c r="F8" s="137">
        <f>COUNTIFS(pm!$D$2:$D$138,F$5,pm!$Q$2:$Q$138,"&gt;"&amp;$B8,pm!$Q$2:$Q$138,"&lt;="&amp;$C8)</f>
        <v>2</v>
      </c>
      <c r="G8" s="137">
        <f>COUNTIFS(pm!$D$2:$D$138,G$5,pm!$Q$2:$Q$138,"&gt;"&amp;$B8,pm!$Q$2:$Q$138,"&lt;="&amp;$C8)</f>
        <v>1</v>
      </c>
      <c r="H8" s="137">
        <f>COUNTIFS(pm!$D$2:$D$138,H$5,pm!$Q$2:$Q$138,"&gt;"&amp;$B8,pm!$Q$2:$Q$138,"&lt;="&amp;$C8)</f>
        <v>1</v>
      </c>
      <c r="I8" s="209">
        <f>COUNTIFS(pm!$D$2:$D$138,I$5,pm!$Q$2:$Q$138,"&gt;"&amp;$B8,pm!$Q$2:$Q$138,"&lt;="&amp;$C8)</f>
        <v>11</v>
      </c>
      <c r="J8" s="133">
        <f t="shared" si="1"/>
        <v>15</v>
      </c>
      <c r="K8" s="138">
        <f t="shared" si="2"/>
        <v>0</v>
      </c>
      <c r="L8" s="139">
        <f t="shared" si="0"/>
        <v>0.5</v>
      </c>
      <c r="M8" s="139">
        <f t="shared" si="0"/>
        <v>0.1</v>
      </c>
      <c r="N8" s="139">
        <f t="shared" si="0"/>
        <v>0.1111111111111111</v>
      </c>
      <c r="O8" s="211">
        <f t="shared" si="0"/>
        <v>9.7345132743362831E-2</v>
      </c>
      <c r="P8" s="136">
        <f t="shared" si="3"/>
        <v>0.8084562438544739</v>
      </c>
    </row>
    <row r="9" spans="2:16" x14ac:dyDescent="0.25">
      <c r="B9" s="130">
        <v>0.2</v>
      </c>
      <c r="C9" s="130">
        <v>0.30000000000000004</v>
      </c>
      <c r="D9" s="140" t="s">
        <v>61</v>
      </c>
      <c r="E9" s="141">
        <f>COUNTIFS(pm!$D$2:$D$138,E$5,pm!$Q$2:$Q$138,"&gt;"&amp;$B9,pm!$Q$2:$Q$138,"&lt;="&amp;$C9)</f>
        <v>0</v>
      </c>
      <c r="F9" s="141">
        <f>COUNTIFS(pm!$D$2:$D$138,F$5,pm!$Q$2:$Q$138,"&gt;"&amp;$B9,pm!$Q$2:$Q$138,"&lt;="&amp;$C9)</f>
        <v>0</v>
      </c>
      <c r="G9" s="141">
        <f>COUNTIFS(pm!$D$2:$D$138,G$5,pm!$Q$2:$Q$138,"&gt;"&amp;$B9,pm!$Q$2:$Q$138,"&lt;="&amp;$C9)</f>
        <v>1</v>
      </c>
      <c r="H9" s="141">
        <f>COUNTIFS(pm!$D$2:$D$138,H$5,pm!$Q$2:$Q$138,"&gt;"&amp;$B9,pm!$Q$2:$Q$138,"&lt;="&amp;$C9)</f>
        <v>1</v>
      </c>
      <c r="I9" s="142">
        <f>COUNTIFS(pm!$D$2:$D$138,I$5,pm!$Q$2:$Q$138,"&gt;"&amp;$B9,pm!$Q$2:$Q$138,"&lt;="&amp;$C9)</f>
        <v>4</v>
      </c>
      <c r="J9" s="142">
        <f t="shared" si="1"/>
        <v>6</v>
      </c>
      <c r="K9" s="143">
        <f t="shared" si="2"/>
        <v>0</v>
      </c>
      <c r="L9" s="144">
        <f t="shared" si="0"/>
        <v>0</v>
      </c>
      <c r="M9" s="144">
        <f t="shared" si="0"/>
        <v>0.1</v>
      </c>
      <c r="N9" s="144">
        <f t="shared" si="0"/>
        <v>0.1111111111111111</v>
      </c>
      <c r="O9" s="212">
        <f t="shared" si="0"/>
        <v>3.5398230088495575E-2</v>
      </c>
      <c r="P9" s="145">
        <f t="shared" si="3"/>
        <v>0.24650934119960669</v>
      </c>
    </row>
    <row r="10" spans="2:16" x14ac:dyDescent="0.25">
      <c r="B10" s="130">
        <v>0.1</v>
      </c>
      <c r="C10" s="130">
        <v>0.2</v>
      </c>
      <c r="D10" s="140" t="s">
        <v>62</v>
      </c>
      <c r="E10" s="141">
        <f>COUNTIFS(pm!$D$2:$D$138,E$5,pm!$Q$2:$Q$138,"&gt;"&amp;$B10,pm!$Q$2:$Q$138,"&lt;="&amp;$C10)</f>
        <v>1</v>
      </c>
      <c r="F10" s="141">
        <f>COUNTIFS(pm!$D$2:$D$138,F$5,pm!$Q$2:$Q$138,"&gt;"&amp;$B10,pm!$Q$2:$Q$138,"&lt;="&amp;$C10)</f>
        <v>0</v>
      </c>
      <c r="G10" s="141">
        <f>COUNTIFS(pm!$D$2:$D$138,G$5,pm!$Q$2:$Q$138,"&gt;"&amp;$B10,pm!$Q$2:$Q$138,"&lt;="&amp;$C10)</f>
        <v>1</v>
      </c>
      <c r="H10" s="141">
        <f>COUNTIFS(pm!$D$2:$D$138,H$5,pm!$Q$2:$Q$138,"&gt;"&amp;$B10,pm!$Q$2:$Q$138,"&lt;="&amp;$C10)</f>
        <v>0</v>
      </c>
      <c r="I10" s="142">
        <f>COUNTIFS(pm!$D$2:$D$138,I$5,pm!$Q$2:$Q$138,"&gt;"&amp;$B10,pm!$Q$2:$Q$138,"&lt;="&amp;$C10)</f>
        <v>9</v>
      </c>
      <c r="J10" s="142">
        <f t="shared" si="1"/>
        <v>11</v>
      </c>
      <c r="K10" s="143">
        <f t="shared" si="2"/>
        <v>1</v>
      </c>
      <c r="L10" s="144">
        <f t="shared" si="0"/>
        <v>0</v>
      </c>
      <c r="M10" s="144">
        <f t="shared" si="0"/>
        <v>0.1</v>
      </c>
      <c r="N10" s="144">
        <f t="shared" si="0"/>
        <v>0</v>
      </c>
      <c r="O10" s="212">
        <f t="shared" si="0"/>
        <v>7.9646017699115043E-2</v>
      </c>
      <c r="P10" s="145">
        <f t="shared" si="3"/>
        <v>1.179646017699115</v>
      </c>
    </row>
    <row r="11" spans="2:16" x14ac:dyDescent="0.25">
      <c r="B11" s="130">
        <v>0</v>
      </c>
      <c r="C11" s="130">
        <v>0.1</v>
      </c>
      <c r="D11" s="140" t="s">
        <v>63</v>
      </c>
      <c r="E11" s="141">
        <f>COUNTIFS(pm!$D$2:$D$138,E$5,pm!$Q$2:$Q$138,"&gt;"&amp;$B11,pm!$Q$2:$Q$138,"&lt;="&amp;$C11)</f>
        <v>0</v>
      </c>
      <c r="F11" s="141">
        <f>COUNTIFS(pm!$D$2:$D$138,F$5,pm!$Q$2:$Q$138,"&gt;"&amp;$B11,pm!$Q$2:$Q$138,"&lt;="&amp;$C11)</f>
        <v>1</v>
      </c>
      <c r="G11" s="141">
        <f>COUNTIFS(pm!$D$2:$D$138,G$5,pm!$Q$2:$Q$138,"&gt;"&amp;$B11,pm!$Q$2:$Q$138,"&lt;="&amp;$C11)</f>
        <v>2</v>
      </c>
      <c r="H11" s="141">
        <f>COUNTIFS(pm!$D$2:$D$138,H$5,pm!$Q$2:$Q$138,"&gt;"&amp;$B11,pm!$Q$2:$Q$138,"&lt;="&amp;$C11)</f>
        <v>0</v>
      </c>
      <c r="I11" s="142">
        <f>COUNTIFS(pm!$D$2:$D$138,I$5,pm!$Q$2:$Q$138,"&gt;"&amp;$B11,pm!$Q$2:$Q$138,"&lt;="&amp;$C11)</f>
        <v>8</v>
      </c>
      <c r="J11" s="142">
        <f t="shared" si="1"/>
        <v>11</v>
      </c>
      <c r="K11" s="143">
        <f t="shared" si="2"/>
        <v>0</v>
      </c>
      <c r="L11" s="144">
        <f t="shared" si="0"/>
        <v>0.25</v>
      </c>
      <c r="M11" s="144">
        <f t="shared" si="0"/>
        <v>0.2</v>
      </c>
      <c r="N11" s="144">
        <f t="shared" si="0"/>
        <v>0</v>
      </c>
      <c r="O11" s="212">
        <f t="shared" si="0"/>
        <v>7.0796460176991149E-2</v>
      </c>
      <c r="P11" s="145">
        <f t="shared" si="3"/>
        <v>0.52079646017699122</v>
      </c>
    </row>
    <row r="12" spans="2:16" x14ac:dyDescent="0.25">
      <c r="B12" s="130">
        <v>-0.1</v>
      </c>
      <c r="C12" s="130">
        <v>0</v>
      </c>
      <c r="D12" s="146" t="s">
        <v>64</v>
      </c>
      <c r="E12" s="147">
        <f>COUNTIFS(pm!$D$2:$D$138,E$5,pm!$Q$2:$Q$138,"&gt;"&amp;$B12,pm!$Q$2:$Q$138,"&lt;="&amp;$C12)</f>
        <v>0</v>
      </c>
      <c r="F12" s="147">
        <f>COUNTIFS(pm!$D$2:$D$138,F$5,pm!$Q$2:$Q$138,"&gt;"&amp;$B12,pm!$Q$2:$Q$138,"&lt;="&amp;$C12)</f>
        <v>1</v>
      </c>
      <c r="G12" s="147">
        <f>COUNTIFS(pm!$D$2:$D$138,G$5,pm!$Q$2:$Q$138,"&gt;"&amp;$B12,pm!$Q$2:$Q$138,"&lt;="&amp;$C12)</f>
        <v>0</v>
      </c>
      <c r="H12" s="147">
        <f>COUNTIFS(pm!$D$2:$D$138,H$5,pm!$Q$2:$Q$138,"&gt;"&amp;$B12,pm!$Q$2:$Q$138,"&lt;="&amp;$C12)</f>
        <v>0</v>
      </c>
      <c r="I12" s="148">
        <f>COUNTIFS(pm!$D$2:$D$138,I$5,pm!$Q$2:$Q$138,"&gt;"&amp;$B12,pm!$Q$2:$Q$138,"&lt;="&amp;$C12)</f>
        <v>8</v>
      </c>
      <c r="J12" s="148">
        <f t="shared" si="1"/>
        <v>9</v>
      </c>
      <c r="K12" s="149">
        <f t="shared" si="2"/>
        <v>0</v>
      </c>
      <c r="L12" s="150">
        <f t="shared" si="0"/>
        <v>0.25</v>
      </c>
      <c r="M12" s="150">
        <f t="shared" si="0"/>
        <v>0</v>
      </c>
      <c r="N12" s="150">
        <f t="shared" si="0"/>
        <v>0</v>
      </c>
      <c r="O12" s="213">
        <f t="shared" si="0"/>
        <v>7.0796460176991149E-2</v>
      </c>
      <c r="P12" s="151">
        <f t="shared" si="3"/>
        <v>0.32079646017699115</v>
      </c>
    </row>
    <row r="13" spans="2:16" x14ac:dyDescent="0.25">
      <c r="B13" s="130">
        <v>-0.2</v>
      </c>
      <c r="C13" s="130">
        <v>-0.1</v>
      </c>
      <c r="D13" s="152" t="s">
        <v>65</v>
      </c>
      <c r="E13" s="153">
        <f>COUNTIFS(pm!$D$2:$D$138,E$5,pm!$Q$2:$Q$138,"&gt;"&amp;$B13,pm!$Q$2:$Q$138,"&lt;="&amp;$C13)</f>
        <v>0</v>
      </c>
      <c r="F13" s="153">
        <f>COUNTIFS(pm!$D$2:$D$138,F$5,pm!$Q$2:$Q$138,"&gt;"&amp;$B13,pm!$Q$2:$Q$138,"&lt;="&amp;$C13)</f>
        <v>0</v>
      </c>
      <c r="G13" s="153">
        <f>COUNTIFS(pm!$D$2:$D$138,G$5,pm!$Q$2:$Q$138,"&gt;"&amp;$B13,pm!$Q$2:$Q$138,"&lt;="&amp;$C13)</f>
        <v>1</v>
      </c>
      <c r="H13" s="153">
        <f>COUNTIFS(pm!$D$2:$D$138,H$5,pm!$Q$2:$Q$138,"&gt;"&amp;$B13,pm!$Q$2:$Q$138,"&lt;="&amp;$C13)</f>
        <v>0</v>
      </c>
      <c r="I13" s="154">
        <f>COUNTIFS(pm!$D$2:$D$138,I$5,pm!$Q$2:$Q$138,"&gt;"&amp;$B13,pm!$Q$2:$Q$138,"&lt;="&amp;$C13)</f>
        <v>6</v>
      </c>
      <c r="J13" s="154">
        <f t="shared" si="1"/>
        <v>7</v>
      </c>
      <c r="K13" s="155">
        <f t="shared" si="2"/>
        <v>0</v>
      </c>
      <c r="L13" s="156">
        <f t="shared" si="0"/>
        <v>0</v>
      </c>
      <c r="M13" s="156">
        <f t="shared" si="0"/>
        <v>0.1</v>
      </c>
      <c r="N13" s="156">
        <f t="shared" si="0"/>
        <v>0</v>
      </c>
      <c r="O13" s="214">
        <f t="shared" si="0"/>
        <v>5.3097345132743362E-2</v>
      </c>
      <c r="P13" s="157">
        <f t="shared" si="3"/>
        <v>0.15309734513274337</v>
      </c>
    </row>
    <row r="14" spans="2:16" x14ac:dyDescent="0.25">
      <c r="B14" s="130">
        <v>-0.30000000000000004</v>
      </c>
      <c r="C14" s="130">
        <v>-0.2</v>
      </c>
      <c r="D14" s="152" t="s">
        <v>66</v>
      </c>
      <c r="E14" s="153">
        <f>COUNTIFS(pm!$D$2:$D$138,E$5,pm!$Q$2:$Q$138,"&gt;"&amp;$B14,pm!$Q$2:$Q$138,"&lt;="&amp;$C14)</f>
        <v>0</v>
      </c>
      <c r="F14" s="153">
        <f>COUNTIFS(pm!$D$2:$D$138,F$5,pm!$Q$2:$Q$138,"&gt;"&amp;$B14,pm!$Q$2:$Q$138,"&lt;="&amp;$C14)</f>
        <v>0</v>
      </c>
      <c r="G14" s="153">
        <f>COUNTIFS(pm!$D$2:$D$138,G$5,pm!$Q$2:$Q$138,"&gt;"&amp;$B14,pm!$Q$2:$Q$138,"&lt;="&amp;$C14)</f>
        <v>1</v>
      </c>
      <c r="H14" s="153">
        <f>COUNTIFS(pm!$D$2:$D$138,H$5,pm!$Q$2:$Q$138,"&gt;"&amp;$B14,pm!$Q$2:$Q$138,"&lt;="&amp;$C14)</f>
        <v>1</v>
      </c>
      <c r="I14" s="154">
        <f>COUNTIFS(pm!$D$2:$D$138,I$5,pm!$Q$2:$Q$138,"&gt;"&amp;$B14,pm!$Q$2:$Q$138,"&lt;="&amp;$C14)</f>
        <v>9</v>
      </c>
      <c r="J14" s="154">
        <f t="shared" si="1"/>
        <v>11</v>
      </c>
      <c r="K14" s="155">
        <f t="shared" si="2"/>
        <v>0</v>
      </c>
      <c r="L14" s="156">
        <f t="shared" si="0"/>
        <v>0</v>
      </c>
      <c r="M14" s="156">
        <f t="shared" si="0"/>
        <v>0.1</v>
      </c>
      <c r="N14" s="156">
        <f t="shared" si="0"/>
        <v>0.1111111111111111</v>
      </c>
      <c r="O14" s="214">
        <f t="shared" si="0"/>
        <v>7.9646017699115043E-2</v>
      </c>
      <c r="P14" s="157">
        <f t="shared" si="3"/>
        <v>0.29075712881022614</v>
      </c>
    </row>
    <row r="15" spans="2:16" x14ac:dyDescent="0.25">
      <c r="B15" s="130">
        <v>-0.5</v>
      </c>
      <c r="C15" s="130">
        <v>-0.30000000000000004</v>
      </c>
      <c r="D15" s="158" t="s">
        <v>67</v>
      </c>
      <c r="E15" s="159">
        <f>COUNTIFS(pm!$D$2:$D$138,E$5,pm!$Q$2:$Q$138,"&gt;"&amp;$B15,pm!$Q$2:$Q$138,"&lt;="&amp;$C15)</f>
        <v>0</v>
      </c>
      <c r="F15" s="159">
        <f>COUNTIFS(pm!$D$2:$D$138,F$5,pm!$Q$2:$Q$138,"&gt;"&amp;$B15,pm!$Q$2:$Q$138,"&lt;="&amp;$C15)</f>
        <v>0</v>
      </c>
      <c r="G15" s="159">
        <f>COUNTIFS(pm!$D$2:$D$138,G$5,pm!$Q$2:$Q$138,"&gt;"&amp;$B15,pm!$Q$2:$Q$138,"&lt;="&amp;$C15)</f>
        <v>0</v>
      </c>
      <c r="H15" s="159">
        <f>COUNTIFS(pm!$D$2:$D$138,H$5,pm!$Q$2:$Q$138,"&gt;"&amp;$B15,pm!$Q$2:$Q$138,"&lt;="&amp;$C15)</f>
        <v>1</v>
      </c>
      <c r="I15" s="210">
        <f>COUNTIFS(pm!$D$2:$D$138,I$5,pm!$Q$2:$Q$138,"&gt;"&amp;$B15,pm!$Q$2:$Q$138,"&lt;="&amp;$C15)</f>
        <v>17</v>
      </c>
      <c r="J15" s="160">
        <f t="shared" si="1"/>
        <v>18</v>
      </c>
      <c r="K15" s="161">
        <f t="shared" si="2"/>
        <v>0</v>
      </c>
      <c r="L15" s="162">
        <f t="shared" si="0"/>
        <v>0</v>
      </c>
      <c r="M15" s="162">
        <f t="shared" si="0"/>
        <v>0</v>
      </c>
      <c r="N15" s="162">
        <f t="shared" si="0"/>
        <v>0.1111111111111111</v>
      </c>
      <c r="O15" s="215">
        <f t="shared" si="0"/>
        <v>0.15044247787610621</v>
      </c>
      <c r="P15" s="163">
        <f t="shared" si="3"/>
        <v>0.26155358898721731</v>
      </c>
    </row>
    <row r="16" spans="2:16" x14ac:dyDescent="0.25">
      <c r="B16" s="130">
        <f>MIN(bd!Q2:Q138)</f>
        <v>-1</v>
      </c>
      <c r="C16" s="130">
        <v>-0.5</v>
      </c>
      <c r="D16" s="158" t="s">
        <v>68</v>
      </c>
      <c r="E16" s="159">
        <f>COUNTIFS(pm!$D$2:$D$138,E$5,pm!$Q$2:$Q$138,"&gt;"&amp;$B16,pm!$Q$2:$Q$138,"&lt;="&amp;$C16)</f>
        <v>0</v>
      </c>
      <c r="F16" s="159">
        <f>COUNTIFS(pm!$D$2:$D$138,F$5,pm!$Q$2:$Q$138,"&gt;"&amp;$B16,pm!$Q$2:$Q$138,"&lt;="&amp;$C16)</f>
        <v>0</v>
      </c>
      <c r="G16" s="159">
        <f>COUNTIFS(pm!$D$2:$D$138,G$5,pm!$Q$2:$Q$138,"&gt;"&amp;$B16,pm!$Q$2:$Q$138,"&lt;="&amp;$C16)</f>
        <v>0</v>
      </c>
      <c r="H16" s="159">
        <f>COUNTIFS(pm!$D$2:$D$138,H$5,pm!$Q$2:$Q$138,"&gt;"&amp;$B16,pm!$Q$2:$Q$138,"&lt;="&amp;$C16)</f>
        <v>3</v>
      </c>
      <c r="I16" s="210">
        <f>COUNTIFS(pm!$D$2:$D$138,I$5,pm!$Q$2:$Q$138,"&gt;"&amp;$B16,pm!$Q$2:$Q$138,"&lt;="&amp;$C16)</f>
        <v>11</v>
      </c>
      <c r="J16" s="160">
        <f t="shared" si="1"/>
        <v>14</v>
      </c>
      <c r="K16" s="161">
        <f t="shared" si="2"/>
        <v>0</v>
      </c>
      <c r="L16" s="162">
        <f t="shared" si="0"/>
        <v>0</v>
      </c>
      <c r="M16" s="162">
        <f t="shared" si="0"/>
        <v>0</v>
      </c>
      <c r="N16" s="162">
        <f t="shared" si="0"/>
        <v>0.33333333333333331</v>
      </c>
      <c r="O16" s="215">
        <f t="shared" si="0"/>
        <v>9.7345132743362831E-2</v>
      </c>
      <c r="P16" s="163">
        <f t="shared" si="3"/>
        <v>0.43067846607669613</v>
      </c>
    </row>
    <row r="17" spans="2:16" x14ac:dyDescent="0.25">
      <c r="B17" s="129"/>
      <c r="C17" s="129"/>
      <c r="D17" s="164" t="s">
        <v>69</v>
      </c>
      <c r="E17" s="165">
        <f>SUM(E11:E12)</f>
        <v>0</v>
      </c>
      <c r="F17" s="165">
        <f t="shared" ref="F17:I17" si="4">SUM(F11:F12)</f>
        <v>2</v>
      </c>
      <c r="G17" s="165">
        <f t="shared" si="4"/>
        <v>2</v>
      </c>
      <c r="H17" s="166">
        <f t="shared" si="4"/>
        <v>0</v>
      </c>
      <c r="I17" s="166">
        <f t="shared" si="4"/>
        <v>16</v>
      </c>
      <c r="J17" s="166">
        <f t="shared" si="1"/>
        <v>20</v>
      </c>
      <c r="K17" s="167">
        <f>SUM(K11:K12)</f>
        <v>0</v>
      </c>
      <c r="L17" s="168">
        <f t="shared" ref="L17:O17" si="5">SUM(L11:L12)</f>
        <v>0.5</v>
      </c>
      <c r="M17" s="168">
        <f t="shared" si="5"/>
        <v>0.2</v>
      </c>
      <c r="N17" s="169">
        <f t="shared" si="5"/>
        <v>0</v>
      </c>
      <c r="O17" s="169">
        <f t="shared" si="5"/>
        <v>0.1415929203539823</v>
      </c>
      <c r="P17" s="170">
        <f t="shared" si="3"/>
        <v>0.84159292035398225</v>
      </c>
    </row>
    <row r="18" spans="2:16" x14ac:dyDescent="0.25">
      <c r="B18" s="129"/>
      <c r="C18" s="129"/>
      <c r="D18" s="171" t="s">
        <v>70</v>
      </c>
      <c r="E18" s="172">
        <f>SUM(E10:E13)</f>
        <v>1</v>
      </c>
      <c r="F18" s="172">
        <f t="shared" ref="F18:I18" si="6">SUM(F10:F13)</f>
        <v>2</v>
      </c>
      <c r="G18" s="172">
        <f t="shared" si="6"/>
        <v>4</v>
      </c>
      <c r="H18" s="173">
        <f t="shared" si="6"/>
        <v>0</v>
      </c>
      <c r="I18" s="173">
        <f t="shared" si="6"/>
        <v>31</v>
      </c>
      <c r="J18" s="173">
        <f t="shared" si="1"/>
        <v>38</v>
      </c>
      <c r="K18" s="174">
        <f>SUM(K10:K13)</f>
        <v>1</v>
      </c>
      <c r="L18" s="175">
        <f t="shared" ref="L18:O18" si="7">SUM(L10:L13)</f>
        <v>0.5</v>
      </c>
      <c r="M18" s="175">
        <f t="shared" si="7"/>
        <v>0.4</v>
      </c>
      <c r="N18" s="176">
        <f t="shared" si="7"/>
        <v>0</v>
      </c>
      <c r="O18" s="176">
        <f t="shared" si="7"/>
        <v>0.27433628318584069</v>
      </c>
      <c r="P18" s="177">
        <f t="shared" si="3"/>
        <v>2.1743362831858404</v>
      </c>
    </row>
    <row r="19" spans="2:16" ht="15.75" thickBot="1" x14ac:dyDescent="0.3">
      <c r="B19" s="129"/>
      <c r="C19" s="129"/>
      <c r="D19" s="178" t="s">
        <v>71</v>
      </c>
      <c r="E19" s="179">
        <f>SUM(E9:E14)</f>
        <v>1</v>
      </c>
      <c r="F19" s="179">
        <f t="shared" ref="F19:I19" si="8">SUM(F9:F14)</f>
        <v>2</v>
      </c>
      <c r="G19" s="179">
        <f t="shared" si="8"/>
        <v>6</v>
      </c>
      <c r="H19" s="180">
        <f t="shared" si="8"/>
        <v>2</v>
      </c>
      <c r="I19" s="180">
        <f t="shared" si="8"/>
        <v>44</v>
      </c>
      <c r="J19" s="180">
        <f t="shared" si="1"/>
        <v>55</v>
      </c>
      <c r="K19" s="181">
        <f>SUM(K9:K14)</f>
        <v>1</v>
      </c>
      <c r="L19" s="182">
        <f t="shared" ref="L19:O19" si="9">SUM(L9:L14)</f>
        <v>0.5</v>
      </c>
      <c r="M19" s="182">
        <f t="shared" si="9"/>
        <v>0.6</v>
      </c>
      <c r="N19" s="183">
        <f t="shared" si="9"/>
        <v>0.22222222222222221</v>
      </c>
      <c r="O19" s="183">
        <f t="shared" si="9"/>
        <v>0.38938053097345138</v>
      </c>
      <c r="P19" s="184">
        <f t="shared" si="3"/>
        <v>2.7116027531956739</v>
      </c>
    </row>
    <row r="20" spans="2:16" x14ac:dyDescent="0.25">
      <c r="B20" s="129"/>
      <c r="C20" s="129"/>
      <c r="D20" s="341" t="s">
        <v>72</v>
      </c>
      <c r="E20" s="342"/>
      <c r="F20" s="342"/>
      <c r="G20" s="342"/>
      <c r="H20" s="342"/>
      <c r="I20" s="342"/>
      <c r="J20" s="342"/>
      <c r="K20" s="343" t="s">
        <v>73</v>
      </c>
      <c r="L20" s="344"/>
      <c r="M20" s="344"/>
      <c r="N20" s="344"/>
      <c r="O20" s="344"/>
      <c r="P20" s="345"/>
    </row>
    <row r="21" spans="2:16" x14ac:dyDescent="0.25">
      <c r="B21" s="185"/>
      <c r="C21" s="185"/>
      <c r="D21" s="186" t="s">
        <v>83</v>
      </c>
      <c r="E21" s="187">
        <f>COUNTIFS(pm!$D$2:$D$138,E$5,pm!$Q$2:$Q$138,"&gt;0")</f>
        <v>1</v>
      </c>
      <c r="F21" s="187">
        <f>COUNTIFS(pm!$D$2:$D$138,F$5,pm!$Q$2:$Q$138,"&gt;0")</f>
        <v>3</v>
      </c>
      <c r="G21" s="187">
        <f>COUNTIFS(pm!$D$2:$D$138,G$5,pm!$Q$2:$Q$138,"&gt;0")</f>
        <v>8</v>
      </c>
      <c r="H21" s="187">
        <f>COUNTIFS(pm!$D$2:$D$138,H$5,pm!$Q$2:$Q$138,"&gt;0")</f>
        <v>3</v>
      </c>
      <c r="I21" s="188">
        <f>COUNTIFS(pm!$D$2:$D$138,I$5,pm!$Q$2:$Q$138,"&gt;0")</f>
        <v>62</v>
      </c>
      <c r="J21" s="188">
        <f>SUM(E21:I21)</f>
        <v>77</v>
      </c>
      <c r="K21" s="189">
        <f>E21/E$23</f>
        <v>1</v>
      </c>
      <c r="L21" s="190">
        <f t="shared" ref="L21:P22" si="10">F21/F$23</f>
        <v>0.75</v>
      </c>
      <c r="M21" s="190">
        <f t="shared" si="10"/>
        <v>0.8</v>
      </c>
      <c r="N21" s="190">
        <f t="shared" si="10"/>
        <v>0.33333333333333331</v>
      </c>
      <c r="O21" s="193">
        <f t="shared" si="10"/>
        <v>0.54867256637168138</v>
      </c>
      <c r="P21" s="191">
        <f t="shared" si="10"/>
        <v>0.56204379562043794</v>
      </c>
    </row>
    <row r="22" spans="2:16" x14ac:dyDescent="0.25">
      <c r="B22" s="185"/>
      <c r="C22" s="185"/>
      <c r="D22" s="192" t="s">
        <v>84</v>
      </c>
      <c r="E22" s="187">
        <f>COUNTIFS(pm!$D$2:$D$138,E$5,pm!$Q$2:$Q$138,"&lt;0")</f>
        <v>0</v>
      </c>
      <c r="F22" s="187">
        <f>COUNTIFS(pm!$D$2:$D$138,F$5,pm!$Q$2:$Q$138,"&lt;0")</f>
        <v>1</v>
      </c>
      <c r="G22" s="187">
        <f>COUNTIFS(pm!$D$2:$D$138,G$5,pm!$Q$2:$Q$138,"&lt;0")</f>
        <v>2</v>
      </c>
      <c r="H22" s="188">
        <f>COUNTIFS(pm!$D$2:$D$138,H$5,pm!$Q$2:$Q$138,"&lt;0")</f>
        <v>6</v>
      </c>
      <c r="I22" s="188">
        <f>COUNTIFS(pm!$D$2:$D$138,I$5,pm!$Q$2:$Q$138,"&lt;0")</f>
        <v>51</v>
      </c>
      <c r="J22" s="188">
        <f>SUM(E22:I22)</f>
        <v>60</v>
      </c>
      <c r="K22" s="189">
        <f>E22/E$23</f>
        <v>0</v>
      </c>
      <c r="L22" s="190">
        <f t="shared" si="10"/>
        <v>0.25</v>
      </c>
      <c r="M22" s="190">
        <f t="shared" si="10"/>
        <v>0.2</v>
      </c>
      <c r="N22" s="193">
        <f t="shared" si="10"/>
        <v>0.66666666666666663</v>
      </c>
      <c r="O22" s="193">
        <f t="shared" si="10"/>
        <v>0.45132743362831856</v>
      </c>
      <c r="P22" s="191">
        <f t="shared" si="10"/>
        <v>0.43795620437956206</v>
      </c>
    </row>
    <row r="23" spans="2:16" ht="15.75" thickBot="1" x14ac:dyDescent="0.3">
      <c r="B23" s="185"/>
      <c r="C23" s="185"/>
      <c r="D23" s="194" t="s">
        <v>85</v>
      </c>
      <c r="E23" s="195">
        <f>E21+E22</f>
        <v>1</v>
      </c>
      <c r="F23" s="195">
        <f t="shared" ref="F23:I23" si="11">F21+F22</f>
        <v>4</v>
      </c>
      <c r="G23" s="195">
        <f t="shared" si="11"/>
        <v>10</v>
      </c>
      <c r="H23" s="195">
        <f t="shared" si="11"/>
        <v>9</v>
      </c>
      <c r="I23" s="196">
        <f t="shared" si="11"/>
        <v>113</v>
      </c>
      <c r="J23" s="196">
        <f>J21+J22</f>
        <v>137</v>
      </c>
      <c r="K23" s="197">
        <f>SUM(K21:K22)</f>
        <v>1</v>
      </c>
      <c r="L23" s="198">
        <f t="shared" ref="L23:P23" si="12">SUM(L21:L22)</f>
        <v>1</v>
      </c>
      <c r="M23" s="198">
        <f t="shared" si="12"/>
        <v>1</v>
      </c>
      <c r="N23" s="198">
        <f t="shared" si="12"/>
        <v>1</v>
      </c>
      <c r="O23" s="216">
        <f t="shared" si="12"/>
        <v>1</v>
      </c>
      <c r="P23" s="199">
        <f t="shared" si="12"/>
        <v>1</v>
      </c>
    </row>
    <row r="24" spans="2:16" x14ac:dyDescent="0.25">
      <c r="B24" s="185"/>
      <c r="C24" s="185"/>
      <c r="D24" s="320" t="s">
        <v>74</v>
      </c>
      <c r="E24" s="321"/>
      <c r="F24" s="321"/>
      <c r="G24" s="321"/>
      <c r="H24" s="321"/>
      <c r="I24" s="321"/>
      <c r="J24" s="322"/>
      <c r="K24" s="323"/>
      <c r="L24" s="324"/>
      <c r="M24" s="324"/>
      <c r="N24" s="324"/>
      <c r="O24" s="324"/>
      <c r="P24" s="324"/>
    </row>
    <row r="25" spans="2:16" x14ac:dyDescent="0.25">
      <c r="B25" s="185"/>
      <c r="C25" s="185"/>
      <c r="D25" s="240" t="s">
        <v>75</v>
      </c>
      <c r="E25" s="241">
        <f>IFERROR(AVERAGEIFS(pm!$Q$2:$Q$138,pm!$D$2:$D$138,E$5,pm!$Q$2:$Q$138,"&gt;0"),"")</f>
        <v>0.13337493498409714</v>
      </c>
      <c r="F25" s="241">
        <f>IFERROR(AVERAGEIFS(pm!$Q$2:$Q$138,pm!$D$2:$D$138,F$5,pm!$Q$2:$Q$138,"&gt;0"),"")</f>
        <v>0.24981792320377835</v>
      </c>
      <c r="G25" s="241">
        <f>IFERROR(AVERAGEIFS(pm!$Q$2:$Q$138,pm!$D$2:$D$138,G$5,pm!$Q$2:$Q$138,"&gt;0"),"")</f>
        <v>1.243794657987892</v>
      </c>
      <c r="H25" s="242">
        <f>IFERROR(AVERAGEIFS(pm!$Q$2:$Q$138,pm!$D$2:$D$138,H$5,pm!$Q$2:$Q$138,"&gt;0"),"")</f>
        <v>0.49881687846376971</v>
      </c>
      <c r="I25" s="242">
        <f>IFERROR(AVERAGEIFS(pm!$Q$2:$Q$138,pm!$D$2:$D$138,I$5,pm!$Q$2:$Q$138,"&gt;0"),"")</f>
        <v>1.167409338620109</v>
      </c>
      <c r="J25" s="242">
        <f>AVERAGEIFS(pm!$Q$2:$Q$138,pm!$Q$2:$Q$138,"&gt;=0")</f>
        <v>1.1001170856926836</v>
      </c>
      <c r="K25" s="200"/>
      <c r="L25" s="201"/>
      <c r="M25" s="201"/>
      <c r="N25" s="201"/>
      <c r="O25" s="201"/>
      <c r="P25" s="201"/>
    </row>
    <row r="26" spans="2:16" x14ac:dyDescent="0.25">
      <c r="B26" s="185"/>
      <c r="C26" s="185"/>
      <c r="D26" s="243" t="s">
        <v>76</v>
      </c>
      <c r="E26" s="244" t="str">
        <f>IFERROR(AVERAGEIFS(pm!$Q$2:$Q$138,pm!$D$2:$D$138,E$5,pm!$Q$2:$Q$138,"&lt;0"),"")</f>
        <v/>
      </c>
      <c r="F26" s="244">
        <f>IFERROR(AVERAGEIFS(pm!$Q$2:$Q$138,pm!$D$2:$D$138,F$5,pm!$Q$2:$Q$138,"&lt;0"),"")</f>
        <v>-9.5680195001731194E-2</v>
      </c>
      <c r="G26" s="244">
        <f>IFERROR(AVERAGEIFS(pm!$Q$2:$Q$138,pm!$D$2:$D$138,G$5,pm!$Q$2:$Q$138,"&lt;0"),"")</f>
        <v>-0.21274369876895033</v>
      </c>
      <c r="H26" s="245">
        <f>IFERROR(AVERAGEIFS(pm!$Q$2:$Q$138,pm!$D$2:$D$138,H$5,pm!$Q$2:$Q$138,"&lt;0"),"")</f>
        <v>-0.60997400298021842</v>
      </c>
      <c r="I26" s="245">
        <f>IFERROR(AVERAGEIFS(pm!$Q$2:$Q$138,pm!$D$2:$D$138,I$5,pm!$Q$2:$Q$138,"&lt;0"),"")</f>
        <v>-0.32981539910879742</v>
      </c>
      <c r="J26" s="245">
        <f>AVERAGEIFS(pm!$Q$2:$Q$138,pm!$Q$2:$Q$138,"&lt;0")</f>
        <v>-0.35002661608282687</v>
      </c>
      <c r="K26" s="200"/>
      <c r="L26" s="201"/>
      <c r="M26" s="201"/>
      <c r="N26" s="201"/>
      <c r="O26" s="201"/>
      <c r="P26" s="201"/>
    </row>
    <row r="27" spans="2:16" ht="15.75" thickBot="1" x14ac:dyDescent="0.3">
      <c r="B27" s="185"/>
      <c r="C27" s="185"/>
      <c r="D27" s="186" t="s">
        <v>77</v>
      </c>
      <c r="E27" s="190">
        <f>AVERAGEIFS(pm!$Q$2:$Q$138,pm!$D$2:$D$138,E$5)</f>
        <v>0.13337493498409714</v>
      </c>
      <c r="F27" s="190">
        <f>AVERAGEIFS(pm!$Q$2:$Q$138,pm!$D$2:$D$138,F$5)</f>
        <v>0.16344339365240096</v>
      </c>
      <c r="G27" s="190">
        <f>AVERAGEIFS(pm!$Q$2:$Q$138,pm!$D$2:$D$138,G$5)</f>
        <v>0.95248698663652365</v>
      </c>
      <c r="H27" s="190">
        <f>AVERAGEIFS(pm!$Q$2:$Q$138,pm!$D$2:$D$138,H$5)</f>
        <v>-0.24037704249888911</v>
      </c>
      <c r="I27" s="193">
        <f>AVERAGEIFS(pm!$Q$2:$Q$138,pm!$D$2:$D$138,I$5)</f>
        <v>0.49167074017608914</v>
      </c>
      <c r="J27" s="193">
        <f>AVERAGE(pm!Q2:Q138)</f>
        <v>0.46501765425815322</v>
      </c>
      <c r="K27" s="202"/>
      <c r="L27" s="203"/>
      <c r="M27" s="203"/>
      <c r="N27" s="203"/>
      <c r="O27" s="203"/>
      <c r="P27" s="203"/>
    </row>
    <row r="28" spans="2:16" x14ac:dyDescent="0.25">
      <c r="B28" s="129"/>
      <c r="C28" s="129"/>
      <c r="D28" s="325" t="s">
        <v>78</v>
      </c>
      <c r="E28" s="326"/>
      <c r="F28" s="326"/>
      <c r="G28" s="326"/>
      <c r="H28" s="326"/>
      <c r="I28" s="326"/>
      <c r="J28" s="327"/>
      <c r="K28" s="204"/>
      <c r="L28" s="7"/>
      <c r="M28" s="7"/>
      <c r="N28" s="7"/>
      <c r="O28" s="7"/>
      <c r="P28" s="7"/>
    </row>
    <row r="29" spans="2:16" x14ac:dyDescent="0.25">
      <c r="B29" s="129"/>
      <c r="C29" s="129"/>
      <c r="D29" s="205" t="s">
        <v>79</v>
      </c>
      <c r="E29" s="206">
        <f>SQRT(AVERAGE(pm!$R2))/AVERAGE(pm!$J2)</f>
        <v>0.13337493498409714</v>
      </c>
      <c r="F29" s="206">
        <f>SQRT(AVERAGE(pm!$R3:'pm'!$R6))/AVERAGE(pm!$J3:'pm'!$J6)</f>
        <v>0.37473923691452782</v>
      </c>
      <c r="G29" s="206">
        <f>SQRT(AVERAGE(pm!$R7:'pm'!$R16))/AVERAGE(pm!$J7:'pm'!$J16)</f>
        <v>0.68281807334933042</v>
      </c>
      <c r="H29" s="206">
        <f>SQRT(AVERAGE(pm!$R17:'pm'!$R25))/AVERAGE(pm!$J17:'pm'!$J25)</f>
        <v>0.50493867555329652</v>
      </c>
      <c r="I29" s="206">
        <f>SQRT(AVERAGE(pm!$R26:'pm'!$R138))/AVERAGE(pm!$J26:'pm'!$J138)</f>
        <v>0.7211148895625813</v>
      </c>
      <c r="J29" s="206">
        <f>SQRT(AVERAGE(pm!$R2:'pm'!$R138))/AVERAGE(pm!$J2:'pm'!$J138)</f>
        <v>1.0154546795598345</v>
      </c>
      <c r="K29" s="204"/>
      <c r="L29" s="7"/>
      <c r="M29" s="7"/>
      <c r="N29" s="7"/>
      <c r="O29" s="7"/>
      <c r="P29" s="7"/>
    </row>
    <row r="30" spans="2:16" x14ac:dyDescent="0.25">
      <c r="B30" s="129"/>
      <c r="C30" s="129"/>
      <c r="D30" s="328" t="s">
        <v>80</v>
      </c>
      <c r="E30" s="329"/>
      <c r="F30" s="329"/>
      <c r="G30" s="329"/>
      <c r="H30" s="329"/>
      <c r="I30" s="329"/>
      <c r="J30" s="329"/>
      <c r="K30" s="204"/>
      <c r="L30" s="7"/>
      <c r="M30" s="7"/>
      <c r="N30" s="7"/>
      <c r="O30" s="7"/>
      <c r="P30" s="7"/>
    </row>
    <row r="31" spans="2:16" ht="15.75" thickBot="1" x14ac:dyDescent="0.3">
      <c r="B31" s="129"/>
      <c r="C31" s="129"/>
      <c r="D31" s="207" t="s">
        <v>81</v>
      </c>
      <c r="E31" s="208">
        <f>LINEST(pm!$P2:'pm'!$P2,pm!J$2:'pm'!J$2,FALSE)</f>
        <v>1.1333749349840971</v>
      </c>
      <c r="F31" s="208">
        <f>LINEST(pm!$P3:'pm'!$P6,pm!J$3:'pm'!J$6,FALSE)</f>
        <v>1.2651002991910099</v>
      </c>
      <c r="G31" s="208">
        <f>LINEST(pm!$P7:'pm'!$P16,pm!J$7:'pm'!J$16,FALSE)</f>
        <v>1.1561783860839769</v>
      </c>
      <c r="H31" s="208">
        <f>LINEST(pm!$P17:'pm'!$P25,pm!J$17:'pm'!J$25,FALSE)</f>
        <v>1.1517717178390077</v>
      </c>
      <c r="I31" s="208">
        <f>LINEST(pm!$P26:'pm'!$P138,pm!J$26:'pm'!J$138,FALSE)</f>
        <v>1.2038681443015586</v>
      </c>
      <c r="J31" s="208">
        <f>LINEST(pm!$P2:'pm'!$P138,pm!J$2:'pm'!J$138,FALSE)</f>
        <v>1.2462185196824747</v>
      </c>
      <c r="K31" s="204"/>
      <c r="L31" s="7"/>
      <c r="M31" s="7"/>
      <c r="N31" s="7"/>
      <c r="O31" s="7"/>
      <c r="P31" s="7"/>
    </row>
  </sheetData>
  <mergeCells count="11">
    <mergeCell ref="D24:J24"/>
    <mergeCell ref="K24:P24"/>
    <mergeCell ref="D28:J28"/>
    <mergeCell ref="D30:J30"/>
    <mergeCell ref="D2:D5"/>
    <mergeCell ref="E2:J2"/>
    <mergeCell ref="K2:P2"/>
    <mergeCell ref="E3:J3"/>
    <mergeCell ref="K3:P3"/>
    <mergeCell ref="D20:J20"/>
    <mergeCell ref="K20:P20"/>
  </mergeCells>
  <conditionalFormatting sqref="E21:J23">
    <cfRule type="cellIs" dxfId="1" priority="1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7" tint="0.39997558519241921"/>
  </sheetPr>
  <dimension ref="A1"/>
  <sheetViews>
    <sheetView showGridLines="0" topLeftCell="A115" workbookViewId="0">
      <selection activeCell="S138" sqref="S138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L139"/>
  <sheetViews>
    <sheetView workbookViewId="0">
      <pane ySplit="1" topLeftCell="A3" activePane="bottomLeft" state="frozen"/>
      <selection pane="bottomLeft" activeCell="E151" sqref="E151"/>
    </sheetView>
  </sheetViews>
  <sheetFormatPr defaultRowHeight="15" x14ac:dyDescent="0.25"/>
  <cols>
    <col min="1" max="1" width="11.7109375" style="5" bestFit="1" customWidth="1"/>
    <col min="2" max="2" width="21.85546875" style="5" bestFit="1" customWidth="1"/>
    <col min="3" max="3" width="45" style="5" bestFit="1" customWidth="1"/>
    <col min="4" max="4" width="9.140625" style="5"/>
    <col min="5" max="5" width="45" style="5" bestFit="1" customWidth="1"/>
    <col min="6" max="6" width="14.28515625" style="5" bestFit="1" customWidth="1"/>
    <col min="7" max="8" width="9.140625" style="5"/>
    <col min="9" max="9" width="7" style="5" bestFit="1" customWidth="1"/>
    <col min="10" max="10" width="5.85546875" style="5" bestFit="1" customWidth="1"/>
    <col min="11" max="11" width="21.85546875" style="5" bestFit="1" customWidth="1"/>
    <col min="12" max="12" width="39.7109375" style="5" bestFit="1" customWidth="1"/>
    <col min="13" max="16384" width="9.140625" style="5"/>
  </cols>
  <sheetData>
    <row r="1" spans="1:12" x14ac:dyDescent="0.25">
      <c r="A1" s="5" t="s">
        <v>19</v>
      </c>
      <c r="B1" s="5" t="s">
        <v>98</v>
      </c>
      <c r="C1" s="5" t="s">
        <v>99</v>
      </c>
      <c r="E1" s="5" t="s">
        <v>99</v>
      </c>
      <c r="I1" s="5" t="s">
        <v>107</v>
      </c>
      <c r="J1" s="5" t="s">
        <v>19</v>
      </c>
      <c r="K1" s="5" t="s">
        <v>98</v>
      </c>
      <c r="L1" s="5" t="s">
        <v>99</v>
      </c>
    </row>
    <row r="2" spans="1:12" x14ac:dyDescent="0.25">
      <c r="A2" s="5">
        <v>398</v>
      </c>
      <c r="B2" s="5">
        <v>23</v>
      </c>
      <c r="C2" s="5" t="s">
        <v>104</v>
      </c>
      <c r="E2" s="5" t="s">
        <v>100</v>
      </c>
      <c r="F2" s="5" t="s">
        <v>0</v>
      </c>
      <c r="I2" s="5">
        <v>709118</v>
      </c>
      <c r="J2" s="5">
        <v>709</v>
      </c>
      <c r="K2" s="5">
        <v>28</v>
      </c>
      <c r="L2" s="5" t="s">
        <v>101</v>
      </c>
    </row>
    <row r="3" spans="1:12" x14ac:dyDescent="0.25">
      <c r="A3" s="5">
        <v>399</v>
      </c>
      <c r="B3" s="5">
        <v>24</v>
      </c>
      <c r="C3" s="5" t="s">
        <v>105</v>
      </c>
      <c r="E3" s="5" t="s">
        <v>101</v>
      </c>
      <c r="F3" s="5" t="s">
        <v>9</v>
      </c>
      <c r="I3" s="5">
        <v>709218</v>
      </c>
      <c r="J3" s="5">
        <v>709</v>
      </c>
      <c r="K3" s="5">
        <v>28</v>
      </c>
      <c r="L3" s="5" t="s">
        <v>101</v>
      </c>
    </row>
    <row r="4" spans="1:12" x14ac:dyDescent="0.25">
      <c r="A4" s="5">
        <v>510</v>
      </c>
      <c r="B4" s="5">
        <v>24</v>
      </c>
      <c r="C4" s="5" t="s">
        <v>105</v>
      </c>
      <c r="E4" s="5" t="s">
        <v>102</v>
      </c>
      <c r="F4" s="5" t="s">
        <v>10</v>
      </c>
      <c r="I4" s="5">
        <v>709104</v>
      </c>
      <c r="J4" s="5">
        <v>709</v>
      </c>
      <c r="K4" s="5">
        <v>29</v>
      </c>
      <c r="L4" s="5" t="s">
        <v>100</v>
      </c>
    </row>
    <row r="5" spans="1:12" x14ac:dyDescent="0.25">
      <c r="A5" s="5">
        <v>520</v>
      </c>
      <c r="B5" s="5">
        <v>24</v>
      </c>
      <c r="C5" s="5" t="s">
        <v>105</v>
      </c>
      <c r="E5" s="5" t="s">
        <v>103</v>
      </c>
      <c r="F5" s="5" t="s">
        <v>11</v>
      </c>
      <c r="I5" s="5">
        <v>709110</v>
      </c>
      <c r="J5" s="5">
        <v>709</v>
      </c>
      <c r="K5" s="5">
        <v>29</v>
      </c>
      <c r="L5" s="5" t="s">
        <v>100</v>
      </c>
    </row>
    <row r="6" spans="1:12" x14ac:dyDescent="0.25">
      <c r="A6" s="5">
        <v>530</v>
      </c>
      <c r="B6" s="5">
        <v>24</v>
      </c>
      <c r="C6" s="5" t="s">
        <v>105</v>
      </c>
      <c r="E6" s="5" t="s">
        <v>104</v>
      </c>
      <c r="F6" s="5" t="s">
        <v>12</v>
      </c>
      <c r="I6" s="5">
        <v>709114</v>
      </c>
      <c r="J6" s="5">
        <v>709</v>
      </c>
      <c r="K6" s="5">
        <v>29</v>
      </c>
      <c r="L6" s="5" t="s">
        <v>100</v>
      </c>
    </row>
    <row r="7" spans="1:12" x14ac:dyDescent="0.25">
      <c r="A7" s="5">
        <v>235</v>
      </c>
      <c r="B7" s="5">
        <v>25</v>
      </c>
      <c r="C7" s="5" t="s">
        <v>103</v>
      </c>
      <c r="E7" s="5" t="s">
        <v>105</v>
      </c>
      <c r="F7" s="5" t="s">
        <v>13</v>
      </c>
      <c r="I7" s="5">
        <v>709204</v>
      </c>
      <c r="J7" s="5">
        <v>709</v>
      </c>
      <c r="K7" s="5">
        <v>29</v>
      </c>
      <c r="L7" s="5" t="s">
        <v>100</v>
      </c>
    </row>
    <row r="8" spans="1:12" x14ac:dyDescent="0.25">
      <c r="A8" s="5">
        <v>237</v>
      </c>
      <c r="B8" s="5">
        <v>25</v>
      </c>
      <c r="C8" s="5" t="s">
        <v>103</v>
      </c>
      <c r="E8" s="5" t="s">
        <v>106</v>
      </c>
      <c r="I8" s="5">
        <v>709210</v>
      </c>
      <c r="J8" s="5">
        <v>709</v>
      </c>
      <c r="K8" s="5">
        <v>29</v>
      </c>
      <c r="L8" s="5" t="s">
        <v>100</v>
      </c>
    </row>
    <row r="9" spans="1:12" x14ac:dyDescent="0.25">
      <c r="A9" s="5">
        <v>280</v>
      </c>
      <c r="B9" s="5">
        <v>25</v>
      </c>
      <c r="C9" s="5" t="s">
        <v>103</v>
      </c>
      <c r="I9" s="5">
        <v>709214</v>
      </c>
      <c r="J9" s="5">
        <v>709</v>
      </c>
      <c r="K9" s="5">
        <v>29</v>
      </c>
      <c r="L9" s="5" t="s">
        <v>100</v>
      </c>
    </row>
    <row r="10" spans="1:12" x14ac:dyDescent="0.25">
      <c r="A10" s="5">
        <v>290</v>
      </c>
      <c r="B10" s="5">
        <v>25</v>
      </c>
      <c r="C10" s="5" t="s">
        <v>103</v>
      </c>
    </row>
    <row r="11" spans="1:12" x14ac:dyDescent="0.25">
      <c r="A11" s="5">
        <v>201</v>
      </c>
      <c r="B11" s="5">
        <v>26</v>
      </c>
      <c r="C11" s="5" t="s">
        <v>102</v>
      </c>
    </row>
    <row r="12" spans="1:12" x14ac:dyDescent="0.25">
      <c r="A12" s="5">
        <v>202</v>
      </c>
      <c r="B12" s="5">
        <v>26</v>
      </c>
      <c r="C12" s="5" t="s">
        <v>102</v>
      </c>
    </row>
    <row r="13" spans="1:12" x14ac:dyDescent="0.25">
      <c r="A13" s="5">
        <v>204</v>
      </c>
      <c r="B13" s="5">
        <v>26</v>
      </c>
      <c r="C13" s="5" t="s">
        <v>102</v>
      </c>
    </row>
    <row r="14" spans="1:12" x14ac:dyDescent="0.25">
      <c r="A14" s="5">
        <v>215</v>
      </c>
      <c r="B14" s="5">
        <v>26</v>
      </c>
      <c r="C14" s="5" t="s">
        <v>102</v>
      </c>
    </row>
    <row r="15" spans="1:12" x14ac:dyDescent="0.25">
      <c r="A15" s="5">
        <v>350</v>
      </c>
      <c r="B15" s="5">
        <v>26</v>
      </c>
      <c r="C15" s="5" t="s">
        <v>102</v>
      </c>
    </row>
    <row r="16" spans="1:12" x14ac:dyDescent="0.25">
      <c r="A16" s="5">
        <v>870</v>
      </c>
      <c r="B16" s="5">
        <v>27</v>
      </c>
      <c r="C16" s="5" t="s">
        <v>106</v>
      </c>
    </row>
    <row r="17" spans="1:3" x14ac:dyDescent="0.25">
      <c r="A17" s="5">
        <v>10</v>
      </c>
      <c r="B17" s="5">
        <v>28</v>
      </c>
      <c r="C17" s="5" t="s">
        <v>101</v>
      </c>
    </row>
    <row r="18" spans="1:3" x14ac:dyDescent="0.25">
      <c r="A18" s="5">
        <v>20</v>
      </c>
      <c r="B18" s="5">
        <v>28</v>
      </c>
      <c r="C18" s="5" t="s">
        <v>101</v>
      </c>
    </row>
    <row r="19" spans="1:3" x14ac:dyDescent="0.25">
      <c r="A19" s="5">
        <v>50</v>
      </c>
      <c r="B19" s="5">
        <v>28</v>
      </c>
      <c r="C19" s="5" t="s">
        <v>101</v>
      </c>
    </row>
    <row r="20" spans="1:3" x14ac:dyDescent="0.25">
      <c r="A20" s="5">
        <v>60</v>
      </c>
      <c r="B20" s="5">
        <v>28</v>
      </c>
      <c r="C20" s="5" t="s">
        <v>101</v>
      </c>
    </row>
    <row r="21" spans="1:3" x14ac:dyDescent="0.25">
      <c r="A21" s="5">
        <v>110</v>
      </c>
      <c r="B21" s="5">
        <v>28</v>
      </c>
      <c r="C21" s="5" t="s">
        <v>101</v>
      </c>
    </row>
    <row r="22" spans="1:3" x14ac:dyDescent="0.25">
      <c r="A22" s="5">
        <v>120</v>
      </c>
      <c r="B22" s="5">
        <v>28</v>
      </c>
      <c r="C22" s="5" t="s">
        <v>101</v>
      </c>
    </row>
    <row r="23" spans="1:3" x14ac:dyDescent="0.25">
      <c r="A23" s="5">
        <v>150</v>
      </c>
      <c r="B23" s="5">
        <v>28</v>
      </c>
      <c r="C23" s="5" t="s">
        <v>101</v>
      </c>
    </row>
    <row r="24" spans="1:3" x14ac:dyDescent="0.25">
      <c r="A24" s="1" t="s">
        <v>108</v>
      </c>
      <c r="B24" s="1">
        <v>28</v>
      </c>
      <c r="C24" s="1" t="s">
        <v>101</v>
      </c>
    </row>
    <row r="25" spans="1:3" x14ac:dyDescent="0.25">
      <c r="A25" s="5">
        <v>950</v>
      </c>
      <c r="B25" s="5">
        <v>28</v>
      </c>
      <c r="C25" s="5" t="s">
        <v>101</v>
      </c>
    </row>
    <row r="26" spans="1:3" x14ac:dyDescent="0.25">
      <c r="A26" s="5">
        <v>1</v>
      </c>
      <c r="B26" s="5">
        <v>29</v>
      </c>
      <c r="C26" s="5" t="s">
        <v>100</v>
      </c>
    </row>
    <row r="27" spans="1:3" x14ac:dyDescent="0.25">
      <c r="A27" s="5">
        <v>2</v>
      </c>
      <c r="B27" s="5">
        <v>29</v>
      </c>
      <c r="C27" s="5" t="s">
        <v>100</v>
      </c>
    </row>
    <row r="28" spans="1:3" x14ac:dyDescent="0.25">
      <c r="A28" s="5">
        <v>3</v>
      </c>
      <c r="B28" s="5">
        <v>29</v>
      </c>
      <c r="C28" s="5" t="s">
        <v>100</v>
      </c>
    </row>
    <row r="29" spans="1:3" x14ac:dyDescent="0.25">
      <c r="A29" s="5">
        <v>4</v>
      </c>
      <c r="B29" s="5">
        <v>29</v>
      </c>
      <c r="C29" s="5" t="s">
        <v>100</v>
      </c>
    </row>
    <row r="30" spans="1:3" x14ac:dyDescent="0.25">
      <c r="A30" s="5">
        <v>5</v>
      </c>
      <c r="B30" s="5">
        <v>29</v>
      </c>
      <c r="C30" s="5" t="s">
        <v>100</v>
      </c>
    </row>
    <row r="31" spans="1:3" x14ac:dyDescent="0.25">
      <c r="A31" s="5">
        <v>6</v>
      </c>
      <c r="B31" s="5">
        <v>29</v>
      </c>
      <c r="C31" s="5" t="s">
        <v>100</v>
      </c>
    </row>
    <row r="32" spans="1:3" x14ac:dyDescent="0.25">
      <c r="A32" s="5">
        <v>7</v>
      </c>
      <c r="B32" s="5">
        <v>29</v>
      </c>
      <c r="C32" s="5" t="s">
        <v>100</v>
      </c>
    </row>
    <row r="33" spans="1:3" x14ac:dyDescent="0.25">
      <c r="A33" s="5">
        <v>8</v>
      </c>
      <c r="B33" s="5">
        <v>29</v>
      </c>
      <c r="C33" s="5" t="s">
        <v>100</v>
      </c>
    </row>
    <row r="34" spans="1:3" x14ac:dyDescent="0.25">
      <c r="A34" s="5">
        <v>9</v>
      </c>
      <c r="B34" s="5">
        <v>29</v>
      </c>
      <c r="C34" s="5" t="s">
        <v>100</v>
      </c>
    </row>
    <row r="35" spans="1:3" x14ac:dyDescent="0.25">
      <c r="A35" s="5">
        <v>11</v>
      </c>
      <c r="B35" s="5">
        <v>29</v>
      </c>
      <c r="C35" s="5" t="s">
        <v>100</v>
      </c>
    </row>
    <row r="36" spans="1:3" x14ac:dyDescent="0.25">
      <c r="A36" s="5">
        <v>13</v>
      </c>
      <c r="B36" s="5">
        <v>29</v>
      </c>
      <c r="C36" s="5" t="s">
        <v>100</v>
      </c>
    </row>
    <row r="37" spans="1:3" x14ac:dyDescent="0.25">
      <c r="A37" s="5">
        <v>14</v>
      </c>
      <c r="B37" s="5">
        <v>29</v>
      </c>
      <c r="C37" s="5" t="s">
        <v>100</v>
      </c>
    </row>
    <row r="38" spans="1:3" x14ac:dyDescent="0.25">
      <c r="A38" s="5">
        <v>18</v>
      </c>
      <c r="B38" s="5">
        <v>29</v>
      </c>
      <c r="C38" s="5" t="s">
        <v>100</v>
      </c>
    </row>
    <row r="39" spans="1:3" x14ac:dyDescent="0.25">
      <c r="A39" s="5">
        <v>25</v>
      </c>
      <c r="B39" s="5">
        <v>29</v>
      </c>
      <c r="C39" s="5" t="s">
        <v>100</v>
      </c>
    </row>
    <row r="40" spans="1:3" x14ac:dyDescent="0.25">
      <c r="A40" s="5">
        <v>27</v>
      </c>
      <c r="B40" s="5">
        <v>29</v>
      </c>
      <c r="C40" s="5" t="s">
        <v>100</v>
      </c>
    </row>
    <row r="41" spans="1:3" x14ac:dyDescent="0.25">
      <c r="A41" s="5">
        <v>28</v>
      </c>
      <c r="B41" s="5">
        <v>29</v>
      </c>
      <c r="C41" s="5" t="s">
        <v>100</v>
      </c>
    </row>
    <row r="42" spans="1:3" x14ac:dyDescent="0.25">
      <c r="A42" s="5">
        <v>30</v>
      </c>
      <c r="B42" s="5">
        <v>29</v>
      </c>
      <c r="C42" s="5" t="s">
        <v>100</v>
      </c>
    </row>
    <row r="43" spans="1:3" x14ac:dyDescent="0.25">
      <c r="A43" s="5">
        <v>31</v>
      </c>
      <c r="B43" s="5">
        <v>29</v>
      </c>
      <c r="C43" s="5" t="s">
        <v>100</v>
      </c>
    </row>
    <row r="44" spans="1:3" x14ac:dyDescent="0.25">
      <c r="A44" s="5">
        <v>35</v>
      </c>
      <c r="B44" s="5">
        <v>29</v>
      </c>
      <c r="C44" s="5" t="s">
        <v>100</v>
      </c>
    </row>
    <row r="45" spans="1:3" x14ac:dyDescent="0.25">
      <c r="A45" s="5">
        <v>41</v>
      </c>
      <c r="B45" s="5">
        <v>29</v>
      </c>
      <c r="C45" s="5" t="s">
        <v>100</v>
      </c>
    </row>
    <row r="46" spans="1:3" x14ac:dyDescent="0.25">
      <c r="A46" s="5">
        <v>44</v>
      </c>
      <c r="B46" s="5">
        <v>29</v>
      </c>
      <c r="C46" s="5" t="s">
        <v>100</v>
      </c>
    </row>
    <row r="47" spans="1:3" x14ac:dyDescent="0.25">
      <c r="A47" s="5">
        <v>83</v>
      </c>
      <c r="B47" s="5">
        <v>29</v>
      </c>
      <c r="C47" s="5" t="s">
        <v>100</v>
      </c>
    </row>
    <row r="48" spans="1:3" x14ac:dyDescent="0.25">
      <c r="A48" s="5">
        <v>84</v>
      </c>
      <c r="B48" s="5">
        <v>29</v>
      </c>
      <c r="C48" s="5" t="s">
        <v>100</v>
      </c>
    </row>
    <row r="49" spans="1:3" x14ac:dyDescent="0.25">
      <c r="A49" s="5">
        <v>88</v>
      </c>
      <c r="B49" s="5">
        <v>29</v>
      </c>
      <c r="C49" s="5" t="s">
        <v>100</v>
      </c>
    </row>
    <row r="50" spans="1:3" x14ac:dyDescent="0.25">
      <c r="A50" s="5">
        <v>101</v>
      </c>
      <c r="B50" s="5">
        <v>29</v>
      </c>
      <c r="C50" s="5" t="s">
        <v>100</v>
      </c>
    </row>
    <row r="51" spans="1:3" x14ac:dyDescent="0.25">
      <c r="A51" s="5">
        <v>105</v>
      </c>
      <c r="B51" s="5">
        <v>29</v>
      </c>
      <c r="C51" s="5" t="s">
        <v>100</v>
      </c>
    </row>
    <row r="52" spans="1:3" x14ac:dyDescent="0.25">
      <c r="A52" s="5">
        <v>115</v>
      </c>
      <c r="B52" s="5">
        <v>29</v>
      </c>
      <c r="C52" s="5" t="s">
        <v>100</v>
      </c>
    </row>
    <row r="53" spans="1:3" x14ac:dyDescent="0.25">
      <c r="A53" s="5">
        <v>276</v>
      </c>
      <c r="B53" s="5">
        <v>29</v>
      </c>
      <c r="C53" s="5" t="s">
        <v>100</v>
      </c>
    </row>
    <row r="54" spans="1:3" x14ac:dyDescent="0.25">
      <c r="A54" s="5">
        <v>302</v>
      </c>
      <c r="B54" s="5">
        <v>29</v>
      </c>
      <c r="C54" s="5" t="s">
        <v>100</v>
      </c>
    </row>
    <row r="55" spans="1:3" x14ac:dyDescent="0.25">
      <c r="A55" s="5">
        <v>303</v>
      </c>
      <c r="B55" s="5">
        <v>29</v>
      </c>
      <c r="C55" s="5" t="s">
        <v>100</v>
      </c>
    </row>
    <row r="56" spans="1:3" x14ac:dyDescent="0.25">
      <c r="A56" s="5">
        <v>304</v>
      </c>
      <c r="B56" s="5">
        <v>29</v>
      </c>
      <c r="C56" s="5" t="s">
        <v>100</v>
      </c>
    </row>
    <row r="57" spans="1:3" x14ac:dyDescent="0.25">
      <c r="A57" s="5">
        <v>305</v>
      </c>
      <c r="B57" s="5">
        <v>29</v>
      </c>
      <c r="C57" s="5" t="s">
        <v>100</v>
      </c>
    </row>
    <row r="58" spans="1:3" x14ac:dyDescent="0.25">
      <c r="A58" s="5">
        <v>306</v>
      </c>
      <c r="B58" s="5">
        <v>29</v>
      </c>
      <c r="C58" s="5" t="s">
        <v>100</v>
      </c>
    </row>
    <row r="59" spans="1:3" x14ac:dyDescent="0.25">
      <c r="A59" s="5">
        <v>308</v>
      </c>
      <c r="B59" s="5">
        <v>29</v>
      </c>
      <c r="C59" s="5" t="s">
        <v>100</v>
      </c>
    </row>
    <row r="60" spans="1:3" x14ac:dyDescent="0.25">
      <c r="A60" s="5">
        <v>309</v>
      </c>
      <c r="B60" s="5">
        <v>29</v>
      </c>
      <c r="C60" s="5" t="s">
        <v>100</v>
      </c>
    </row>
    <row r="61" spans="1:3" x14ac:dyDescent="0.25">
      <c r="A61" s="5">
        <v>311</v>
      </c>
      <c r="B61" s="5">
        <v>29</v>
      </c>
      <c r="C61" s="5" t="s">
        <v>100</v>
      </c>
    </row>
    <row r="62" spans="1:3" x14ac:dyDescent="0.25">
      <c r="A62" s="5">
        <v>313</v>
      </c>
      <c r="B62" s="5">
        <v>29</v>
      </c>
      <c r="C62" s="5" t="s">
        <v>100</v>
      </c>
    </row>
    <row r="63" spans="1:3" x14ac:dyDescent="0.25">
      <c r="A63" s="5">
        <v>315</v>
      </c>
      <c r="B63" s="5">
        <v>29</v>
      </c>
      <c r="C63" s="5" t="s">
        <v>100</v>
      </c>
    </row>
    <row r="64" spans="1:3" x14ac:dyDescent="0.25">
      <c r="A64" s="5">
        <v>316</v>
      </c>
      <c r="B64" s="5">
        <v>29</v>
      </c>
      <c r="C64" s="5" t="s">
        <v>100</v>
      </c>
    </row>
    <row r="65" spans="1:3" x14ac:dyDescent="0.25">
      <c r="A65" s="5">
        <v>318</v>
      </c>
      <c r="B65" s="5">
        <v>29</v>
      </c>
      <c r="C65" s="5" t="s">
        <v>100</v>
      </c>
    </row>
    <row r="66" spans="1:3" x14ac:dyDescent="0.25">
      <c r="A66" s="5">
        <v>323</v>
      </c>
      <c r="B66" s="5">
        <v>29</v>
      </c>
      <c r="C66" s="5" t="s">
        <v>100</v>
      </c>
    </row>
    <row r="67" spans="1:3" x14ac:dyDescent="0.25">
      <c r="A67" s="5">
        <v>325</v>
      </c>
      <c r="B67" s="5">
        <v>29</v>
      </c>
      <c r="C67" s="5" t="s">
        <v>100</v>
      </c>
    </row>
    <row r="68" spans="1:3" x14ac:dyDescent="0.25">
      <c r="A68" s="5">
        <v>332</v>
      </c>
      <c r="B68" s="5">
        <v>29</v>
      </c>
      <c r="C68" s="5" t="s">
        <v>100</v>
      </c>
    </row>
    <row r="69" spans="1:3" x14ac:dyDescent="0.25">
      <c r="A69" s="5">
        <v>334</v>
      </c>
      <c r="B69" s="5">
        <v>29</v>
      </c>
      <c r="C69" s="5" t="s">
        <v>100</v>
      </c>
    </row>
    <row r="70" spans="1:3" x14ac:dyDescent="0.25">
      <c r="A70" s="5">
        <v>335</v>
      </c>
      <c r="B70" s="5">
        <v>29</v>
      </c>
      <c r="C70" s="5" t="s">
        <v>100</v>
      </c>
    </row>
    <row r="71" spans="1:3" x14ac:dyDescent="0.25">
      <c r="A71" s="5">
        <v>347</v>
      </c>
      <c r="B71" s="5">
        <v>29</v>
      </c>
      <c r="C71" s="5" t="s">
        <v>100</v>
      </c>
    </row>
    <row r="72" spans="1:3" x14ac:dyDescent="0.25">
      <c r="A72" s="5">
        <v>351</v>
      </c>
      <c r="B72" s="5">
        <v>29</v>
      </c>
      <c r="C72" s="5" t="s">
        <v>100</v>
      </c>
    </row>
    <row r="73" spans="1:3" x14ac:dyDescent="0.25">
      <c r="A73" s="5">
        <v>352</v>
      </c>
      <c r="B73" s="5">
        <v>29</v>
      </c>
      <c r="C73" s="5" t="s">
        <v>100</v>
      </c>
    </row>
    <row r="74" spans="1:3" x14ac:dyDescent="0.25">
      <c r="A74" s="5">
        <v>353</v>
      </c>
      <c r="B74" s="5">
        <v>29</v>
      </c>
      <c r="C74" s="5" t="s">
        <v>100</v>
      </c>
    </row>
    <row r="75" spans="1:3" x14ac:dyDescent="0.25">
      <c r="A75" s="5">
        <v>354</v>
      </c>
      <c r="B75" s="5">
        <v>29</v>
      </c>
      <c r="C75" s="5" t="s">
        <v>100</v>
      </c>
    </row>
    <row r="76" spans="1:3" x14ac:dyDescent="0.25">
      <c r="A76" s="5">
        <v>355</v>
      </c>
      <c r="B76" s="5">
        <v>29</v>
      </c>
      <c r="C76" s="5" t="s">
        <v>100</v>
      </c>
    </row>
    <row r="77" spans="1:3" x14ac:dyDescent="0.25">
      <c r="A77" s="5">
        <v>356</v>
      </c>
      <c r="B77" s="5">
        <v>29</v>
      </c>
      <c r="C77" s="5" t="s">
        <v>100</v>
      </c>
    </row>
    <row r="78" spans="1:3" x14ac:dyDescent="0.25">
      <c r="A78" s="5">
        <v>357</v>
      </c>
      <c r="B78" s="5">
        <v>29</v>
      </c>
      <c r="C78" s="5" t="s">
        <v>100</v>
      </c>
    </row>
    <row r="79" spans="1:3" x14ac:dyDescent="0.25">
      <c r="A79" s="5">
        <v>358</v>
      </c>
      <c r="B79" s="5">
        <v>29</v>
      </c>
      <c r="C79" s="5" t="s">
        <v>100</v>
      </c>
    </row>
    <row r="80" spans="1:3" x14ac:dyDescent="0.25">
      <c r="A80" s="5">
        <v>359</v>
      </c>
      <c r="B80" s="5">
        <v>29</v>
      </c>
      <c r="C80" s="5" t="s">
        <v>100</v>
      </c>
    </row>
    <row r="81" spans="1:3" x14ac:dyDescent="0.25">
      <c r="A81" s="5">
        <v>371</v>
      </c>
      <c r="B81" s="5">
        <v>29</v>
      </c>
      <c r="C81" s="5" t="s">
        <v>100</v>
      </c>
    </row>
    <row r="82" spans="1:3" x14ac:dyDescent="0.25">
      <c r="A82" s="5">
        <v>388</v>
      </c>
      <c r="B82" s="5">
        <v>29</v>
      </c>
      <c r="C82" s="5" t="s">
        <v>100</v>
      </c>
    </row>
    <row r="83" spans="1:3" x14ac:dyDescent="0.25">
      <c r="A83" s="5">
        <v>389</v>
      </c>
      <c r="B83" s="5">
        <v>29</v>
      </c>
      <c r="C83" s="5" t="s">
        <v>100</v>
      </c>
    </row>
    <row r="84" spans="1:3" x14ac:dyDescent="0.25">
      <c r="A84" s="5">
        <v>392</v>
      </c>
      <c r="B84" s="5">
        <v>29</v>
      </c>
      <c r="C84" s="5" t="s">
        <v>100</v>
      </c>
    </row>
    <row r="85" spans="1:3" x14ac:dyDescent="0.25">
      <c r="A85" s="5">
        <v>395</v>
      </c>
      <c r="B85" s="5">
        <v>29</v>
      </c>
      <c r="C85" s="5" t="s">
        <v>100</v>
      </c>
    </row>
    <row r="86" spans="1:3" x14ac:dyDescent="0.25">
      <c r="A86" s="5">
        <v>444</v>
      </c>
      <c r="B86" s="5">
        <v>29</v>
      </c>
      <c r="C86" s="5" t="s">
        <v>100</v>
      </c>
    </row>
    <row r="87" spans="1:3" x14ac:dyDescent="0.25">
      <c r="A87" s="5">
        <v>445</v>
      </c>
      <c r="B87" s="5">
        <v>29</v>
      </c>
      <c r="C87" s="5" t="s">
        <v>100</v>
      </c>
    </row>
    <row r="88" spans="1:3" x14ac:dyDescent="0.25">
      <c r="A88" s="5">
        <v>446</v>
      </c>
      <c r="B88" s="5">
        <v>29</v>
      </c>
      <c r="C88" s="5" t="s">
        <v>100</v>
      </c>
    </row>
    <row r="89" spans="1:3" x14ac:dyDescent="0.25">
      <c r="A89" s="5">
        <v>701</v>
      </c>
      <c r="B89" s="5">
        <v>29</v>
      </c>
      <c r="C89" s="5" t="s">
        <v>100</v>
      </c>
    </row>
    <row r="90" spans="1:3" x14ac:dyDescent="0.25">
      <c r="A90" s="5">
        <v>704</v>
      </c>
      <c r="B90" s="5">
        <v>29</v>
      </c>
      <c r="C90" s="5" t="s">
        <v>100</v>
      </c>
    </row>
    <row r="91" spans="1:3" x14ac:dyDescent="0.25">
      <c r="A91" s="5">
        <v>705</v>
      </c>
      <c r="B91" s="5">
        <v>29</v>
      </c>
      <c r="C91" s="5" t="s">
        <v>100</v>
      </c>
    </row>
    <row r="92" spans="1:3" x14ac:dyDescent="0.25">
      <c r="A92" s="5">
        <v>707</v>
      </c>
      <c r="B92" s="5">
        <v>29</v>
      </c>
      <c r="C92" s="5" t="s">
        <v>100</v>
      </c>
    </row>
    <row r="93" spans="1:3" x14ac:dyDescent="0.25">
      <c r="A93" s="1">
        <v>709</v>
      </c>
      <c r="B93" s="1">
        <v>29</v>
      </c>
      <c r="C93" s="1" t="s">
        <v>100</v>
      </c>
    </row>
    <row r="94" spans="1:3" x14ac:dyDescent="0.25">
      <c r="A94" s="5">
        <v>712</v>
      </c>
      <c r="B94" s="5">
        <v>29</v>
      </c>
      <c r="C94" s="5" t="s">
        <v>100</v>
      </c>
    </row>
    <row r="95" spans="1:3" x14ac:dyDescent="0.25">
      <c r="A95" s="5">
        <v>815</v>
      </c>
      <c r="B95" s="5">
        <v>29</v>
      </c>
      <c r="C95" s="5" t="s">
        <v>100</v>
      </c>
    </row>
    <row r="96" spans="1:3" x14ac:dyDescent="0.25">
      <c r="A96" s="5">
        <v>816</v>
      </c>
      <c r="B96" s="5">
        <v>29</v>
      </c>
      <c r="C96" s="5" t="s">
        <v>100</v>
      </c>
    </row>
    <row r="97" spans="1:3" x14ac:dyDescent="0.25">
      <c r="A97" s="5">
        <v>832</v>
      </c>
      <c r="B97" s="5">
        <v>29</v>
      </c>
      <c r="C97" s="5" t="s">
        <v>100</v>
      </c>
    </row>
    <row r="98" spans="1:3" x14ac:dyDescent="0.25">
      <c r="A98" s="5">
        <v>833</v>
      </c>
      <c r="B98" s="5">
        <v>29</v>
      </c>
      <c r="C98" s="5" t="s">
        <v>100</v>
      </c>
    </row>
    <row r="99" spans="1:3" x14ac:dyDescent="0.25">
      <c r="A99" s="5">
        <v>834</v>
      </c>
      <c r="B99" s="5">
        <v>29</v>
      </c>
      <c r="C99" s="5" t="s">
        <v>100</v>
      </c>
    </row>
    <row r="100" spans="1:3" x14ac:dyDescent="0.25">
      <c r="A100" s="5">
        <v>848</v>
      </c>
      <c r="B100" s="5">
        <v>29</v>
      </c>
      <c r="C100" s="5" t="s">
        <v>100</v>
      </c>
    </row>
    <row r="101" spans="1:3" x14ac:dyDescent="0.25">
      <c r="A101" s="5">
        <v>851</v>
      </c>
      <c r="B101" s="5">
        <v>29</v>
      </c>
      <c r="C101" s="5" t="s">
        <v>100</v>
      </c>
    </row>
    <row r="102" spans="1:3" x14ac:dyDescent="0.25">
      <c r="A102" s="5">
        <v>854</v>
      </c>
      <c r="B102" s="5">
        <v>29</v>
      </c>
      <c r="C102" s="5" t="s">
        <v>100</v>
      </c>
    </row>
    <row r="103" spans="1:3" x14ac:dyDescent="0.25">
      <c r="A103" s="5">
        <v>855</v>
      </c>
      <c r="B103" s="5">
        <v>29</v>
      </c>
      <c r="C103" s="5" t="s">
        <v>100</v>
      </c>
    </row>
    <row r="104" spans="1:3" x14ac:dyDescent="0.25">
      <c r="A104" s="5">
        <v>856</v>
      </c>
      <c r="B104" s="5">
        <v>29</v>
      </c>
      <c r="C104" s="5" t="s">
        <v>100</v>
      </c>
    </row>
    <row r="105" spans="1:3" x14ac:dyDescent="0.25">
      <c r="A105" s="5">
        <v>864</v>
      </c>
      <c r="B105" s="5">
        <v>29</v>
      </c>
      <c r="C105" s="5" t="s">
        <v>100</v>
      </c>
    </row>
    <row r="106" spans="1:3" x14ac:dyDescent="0.25">
      <c r="A106" s="5">
        <v>871</v>
      </c>
      <c r="B106" s="5">
        <v>29</v>
      </c>
      <c r="C106" s="5" t="s">
        <v>100</v>
      </c>
    </row>
    <row r="107" spans="1:3" x14ac:dyDescent="0.25">
      <c r="A107" s="5">
        <v>872</v>
      </c>
      <c r="B107" s="5">
        <v>29</v>
      </c>
      <c r="C107" s="5" t="s">
        <v>100</v>
      </c>
    </row>
    <row r="108" spans="1:3" x14ac:dyDescent="0.25">
      <c r="A108" s="5">
        <v>874</v>
      </c>
      <c r="B108" s="5">
        <v>29</v>
      </c>
      <c r="C108" s="5" t="s">
        <v>100</v>
      </c>
    </row>
    <row r="109" spans="1:3" x14ac:dyDescent="0.25">
      <c r="A109" s="5">
        <v>875</v>
      </c>
      <c r="B109" s="5">
        <v>29</v>
      </c>
      <c r="C109" s="5" t="s">
        <v>100</v>
      </c>
    </row>
    <row r="110" spans="1:3" x14ac:dyDescent="0.25">
      <c r="A110" s="5">
        <v>901</v>
      </c>
      <c r="B110" s="5">
        <v>29</v>
      </c>
      <c r="C110" s="5" t="s">
        <v>100</v>
      </c>
    </row>
    <row r="111" spans="1:3" x14ac:dyDescent="0.25">
      <c r="A111" s="5">
        <v>904</v>
      </c>
      <c r="B111" s="5">
        <v>29</v>
      </c>
      <c r="C111" s="5" t="s">
        <v>100</v>
      </c>
    </row>
    <row r="112" spans="1:3" x14ac:dyDescent="0.25">
      <c r="A112" s="5">
        <v>905</v>
      </c>
      <c r="B112" s="5">
        <v>29</v>
      </c>
      <c r="C112" s="5" t="s">
        <v>100</v>
      </c>
    </row>
    <row r="113" spans="1:3" x14ac:dyDescent="0.25">
      <c r="A113" s="5">
        <v>906</v>
      </c>
      <c r="B113" s="5">
        <v>29</v>
      </c>
      <c r="C113" s="5" t="s">
        <v>100</v>
      </c>
    </row>
    <row r="114" spans="1:3" x14ac:dyDescent="0.25">
      <c r="A114" s="5">
        <v>907</v>
      </c>
      <c r="B114" s="5">
        <v>29</v>
      </c>
      <c r="C114" s="5" t="s">
        <v>100</v>
      </c>
    </row>
    <row r="115" spans="1:3" x14ac:dyDescent="0.25">
      <c r="A115" s="5">
        <v>916</v>
      </c>
      <c r="B115" s="5">
        <v>29</v>
      </c>
      <c r="C115" s="5" t="s">
        <v>100</v>
      </c>
    </row>
    <row r="116" spans="1:3" x14ac:dyDescent="0.25">
      <c r="A116" s="5">
        <v>917</v>
      </c>
      <c r="B116" s="5">
        <v>29</v>
      </c>
      <c r="C116" s="5" t="s">
        <v>100</v>
      </c>
    </row>
    <row r="117" spans="1:3" x14ac:dyDescent="0.25">
      <c r="A117" s="5">
        <v>921</v>
      </c>
      <c r="B117" s="5">
        <v>29</v>
      </c>
      <c r="C117" s="5" t="s">
        <v>100</v>
      </c>
    </row>
    <row r="118" spans="1:3" x14ac:dyDescent="0.25">
      <c r="A118" s="5">
        <v>923</v>
      </c>
      <c r="B118" s="5">
        <v>29</v>
      </c>
      <c r="C118" s="5" t="s">
        <v>100</v>
      </c>
    </row>
    <row r="119" spans="1:3" x14ac:dyDescent="0.25">
      <c r="A119" s="5">
        <v>928</v>
      </c>
      <c r="B119" s="5">
        <v>29</v>
      </c>
      <c r="C119" s="5" t="s">
        <v>100</v>
      </c>
    </row>
    <row r="120" spans="1:3" x14ac:dyDescent="0.25">
      <c r="A120" s="5">
        <v>929</v>
      </c>
      <c r="B120" s="5">
        <v>29</v>
      </c>
      <c r="C120" s="5" t="s">
        <v>100</v>
      </c>
    </row>
    <row r="121" spans="1:3" x14ac:dyDescent="0.25">
      <c r="A121" s="5">
        <v>932</v>
      </c>
      <c r="B121" s="5">
        <v>29</v>
      </c>
      <c r="C121" s="5" t="s">
        <v>100</v>
      </c>
    </row>
    <row r="122" spans="1:3" x14ac:dyDescent="0.25">
      <c r="A122" s="5">
        <v>933</v>
      </c>
      <c r="B122" s="5">
        <v>29</v>
      </c>
      <c r="C122" s="5" t="s">
        <v>100</v>
      </c>
    </row>
    <row r="123" spans="1:3" x14ac:dyDescent="0.25">
      <c r="A123" s="5">
        <v>934</v>
      </c>
      <c r="B123" s="5">
        <v>29</v>
      </c>
      <c r="C123" s="5" t="s">
        <v>100</v>
      </c>
    </row>
    <row r="124" spans="1:3" x14ac:dyDescent="0.25">
      <c r="A124" s="5">
        <v>936</v>
      </c>
      <c r="B124" s="5">
        <v>29</v>
      </c>
      <c r="C124" s="5" t="s">
        <v>100</v>
      </c>
    </row>
    <row r="125" spans="1:3" x14ac:dyDescent="0.25">
      <c r="A125" s="5">
        <v>944</v>
      </c>
      <c r="B125" s="5">
        <v>29</v>
      </c>
      <c r="C125" s="5" t="s">
        <v>100</v>
      </c>
    </row>
    <row r="126" spans="1:3" x14ac:dyDescent="0.25">
      <c r="A126" s="5">
        <v>945</v>
      </c>
      <c r="B126" s="5">
        <v>29</v>
      </c>
      <c r="C126" s="5" t="s">
        <v>100</v>
      </c>
    </row>
    <row r="127" spans="1:3" x14ac:dyDescent="0.25">
      <c r="A127" s="5">
        <v>955</v>
      </c>
      <c r="B127" s="5">
        <v>29</v>
      </c>
      <c r="C127" s="5" t="s">
        <v>100</v>
      </c>
    </row>
    <row r="128" spans="1:3" x14ac:dyDescent="0.25">
      <c r="A128" s="5">
        <v>961</v>
      </c>
      <c r="B128" s="5">
        <v>29</v>
      </c>
      <c r="C128" s="5" t="s">
        <v>100</v>
      </c>
    </row>
    <row r="129" spans="1:3" x14ac:dyDescent="0.25">
      <c r="A129" s="5">
        <v>962</v>
      </c>
      <c r="B129" s="5">
        <v>29</v>
      </c>
      <c r="C129" s="5" t="s">
        <v>100</v>
      </c>
    </row>
    <row r="130" spans="1:3" x14ac:dyDescent="0.25">
      <c r="A130" s="5">
        <v>963</v>
      </c>
      <c r="B130" s="5">
        <v>29</v>
      </c>
      <c r="C130" s="5" t="s">
        <v>100</v>
      </c>
    </row>
    <row r="131" spans="1:3" x14ac:dyDescent="0.25">
      <c r="A131" s="5">
        <v>964</v>
      </c>
      <c r="B131" s="5">
        <v>29</v>
      </c>
      <c r="C131" s="5" t="s">
        <v>100</v>
      </c>
    </row>
    <row r="132" spans="1:3" x14ac:dyDescent="0.25">
      <c r="A132" s="5">
        <v>965</v>
      </c>
      <c r="B132" s="5">
        <v>29</v>
      </c>
      <c r="C132" s="5" t="s">
        <v>100</v>
      </c>
    </row>
    <row r="133" spans="1:3" x14ac:dyDescent="0.25">
      <c r="A133" s="5">
        <v>967</v>
      </c>
      <c r="B133" s="5">
        <v>29</v>
      </c>
      <c r="C133" s="5" t="s">
        <v>100</v>
      </c>
    </row>
    <row r="134" spans="1:3" x14ac:dyDescent="0.25">
      <c r="A134" s="5">
        <v>968</v>
      </c>
      <c r="B134" s="5">
        <v>29</v>
      </c>
      <c r="C134" s="5" t="s">
        <v>100</v>
      </c>
    </row>
    <row r="135" spans="1:3" x14ac:dyDescent="0.25">
      <c r="A135" s="5">
        <v>972</v>
      </c>
      <c r="B135" s="5">
        <v>29</v>
      </c>
      <c r="C135" s="5" t="s">
        <v>100</v>
      </c>
    </row>
    <row r="136" spans="1:3" x14ac:dyDescent="0.25">
      <c r="A136" s="5">
        <v>973</v>
      </c>
      <c r="B136" s="5">
        <v>29</v>
      </c>
      <c r="C136" s="5" t="s">
        <v>100</v>
      </c>
    </row>
    <row r="137" spans="1:3" x14ac:dyDescent="0.25">
      <c r="A137" s="5">
        <v>978</v>
      </c>
      <c r="B137" s="5">
        <v>29</v>
      </c>
      <c r="C137" s="5" t="s">
        <v>100</v>
      </c>
    </row>
    <row r="138" spans="1:3" x14ac:dyDescent="0.25">
      <c r="A138" s="5">
        <v>979</v>
      </c>
      <c r="B138" s="5">
        <v>29</v>
      </c>
      <c r="C138" s="5" t="s">
        <v>100</v>
      </c>
    </row>
    <row r="139" spans="1:3" x14ac:dyDescent="0.25">
      <c r="A139" s="5">
        <v>992</v>
      </c>
      <c r="B139" s="5">
        <v>29</v>
      </c>
      <c r="C139" s="5" t="s">
        <v>100</v>
      </c>
    </row>
  </sheetData>
  <sortState ref="I4:L9">
    <sortCondition ref="I4:I9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138"/>
  <sheetViews>
    <sheetView workbookViewId="0">
      <pane ySplit="1" topLeftCell="A2" activePane="bottomLeft" state="frozen"/>
      <selection activeCell="U23" sqref="U23"/>
      <selection pane="bottomLeft" activeCell="J28" sqref="J28"/>
    </sheetView>
  </sheetViews>
  <sheetFormatPr defaultRowHeight="15" x14ac:dyDescent="0.25"/>
  <cols>
    <col min="1" max="2" width="9.140625" style="47"/>
    <col min="3" max="3" width="15" style="47" bestFit="1" customWidth="1"/>
    <col min="4" max="4" width="9.140625" style="47"/>
    <col min="5" max="5" width="7.85546875" style="48" customWidth="1"/>
    <col min="6" max="10" width="7.7109375" style="48" customWidth="1"/>
    <col min="11" max="15" width="7.7109375" style="59" customWidth="1"/>
    <col min="16" max="16" width="7.7109375" style="291" customWidth="1"/>
    <col min="17" max="17" width="9.140625" style="47"/>
    <col min="18" max="18" width="10.5703125" style="292" customWidth="1"/>
    <col min="19" max="16384" width="9.140625" style="47"/>
  </cols>
  <sheetData>
    <row r="1" spans="1:23" x14ac:dyDescent="0.25">
      <c r="A1" s="47" t="s">
        <v>1</v>
      </c>
      <c r="B1" s="47" t="s">
        <v>2</v>
      </c>
      <c r="C1" s="47" t="s">
        <v>3</v>
      </c>
      <c r="D1" s="47" t="s">
        <v>41</v>
      </c>
      <c r="E1" s="293" t="s">
        <v>42</v>
      </c>
      <c r="F1" s="48" t="s">
        <v>43</v>
      </c>
      <c r="G1" s="48" t="s">
        <v>44</v>
      </c>
      <c r="H1" s="48" t="s">
        <v>45</v>
      </c>
      <c r="I1" s="48" t="s">
        <v>46</v>
      </c>
      <c r="J1" s="48" t="s">
        <v>47</v>
      </c>
      <c r="K1" s="59" t="s">
        <v>42</v>
      </c>
      <c r="L1" s="59" t="s">
        <v>43</v>
      </c>
      <c r="M1" s="59" t="s">
        <v>44</v>
      </c>
      <c r="N1" s="59" t="s">
        <v>45</v>
      </c>
      <c r="O1" s="59" t="s">
        <v>46</v>
      </c>
      <c r="P1" s="59" t="s">
        <v>47</v>
      </c>
      <c r="Q1" s="263" t="s">
        <v>82</v>
      </c>
      <c r="R1" s="289" t="s">
        <v>88</v>
      </c>
      <c r="S1" s="263">
        <f>SUM(J2:J138)</f>
        <v>327516.46882978664</v>
      </c>
      <c r="T1" s="263">
        <f>SUM(P2:P138)</f>
        <v>343143.82931099972</v>
      </c>
      <c r="U1" s="290">
        <f>T1/S1-1</f>
        <v>4.7714731833331969E-2</v>
      </c>
      <c r="W1" s="290"/>
    </row>
    <row r="2" spans="1:23" x14ac:dyDescent="0.25">
      <c r="A2" s="47">
        <v>398</v>
      </c>
      <c r="B2" s="47">
        <v>4</v>
      </c>
      <c r="C2" s="47" t="s">
        <v>12</v>
      </c>
      <c r="D2" s="47">
        <v>1</v>
      </c>
      <c r="E2" s="48">
        <f>VLOOKUP($A2,observed!$A$2:$I$138,5,FALSE)</f>
        <v>128.5277731580745</v>
      </c>
      <c r="F2" s="48">
        <f>VLOOKUP($A2,observed!$A$2:$I$138,6,FALSE)</f>
        <v>1674.3999884886084</v>
      </c>
      <c r="G2" s="48">
        <f>VLOOKUP($A2,observed!$A$2:$I$138,7,FALSE)</f>
        <v>775.69084873576924</v>
      </c>
      <c r="H2" s="48">
        <f>VLOOKUP($A2,observed!$A$2:$I$138,8,FALSE)</f>
        <v>2135.6163612602081</v>
      </c>
      <c r="I2" s="48">
        <f>VLOOKUP($A2,observed!$A$2:$I$138,9,FALSE)</f>
        <v>300.76109340881982</v>
      </c>
      <c r="J2" s="48">
        <f>SUM(E2:I2)</f>
        <v>5014.9960650514795</v>
      </c>
      <c r="K2" s="59">
        <f>IFERROR(VLOOKUP($A2,md[[route]:[boarding_EV]],2,FALSE),"")</f>
        <v>398.45176700000002</v>
      </c>
      <c r="L2" s="59">
        <f>IFERROR(VLOOKUP($A2,md[[route]:[boarding_EV]],3,FALSE),"")</f>
        <v>1890.0681440000001</v>
      </c>
      <c r="M2" s="59">
        <f>IFERROR(VLOOKUP($A2,md[[route]:[boarding_EV]],4,FALSE),"")</f>
        <v>753.40213100000005</v>
      </c>
      <c r="N2" s="59">
        <f>IFERROR(VLOOKUP($A2,md[[route]:[boarding_EV]],5,FALSE),"")</f>
        <v>1884.6275800000001</v>
      </c>
      <c r="O2" s="59">
        <f>IFERROR(VLOOKUP($A2,md[[route]:[boarding_EV]],6,FALSE),"")</f>
        <v>299</v>
      </c>
      <c r="P2" s="59">
        <f>SUM(K2:O2)</f>
        <v>5225.5496220000005</v>
      </c>
      <c r="Q2" s="290">
        <f>P2/J2-1</f>
        <v>4.1984790061118327E-2</v>
      </c>
      <c r="R2" s="289">
        <f>POWER((P2-J2),2)</f>
        <v>44332.800343674062</v>
      </c>
    </row>
    <row r="3" spans="1:23" x14ac:dyDescent="0.25">
      <c r="A3" s="47">
        <v>399</v>
      </c>
      <c r="B3" s="47">
        <v>5</v>
      </c>
      <c r="C3" s="47" t="s">
        <v>13</v>
      </c>
      <c r="D3" s="47">
        <v>2</v>
      </c>
      <c r="E3" s="48">
        <f>VLOOKUP($A3,observed!$A$2:$I$138,5,FALSE)</f>
        <v>338.45245283018869</v>
      </c>
      <c r="F3" s="48">
        <f>VLOOKUP($A3,observed!$A$2:$I$138,6,FALSE)</f>
        <v>2040.978679245283</v>
      </c>
      <c r="G3" s="48">
        <f>VLOOKUP($A3,observed!$A$2:$I$138,7,FALSE)</f>
        <v>3954.4584905660349</v>
      </c>
      <c r="H3" s="48">
        <f>VLOOKUP($A3,observed!$A$2:$I$138,8,FALSE)</f>
        <v>2471.5711320754763</v>
      </c>
      <c r="I3" s="48">
        <f>VLOOKUP($A3,observed!$A$2:$I$138,9,FALSE)</f>
        <v>1010.2992452830173</v>
      </c>
      <c r="J3" s="48">
        <f t="shared" ref="J3:J67" si="0">SUM(E3:I3)</f>
        <v>9815.76</v>
      </c>
      <c r="K3" s="59">
        <f>IFERROR(VLOOKUP($A3,md[[route]:[boarding_EV]],2,FALSE),"")</f>
        <v>591.90017999999998</v>
      </c>
      <c r="L3" s="59">
        <f>IFERROR(VLOOKUP($A3,md[[route]:[boarding_EV]],3,FALSE),"")</f>
        <v>3006.7300030000001</v>
      </c>
      <c r="M3" s="59">
        <f>IFERROR(VLOOKUP($A3,md[[route]:[boarding_EV]],4,FALSE),"")</f>
        <v>5378.7823269999999</v>
      </c>
      <c r="N3" s="59">
        <f>IFERROR(VLOOKUP($A3,md[[route]:[boarding_EV]],5,FALSE),"")</f>
        <v>4199.084989</v>
      </c>
      <c r="O3" s="59">
        <f>IFERROR(VLOOKUP($A3,md[[route]:[boarding_EV]],6,FALSE),"")</f>
        <v>2040.1960650000001</v>
      </c>
      <c r="P3" s="59">
        <f t="shared" ref="P3:P67" si="1">SUM(K3:O3)</f>
        <v>15216.693564000001</v>
      </c>
      <c r="Q3" s="290">
        <f t="shared" ref="Q3:Q67" si="2">P3/J3-1</f>
        <v>0.55023080882173159</v>
      </c>
      <c r="R3" s="289">
        <f t="shared" ref="R3:R67" si="3">POWER((P3-J3),2)</f>
        <v>29170083.36274175</v>
      </c>
    </row>
    <row r="4" spans="1:23" x14ac:dyDescent="0.25">
      <c r="A4" s="47">
        <v>510</v>
      </c>
      <c r="B4" s="47">
        <v>5</v>
      </c>
      <c r="C4" s="47" t="s">
        <v>13</v>
      </c>
      <c r="D4" s="47">
        <v>2</v>
      </c>
      <c r="E4" s="48">
        <f>VLOOKUP($A4,observed!$A$2:$I$138,5,FALSE)</f>
        <v>2757.4081075268809</v>
      </c>
      <c r="F4" s="48">
        <f>VLOOKUP($A4,observed!$A$2:$I$138,6,FALSE)</f>
        <v>10163.451003584229</v>
      </c>
      <c r="G4" s="48">
        <f>VLOOKUP($A4,observed!$A$2:$I$138,7,FALSE)</f>
        <v>19981.119124402867</v>
      </c>
      <c r="H4" s="48">
        <f>VLOOKUP($A4,observed!$A$2:$I$138,8,FALSE)</f>
        <v>13674.460637294218</v>
      </c>
      <c r="I4" s="48">
        <f>VLOOKUP($A4,observed!$A$2:$I$138,9,FALSE)</f>
        <v>5260.1213333333162</v>
      </c>
      <c r="J4" s="48">
        <f t="shared" si="0"/>
        <v>51836.560206141512</v>
      </c>
      <c r="K4" s="59">
        <f>IFERROR(VLOOKUP($A4,md[[route]:[boarding_EV]],2,FALSE),"")</f>
        <v>3080.2747119999999</v>
      </c>
      <c r="L4" s="59">
        <f>IFERROR(VLOOKUP($A4,md[[route]:[boarding_EV]],3,FALSE),"")</f>
        <v>10880.991569</v>
      </c>
      <c r="M4" s="59">
        <f>IFERROR(VLOOKUP($A4,md[[route]:[boarding_EV]],4,FALSE),"")</f>
        <v>15182.725834999999</v>
      </c>
      <c r="N4" s="59">
        <f>IFERROR(VLOOKUP($A4,md[[route]:[boarding_EV]],5,FALSE),"")</f>
        <v>15659.637532999999</v>
      </c>
      <c r="O4" s="59">
        <f>IFERROR(VLOOKUP($A4,md[[route]:[boarding_EV]],6,FALSE),"")</f>
        <v>9723.0532409999996</v>
      </c>
      <c r="P4" s="59">
        <f t="shared" si="1"/>
        <v>54526.682890000004</v>
      </c>
      <c r="Q4" s="290">
        <f t="shared" si="2"/>
        <v>5.1896242211298738E-2</v>
      </c>
      <c r="R4" s="289">
        <f t="shared" si="3"/>
        <v>7236760.0542100146</v>
      </c>
    </row>
    <row r="5" spans="1:23" x14ac:dyDescent="0.25">
      <c r="A5" s="47">
        <v>520</v>
      </c>
      <c r="B5" s="47">
        <v>5</v>
      </c>
      <c r="C5" s="47" t="s">
        <v>13</v>
      </c>
      <c r="D5" s="47">
        <v>2</v>
      </c>
      <c r="E5" s="48">
        <f>VLOOKUP($A5,observed!$A$2:$I$138,5,FALSE)</f>
        <v>934.38754716981111</v>
      </c>
      <c r="F5" s="48">
        <f>VLOOKUP($A5,observed!$A$2:$I$138,6,FALSE)</f>
        <v>5037.9356603773585</v>
      </c>
      <c r="G5" s="48">
        <f>VLOOKUP($A5,observed!$A$2:$I$138,7,FALSE)</f>
        <v>11086.707924528288</v>
      </c>
      <c r="H5" s="48">
        <f>VLOOKUP($A5,observed!$A$2:$I$138,8,FALSE)</f>
        <v>6544.0641509434172</v>
      </c>
      <c r="I5" s="48">
        <f>VLOOKUP($A5,observed!$A$2:$I$138,9,FALSE)</f>
        <v>2969.064716981125</v>
      </c>
      <c r="J5" s="48">
        <f t="shared" si="0"/>
        <v>26572.159999999996</v>
      </c>
      <c r="K5" s="59">
        <f>IFERROR(VLOOKUP($A5,md[[route]:[boarding_EV]],2,FALSE),"")</f>
        <v>823.912327</v>
      </c>
      <c r="L5" s="59">
        <f>IFERROR(VLOOKUP($A5,md[[route]:[boarding_EV]],3,FALSE),"")</f>
        <v>3902.077554</v>
      </c>
      <c r="M5" s="59">
        <f>IFERROR(VLOOKUP($A5,md[[route]:[boarding_EV]],4,FALSE),"")</f>
        <v>5918.1102870000004</v>
      </c>
      <c r="N5" s="59">
        <f>IFERROR(VLOOKUP($A5,md[[route]:[boarding_EV]],5,FALSE),"")</f>
        <v>5408.6012899999996</v>
      </c>
      <c r="O5" s="59">
        <f>IFERROR(VLOOKUP($A5,md[[route]:[boarding_EV]],6,FALSE),"")</f>
        <v>2936.9381480000002</v>
      </c>
      <c r="P5" s="59">
        <f t="shared" si="1"/>
        <v>18989.639606000001</v>
      </c>
      <c r="Q5" s="290">
        <f t="shared" si="2"/>
        <v>-0.28535581578614599</v>
      </c>
      <c r="R5" s="289">
        <f t="shared" si="3"/>
        <v>57494615.525425851</v>
      </c>
    </row>
    <row r="6" spans="1:23" x14ac:dyDescent="0.25">
      <c r="A6" s="47">
        <v>530</v>
      </c>
      <c r="B6" s="47">
        <v>5</v>
      </c>
      <c r="C6" s="47" t="s">
        <v>13</v>
      </c>
      <c r="D6" s="47">
        <v>2</v>
      </c>
      <c r="E6" s="48">
        <f>VLOOKUP($A6,observed!$A$2:$I$138,5,FALSE)</f>
        <v>729.18014925373132</v>
      </c>
      <c r="F6" s="48">
        <f>VLOOKUP($A6,observed!$A$2:$I$138,6,FALSE)</f>
        <v>5475.2638805970146</v>
      </c>
      <c r="G6" s="48">
        <f>VLOOKUP($A6,observed!$A$2:$I$138,7,FALSE)</f>
        <v>13208.901940298492</v>
      </c>
      <c r="H6" s="48">
        <f>VLOOKUP($A6,observed!$A$2:$I$138,8,FALSE)</f>
        <v>8487.438805970176</v>
      </c>
      <c r="I6" s="48">
        <f>VLOOKUP($A6,observed!$A$2:$I$138,9,FALSE)</f>
        <v>3973.8652238805885</v>
      </c>
      <c r="J6" s="48">
        <f t="shared" si="0"/>
        <v>31874.65</v>
      </c>
      <c r="K6" s="59">
        <f>IFERROR(VLOOKUP($A6,md[[route]:[boarding_EV]],2,FALSE),"")</f>
        <v>1154.12032</v>
      </c>
      <c r="L6" s="59">
        <f>IFERROR(VLOOKUP($A6,md[[route]:[boarding_EV]],3,FALSE),"")</f>
        <v>5893.4777800000002</v>
      </c>
      <c r="M6" s="59">
        <f>IFERROR(VLOOKUP($A6,md[[route]:[boarding_EV]],4,FALSE),"")</f>
        <v>9034.5377229999995</v>
      </c>
      <c r="N6" s="59">
        <f>IFERROR(VLOOKUP($A6,md[[route]:[boarding_EV]],5,FALSE),"")</f>
        <v>8640.8577179999993</v>
      </c>
      <c r="O6" s="59">
        <f>IFERROR(VLOOKUP($A6,md[[route]:[boarding_EV]],6,FALSE),"")</f>
        <v>4596.444606</v>
      </c>
      <c r="P6" s="59">
        <f t="shared" si="1"/>
        <v>29319.438147000001</v>
      </c>
      <c r="Q6" s="290">
        <f t="shared" si="2"/>
        <v>-8.0164389350157572E-2</v>
      </c>
      <c r="R6" s="289">
        <f t="shared" si="3"/>
        <v>6529107.613711697</v>
      </c>
    </row>
    <row r="7" spans="1:23" x14ac:dyDescent="0.25">
      <c r="A7" s="47">
        <v>10</v>
      </c>
      <c r="B7" s="47">
        <v>9</v>
      </c>
      <c r="C7" s="47" t="s">
        <v>9</v>
      </c>
      <c r="D7" s="47">
        <v>3</v>
      </c>
      <c r="E7" s="48">
        <f>VLOOKUP($A7,observed!$A$2:$I$138,5,FALSE)</f>
        <v>83.471336466165397</v>
      </c>
      <c r="F7" s="48">
        <f>VLOOKUP($A7,observed!$A$2:$I$138,6,FALSE)</f>
        <v>806.82754080656184</v>
      </c>
      <c r="G7" s="48">
        <f>VLOOKUP($A7,observed!$A$2:$I$138,7,FALSE)</f>
        <v>1995.7452728643452</v>
      </c>
      <c r="H7" s="48">
        <f>VLOOKUP($A7,observed!$A$2:$I$138,8,FALSE)</f>
        <v>1072.2860005721491</v>
      </c>
      <c r="I7" s="48">
        <f>VLOOKUP($A7,observed!$A$2:$I$138,9,FALSE)</f>
        <v>477.61984929077863</v>
      </c>
      <c r="J7" s="48">
        <f t="shared" si="0"/>
        <v>4435.95</v>
      </c>
      <c r="K7" s="59">
        <f>IFERROR(VLOOKUP($A7,md[[route]:[boarding_EV]],2,FALSE),"")</f>
        <v>152.92522299999999</v>
      </c>
      <c r="L7" s="59">
        <f>IFERROR(VLOOKUP($A7,md[[route]:[boarding_EV]],3,FALSE),"")</f>
        <v>692.051153</v>
      </c>
      <c r="M7" s="59">
        <f>IFERROR(VLOOKUP($A7,md[[route]:[boarding_EV]],4,FALSE),"")</f>
        <v>997.16736500000002</v>
      </c>
      <c r="N7" s="59">
        <f>IFERROR(VLOOKUP($A7,md[[route]:[boarding_EV]],5,FALSE),"")</f>
        <v>935.36874599999999</v>
      </c>
      <c r="O7" s="59">
        <f>IFERROR(VLOOKUP($A7,md[[route]:[boarding_EV]],6,FALSE),"")</f>
        <v>497.45863900000001</v>
      </c>
      <c r="P7" s="59">
        <f t="shared" si="1"/>
        <v>3274.9711259999999</v>
      </c>
      <c r="Q7" s="290">
        <f t="shared" si="2"/>
        <v>-0.26172045987894366</v>
      </c>
      <c r="R7" s="289">
        <f t="shared" si="3"/>
        <v>1347871.9458743078</v>
      </c>
    </row>
    <row r="8" spans="1:23" x14ac:dyDescent="0.25">
      <c r="A8" s="47">
        <v>20</v>
      </c>
      <c r="B8" s="47">
        <v>9</v>
      </c>
      <c r="C8" s="47" t="s">
        <v>9</v>
      </c>
      <c r="D8" s="47">
        <v>3</v>
      </c>
      <c r="E8" s="48">
        <f>VLOOKUP($A8,observed!$A$2:$I$138,5,FALSE)</f>
        <v>48.798728058555263</v>
      </c>
      <c r="F8" s="48">
        <f>VLOOKUP($A8,observed!$A$2:$I$138,6,FALSE)</f>
        <v>633.14510730234804</v>
      </c>
      <c r="G8" s="48">
        <f>VLOOKUP($A8,observed!$A$2:$I$138,7,FALSE)</f>
        <v>997.37781757755033</v>
      </c>
      <c r="H8" s="48">
        <f>VLOOKUP($A8,observed!$A$2:$I$138,8,FALSE)</f>
        <v>598.7012887079768</v>
      </c>
      <c r="I8" s="48">
        <f>VLOOKUP($A8,observed!$A$2:$I$138,9,FALSE)</f>
        <v>138.05742602878999</v>
      </c>
      <c r="J8" s="48">
        <f t="shared" si="0"/>
        <v>2416.0803676752203</v>
      </c>
      <c r="K8" s="59">
        <f>IFERROR(VLOOKUP($A8,md[[route]:[boarding_EV]],2,FALSE),"")</f>
        <v>158.97813400000001</v>
      </c>
      <c r="L8" s="59">
        <f>IFERROR(VLOOKUP($A8,md[[route]:[boarding_EV]],3,FALSE),"")</f>
        <v>833.00342799999999</v>
      </c>
      <c r="M8" s="59">
        <f>IFERROR(VLOOKUP($A8,md[[route]:[boarding_EV]],4,FALSE),"")</f>
        <v>1070.4604979999999</v>
      </c>
      <c r="N8" s="59">
        <f>IFERROR(VLOOKUP($A8,md[[route]:[boarding_EV]],5,FALSE),"")</f>
        <v>1135.4390840000001</v>
      </c>
      <c r="O8" s="59">
        <f>IFERROR(VLOOKUP($A8,md[[route]:[boarding_EV]],6,FALSE),"")</f>
        <v>591.07056999999998</v>
      </c>
      <c r="P8" s="59">
        <f t="shared" si="1"/>
        <v>3788.9517139999998</v>
      </c>
      <c r="Q8" s="290">
        <f t="shared" si="2"/>
        <v>0.56822254950309126</v>
      </c>
      <c r="R8" s="289">
        <f t="shared" si="3"/>
        <v>1884775.7335596129</v>
      </c>
    </row>
    <row r="9" spans="1:23" x14ac:dyDescent="0.25">
      <c r="A9" s="47">
        <v>50</v>
      </c>
      <c r="B9" s="47">
        <v>9</v>
      </c>
      <c r="C9" s="47" t="s">
        <v>9</v>
      </c>
      <c r="D9" s="47">
        <v>3</v>
      </c>
      <c r="E9" s="48">
        <f>VLOOKUP($A9,observed!$A$2:$I$138,5,FALSE)</f>
        <v>43.834133157547782</v>
      </c>
      <c r="F9" s="48">
        <f>VLOOKUP($A9,observed!$A$2:$I$138,6,FALSE)</f>
        <v>282.30860995534391</v>
      </c>
      <c r="G9" s="48">
        <f>VLOOKUP($A9,observed!$A$2:$I$138,7,FALSE)</f>
        <v>271.98734049914776</v>
      </c>
      <c r="H9" s="48">
        <f>VLOOKUP($A9,observed!$A$2:$I$138,8,FALSE)</f>
        <v>251.62573034144893</v>
      </c>
      <c r="I9" s="48">
        <f>VLOOKUP($A9,observed!$A$2:$I$138,9,FALSE)</f>
        <v>5.7641860465114823</v>
      </c>
      <c r="J9" s="48">
        <f t="shared" si="0"/>
        <v>855.51999999999987</v>
      </c>
      <c r="K9" s="59">
        <f>IFERROR(VLOOKUP($A9,md[[route]:[boarding_EV]],2,FALSE),"")</f>
        <v>53.153370000000002</v>
      </c>
      <c r="L9" s="59">
        <f>IFERROR(VLOOKUP($A9,md[[route]:[boarding_EV]],3,FALSE),"")</f>
        <v>256.82583399999999</v>
      </c>
      <c r="M9" s="59">
        <f>IFERROR(VLOOKUP($A9,md[[route]:[boarding_EV]],4,FALSE),"")</f>
        <v>247.660214</v>
      </c>
      <c r="N9" s="59">
        <f>IFERROR(VLOOKUP($A9,md[[route]:[boarding_EV]],5,FALSE),"")</f>
        <v>309.90147200000001</v>
      </c>
      <c r="O9" s="59">
        <f>IFERROR(VLOOKUP($A9,md[[route]:[boarding_EV]],6,FALSE),"")</f>
        <v>97.841425999999998</v>
      </c>
      <c r="P9" s="59">
        <f t="shared" si="1"/>
        <v>965.38231599999995</v>
      </c>
      <c r="Q9" s="290">
        <f t="shared" si="2"/>
        <v>0.12841583598279427</v>
      </c>
      <c r="R9" s="289">
        <f t="shared" si="3"/>
        <v>12069.728476883873</v>
      </c>
    </row>
    <row r="10" spans="1:23" x14ac:dyDescent="0.25">
      <c r="A10" s="47">
        <v>60</v>
      </c>
      <c r="B10" s="47">
        <v>9</v>
      </c>
      <c r="C10" s="47" t="s">
        <v>9</v>
      </c>
      <c r="D10" s="47">
        <v>3</v>
      </c>
      <c r="E10" s="48">
        <f>VLOOKUP($A10,observed!$A$2:$I$138,5,FALSE)</f>
        <v>54.233500000000006</v>
      </c>
      <c r="F10" s="48">
        <f>VLOOKUP($A10,observed!$A$2:$I$138,6,FALSE)</f>
        <v>131.28649999999999</v>
      </c>
      <c r="G10" s="48">
        <f>VLOOKUP($A10,observed!$A$2:$I$138,7,FALSE)</f>
        <v>2.0984615384612804</v>
      </c>
      <c r="H10" s="48">
        <f>VLOOKUP($A10,observed!$A$2:$I$138,8,FALSE)</f>
        <v>129.48153846153872</v>
      </c>
      <c r="I10" s="48">
        <f>VLOOKUP($A10,observed!$A$2:$I$138,9,FALSE)</f>
        <v>0</v>
      </c>
      <c r="J10" s="48">
        <f t="shared" si="0"/>
        <v>317.10000000000002</v>
      </c>
      <c r="K10" s="59">
        <f>IFERROR(VLOOKUP($A10,md[[route]:[boarding_EV]],2,FALSE),"")</f>
        <v>0</v>
      </c>
      <c r="L10" s="59">
        <f>IFERROR(VLOOKUP($A10,md[[route]:[boarding_EV]],3,FALSE),"")</f>
        <v>209.48579100000001</v>
      </c>
      <c r="M10" s="59">
        <f>IFERROR(VLOOKUP($A10,md[[route]:[boarding_EV]],4,FALSE),"")</f>
        <v>0</v>
      </c>
      <c r="N10" s="59">
        <f>IFERROR(VLOOKUP($A10,md[[route]:[boarding_EV]],5,FALSE),"")</f>
        <v>295.22485799999998</v>
      </c>
      <c r="O10" s="59">
        <f>IFERROR(VLOOKUP($A10,md[[route]:[boarding_EV]],6,FALSE),"")</f>
        <v>0</v>
      </c>
      <c r="P10" s="59">
        <f t="shared" si="1"/>
        <v>504.71064899999999</v>
      </c>
      <c r="Q10" s="290">
        <f t="shared" si="2"/>
        <v>0.59164506149479634</v>
      </c>
      <c r="R10" s="289">
        <f t="shared" si="3"/>
        <v>35197.75561820119</v>
      </c>
    </row>
    <row r="11" spans="1:23" x14ac:dyDescent="0.25">
      <c r="A11" s="47">
        <v>110</v>
      </c>
      <c r="B11" s="47">
        <v>9</v>
      </c>
      <c r="C11" s="47" t="s">
        <v>9</v>
      </c>
      <c r="D11" s="47">
        <v>3</v>
      </c>
      <c r="E11" s="48">
        <f>VLOOKUP($A11,observed!$A$2:$I$138,5,FALSE)</f>
        <v>0</v>
      </c>
      <c r="F11" s="48">
        <f>VLOOKUP($A11,observed!$A$2:$I$138,6,FALSE)</f>
        <v>104.18</v>
      </c>
      <c r="G11" s="48">
        <f>VLOOKUP($A11,observed!$A$2:$I$138,7,FALSE)</f>
        <v>0</v>
      </c>
      <c r="H11" s="48">
        <f>VLOOKUP($A11,observed!$A$2:$I$138,8,FALSE)</f>
        <v>106.83</v>
      </c>
      <c r="I11" s="48">
        <f>VLOOKUP($A11,observed!$A$2:$I$138,9,FALSE)</f>
        <v>0</v>
      </c>
      <c r="J11" s="48">
        <f t="shared" si="0"/>
        <v>211.01</v>
      </c>
      <c r="K11" s="59">
        <f>IFERROR(VLOOKUP($A11,md[[route]:[boarding_EV]],2,FALSE),"")</f>
        <v>0</v>
      </c>
      <c r="L11" s="59">
        <f>IFERROR(VLOOKUP($A11,md[[route]:[boarding_EV]],3,FALSE),"")</f>
        <v>130.67126300000001</v>
      </c>
      <c r="M11" s="59">
        <f>IFERROR(VLOOKUP($A11,md[[route]:[boarding_EV]],4,FALSE),"")</f>
        <v>0</v>
      </c>
      <c r="N11" s="59">
        <f>IFERROR(VLOOKUP($A11,md[[route]:[boarding_EV]],5,FALSE),"")</f>
        <v>180.35547700000001</v>
      </c>
      <c r="O11" s="59">
        <f>IFERROR(VLOOKUP($A11,md[[route]:[boarding_EV]],6,FALSE),"")</f>
        <v>0</v>
      </c>
      <c r="P11" s="59">
        <f t="shared" si="1"/>
        <v>311.02674000000002</v>
      </c>
      <c r="Q11" s="290">
        <f t="shared" si="2"/>
        <v>0.47399052177621925</v>
      </c>
      <c r="R11" s="289">
        <f t="shared" si="3"/>
        <v>10003.348280227605</v>
      </c>
    </row>
    <row r="12" spans="1:23" x14ac:dyDescent="0.25">
      <c r="A12" s="47">
        <v>120</v>
      </c>
      <c r="B12" s="47">
        <v>9</v>
      </c>
      <c r="C12" s="47" t="s">
        <v>9</v>
      </c>
      <c r="D12" s="47">
        <v>3</v>
      </c>
      <c r="E12" s="48">
        <f>VLOOKUP($A12,observed!$A$2:$I$138,5,FALSE)</f>
        <v>36.811445035460984</v>
      </c>
      <c r="F12" s="48">
        <f>VLOOKUP($A12,observed!$A$2:$I$138,6,FALSE)</f>
        <v>517.04645293461601</v>
      </c>
      <c r="G12" s="48">
        <f>VLOOKUP($A12,observed!$A$2:$I$138,7,FALSE)</f>
        <v>1236.3561291281267</v>
      </c>
      <c r="H12" s="48">
        <f>VLOOKUP($A12,observed!$A$2:$I$138,8,FALSE)</f>
        <v>603.86304480854199</v>
      </c>
      <c r="I12" s="48">
        <f>VLOOKUP($A12,observed!$A$2:$I$138,9,FALSE)</f>
        <v>272.96631008838796</v>
      </c>
      <c r="J12" s="48">
        <f t="shared" si="0"/>
        <v>2667.0433819951336</v>
      </c>
      <c r="K12" s="59">
        <f>IFERROR(VLOOKUP($A12,md[[route]:[boarding_EV]],2,FALSE),"")</f>
        <v>196.996971</v>
      </c>
      <c r="L12" s="59">
        <f>IFERROR(VLOOKUP($A12,md[[route]:[boarding_EV]],3,FALSE),"")</f>
        <v>741.16663400000004</v>
      </c>
      <c r="M12" s="59">
        <f>IFERROR(VLOOKUP($A12,md[[route]:[boarding_EV]],4,FALSE),"")</f>
        <v>1312.2759430000001</v>
      </c>
      <c r="N12" s="59">
        <f>IFERROR(VLOOKUP($A12,md[[route]:[boarding_EV]],5,FALSE),"")</f>
        <v>1027.942348</v>
      </c>
      <c r="O12" s="59">
        <f>IFERROR(VLOOKUP($A12,md[[route]:[boarding_EV]],6,FALSE),"")</f>
        <v>677.80115599999999</v>
      </c>
      <c r="P12" s="59">
        <f t="shared" si="1"/>
        <v>3956.1830520000003</v>
      </c>
      <c r="Q12" s="290">
        <f t="shared" si="2"/>
        <v>0.48335909295952306</v>
      </c>
      <c r="R12" s="289">
        <f t="shared" si="3"/>
        <v>1661881.0887802567</v>
      </c>
    </row>
    <row r="13" spans="1:23" x14ac:dyDescent="0.25">
      <c r="A13" s="47">
        <v>150</v>
      </c>
      <c r="B13" s="47">
        <v>9</v>
      </c>
      <c r="C13" s="47" t="s">
        <v>9</v>
      </c>
      <c r="D13" s="47">
        <v>3</v>
      </c>
      <c r="E13" s="48">
        <f>VLOOKUP($A13,observed!$A$2:$I$138,5,FALSE)</f>
        <v>0</v>
      </c>
      <c r="F13" s="48">
        <f>VLOOKUP($A13,observed!$A$2:$I$138,6,FALSE)</f>
        <v>817.61195700311009</v>
      </c>
      <c r="G13" s="48">
        <f>VLOOKUP($A13,observed!$A$2:$I$138,7,FALSE)</f>
        <v>1340.0985980385158</v>
      </c>
      <c r="H13" s="48">
        <f>VLOOKUP($A13,observed!$A$2:$I$138,8,FALSE)</f>
        <v>896.23412580943852</v>
      </c>
      <c r="I13" s="48">
        <f>VLOOKUP($A13,observed!$A$2:$I$138,9,FALSE)</f>
        <v>293.83531914893547</v>
      </c>
      <c r="J13" s="48">
        <f t="shared" si="0"/>
        <v>3347.7799999999997</v>
      </c>
      <c r="K13" s="59">
        <f>IFERROR(VLOOKUP($A13,md[[route]:[boarding_EV]],2,FALSE),"")</f>
        <v>167.35362000000001</v>
      </c>
      <c r="L13" s="59">
        <f>IFERROR(VLOOKUP($A13,md[[route]:[boarding_EV]],3,FALSE),"")</f>
        <v>806.69616099999996</v>
      </c>
      <c r="M13" s="59">
        <f>IFERROR(VLOOKUP($A13,md[[route]:[boarding_EV]],4,FALSE),"")</f>
        <v>686.54650300000003</v>
      </c>
      <c r="N13" s="59">
        <f>IFERROR(VLOOKUP($A13,md[[route]:[boarding_EV]],5,FALSE),"")</f>
        <v>877.570966</v>
      </c>
      <c r="O13" s="59">
        <f>IFERROR(VLOOKUP($A13,md[[route]:[boarding_EV]],6,FALSE),"")</f>
        <v>333.21655800000002</v>
      </c>
      <c r="P13" s="59">
        <f t="shared" si="1"/>
        <v>2871.383808</v>
      </c>
      <c r="Q13" s="290">
        <f t="shared" si="2"/>
        <v>-0.14230212021100541</v>
      </c>
      <c r="R13" s="289">
        <f t="shared" si="3"/>
        <v>226953.33175210058</v>
      </c>
    </row>
    <row r="14" spans="1:23" x14ac:dyDescent="0.25">
      <c r="A14" s="47">
        <v>950</v>
      </c>
      <c r="B14" s="47">
        <v>9</v>
      </c>
      <c r="C14" s="47" t="s">
        <v>9</v>
      </c>
      <c r="D14" s="47">
        <v>3</v>
      </c>
      <c r="E14" s="48">
        <f>VLOOKUP($A14,observed!$A$2:$I$138,5,FALSE)</f>
        <v>202.17000000000002</v>
      </c>
      <c r="F14" s="48">
        <f>VLOOKUP($A14,observed!$A$2:$I$138,6,FALSE)</f>
        <v>392.63428571428568</v>
      </c>
      <c r="G14" s="48">
        <f>VLOOKUP($A14,observed!$A$2:$I$138,7,FALSE)</f>
        <v>309.42714285714158</v>
      </c>
      <c r="H14" s="48">
        <f>VLOOKUP($A14,observed!$A$2:$I$138,8,FALSE)</f>
        <v>273.45857142857267</v>
      </c>
      <c r="I14" s="48">
        <f>VLOOKUP($A14,observed!$A$2:$I$138,9,FALSE)</f>
        <v>26.16</v>
      </c>
      <c r="J14" s="48">
        <f t="shared" si="0"/>
        <v>1203.8500000000001</v>
      </c>
      <c r="K14" s="59">
        <f>IFERROR(VLOOKUP($A14,md[[route]:[boarding_EV]],2,FALSE),"")</f>
        <v>264.59751999999997</v>
      </c>
      <c r="L14" s="59">
        <f>IFERROR(VLOOKUP($A14,md[[route]:[boarding_EV]],3,FALSE),"")</f>
        <v>581.53527999999994</v>
      </c>
      <c r="M14" s="59">
        <f>IFERROR(VLOOKUP($A14,md[[route]:[boarding_EV]],4,FALSE),"")</f>
        <v>892.00319999999999</v>
      </c>
      <c r="N14" s="59">
        <f>IFERROR(VLOOKUP($A14,md[[route]:[boarding_EV]],5,FALSE),"")</f>
        <v>862.87635399999999</v>
      </c>
      <c r="O14" s="59">
        <f>IFERROR(VLOOKUP($A14,md[[route]:[boarding_EV]],6,FALSE),"")</f>
        <v>136.55641</v>
      </c>
      <c r="P14" s="59">
        <f t="shared" si="1"/>
        <v>2737.5687640000001</v>
      </c>
      <c r="Q14" s="290">
        <f t="shared" si="2"/>
        <v>1.2740115163849315</v>
      </c>
      <c r="R14" s="289">
        <f t="shared" si="3"/>
        <v>2352293.2470456874</v>
      </c>
    </row>
    <row r="15" spans="1:23" x14ac:dyDescent="0.25">
      <c r="A15" s="1">
        <v>709</v>
      </c>
      <c r="B15" s="1">
        <v>9</v>
      </c>
      <c r="C15" s="1" t="s">
        <v>9</v>
      </c>
      <c r="D15" s="1">
        <v>3</v>
      </c>
      <c r="E15" s="226">
        <v>6.9743132935459302</v>
      </c>
      <c r="F15" s="226">
        <v>121.71898601798074</v>
      </c>
      <c r="G15" s="226">
        <v>213.50626019820723</v>
      </c>
      <c r="H15" s="226">
        <v>102.15159548527924</v>
      </c>
      <c r="I15" s="226">
        <v>21.581431566917637</v>
      </c>
      <c r="J15" s="226">
        <f t="shared" ref="J15" si="4">SUM(E15:I15)</f>
        <v>465.93258656193075</v>
      </c>
      <c r="K15" s="226">
        <f>IFERROR(VLOOKUP($A15,md[[route]:[boarding_EV]],2,FALSE),"")</f>
        <v>109.664807</v>
      </c>
      <c r="L15" s="226">
        <f>IFERROR(VLOOKUP($A15,md[[route]:[boarding_EV]],3,FALSE),"")</f>
        <v>737.47344999999996</v>
      </c>
      <c r="M15" s="226">
        <f>IFERROR(VLOOKUP($A15,md[[route]:[boarding_EV]],4,FALSE),"")</f>
        <v>1471.065701</v>
      </c>
      <c r="N15" s="226">
        <f>IFERROR(VLOOKUP($A15,md[[route]:[boarding_EV]],5,FALSE),"")</f>
        <v>1157.6897799999999</v>
      </c>
      <c r="O15" s="226">
        <f>IFERROR(VLOOKUP($A15,md[[route]:[boarding_EV]],6,FALSE),"")</f>
        <v>624.13193999999999</v>
      </c>
      <c r="P15" s="226">
        <f t="shared" ref="P15" si="5">SUM(K15:O15)</f>
        <v>4100.025678</v>
      </c>
      <c r="Q15" s="297">
        <f t="shared" ref="Q15" si="6">P15/J15-1</f>
        <v>7.7996113520491743</v>
      </c>
      <c r="R15" s="226">
        <f t="shared" ref="R15" si="7">POWER((P15-J15),2)</f>
        <v>13206632.597237904</v>
      </c>
    </row>
    <row r="16" spans="1:23" x14ac:dyDescent="0.25">
      <c r="A16" s="47">
        <v>870</v>
      </c>
      <c r="B16" s="47">
        <v>8</v>
      </c>
      <c r="C16" s="47" t="s">
        <v>14</v>
      </c>
      <c r="D16" s="47">
        <v>3</v>
      </c>
      <c r="E16" s="48">
        <f>VLOOKUP($A16,observed!$A$2:$I$138,5,FALSE)</f>
        <v>0</v>
      </c>
      <c r="F16" s="48">
        <f>VLOOKUP($A16,observed!$A$2:$I$138,6,FALSE)</f>
        <v>29.48</v>
      </c>
      <c r="G16" s="48">
        <f>VLOOKUP($A16,observed!$A$2:$I$138,7,FALSE)</f>
        <v>0</v>
      </c>
      <c r="H16" s="48">
        <f>VLOOKUP($A16,observed!$A$2:$I$138,8,FALSE)</f>
        <v>23.77</v>
      </c>
      <c r="I16" s="48">
        <f>VLOOKUP($A16,observed!$A$2:$I$138,9,FALSE)</f>
        <v>0</v>
      </c>
      <c r="J16" s="59">
        <f t="shared" si="0"/>
        <v>53.25</v>
      </c>
      <c r="K16" s="59">
        <f>IFERROR(VLOOKUP($A16,md[[route]:[boarding_EV]],2,FALSE),"")</f>
        <v>0</v>
      </c>
      <c r="L16" s="59">
        <f>IFERROR(VLOOKUP($A16,md[[route]:[boarding_EV]],3,FALSE),"")</f>
        <v>44.993527</v>
      </c>
      <c r="M16" s="59">
        <f>IFERROR(VLOOKUP($A16,md[[route]:[boarding_EV]],4,FALSE),"")</f>
        <v>0</v>
      </c>
      <c r="N16" s="59">
        <f>IFERROR(VLOOKUP($A16,md[[route]:[boarding_EV]],5,FALSE),"")</f>
        <v>125.489087</v>
      </c>
      <c r="O16" s="59">
        <f>IFERROR(VLOOKUP($A16,md[[route]:[boarding_EV]],6,FALSE),"")</f>
        <v>0</v>
      </c>
      <c r="P16" s="59">
        <f t="shared" si="1"/>
        <v>170.48261400000001</v>
      </c>
      <c r="Q16" s="290">
        <f t="shared" si="2"/>
        <v>2.2015514366197184</v>
      </c>
      <c r="R16" s="289">
        <f t="shared" si="3"/>
        <v>13743.485785272998</v>
      </c>
    </row>
    <row r="17" spans="1:20" x14ac:dyDescent="0.25">
      <c r="A17" s="47">
        <v>235</v>
      </c>
      <c r="B17" s="47">
        <v>6</v>
      </c>
      <c r="C17" s="47" t="s">
        <v>11</v>
      </c>
      <c r="D17" s="47">
        <v>4</v>
      </c>
      <c r="E17" s="48">
        <f>VLOOKUP($A17,observed!$A$2:$I$138,5,FALSE)</f>
        <v>212.83589446589443</v>
      </c>
      <c r="F17" s="48">
        <f>VLOOKUP($A17,observed!$A$2:$I$138,6,FALSE)</f>
        <v>1289.7216929408644</v>
      </c>
      <c r="G17" s="48">
        <f>VLOOKUP($A17,observed!$A$2:$I$138,7,FALSE)</f>
        <v>1843.2850113278521</v>
      </c>
      <c r="H17" s="48">
        <f>VLOOKUP($A17,observed!$A$2:$I$138,8,FALSE)</f>
        <v>1456.2494505278571</v>
      </c>
      <c r="I17" s="48">
        <f>VLOOKUP($A17,observed!$A$2:$I$138,9,FALSE)</f>
        <v>517.11795073753251</v>
      </c>
      <c r="J17" s="48">
        <f t="shared" si="0"/>
        <v>5319.2100000000009</v>
      </c>
      <c r="K17" s="59">
        <f>IFERROR(VLOOKUP($A17,md[[route]:[boarding_EV]],2,FALSE),"")</f>
        <v>554.52622399999996</v>
      </c>
      <c r="L17" s="59">
        <f>IFERROR(VLOOKUP($A17,md[[route]:[boarding_EV]],3,FALSE),"")</f>
        <v>1972.312248</v>
      </c>
      <c r="M17" s="59">
        <f>IFERROR(VLOOKUP($A17,md[[route]:[boarding_EV]],4,FALSE),"")</f>
        <v>2423.2746419999999</v>
      </c>
      <c r="N17" s="59">
        <f>IFERROR(VLOOKUP($A17,md[[route]:[boarding_EV]],5,FALSE),"")</f>
        <v>2602.4317019999999</v>
      </c>
      <c r="O17" s="59">
        <f>IFERROR(VLOOKUP($A17,md[[route]:[boarding_EV]],6,FALSE),"")</f>
        <v>1179.448701</v>
      </c>
      <c r="P17" s="59">
        <f t="shared" si="1"/>
        <v>8731.993516999999</v>
      </c>
      <c r="Q17" s="290">
        <f t="shared" si="2"/>
        <v>0.64159593567465789</v>
      </c>
      <c r="R17" s="289">
        <f t="shared" si="3"/>
        <v>11647091.333906876</v>
      </c>
    </row>
    <row r="18" spans="1:20" x14ac:dyDescent="0.25">
      <c r="A18" s="47">
        <v>237</v>
      </c>
      <c r="B18" s="47">
        <v>6</v>
      </c>
      <c r="C18" s="47" t="s">
        <v>11</v>
      </c>
      <c r="D18" s="47">
        <v>4</v>
      </c>
      <c r="E18" s="48">
        <f>VLOOKUP($A18,observed!$A$2:$I$138,5,FALSE)</f>
        <v>10.743942964001848</v>
      </c>
      <c r="F18" s="48">
        <f>VLOOKUP($A18,observed!$A$2:$I$138,6,FALSE)</f>
        <v>400.23931686425931</v>
      </c>
      <c r="G18" s="48">
        <f>VLOOKUP($A18,observed!$A$2:$I$138,7,FALSE)</f>
        <v>180.6833947399488</v>
      </c>
      <c r="H18" s="48">
        <f>VLOOKUP($A18,observed!$A$2:$I$138,8,FALSE)</f>
        <v>428.90790425532003</v>
      </c>
      <c r="I18" s="48">
        <f>VLOOKUP($A18,observed!$A$2:$I$138,9,FALSE)</f>
        <v>72.115441176470085</v>
      </c>
      <c r="J18" s="48">
        <f t="shared" si="0"/>
        <v>1092.69</v>
      </c>
      <c r="K18" s="59">
        <f>IFERROR(VLOOKUP($A18,md[[route]:[boarding_EV]],2,FALSE),"")</f>
        <v>23.065487999999998</v>
      </c>
      <c r="L18" s="59">
        <f>IFERROR(VLOOKUP($A18,md[[route]:[boarding_EV]],3,FALSE),"")</f>
        <v>690.95726100000002</v>
      </c>
      <c r="M18" s="59">
        <f>IFERROR(VLOOKUP($A18,md[[route]:[boarding_EV]],4,FALSE),"")</f>
        <v>257.426243</v>
      </c>
      <c r="N18" s="59">
        <f>IFERROR(VLOOKUP($A18,md[[route]:[boarding_EV]],5,FALSE),"")</f>
        <v>954.98750399999994</v>
      </c>
      <c r="O18" s="59">
        <f>IFERROR(VLOOKUP($A18,md[[route]:[boarding_EV]],6,FALSE),"")</f>
        <v>153.59904499999999</v>
      </c>
      <c r="P18" s="59">
        <f t="shared" si="1"/>
        <v>2080.0355409999997</v>
      </c>
      <c r="Q18" s="290">
        <f t="shared" si="2"/>
        <v>0.90359163257648523</v>
      </c>
      <c r="R18" s="289">
        <f t="shared" si="3"/>
        <v>974851.21733258211</v>
      </c>
    </row>
    <row r="19" spans="1:20" x14ac:dyDescent="0.25">
      <c r="A19" s="47">
        <v>280</v>
      </c>
      <c r="B19" s="47">
        <v>6</v>
      </c>
      <c r="C19" s="47" t="s">
        <v>11</v>
      </c>
      <c r="D19" s="47">
        <v>4</v>
      </c>
      <c r="E19" s="48">
        <f>VLOOKUP($A19,observed!$A$2:$I$138,5,FALSE)</f>
        <v>35.699056603773585</v>
      </c>
      <c r="F19" s="48">
        <f>VLOOKUP($A19,observed!$A$2:$I$138,6,FALSE)</f>
        <v>233.54094339622645</v>
      </c>
      <c r="G19" s="48">
        <f>VLOOKUP($A19,observed!$A$2:$I$138,7,FALSE)</f>
        <v>14.583442622950553</v>
      </c>
      <c r="H19" s="48">
        <f>VLOOKUP($A19,observed!$A$2:$I$138,8,FALSE)</f>
        <v>235.67655737704942</v>
      </c>
      <c r="I19" s="48">
        <f>VLOOKUP($A19,observed!$A$2:$I$138,9,FALSE)</f>
        <v>0</v>
      </c>
      <c r="J19" s="48">
        <f t="shared" si="0"/>
        <v>519.5</v>
      </c>
      <c r="K19" s="59" t="str">
        <f>IFERROR(VLOOKUP($A19,md[[route]:[boarding_EV]],2,FALSE),"")</f>
        <v/>
      </c>
      <c r="L19" s="59" t="str">
        <f>IFERROR(VLOOKUP($A19,md[[route]:[boarding_EV]],3,FALSE),"")</f>
        <v/>
      </c>
      <c r="M19" s="59" t="str">
        <f>IFERROR(VLOOKUP($A19,md[[route]:[boarding_EV]],4,FALSE),"")</f>
        <v/>
      </c>
      <c r="N19" s="59" t="str">
        <f>IFERROR(VLOOKUP($A19,md[[route]:[boarding_EV]],5,FALSE),"")</f>
        <v/>
      </c>
      <c r="O19" s="59" t="str">
        <f>IFERROR(VLOOKUP($A19,md[[route]:[boarding_EV]],6,FALSE),"")</f>
        <v/>
      </c>
      <c r="P19" s="59">
        <f t="shared" si="1"/>
        <v>0</v>
      </c>
      <c r="Q19" s="290">
        <f t="shared" si="2"/>
        <v>-1</v>
      </c>
      <c r="R19" s="289">
        <f t="shared" si="3"/>
        <v>269880.25</v>
      </c>
    </row>
    <row r="20" spans="1:20" x14ac:dyDescent="0.25">
      <c r="A20" s="47">
        <v>290</v>
      </c>
      <c r="B20" s="47">
        <v>6</v>
      </c>
      <c r="C20" s="47" t="s">
        <v>11</v>
      </c>
      <c r="D20" s="47">
        <v>4</v>
      </c>
      <c r="E20" s="48">
        <f>VLOOKUP($A20,observed!$A$2:$I$138,5,FALSE)</f>
        <v>30.776086956521745</v>
      </c>
      <c r="F20" s="48">
        <f>VLOOKUP($A20,observed!$A$2:$I$138,6,FALSE)</f>
        <v>327.64391304347828</v>
      </c>
      <c r="G20" s="48">
        <f>VLOOKUP($A20,observed!$A$2:$I$138,7,FALSE)</f>
        <v>20.292244897958764</v>
      </c>
      <c r="H20" s="48">
        <f>VLOOKUP($A20,observed!$A$2:$I$138,8,FALSE)</f>
        <v>297.98775510204121</v>
      </c>
      <c r="I20" s="48">
        <f>VLOOKUP($A20,observed!$A$2:$I$138,9,FALSE)</f>
        <v>0</v>
      </c>
      <c r="J20" s="48">
        <f t="shared" si="0"/>
        <v>676.7</v>
      </c>
      <c r="K20" s="59">
        <f>IFERROR(VLOOKUP($A20,md[[route]:[boarding_EV]],2,FALSE),"")</f>
        <v>0</v>
      </c>
      <c r="L20" s="59">
        <f>IFERROR(VLOOKUP($A20,md[[route]:[boarding_EV]],3,FALSE),"")</f>
        <v>156.142661</v>
      </c>
      <c r="M20" s="59">
        <f>IFERROR(VLOOKUP($A20,md[[route]:[boarding_EV]],4,FALSE),"")</f>
        <v>0</v>
      </c>
      <c r="N20" s="59">
        <f>IFERROR(VLOOKUP($A20,md[[route]:[boarding_EV]],5,FALSE),"")</f>
        <v>150.50926699999999</v>
      </c>
      <c r="O20" s="59">
        <f>IFERROR(VLOOKUP($A20,md[[route]:[boarding_EV]],6,FALSE),"")</f>
        <v>0</v>
      </c>
      <c r="P20" s="59">
        <f t="shared" si="1"/>
        <v>306.651928</v>
      </c>
      <c r="Q20" s="290">
        <f t="shared" si="2"/>
        <v>-0.54684213388503033</v>
      </c>
      <c r="R20" s="289">
        <f t="shared" si="3"/>
        <v>136935.57559091723</v>
      </c>
    </row>
    <row r="21" spans="1:20" x14ac:dyDescent="0.25">
      <c r="A21" s="47">
        <v>201</v>
      </c>
      <c r="B21" s="47">
        <v>7</v>
      </c>
      <c r="C21" s="47" t="s">
        <v>10</v>
      </c>
      <c r="D21" s="47">
        <v>4</v>
      </c>
      <c r="E21" s="48">
        <f>VLOOKUP($A21,observed!$A$2:$I$138,5,FALSE)</f>
        <v>1.7679999999999987</v>
      </c>
      <c r="F21" s="48">
        <f>VLOOKUP($A21,observed!$A$2:$I$138,6,FALSE)</f>
        <v>185.72866666666661</v>
      </c>
      <c r="G21" s="48">
        <f>VLOOKUP($A21,observed!$A$2:$I$138,7,FALSE)</f>
        <v>1556.0061363636328</v>
      </c>
      <c r="H21" s="48">
        <f>VLOOKUP($A21,observed!$A$2:$I$138,8,FALSE)</f>
        <v>1709.882250733144</v>
      </c>
      <c r="I21" s="48">
        <f>VLOOKUP($A21,observed!$A$2:$I$138,9,FALSE)</f>
        <v>678.77494623655673</v>
      </c>
      <c r="J21" s="48">
        <f t="shared" si="0"/>
        <v>4132.16</v>
      </c>
      <c r="K21" s="59">
        <f>IFERROR(VLOOKUP($A21,md[[route]:[boarding_EV]],2,FALSE),"")</f>
        <v>37.454943</v>
      </c>
      <c r="L21" s="59">
        <f>IFERROR(VLOOKUP($A21,md[[route]:[boarding_EV]],3,FALSE),"")</f>
        <v>247.97586999999999</v>
      </c>
      <c r="M21" s="59">
        <f>IFERROR(VLOOKUP($A21,md[[route]:[boarding_EV]],4,FALSE),"")</f>
        <v>542.82273699999996</v>
      </c>
      <c r="N21" s="59">
        <f>IFERROR(VLOOKUP($A21,md[[route]:[boarding_EV]],5,FALSE),"")</f>
        <v>464.54761100000002</v>
      </c>
      <c r="O21" s="59">
        <f>IFERROR(VLOOKUP($A21,md[[route]:[boarding_EV]],6,FALSE),"")</f>
        <v>232.133668</v>
      </c>
      <c r="P21" s="59">
        <f t="shared" si="1"/>
        <v>1524.9348289999998</v>
      </c>
      <c r="Q21" s="290">
        <f t="shared" si="2"/>
        <v>-0.63095939436033466</v>
      </c>
      <c r="R21" s="289">
        <f t="shared" si="3"/>
        <v>6797623.0922959791</v>
      </c>
    </row>
    <row r="22" spans="1:20" x14ac:dyDescent="0.25">
      <c r="A22" s="47">
        <v>202</v>
      </c>
      <c r="B22" s="47">
        <v>7</v>
      </c>
      <c r="C22" s="47" t="s">
        <v>10</v>
      </c>
      <c r="D22" s="47">
        <v>4</v>
      </c>
      <c r="E22" s="48">
        <f>VLOOKUP($A22,observed!$A$2:$I$138,5,FALSE)</f>
        <v>4.4307692307692212</v>
      </c>
      <c r="F22" s="48">
        <f>VLOOKUP($A22,observed!$A$2:$I$138,6,FALSE)</f>
        <v>870.71938130686522</v>
      </c>
      <c r="G22" s="48">
        <f>VLOOKUP($A22,observed!$A$2:$I$138,7,FALSE)</f>
        <v>2407.593788856303</v>
      </c>
      <c r="H22" s="48">
        <f>VLOOKUP($A22,observed!$A$2:$I$138,8,FALSE)</f>
        <v>817.05606060606351</v>
      </c>
      <c r="I22" s="48">
        <f>VLOOKUP($A22,observed!$A$2:$I$138,9,FALSE)</f>
        <v>345.979999999999</v>
      </c>
      <c r="J22" s="48">
        <f t="shared" si="0"/>
        <v>4445.78</v>
      </c>
      <c r="K22" s="59">
        <f>IFERROR(VLOOKUP($A22,md[[route]:[boarding_EV]],2,FALSE),"")</f>
        <v>38.088664999999999</v>
      </c>
      <c r="L22" s="59">
        <f>IFERROR(VLOOKUP($A22,md[[route]:[boarding_EV]],3,FALSE),"")</f>
        <v>258.90601800000002</v>
      </c>
      <c r="M22" s="59">
        <f>IFERROR(VLOOKUP($A22,md[[route]:[boarding_EV]],4,FALSE),"")</f>
        <v>628.35214599999995</v>
      </c>
      <c r="N22" s="59">
        <f>IFERROR(VLOOKUP($A22,md[[route]:[boarding_EV]],5,FALSE),"")</f>
        <v>425.47461700000002</v>
      </c>
      <c r="O22" s="59">
        <f>IFERROR(VLOOKUP($A22,md[[route]:[boarding_EV]],6,FALSE),"")</f>
        <v>253.14647500000001</v>
      </c>
      <c r="P22" s="59">
        <f t="shared" si="1"/>
        <v>1603.9679209999999</v>
      </c>
      <c r="Q22" s="290">
        <f t="shared" si="2"/>
        <v>-0.63921563347714017</v>
      </c>
      <c r="R22" s="289">
        <f t="shared" si="3"/>
        <v>8075895.8923503011</v>
      </c>
    </row>
    <row r="23" spans="1:20" x14ac:dyDescent="0.25">
      <c r="A23" s="47">
        <v>204</v>
      </c>
      <c r="B23" s="47">
        <v>7</v>
      </c>
      <c r="C23" s="47" t="s">
        <v>10</v>
      </c>
      <c r="D23" s="47">
        <v>4</v>
      </c>
      <c r="E23" s="48">
        <f>VLOOKUP($A23,observed!$A$2:$I$138,5,FALSE)</f>
        <v>2.4500000000000002</v>
      </c>
      <c r="F23" s="48">
        <f>VLOOKUP($A23,observed!$A$2:$I$138,6,FALSE)</f>
        <v>113.17133333333334</v>
      </c>
      <c r="G23" s="48">
        <f>VLOOKUP($A23,observed!$A$2:$I$138,7,FALSE)</f>
        <v>291.34199999999959</v>
      </c>
      <c r="H23" s="48">
        <f>VLOOKUP($A23,observed!$A$2:$I$138,8,FALSE)</f>
        <v>178.77205128205216</v>
      </c>
      <c r="I23" s="48">
        <f>VLOOKUP($A23,observed!$A$2:$I$138,9,FALSE)</f>
        <v>110.49461538461486</v>
      </c>
      <c r="J23" s="48">
        <f t="shared" si="0"/>
        <v>696.23</v>
      </c>
      <c r="K23" s="59">
        <f>IFERROR(VLOOKUP($A23,md[[route]:[boarding_EV]],2,FALSE),"")</f>
        <v>30.698606000000002</v>
      </c>
      <c r="L23" s="59">
        <f>IFERROR(VLOOKUP($A23,md[[route]:[boarding_EV]],3,FALSE),"")</f>
        <v>134.96256</v>
      </c>
      <c r="M23" s="59">
        <f>IFERROR(VLOOKUP($A23,md[[route]:[boarding_EV]],4,FALSE),"")</f>
        <v>294.75336600000003</v>
      </c>
      <c r="N23" s="59">
        <f>IFERROR(VLOOKUP($A23,md[[route]:[boarding_EV]],5,FALSE),"")</f>
        <v>162.85504800000001</v>
      </c>
      <c r="O23" s="59">
        <f>IFERROR(VLOOKUP($A23,md[[route]:[boarding_EV]],6,FALSE),"")</f>
        <v>103.82459900000001</v>
      </c>
      <c r="P23" s="59">
        <f t="shared" si="1"/>
        <v>727.09417900000005</v>
      </c>
      <c r="Q23" s="290">
        <f t="shared" si="2"/>
        <v>4.4330435344641872E-2</v>
      </c>
      <c r="R23" s="289">
        <f t="shared" si="3"/>
        <v>952.59754534404317</v>
      </c>
    </row>
    <row r="24" spans="1:20" x14ac:dyDescent="0.25">
      <c r="A24" s="47">
        <v>215</v>
      </c>
      <c r="B24" s="47">
        <v>7</v>
      </c>
      <c r="C24" s="47" t="s">
        <v>10</v>
      </c>
      <c r="D24" s="47">
        <v>4</v>
      </c>
      <c r="E24" s="48">
        <f>VLOOKUP($A24,observed!$A$2:$I$138,5,FALSE)</f>
        <v>201.20931220247041</v>
      </c>
      <c r="F24" s="48">
        <f>VLOOKUP($A24,observed!$A$2:$I$138,6,FALSE)</f>
        <v>1246.5294633077337</v>
      </c>
      <c r="G24" s="48">
        <f>VLOOKUP($A24,observed!$A$2:$I$138,7,FALSE)</f>
        <v>2816.5485464271155</v>
      </c>
      <c r="H24" s="48">
        <f>VLOOKUP($A24,observed!$A$2:$I$138,8,FALSE)</f>
        <v>1766.8620276293227</v>
      </c>
      <c r="I24" s="48">
        <f>VLOOKUP($A24,observed!$A$2:$I$138,9,FALSE)</f>
        <v>893.7720328937736</v>
      </c>
      <c r="J24" s="48">
        <f t="shared" si="0"/>
        <v>6924.9213824604158</v>
      </c>
      <c r="K24" s="59">
        <f>IFERROR(VLOOKUP($A24,md[[route]:[boarding_EV]],2,FALSE),"")</f>
        <v>305.239868</v>
      </c>
      <c r="L24" s="59">
        <f>IFERROR(VLOOKUP($A24,md[[route]:[boarding_EV]],3,FALSE),"")</f>
        <v>2038.6148250000001</v>
      </c>
      <c r="M24" s="59">
        <f>IFERROR(VLOOKUP($A24,md[[route]:[boarding_EV]],4,FALSE),"")</f>
        <v>2921.8637199999998</v>
      </c>
      <c r="N24" s="59">
        <f>IFERROR(VLOOKUP($A24,md[[route]:[boarding_EV]],5,FALSE),"")</f>
        <v>2891.864587</v>
      </c>
      <c r="O24" s="59">
        <f>IFERROR(VLOOKUP($A24,md[[route]:[boarding_EV]],6,FALSE),"")</f>
        <v>1317.591371</v>
      </c>
      <c r="P24" s="59">
        <f t="shared" si="1"/>
        <v>9475.174371000001</v>
      </c>
      <c r="Q24" s="290">
        <f t="shared" si="2"/>
        <v>0.36827176045621535</v>
      </c>
      <c r="R24" s="289">
        <f t="shared" si="3"/>
        <v>6503790.3055550857</v>
      </c>
    </row>
    <row r="25" spans="1:20" x14ac:dyDescent="0.25">
      <c r="A25" s="47">
        <v>350</v>
      </c>
      <c r="B25" s="47">
        <v>7</v>
      </c>
      <c r="C25" s="47" t="s">
        <v>10</v>
      </c>
      <c r="D25" s="47">
        <v>4</v>
      </c>
      <c r="E25" s="48">
        <f>VLOOKUP($A25,observed!$A$2:$I$138,5,FALSE)</f>
        <v>44.288760845406365</v>
      </c>
      <c r="F25" s="48">
        <f>VLOOKUP($A25,observed!$A$2:$I$138,6,FALSE)</f>
        <v>474.35023590901147</v>
      </c>
      <c r="G25" s="48">
        <f>VLOOKUP($A25,observed!$A$2:$I$138,7,FALSE)</f>
        <v>1014.6863567240357</v>
      </c>
      <c r="H25" s="48">
        <f>VLOOKUP($A25,observed!$A$2:$I$138,8,FALSE)</f>
        <v>433.64193585794601</v>
      </c>
      <c r="I25" s="48">
        <f>VLOOKUP($A25,observed!$A$2:$I$138,9,FALSE)</f>
        <v>100.00775365258657</v>
      </c>
      <c r="J25" s="48">
        <f t="shared" si="0"/>
        <v>2066.9750429889859</v>
      </c>
      <c r="K25" s="59">
        <f>IFERROR(VLOOKUP($A25,md[[route]:[boarding_EV]],2,FALSE),"")</f>
        <v>44.287104999999997</v>
      </c>
      <c r="L25" s="59">
        <f>IFERROR(VLOOKUP($A25,md[[route]:[boarding_EV]],3,FALSE),"")</f>
        <v>309.52403700000002</v>
      </c>
      <c r="M25" s="59">
        <f>IFERROR(VLOOKUP($A25,md[[route]:[boarding_EV]],4,FALSE),"")</f>
        <v>631.97425999999996</v>
      </c>
      <c r="N25" s="59">
        <f>IFERROR(VLOOKUP($A25,md[[route]:[boarding_EV]],5,FALSE),"")</f>
        <v>527.57587999999998</v>
      </c>
      <c r="O25" s="59">
        <f>IFERROR(VLOOKUP($A25,md[[route]:[boarding_EV]],6,FALSE),"")</f>
        <v>371.80887200000001</v>
      </c>
      <c r="P25" s="59">
        <f t="shared" si="1"/>
        <v>1885.1701539999999</v>
      </c>
      <c r="Q25" s="290">
        <f t="shared" si="2"/>
        <v>-8.7956983131293076E-2</v>
      </c>
      <c r="R25" s="289">
        <f t="shared" si="3"/>
        <v>33053.017660297533</v>
      </c>
    </row>
    <row r="26" spans="1:20" x14ac:dyDescent="0.25">
      <c r="A26" s="47">
        <v>1</v>
      </c>
      <c r="B26" s="47">
        <v>10</v>
      </c>
      <c r="C26" s="47" t="s">
        <v>0</v>
      </c>
      <c r="D26" s="47">
        <v>5</v>
      </c>
      <c r="E26" s="48">
        <f>VLOOKUP($A26,observed!$A$2:$I$138,5,FALSE)</f>
        <v>78.088549666153028</v>
      </c>
      <c r="F26" s="48">
        <f>VLOOKUP($A26,observed!$A$2:$I$138,6,FALSE)</f>
        <v>592.48473431812374</v>
      </c>
      <c r="G26" s="48">
        <f>VLOOKUP($A26,observed!$A$2:$I$138,7,FALSE)</f>
        <v>2056.0246148436245</v>
      </c>
      <c r="H26" s="48">
        <f>VLOOKUP($A26,observed!$A$2:$I$138,8,FALSE)</f>
        <v>983.34922306421265</v>
      </c>
      <c r="I26" s="48">
        <f>VLOOKUP($A26,observed!$A$2:$I$138,9,FALSE)</f>
        <v>388.54287810788554</v>
      </c>
      <c r="J26" s="48">
        <f t="shared" si="0"/>
        <v>4098.49</v>
      </c>
      <c r="K26" s="59">
        <f>IFERROR(VLOOKUP($A26,md[[route]:[boarding_EV]],2,FALSE),"")</f>
        <v>152.12670399999999</v>
      </c>
      <c r="L26" s="59">
        <f>IFERROR(VLOOKUP($A26,md[[route]:[boarding_EV]],3,FALSE),"")</f>
        <v>774.82886199999996</v>
      </c>
      <c r="M26" s="59">
        <f>IFERROR(VLOOKUP($A26,md[[route]:[boarding_EV]],4,FALSE),"")</f>
        <v>1759.621907</v>
      </c>
      <c r="N26" s="59">
        <f>IFERROR(VLOOKUP($A26,md[[route]:[boarding_EV]],5,FALSE),"")</f>
        <v>1413.28495</v>
      </c>
      <c r="O26" s="59">
        <f>IFERROR(VLOOKUP($A26,md[[route]:[boarding_EV]],6,FALSE),"")</f>
        <v>806.53649900000005</v>
      </c>
      <c r="P26" s="59">
        <f t="shared" si="1"/>
        <v>4906.3989219999994</v>
      </c>
      <c r="Q26" s="290">
        <f t="shared" si="2"/>
        <v>0.19712355574858043</v>
      </c>
      <c r="R26" s="289">
        <f t="shared" si="3"/>
        <v>652716.82624720142</v>
      </c>
      <c r="T26" s="263"/>
    </row>
    <row r="27" spans="1:20" x14ac:dyDescent="0.25">
      <c r="A27" s="47">
        <v>2</v>
      </c>
      <c r="B27" s="47">
        <v>10</v>
      </c>
      <c r="C27" s="47" t="s">
        <v>0</v>
      </c>
      <c r="D27" s="47">
        <v>5</v>
      </c>
      <c r="E27" s="48">
        <f>VLOOKUP($A27,observed!$A$2:$I$138,5,FALSE)</f>
        <v>63.664679802955639</v>
      </c>
      <c r="F27" s="48">
        <f>VLOOKUP($A27,observed!$A$2:$I$138,6,FALSE)</f>
        <v>648.65559046731471</v>
      </c>
      <c r="G27" s="48">
        <f>VLOOKUP($A27,observed!$A$2:$I$138,7,FALSE)</f>
        <v>1428.1042575596216</v>
      </c>
      <c r="H27" s="48">
        <f>VLOOKUP($A27,observed!$A$2:$I$138,8,FALSE)</f>
        <v>872.06058816522579</v>
      </c>
      <c r="I27" s="48">
        <f>VLOOKUP($A27,observed!$A$2:$I$138,9,FALSE)</f>
        <v>346.07488400488273</v>
      </c>
      <c r="J27" s="48">
        <f t="shared" si="0"/>
        <v>3358.5600000000009</v>
      </c>
      <c r="K27" s="59">
        <f>IFERROR(VLOOKUP($A27,md[[route]:[boarding_EV]],2,FALSE),"")</f>
        <v>79.491659999999996</v>
      </c>
      <c r="L27" s="59">
        <f>IFERROR(VLOOKUP($A27,md[[route]:[boarding_EV]],3,FALSE),"")</f>
        <v>483.30946899999998</v>
      </c>
      <c r="M27" s="59">
        <f>IFERROR(VLOOKUP($A27,md[[route]:[boarding_EV]],4,FALSE),"")</f>
        <v>838.20710599999995</v>
      </c>
      <c r="N27" s="59">
        <f>IFERROR(VLOOKUP($A27,md[[route]:[boarding_EV]],5,FALSE),"")</f>
        <v>748.30210499999998</v>
      </c>
      <c r="O27" s="59">
        <f>IFERROR(VLOOKUP($A27,md[[route]:[boarding_EV]],6,FALSE),"")</f>
        <v>418.30136599999997</v>
      </c>
      <c r="P27" s="59">
        <f t="shared" si="1"/>
        <v>2567.6117060000001</v>
      </c>
      <c r="Q27" s="290">
        <f t="shared" si="2"/>
        <v>-0.23550220749368789</v>
      </c>
      <c r="R27" s="289">
        <f t="shared" si="3"/>
        <v>625599.20378151152</v>
      </c>
    </row>
    <row r="28" spans="1:20" x14ac:dyDescent="0.25">
      <c r="A28" s="47">
        <v>3</v>
      </c>
      <c r="B28" s="47">
        <v>10</v>
      </c>
      <c r="C28" s="47" t="s">
        <v>0</v>
      </c>
      <c r="D28" s="47">
        <v>5</v>
      </c>
      <c r="E28" s="48">
        <f>VLOOKUP($A28,observed!$A$2:$I$138,5,FALSE)</f>
        <v>96.849907711238714</v>
      </c>
      <c r="F28" s="48">
        <f>VLOOKUP($A28,observed!$A$2:$I$138,6,FALSE)</f>
        <v>926.2134861400807</v>
      </c>
      <c r="G28" s="48">
        <f>VLOOKUP($A28,observed!$A$2:$I$138,7,FALSE)</f>
        <v>2565.1600676871399</v>
      </c>
      <c r="H28" s="48">
        <f>VLOOKUP($A28,observed!$A$2:$I$138,8,FALSE)</f>
        <v>1206.9894645444056</v>
      </c>
      <c r="I28" s="48">
        <f>VLOOKUP($A28,observed!$A$2:$I$138,9,FALSE)</f>
        <v>427.65707391713602</v>
      </c>
      <c r="J28" s="48">
        <f t="shared" si="0"/>
        <v>5222.8700000000008</v>
      </c>
      <c r="K28" s="59">
        <f>IFERROR(VLOOKUP($A28,md[[route]:[boarding_EV]],2,FALSE),"")</f>
        <v>127.03397200000001</v>
      </c>
      <c r="L28" s="59">
        <f>IFERROR(VLOOKUP($A28,md[[route]:[boarding_EV]],3,FALSE),"")</f>
        <v>505.85256399999997</v>
      </c>
      <c r="M28" s="59">
        <f>IFERROR(VLOOKUP($A28,md[[route]:[boarding_EV]],4,FALSE),"")</f>
        <v>1022.226621</v>
      </c>
      <c r="N28" s="59">
        <f>IFERROR(VLOOKUP($A28,md[[route]:[boarding_EV]],5,FALSE),"")</f>
        <v>696.67235800000003</v>
      </c>
      <c r="O28" s="59">
        <f>IFERROR(VLOOKUP($A28,md[[route]:[boarding_EV]],6,FALSE),"")</f>
        <v>455.95483400000001</v>
      </c>
      <c r="P28" s="59">
        <f t="shared" si="1"/>
        <v>2807.7403490000002</v>
      </c>
      <c r="Q28" s="290">
        <f t="shared" si="2"/>
        <v>-0.46241427625041409</v>
      </c>
      <c r="R28" s="289">
        <f t="shared" si="3"/>
        <v>5832851.2311393851</v>
      </c>
    </row>
    <row r="29" spans="1:20" x14ac:dyDescent="0.25">
      <c r="A29" s="47">
        <v>4</v>
      </c>
      <c r="B29" s="47">
        <v>10</v>
      </c>
      <c r="C29" s="47" t="s">
        <v>0</v>
      </c>
      <c r="D29" s="47">
        <v>5</v>
      </c>
      <c r="E29" s="48">
        <f>VLOOKUP($A29,observed!$A$2:$I$138,5,FALSE)</f>
        <v>59.859999999999985</v>
      </c>
      <c r="F29" s="48">
        <f>VLOOKUP($A29,observed!$A$2:$I$138,6,FALSE)</f>
        <v>423.85219999999993</v>
      </c>
      <c r="G29" s="48">
        <f>VLOOKUP($A29,observed!$A$2:$I$138,7,FALSE)</f>
        <v>1000.7774054459557</v>
      </c>
      <c r="H29" s="48">
        <f>VLOOKUP($A29,observed!$A$2:$I$138,8,FALSE)</f>
        <v>645.91167839325715</v>
      </c>
      <c r="I29" s="48">
        <f>VLOOKUP($A29,observed!$A$2:$I$138,9,FALSE)</f>
        <v>265.21871616078698</v>
      </c>
      <c r="J29" s="48">
        <f t="shared" si="0"/>
        <v>2395.62</v>
      </c>
      <c r="K29" s="59">
        <f>IFERROR(VLOOKUP($A29,md[[route]:[boarding_EV]],2,FALSE),"")</f>
        <v>41.510517</v>
      </c>
      <c r="L29" s="59">
        <f>IFERROR(VLOOKUP($A29,md[[route]:[boarding_EV]],3,FALSE),"")</f>
        <v>146.923607</v>
      </c>
      <c r="M29" s="59">
        <f>IFERROR(VLOOKUP($A29,md[[route]:[boarding_EV]],4,FALSE),"")</f>
        <v>403.81258700000001</v>
      </c>
      <c r="N29" s="59">
        <f>IFERROR(VLOOKUP($A29,md[[route]:[boarding_EV]],5,FALSE),"")</f>
        <v>293.07685300000003</v>
      </c>
      <c r="O29" s="59">
        <f>IFERROR(VLOOKUP($A29,md[[route]:[boarding_EV]],6,FALSE),"")</f>
        <v>204.02490599999999</v>
      </c>
      <c r="P29" s="59">
        <f t="shared" si="1"/>
        <v>1089.3484699999999</v>
      </c>
      <c r="Q29" s="290">
        <f t="shared" si="2"/>
        <v>-0.54527493091558765</v>
      </c>
      <c r="R29" s="289">
        <f t="shared" si="3"/>
        <v>1706345.3100885409</v>
      </c>
    </row>
    <row r="30" spans="1:20" x14ac:dyDescent="0.25">
      <c r="A30" s="47">
        <v>5</v>
      </c>
      <c r="B30" s="47">
        <v>10</v>
      </c>
      <c r="C30" s="47" t="s">
        <v>0</v>
      </c>
      <c r="D30" s="47">
        <v>5</v>
      </c>
      <c r="E30" s="48">
        <f>VLOOKUP($A30,observed!$A$2:$I$138,5,FALSE)</f>
        <v>61.864736842105216</v>
      </c>
      <c r="F30" s="48">
        <f>VLOOKUP($A30,observed!$A$2:$I$138,6,FALSE)</f>
        <v>553.53676315789471</v>
      </c>
      <c r="G30" s="48">
        <f>VLOOKUP($A30,observed!$A$2:$I$138,7,FALSE)</f>
        <v>1241.8362591973225</v>
      </c>
      <c r="H30" s="48">
        <f>VLOOKUP($A30,observed!$A$2:$I$138,8,FALSE)</f>
        <v>670.28081223124946</v>
      </c>
      <c r="I30" s="48">
        <f>VLOOKUP($A30,observed!$A$2:$I$138,9,FALSE)</f>
        <v>198.771428571428</v>
      </c>
      <c r="J30" s="48">
        <f t="shared" si="0"/>
        <v>2726.2899999999995</v>
      </c>
      <c r="K30" s="59">
        <f>IFERROR(VLOOKUP($A30,md[[route]:[boarding_EV]],2,FALSE),"")</f>
        <v>50.322212</v>
      </c>
      <c r="L30" s="59">
        <f>IFERROR(VLOOKUP($A30,md[[route]:[boarding_EV]],3,FALSE),"")</f>
        <v>288.53101900000001</v>
      </c>
      <c r="M30" s="59">
        <f>IFERROR(VLOOKUP($A30,md[[route]:[boarding_EV]],4,FALSE),"")</f>
        <v>574.91911500000003</v>
      </c>
      <c r="N30" s="59">
        <f>IFERROR(VLOOKUP($A30,md[[route]:[boarding_EV]],5,FALSE),"")</f>
        <v>395.872367</v>
      </c>
      <c r="O30" s="59">
        <f>IFERROR(VLOOKUP($A30,md[[route]:[boarding_EV]],6,FALSE),"")</f>
        <v>237.32362599999999</v>
      </c>
      <c r="P30" s="59">
        <f t="shared" si="1"/>
        <v>1546.968339</v>
      </c>
      <c r="Q30" s="290">
        <f t="shared" si="2"/>
        <v>-0.43257381313066467</v>
      </c>
      <c r="R30" s="289">
        <f t="shared" si="3"/>
        <v>1390799.5801037978</v>
      </c>
    </row>
    <row r="31" spans="1:20" x14ac:dyDescent="0.25">
      <c r="A31" s="47">
        <v>6</v>
      </c>
      <c r="B31" s="47">
        <v>10</v>
      </c>
      <c r="C31" s="47" t="s">
        <v>0</v>
      </c>
      <c r="D31" s="47">
        <v>5</v>
      </c>
      <c r="E31" s="48">
        <f>VLOOKUP($A31,observed!$A$2:$I$138,5,FALSE)</f>
        <v>16.127894736842098</v>
      </c>
      <c r="F31" s="48">
        <f>VLOOKUP($A31,observed!$A$2:$I$138,6,FALSE)</f>
        <v>248.96827127106306</v>
      </c>
      <c r="G31" s="48">
        <f>VLOOKUP($A31,observed!$A$2:$I$138,7,FALSE)</f>
        <v>724.74351790014009</v>
      </c>
      <c r="H31" s="48">
        <f>VLOOKUP($A31,observed!$A$2:$I$138,8,FALSE)</f>
        <v>373.28031609195483</v>
      </c>
      <c r="I31" s="48">
        <f>VLOOKUP($A31,observed!$A$2:$I$138,9,FALSE)</f>
        <v>145.53</v>
      </c>
      <c r="J31" s="48">
        <f t="shared" si="0"/>
        <v>1508.65</v>
      </c>
      <c r="K31" s="59">
        <f>IFERROR(VLOOKUP($A31,md[[route]:[boarding_EV]],2,FALSE),"")</f>
        <v>80.204154000000003</v>
      </c>
      <c r="L31" s="59">
        <f>IFERROR(VLOOKUP($A31,md[[route]:[boarding_EV]],3,FALSE),"")</f>
        <v>477.69708000000003</v>
      </c>
      <c r="M31" s="59">
        <f>IFERROR(VLOOKUP($A31,md[[route]:[boarding_EV]],4,FALSE),"")</f>
        <v>992.33434</v>
      </c>
      <c r="N31" s="59">
        <f>IFERROR(VLOOKUP($A31,md[[route]:[boarding_EV]],5,FALSE),"")</f>
        <v>736.44446400000004</v>
      </c>
      <c r="O31" s="59">
        <f>IFERROR(VLOOKUP($A31,md[[route]:[boarding_EV]],6,FALSE),"")</f>
        <v>395.65986900000001</v>
      </c>
      <c r="P31" s="59">
        <f t="shared" si="1"/>
        <v>2682.339907</v>
      </c>
      <c r="Q31" s="290">
        <f t="shared" si="2"/>
        <v>0.77797362343817311</v>
      </c>
      <c r="R31" s="289">
        <f t="shared" si="3"/>
        <v>1377547.9977936684</v>
      </c>
    </row>
    <row r="32" spans="1:20" x14ac:dyDescent="0.25">
      <c r="A32" s="47">
        <v>7</v>
      </c>
      <c r="B32" s="47">
        <v>10</v>
      </c>
      <c r="C32" s="47" t="s">
        <v>0</v>
      </c>
      <c r="D32" s="47">
        <v>5</v>
      </c>
      <c r="E32" s="48">
        <f>VLOOKUP($A32,observed!$A$2:$I$138,5,FALSE)</f>
        <v>157.40996897479366</v>
      </c>
      <c r="F32" s="48">
        <f>VLOOKUP($A32,observed!$A$2:$I$138,6,FALSE)</f>
        <v>1401.2616608383953</v>
      </c>
      <c r="G32" s="48">
        <f>VLOOKUP($A32,observed!$A$2:$I$138,7,FALSE)</f>
        <v>3824.072408814844</v>
      </c>
      <c r="H32" s="48">
        <f>VLOOKUP($A32,observed!$A$2:$I$138,8,FALSE)</f>
        <v>2037.7329192089157</v>
      </c>
      <c r="I32" s="48">
        <f>VLOOKUP($A32,observed!$A$2:$I$138,9,FALSE)</f>
        <v>904.84542421772335</v>
      </c>
      <c r="J32" s="48">
        <f t="shared" si="0"/>
        <v>8325.3223820546718</v>
      </c>
      <c r="K32" s="59">
        <f>IFERROR(VLOOKUP($A32,md[[route]:[boarding_EV]],2,FALSE),"")</f>
        <v>262.66648199999997</v>
      </c>
      <c r="L32" s="59">
        <f>IFERROR(VLOOKUP($A32,md[[route]:[boarding_EV]],3,FALSE),"")</f>
        <v>1330.7456589999999</v>
      </c>
      <c r="M32" s="59">
        <f>IFERROR(VLOOKUP($A32,md[[route]:[boarding_EV]],4,FALSE),"")</f>
        <v>2517.3924390000002</v>
      </c>
      <c r="N32" s="59">
        <f>IFERROR(VLOOKUP($A32,md[[route]:[boarding_EV]],5,FALSE),"")</f>
        <v>2218.910363</v>
      </c>
      <c r="O32" s="59">
        <f>IFERROR(VLOOKUP($A32,md[[route]:[boarding_EV]],6,FALSE),"")</f>
        <v>1140.7041340000001</v>
      </c>
      <c r="P32" s="59">
        <f t="shared" si="1"/>
        <v>7470.4190770000005</v>
      </c>
      <c r="Q32" s="290">
        <f t="shared" si="2"/>
        <v>-0.10268711117991358</v>
      </c>
      <c r="R32" s="289">
        <f t="shared" si="3"/>
        <v>730859.6609934005</v>
      </c>
    </row>
    <row r="33" spans="1:18" x14ac:dyDescent="0.25">
      <c r="A33" s="47">
        <v>8</v>
      </c>
      <c r="B33" s="47">
        <v>10</v>
      </c>
      <c r="C33" s="47" t="s">
        <v>0</v>
      </c>
      <c r="D33" s="47">
        <v>5</v>
      </c>
      <c r="E33" s="48">
        <f>VLOOKUP($A33,observed!$A$2:$I$138,5,FALSE)</f>
        <v>26.192105263157906</v>
      </c>
      <c r="F33" s="48">
        <f>VLOOKUP($A33,observed!$A$2:$I$138,6,FALSE)</f>
        <v>176.51831140350876</v>
      </c>
      <c r="G33" s="48">
        <f>VLOOKUP($A33,observed!$A$2:$I$138,7,FALSE)</f>
        <v>602.57202777777684</v>
      </c>
      <c r="H33" s="48">
        <f>VLOOKUP($A33,observed!$A$2:$I$138,8,FALSE)</f>
        <v>342.68755555555691</v>
      </c>
      <c r="I33" s="48">
        <f>VLOOKUP($A33,observed!$A$2:$I$138,9,FALSE)</f>
        <v>162.24474619289305</v>
      </c>
      <c r="J33" s="48">
        <f t="shared" si="0"/>
        <v>1310.2147461928935</v>
      </c>
      <c r="K33" s="59">
        <f>IFERROR(VLOOKUP($A33,md[[route]:[boarding_EV]],2,FALSE),"")</f>
        <v>14.290800000000001</v>
      </c>
      <c r="L33" s="59">
        <f>IFERROR(VLOOKUP($A33,md[[route]:[boarding_EV]],3,FALSE),"")</f>
        <v>79.724562000000006</v>
      </c>
      <c r="M33" s="59">
        <f>IFERROR(VLOOKUP($A33,md[[route]:[boarding_EV]],4,FALSE),"")</f>
        <v>192.762373</v>
      </c>
      <c r="N33" s="59">
        <f>IFERROR(VLOOKUP($A33,md[[route]:[boarding_EV]],5,FALSE),"")</f>
        <v>168.18568999999999</v>
      </c>
      <c r="O33" s="59">
        <f>IFERROR(VLOOKUP($A33,md[[route]:[boarding_EV]],6,FALSE),"")</f>
        <v>92.498653000000004</v>
      </c>
      <c r="P33" s="59">
        <f t="shared" si="1"/>
        <v>547.46207800000002</v>
      </c>
      <c r="Q33" s="290">
        <f t="shared" si="2"/>
        <v>-0.58215851287678833</v>
      </c>
      <c r="R33" s="289">
        <f t="shared" si="3"/>
        <v>581791.63283537817</v>
      </c>
    </row>
    <row r="34" spans="1:18" x14ac:dyDescent="0.25">
      <c r="A34" s="47">
        <v>9</v>
      </c>
      <c r="B34" s="47">
        <v>10</v>
      </c>
      <c r="C34" s="47" t="s">
        <v>0</v>
      </c>
      <c r="D34" s="47">
        <v>5</v>
      </c>
      <c r="E34" s="48">
        <f>VLOOKUP($A34,observed!$A$2:$I$138,5,FALSE)</f>
        <v>5.1552941176470615</v>
      </c>
      <c r="F34" s="48">
        <f>VLOOKUP($A34,observed!$A$2:$I$138,6,FALSE)</f>
        <v>176.18846763783887</v>
      </c>
      <c r="G34" s="48">
        <f>VLOOKUP($A34,observed!$A$2:$I$138,7,FALSE)</f>
        <v>572.09288689316213</v>
      </c>
      <c r="H34" s="48">
        <f>VLOOKUP($A34,observed!$A$2:$I$138,8,FALSE)</f>
        <v>308.24077070619086</v>
      </c>
      <c r="I34" s="48">
        <f>VLOOKUP($A34,observed!$A$2:$I$138,9,FALSE)</f>
        <v>81.182580645161153</v>
      </c>
      <c r="J34" s="48">
        <f t="shared" si="0"/>
        <v>1142.8600000000001</v>
      </c>
      <c r="K34" s="59">
        <f>IFERROR(VLOOKUP($A34,md[[route]:[boarding_EV]],2,FALSE),"")</f>
        <v>18.176303999999998</v>
      </c>
      <c r="L34" s="59">
        <f>IFERROR(VLOOKUP($A34,md[[route]:[boarding_EV]],3,FALSE),"")</f>
        <v>110.615578</v>
      </c>
      <c r="M34" s="59">
        <f>IFERROR(VLOOKUP($A34,md[[route]:[boarding_EV]],4,FALSE),"")</f>
        <v>231.26101299999999</v>
      </c>
      <c r="N34" s="59">
        <f>IFERROR(VLOOKUP($A34,md[[route]:[boarding_EV]],5,FALSE),"")</f>
        <v>212.371059</v>
      </c>
      <c r="O34" s="59">
        <f>IFERROR(VLOOKUP($A34,md[[route]:[boarding_EV]],6,FALSE),"")</f>
        <v>120.16183599999999</v>
      </c>
      <c r="P34" s="59">
        <f t="shared" si="1"/>
        <v>692.58578999999997</v>
      </c>
      <c r="Q34" s="290">
        <f t="shared" si="2"/>
        <v>-0.39398894877762813</v>
      </c>
      <c r="R34" s="289">
        <f t="shared" si="3"/>
        <v>202746.86419112424</v>
      </c>
    </row>
    <row r="35" spans="1:18" x14ac:dyDescent="0.25">
      <c r="A35" s="47">
        <v>11</v>
      </c>
      <c r="B35" s="47">
        <v>10</v>
      </c>
      <c r="C35" s="47" t="s">
        <v>0</v>
      </c>
      <c r="D35" s="47">
        <v>5</v>
      </c>
      <c r="E35" s="48">
        <f>VLOOKUP($A35,observed!$A$2:$I$138,5,FALSE)</f>
        <v>170.32674941830811</v>
      </c>
      <c r="F35" s="48">
        <f>VLOOKUP($A35,observed!$A$2:$I$138,6,FALSE)</f>
        <v>1422.0867305425918</v>
      </c>
      <c r="G35" s="48">
        <f>VLOOKUP($A35,observed!$A$2:$I$138,7,FALSE)</f>
        <v>3185.1401625117578</v>
      </c>
      <c r="H35" s="48">
        <f>VLOOKUP($A35,observed!$A$2:$I$138,8,FALSE)</f>
        <v>1893.3271890100827</v>
      </c>
      <c r="I35" s="48">
        <f>VLOOKUP($A35,observed!$A$2:$I$138,9,FALSE)</f>
        <v>530.76916851726025</v>
      </c>
      <c r="J35" s="48">
        <f t="shared" si="0"/>
        <v>7201.6500000000005</v>
      </c>
      <c r="K35" s="59">
        <f>IFERROR(VLOOKUP($A35,md[[route]:[boarding_EV]],2,FALSE),"")</f>
        <v>218.38230300000001</v>
      </c>
      <c r="L35" s="59">
        <f>IFERROR(VLOOKUP($A35,md[[route]:[boarding_EV]],3,FALSE),"")</f>
        <v>1189.186391</v>
      </c>
      <c r="M35" s="59">
        <f>IFERROR(VLOOKUP($A35,md[[route]:[boarding_EV]],4,FALSE),"")</f>
        <v>2089.8442220000002</v>
      </c>
      <c r="N35" s="59">
        <f>IFERROR(VLOOKUP($A35,md[[route]:[boarding_EV]],5,FALSE),"")</f>
        <v>1679.1213949999999</v>
      </c>
      <c r="O35" s="59">
        <f>IFERROR(VLOOKUP($A35,md[[route]:[boarding_EV]],6,FALSE),"")</f>
        <v>967.46384899999998</v>
      </c>
      <c r="P35" s="59">
        <f t="shared" si="1"/>
        <v>6143.9981600000001</v>
      </c>
      <c r="Q35" s="290">
        <f t="shared" si="2"/>
        <v>-0.14686243291467937</v>
      </c>
      <c r="R35" s="289">
        <f t="shared" si="3"/>
        <v>1118627.4146553865</v>
      </c>
    </row>
    <row r="36" spans="1:18" x14ac:dyDescent="0.25">
      <c r="A36" s="47">
        <v>13</v>
      </c>
      <c r="B36" s="47">
        <v>10</v>
      </c>
      <c r="C36" s="47" t="s">
        <v>0</v>
      </c>
      <c r="D36" s="47">
        <v>5</v>
      </c>
      <c r="E36" s="48">
        <f>VLOOKUP($A36,observed!$A$2:$I$138,5,FALSE)</f>
        <v>161.53663793103448</v>
      </c>
      <c r="F36" s="48">
        <f>VLOOKUP($A36,observed!$A$2:$I$138,6,FALSE)</f>
        <v>1232.715820942751</v>
      </c>
      <c r="G36" s="48">
        <f>VLOOKUP($A36,observed!$A$2:$I$138,7,FALSE)</f>
        <v>2863.8941450630491</v>
      </c>
      <c r="H36" s="48">
        <f>VLOOKUP($A36,observed!$A$2:$I$138,8,FALSE)</f>
        <v>1550.9338724143392</v>
      </c>
      <c r="I36" s="48">
        <f>VLOOKUP($A36,observed!$A$2:$I$138,9,FALSE)</f>
        <v>491.74952364882728</v>
      </c>
      <c r="J36" s="48">
        <f t="shared" si="0"/>
        <v>6300.8300000000008</v>
      </c>
      <c r="K36" s="59">
        <f>IFERROR(VLOOKUP($A36,md[[route]:[boarding_EV]],2,FALSE),"")</f>
        <v>182.74007399999999</v>
      </c>
      <c r="L36" s="59">
        <f>IFERROR(VLOOKUP($A36,md[[route]:[boarding_EV]],3,FALSE),"")</f>
        <v>824.84550200000001</v>
      </c>
      <c r="M36" s="59">
        <f>IFERROR(VLOOKUP($A36,md[[route]:[boarding_EV]],4,FALSE),"")</f>
        <v>1767.0304020000001</v>
      </c>
      <c r="N36" s="59">
        <f>IFERROR(VLOOKUP($A36,md[[route]:[boarding_EV]],5,FALSE),"")</f>
        <v>1423.1983</v>
      </c>
      <c r="O36" s="59">
        <f>IFERROR(VLOOKUP($A36,md[[route]:[boarding_EV]],6,FALSE),"")</f>
        <v>823.99565800000005</v>
      </c>
      <c r="P36" s="59">
        <f t="shared" si="1"/>
        <v>5021.8099359999997</v>
      </c>
      <c r="Q36" s="290">
        <f t="shared" si="2"/>
        <v>-0.20299231434588794</v>
      </c>
      <c r="R36" s="289">
        <f t="shared" si="3"/>
        <v>1635892.3241145671</v>
      </c>
    </row>
    <row r="37" spans="1:18" x14ac:dyDescent="0.25">
      <c r="A37" s="47">
        <v>14</v>
      </c>
      <c r="B37" s="47">
        <v>10</v>
      </c>
      <c r="C37" s="47" t="s">
        <v>0</v>
      </c>
      <c r="D37" s="47">
        <v>5</v>
      </c>
      <c r="E37" s="48">
        <f>VLOOKUP($A37,observed!$A$2:$I$138,5,FALSE)</f>
        <v>2.3863636363636362</v>
      </c>
      <c r="F37" s="48">
        <f>VLOOKUP($A37,observed!$A$2:$I$138,6,FALSE)</f>
        <v>67.425693101225008</v>
      </c>
      <c r="G37" s="48">
        <f>VLOOKUP($A37,observed!$A$2:$I$138,7,FALSE)</f>
        <v>109.18794326241135</v>
      </c>
      <c r="H37" s="48">
        <f>VLOOKUP($A37,observed!$A$2:$I$138,8,FALSE)</f>
        <v>50</v>
      </c>
      <c r="I37" s="48">
        <f>VLOOKUP($A37,observed!$A$2:$I$138,9,FALSE)</f>
        <v>0</v>
      </c>
      <c r="J37" s="48">
        <f t="shared" si="0"/>
        <v>229</v>
      </c>
      <c r="K37" s="59">
        <f>IFERROR(VLOOKUP($A37,md[[route]:[boarding_EV]],2,FALSE),"")</f>
        <v>12.931895000000001</v>
      </c>
      <c r="L37" s="59">
        <f>IFERROR(VLOOKUP($A37,md[[route]:[boarding_EV]],3,FALSE),"")</f>
        <v>110.841072</v>
      </c>
      <c r="M37" s="59">
        <f>IFERROR(VLOOKUP($A37,md[[route]:[boarding_EV]],4,FALSE),"")</f>
        <v>201.78100000000001</v>
      </c>
      <c r="N37" s="59">
        <f>IFERROR(VLOOKUP($A37,md[[route]:[boarding_EV]],5,FALSE),"")</f>
        <v>183.263823</v>
      </c>
      <c r="O37" s="59">
        <f>IFERROR(VLOOKUP($A37,md[[route]:[boarding_EV]],6,FALSE),"")</f>
        <v>124.796712</v>
      </c>
      <c r="P37" s="59">
        <f t="shared" si="1"/>
        <v>633.61450200000002</v>
      </c>
      <c r="Q37" s="290">
        <f t="shared" si="2"/>
        <v>1.7668755545851531</v>
      </c>
      <c r="R37" s="289">
        <f t="shared" si="3"/>
        <v>163712.89522870802</v>
      </c>
    </row>
    <row r="38" spans="1:18" x14ac:dyDescent="0.25">
      <c r="A38" s="47">
        <v>18</v>
      </c>
      <c r="B38" s="47">
        <v>10</v>
      </c>
      <c r="C38" s="47" t="s">
        <v>0</v>
      </c>
      <c r="D38" s="47">
        <v>5</v>
      </c>
      <c r="E38" s="48">
        <f>VLOOKUP($A38,observed!$A$2:$I$138,5,FALSE)</f>
        <v>0</v>
      </c>
      <c r="F38" s="48">
        <f>VLOOKUP($A38,observed!$A$2:$I$138,6,FALSE)</f>
        <v>20</v>
      </c>
      <c r="G38" s="48">
        <f>VLOOKUP($A38,observed!$A$2:$I$138,7,FALSE)</f>
        <v>65.999999999999758</v>
      </c>
      <c r="H38" s="48">
        <f>VLOOKUP($A38,observed!$A$2:$I$138,8,FALSE)</f>
        <v>28.000000000000242</v>
      </c>
      <c r="I38" s="48">
        <f>VLOOKUP($A38,observed!$A$2:$I$138,9,FALSE)</f>
        <v>0</v>
      </c>
      <c r="J38" s="48">
        <f t="shared" si="0"/>
        <v>114</v>
      </c>
      <c r="K38" s="59">
        <f>IFERROR(VLOOKUP($A38,md[[route]:[boarding_EV]],2,FALSE),"")</f>
        <v>21.207291999999999</v>
      </c>
      <c r="L38" s="59">
        <f>IFERROR(VLOOKUP($A38,md[[route]:[boarding_EV]],3,FALSE),"")</f>
        <v>80.948364999999995</v>
      </c>
      <c r="M38" s="59">
        <f>IFERROR(VLOOKUP($A38,md[[route]:[boarding_EV]],4,FALSE),"")</f>
        <v>110.779973</v>
      </c>
      <c r="N38" s="59">
        <f>IFERROR(VLOOKUP($A38,md[[route]:[boarding_EV]],5,FALSE),"")</f>
        <v>79.528291999999993</v>
      </c>
      <c r="O38" s="59">
        <f>IFERROR(VLOOKUP($A38,md[[route]:[boarding_EV]],6,FALSE),"")</f>
        <v>64.175556</v>
      </c>
      <c r="P38" s="59">
        <f t="shared" si="1"/>
        <v>356.63947800000005</v>
      </c>
      <c r="Q38" s="290">
        <f t="shared" si="2"/>
        <v>2.1284164736842111</v>
      </c>
      <c r="R38" s="289">
        <f t="shared" si="3"/>
        <v>58873.916284112507</v>
      </c>
    </row>
    <row r="39" spans="1:18" x14ac:dyDescent="0.25">
      <c r="A39" s="47">
        <v>25</v>
      </c>
      <c r="B39" s="47">
        <v>10</v>
      </c>
      <c r="C39" s="47" t="s">
        <v>0</v>
      </c>
      <c r="D39" s="47">
        <v>5</v>
      </c>
      <c r="E39" s="48">
        <f>VLOOKUP($A39,observed!$A$2:$I$138,5,FALSE)</f>
        <v>0</v>
      </c>
      <c r="F39" s="48">
        <f>VLOOKUP($A39,observed!$A$2:$I$138,6,FALSE)</f>
        <v>49.15094339622641</v>
      </c>
      <c r="G39" s="48">
        <f>VLOOKUP($A39,observed!$A$2:$I$138,7,FALSE)</f>
        <v>216.82489693990772</v>
      </c>
      <c r="H39" s="48">
        <f>VLOOKUP($A39,observed!$A$2:$I$138,8,FALSE)</f>
        <v>79.082983193277698</v>
      </c>
      <c r="I39" s="48">
        <f>VLOOKUP($A39,observed!$A$2:$I$138,9,FALSE)</f>
        <v>0.94117647058817866</v>
      </c>
      <c r="J39" s="48">
        <f t="shared" si="0"/>
        <v>346</v>
      </c>
      <c r="K39" s="59">
        <f>IFERROR(VLOOKUP($A39,md[[route]:[boarding_EV]],2,FALSE),"")</f>
        <v>38.621395</v>
      </c>
      <c r="L39" s="59">
        <f>IFERROR(VLOOKUP($A39,md[[route]:[boarding_EV]],3,FALSE),"")</f>
        <v>237.26635899999999</v>
      </c>
      <c r="M39" s="59">
        <f>IFERROR(VLOOKUP($A39,md[[route]:[boarding_EV]],4,FALSE),"")</f>
        <v>451.37437999999997</v>
      </c>
      <c r="N39" s="59">
        <f>IFERROR(VLOOKUP($A39,md[[route]:[boarding_EV]],5,FALSE),"")</f>
        <v>388.91366900000003</v>
      </c>
      <c r="O39" s="59">
        <f>IFERROR(VLOOKUP($A39,md[[route]:[boarding_EV]],6,FALSE),"")</f>
        <v>211.73290299999999</v>
      </c>
      <c r="P39" s="59">
        <f t="shared" si="1"/>
        <v>1327.9087060000002</v>
      </c>
      <c r="Q39" s="290">
        <f t="shared" si="2"/>
        <v>2.8378864335260121</v>
      </c>
      <c r="R39" s="289">
        <f t="shared" si="3"/>
        <v>964144.70691859478</v>
      </c>
    </row>
    <row r="40" spans="1:18" x14ac:dyDescent="0.25">
      <c r="A40" s="47">
        <v>27</v>
      </c>
      <c r="B40" s="47">
        <v>10</v>
      </c>
      <c r="C40" s="47" t="s">
        <v>0</v>
      </c>
      <c r="D40" s="47">
        <v>5</v>
      </c>
      <c r="E40" s="48">
        <f>VLOOKUP($A40,observed!$A$2:$I$138,5,FALSE)</f>
        <v>8.789775171065493</v>
      </c>
      <c r="F40" s="48">
        <f>VLOOKUP($A40,observed!$A$2:$I$138,6,FALSE)</f>
        <v>219.3025325212422</v>
      </c>
      <c r="G40" s="48">
        <f>VLOOKUP($A40,observed!$A$2:$I$138,7,FALSE)</f>
        <v>511.62170649208866</v>
      </c>
      <c r="H40" s="48">
        <f>VLOOKUP($A40,observed!$A$2:$I$138,8,FALSE)</f>
        <v>276.04434295846113</v>
      </c>
      <c r="I40" s="48">
        <f>VLOOKUP($A40,observed!$A$2:$I$138,9,FALSE)</f>
        <v>51.26164285714249</v>
      </c>
      <c r="J40" s="48">
        <f t="shared" si="0"/>
        <v>1067.02</v>
      </c>
      <c r="K40" s="59">
        <f>IFERROR(VLOOKUP($A40,md[[route]:[boarding_EV]],2,FALSE),"")</f>
        <v>67.743601999999996</v>
      </c>
      <c r="L40" s="59">
        <f>IFERROR(VLOOKUP($A40,md[[route]:[boarding_EV]],3,FALSE),"")</f>
        <v>320.13649900000001</v>
      </c>
      <c r="M40" s="59">
        <f>IFERROR(VLOOKUP($A40,md[[route]:[boarding_EV]],4,FALSE),"")</f>
        <v>602.73022100000003</v>
      </c>
      <c r="N40" s="59">
        <f>IFERROR(VLOOKUP($A40,md[[route]:[boarding_EV]],5,FALSE),"")</f>
        <v>493.161091</v>
      </c>
      <c r="O40" s="59">
        <f>IFERROR(VLOOKUP($A40,md[[route]:[boarding_EV]],6,FALSE),"")</f>
        <v>279.91736400000002</v>
      </c>
      <c r="P40" s="59">
        <f t="shared" si="1"/>
        <v>1763.6887769999998</v>
      </c>
      <c r="Q40" s="290">
        <f t="shared" si="2"/>
        <v>0.65291070176753929</v>
      </c>
      <c r="R40" s="289">
        <f t="shared" si="3"/>
        <v>485347.38484667556</v>
      </c>
    </row>
    <row r="41" spans="1:18" x14ac:dyDescent="0.25">
      <c r="A41" s="47">
        <v>28</v>
      </c>
      <c r="B41" s="47">
        <v>10</v>
      </c>
      <c r="C41" s="47" t="s">
        <v>0</v>
      </c>
      <c r="D41" s="47">
        <v>5</v>
      </c>
      <c r="E41" s="48">
        <f>VLOOKUP($A41,observed!$A$2:$I$138,5,FALSE)</f>
        <v>18.127058823529417</v>
      </c>
      <c r="F41" s="48">
        <f>VLOOKUP($A41,observed!$A$2:$I$138,6,FALSE)</f>
        <v>300.64873065015479</v>
      </c>
      <c r="G41" s="48">
        <f>VLOOKUP($A41,observed!$A$2:$I$138,7,FALSE)</f>
        <v>459.79690617848843</v>
      </c>
      <c r="H41" s="48">
        <f>VLOOKUP($A41,observed!$A$2:$I$138,8,FALSE)</f>
        <v>287.22730434782784</v>
      </c>
      <c r="I41" s="48">
        <f>VLOOKUP($A41,observed!$A$2:$I$138,9,FALSE)</f>
        <v>100.56999999999952</v>
      </c>
      <c r="J41" s="48">
        <f t="shared" si="0"/>
        <v>1166.3699999999999</v>
      </c>
      <c r="K41" s="59">
        <f>IFERROR(VLOOKUP($A41,md[[route]:[boarding_EV]],2,FALSE),"")</f>
        <v>18.737064</v>
      </c>
      <c r="L41" s="59">
        <f>IFERROR(VLOOKUP($A41,md[[route]:[boarding_EV]],3,FALSE),"")</f>
        <v>182.70408699999999</v>
      </c>
      <c r="M41" s="59">
        <f>IFERROR(VLOOKUP($A41,md[[route]:[boarding_EV]],4,FALSE),"")</f>
        <v>237.638745</v>
      </c>
      <c r="N41" s="59">
        <f>IFERROR(VLOOKUP($A41,md[[route]:[boarding_EV]],5,FALSE),"")</f>
        <v>215.23405099999999</v>
      </c>
      <c r="O41" s="59">
        <f>IFERROR(VLOOKUP($A41,md[[route]:[boarding_EV]],6,FALSE),"")</f>
        <v>107.78004300000001</v>
      </c>
      <c r="P41" s="59">
        <f t="shared" si="1"/>
        <v>762.09398999999996</v>
      </c>
      <c r="Q41" s="290">
        <f t="shared" si="2"/>
        <v>-0.34661043236708755</v>
      </c>
      <c r="R41" s="289">
        <f t="shared" si="3"/>
        <v>163439.09226152004</v>
      </c>
    </row>
    <row r="42" spans="1:18" x14ac:dyDescent="0.25">
      <c r="A42" s="47">
        <v>30</v>
      </c>
      <c r="B42" s="47">
        <v>10</v>
      </c>
      <c r="C42" s="47" t="s">
        <v>0</v>
      </c>
      <c r="D42" s="47">
        <v>5</v>
      </c>
      <c r="E42" s="48">
        <f>VLOOKUP($A42,observed!$A$2:$I$138,5,FALSE)</f>
        <v>56.728661078549734</v>
      </c>
      <c r="F42" s="48">
        <f>VLOOKUP($A42,observed!$A$2:$I$138,6,FALSE)</f>
        <v>963.55981529939174</v>
      </c>
      <c r="G42" s="48">
        <f>VLOOKUP($A42,observed!$A$2:$I$138,7,FALSE)</f>
        <v>2192.2231445384541</v>
      </c>
      <c r="H42" s="48">
        <f>VLOOKUP($A42,observed!$A$2:$I$138,8,FALSE)</f>
        <v>1343.5618155318136</v>
      </c>
      <c r="I42" s="48">
        <f>VLOOKUP($A42,observed!$A$2:$I$138,9,FALSE)</f>
        <v>582.72301594605153</v>
      </c>
      <c r="J42" s="48">
        <f t="shared" si="0"/>
        <v>5138.796452394261</v>
      </c>
      <c r="K42" s="59">
        <f>IFERROR(VLOOKUP($A42,md[[route]:[boarding_EV]],2,FALSE),"")</f>
        <v>362.004795</v>
      </c>
      <c r="L42" s="59">
        <f>IFERROR(VLOOKUP($A42,md[[route]:[boarding_EV]],3,FALSE),"")</f>
        <v>1481.5806789999999</v>
      </c>
      <c r="M42" s="59">
        <f>IFERROR(VLOOKUP($A42,md[[route]:[boarding_EV]],4,FALSE),"")</f>
        <v>2271.7678190000001</v>
      </c>
      <c r="N42" s="59">
        <f>IFERROR(VLOOKUP($A42,md[[route]:[boarding_EV]],5,FALSE),"")</f>
        <v>2068.6065130000002</v>
      </c>
      <c r="O42" s="59">
        <f>IFERROR(VLOOKUP($A42,md[[route]:[boarding_EV]],6,FALSE),"")</f>
        <v>1080.642793</v>
      </c>
      <c r="P42" s="59">
        <f t="shared" si="1"/>
        <v>7264.6025990000007</v>
      </c>
      <c r="Q42" s="290">
        <f t="shared" si="2"/>
        <v>0.41367782637416717</v>
      </c>
      <c r="R42" s="289">
        <f t="shared" si="3"/>
        <v>4519051.7729467442</v>
      </c>
    </row>
    <row r="43" spans="1:18" x14ac:dyDescent="0.25">
      <c r="A43" s="47">
        <v>31</v>
      </c>
      <c r="B43" s="47">
        <v>10</v>
      </c>
      <c r="C43" s="47" t="s">
        <v>0</v>
      </c>
      <c r="D43" s="47">
        <v>5</v>
      </c>
      <c r="E43" s="48">
        <f>VLOOKUP($A43,observed!$A$2:$I$138,5,FALSE)</f>
        <v>6.9596296296296316</v>
      </c>
      <c r="F43" s="48">
        <f>VLOOKUP($A43,observed!$A$2:$I$138,6,FALSE)</f>
        <v>168.46972520908</v>
      </c>
      <c r="G43" s="48">
        <f>VLOOKUP($A43,observed!$A$2:$I$138,7,FALSE)</f>
        <v>59.958457661289764</v>
      </c>
      <c r="H43" s="48">
        <f>VLOOKUP($A43,observed!$A$2:$I$138,8,FALSE)</f>
        <v>129.57089717742002</v>
      </c>
      <c r="I43" s="48">
        <f>VLOOKUP($A43,observed!$A$2:$I$138,9,FALSE)</f>
        <v>0.20129032258054869</v>
      </c>
      <c r="J43" s="48">
        <f t="shared" si="0"/>
        <v>365.15999999999997</v>
      </c>
      <c r="K43" s="59">
        <f>IFERROR(VLOOKUP($A43,md[[route]:[boarding_EV]],2,FALSE),"")</f>
        <v>0</v>
      </c>
      <c r="L43" s="59">
        <f>IFERROR(VLOOKUP($A43,md[[route]:[boarding_EV]],3,FALSE),"")</f>
        <v>288.24662999999998</v>
      </c>
      <c r="M43" s="59">
        <f>IFERROR(VLOOKUP($A43,md[[route]:[boarding_EV]],4,FALSE),"")</f>
        <v>0</v>
      </c>
      <c r="N43" s="59">
        <f>IFERROR(VLOOKUP($A43,md[[route]:[boarding_EV]],5,FALSE),"")</f>
        <v>441.34868999999998</v>
      </c>
      <c r="O43" s="59">
        <f>IFERROR(VLOOKUP($A43,md[[route]:[boarding_EV]],6,FALSE),"")</f>
        <v>0</v>
      </c>
      <c r="P43" s="59">
        <f t="shared" si="1"/>
        <v>729.5953199999999</v>
      </c>
      <c r="Q43" s="290">
        <f t="shared" si="2"/>
        <v>0.9980154452842589</v>
      </c>
      <c r="R43" s="289">
        <f t="shared" si="3"/>
        <v>132813.10246350235</v>
      </c>
    </row>
    <row r="44" spans="1:18" x14ac:dyDescent="0.25">
      <c r="A44" s="47">
        <v>35</v>
      </c>
      <c r="B44" s="47">
        <v>10</v>
      </c>
      <c r="C44" s="47" t="s">
        <v>0</v>
      </c>
      <c r="D44" s="47">
        <v>5</v>
      </c>
      <c r="E44" s="48">
        <f>VLOOKUP($A44,observed!$A$2:$I$138,5,FALSE)</f>
        <v>23.456956521739116</v>
      </c>
      <c r="F44" s="48">
        <f>VLOOKUP($A44,observed!$A$2:$I$138,6,FALSE)</f>
        <v>254.4661204013378</v>
      </c>
      <c r="G44" s="48">
        <f>VLOOKUP($A44,observed!$A$2:$I$138,7,FALSE)</f>
        <v>614.11868444055824</v>
      </c>
      <c r="H44" s="48">
        <f>VLOOKUP($A44,observed!$A$2:$I$138,8,FALSE)</f>
        <v>474.07203173981401</v>
      </c>
      <c r="I44" s="48">
        <f>VLOOKUP($A44,observed!$A$2:$I$138,9,FALSE)</f>
        <v>190.51620689655104</v>
      </c>
      <c r="J44" s="48">
        <f t="shared" si="0"/>
        <v>1556.63</v>
      </c>
      <c r="K44" s="59">
        <f>IFERROR(VLOOKUP($A44,md[[route]:[boarding_EV]],2,FALSE),"")</f>
        <v>28.181508999999998</v>
      </c>
      <c r="L44" s="59">
        <f>IFERROR(VLOOKUP($A44,md[[route]:[boarding_EV]],3,FALSE),"")</f>
        <v>135.45627099999999</v>
      </c>
      <c r="M44" s="59">
        <f>IFERROR(VLOOKUP($A44,md[[route]:[boarding_EV]],4,FALSE),"")</f>
        <v>260.38767100000001</v>
      </c>
      <c r="N44" s="59">
        <f>IFERROR(VLOOKUP($A44,md[[route]:[boarding_EV]],5,FALSE),"")</f>
        <v>323.83864199999999</v>
      </c>
      <c r="O44" s="59">
        <f>IFERROR(VLOOKUP($A44,md[[route]:[boarding_EV]],6,FALSE),"")</f>
        <v>120.64332</v>
      </c>
      <c r="P44" s="59">
        <f t="shared" si="1"/>
        <v>868.50741299999993</v>
      </c>
      <c r="Q44" s="290">
        <f t="shared" si="2"/>
        <v>-0.44205918362102758</v>
      </c>
      <c r="R44" s="289">
        <f t="shared" si="3"/>
        <v>473512.69473957282</v>
      </c>
    </row>
    <row r="45" spans="1:18" x14ac:dyDescent="0.25">
      <c r="A45" s="47">
        <v>41</v>
      </c>
      <c r="B45" s="47">
        <v>10</v>
      </c>
      <c r="C45" s="47" t="s">
        <v>0</v>
      </c>
      <c r="D45" s="47">
        <v>5</v>
      </c>
      <c r="E45" s="48">
        <f>VLOOKUP($A45,observed!$A$2:$I$138,5,FALSE)</f>
        <v>44.040083333333335</v>
      </c>
      <c r="F45" s="48">
        <f>VLOOKUP($A45,observed!$A$2:$I$138,6,FALSE)</f>
        <v>973.19463157349924</v>
      </c>
      <c r="G45" s="48">
        <f>VLOOKUP($A45,observed!$A$2:$I$138,7,FALSE)</f>
        <v>2056.0790682586053</v>
      </c>
      <c r="H45" s="48">
        <f>VLOOKUP($A45,observed!$A$2:$I$138,8,FALSE)</f>
        <v>1118.4643070989091</v>
      </c>
      <c r="I45" s="48">
        <f>VLOOKUP($A45,observed!$A$2:$I$138,9,FALSE)</f>
        <v>507.86190973565311</v>
      </c>
      <c r="J45" s="48">
        <f t="shared" si="0"/>
        <v>4699.6399999999994</v>
      </c>
      <c r="K45" s="59">
        <f>IFERROR(VLOOKUP($A45,md[[route]:[boarding_EV]],2,FALSE),"")</f>
        <v>159.76442599999999</v>
      </c>
      <c r="L45" s="59">
        <f>IFERROR(VLOOKUP($A45,md[[route]:[boarding_EV]],3,FALSE),"")</f>
        <v>960.00046099999997</v>
      </c>
      <c r="M45" s="59">
        <f>IFERROR(VLOOKUP($A45,md[[route]:[boarding_EV]],4,FALSE),"")</f>
        <v>1798.9167749999999</v>
      </c>
      <c r="N45" s="59">
        <f>IFERROR(VLOOKUP($A45,md[[route]:[boarding_EV]],5,FALSE),"")</f>
        <v>1390.311414</v>
      </c>
      <c r="O45" s="59">
        <f>IFERROR(VLOOKUP($A45,md[[route]:[boarding_EV]],6,FALSE),"")</f>
        <v>753.90103299999998</v>
      </c>
      <c r="P45" s="59">
        <f t="shared" si="1"/>
        <v>5062.8941089999998</v>
      </c>
      <c r="Q45" s="290">
        <f t="shared" si="2"/>
        <v>7.7294028691559546E-2</v>
      </c>
      <c r="R45" s="289">
        <f t="shared" si="3"/>
        <v>131953.5477053842</v>
      </c>
    </row>
    <row r="46" spans="1:18" x14ac:dyDescent="0.25">
      <c r="A46" s="47">
        <v>44</v>
      </c>
      <c r="B46" s="47">
        <v>10</v>
      </c>
      <c r="C46" s="47" t="s">
        <v>0</v>
      </c>
      <c r="D46" s="47">
        <v>5</v>
      </c>
      <c r="E46" s="48">
        <f>VLOOKUP($A46,observed!$A$2:$I$138,5,FALSE)</f>
        <v>56.260999999999981</v>
      </c>
      <c r="F46" s="48">
        <f>VLOOKUP($A46,observed!$A$2:$I$138,6,FALSE)</f>
        <v>812.16124424506165</v>
      </c>
      <c r="G46" s="48">
        <f>VLOOKUP($A46,observed!$A$2:$I$138,7,FALSE)</f>
        <v>1777.6127620635466</v>
      </c>
      <c r="H46" s="48">
        <f>VLOOKUP($A46,observed!$A$2:$I$138,8,FALSE)</f>
        <v>998.00520142086179</v>
      </c>
      <c r="I46" s="48">
        <f>VLOOKUP($A46,observed!$A$2:$I$138,9,FALSE)</f>
        <v>343.86979227053058</v>
      </c>
      <c r="J46" s="48">
        <f t="shared" si="0"/>
        <v>3987.9100000000003</v>
      </c>
      <c r="K46" s="59">
        <f>IFERROR(VLOOKUP($A46,md[[route]:[boarding_EV]],2,FALSE),"")</f>
        <v>134.10689500000001</v>
      </c>
      <c r="L46" s="59">
        <f>IFERROR(VLOOKUP($A46,md[[route]:[boarding_EV]],3,FALSE),"")</f>
        <v>1136.079074</v>
      </c>
      <c r="M46" s="59">
        <f>IFERROR(VLOOKUP($A46,md[[route]:[boarding_EV]],4,FALSE),"")</f>
        <v>1997.723009</v>
      </c>
      <c r="N46" s="59">
        <f>IFERROR(VLOOKUP($A46,md[[route]:[boarding_EV]],5,FALSE),"")</f>
        <v>1369.9365600000001</v>
      </c>
      <c r="O46" s="59">
        <f>IFERROR(VLOOKUP($A46,md[[route]:[boarding_EV]],6,FALSE),"")</f>
        <v>767.90404699999999</v>
      </c>
      <c r="P46" s="59">
        <f t="shared" si="1"/>
        <v>5405.7495850000005</v>
      </c>
      <c r="Q46" s="290">
        <f t="shared" si="2"/>
        <v>0.35553449927405589</v>
      </c>
      <c r="R46" s="289">
        <f t="shared" si="3"/>
        <v>2010269.0887929727</v>
      </c>
    </row>
    <row r="47" spans="1:18" x14ac:dyDescent="0.25">
      <c r="A47" s="47">
        <v>83</v>
      </c>
      <c r="B47" s="47">
        <v>10</v>
      </c>
      <c r="C47" s="47" t="s">
        <v>0</v>
      </c>
      <c r="D47" s="47">
        <v>5</v>
      </c>
      <c r="E47" s="48">
        <f>VLOOKUP($A47,observed!$A$2:$I$138,5,FALSE)</f>
        <v>0</v>
      </c>
      <c r="F47" s="48">
        <f>VLOOKUP($A47,observed!$A$2:$I$138,6,FALSE)</f>
        <v>39</v>
      </c>
      <c r="G47" s="48">
        <f>VLOOKUP($A47,observed!$A$2:$I$138,7,FALSE)</f>
        <v>85.66406249999973</v>
      </c>
      <c r="H47" s="48">
        <f>VLOOKUP($A47,observed!$A$2:$I$138,8,FALSE)</f>
        <v>44.64062500000027</v>
      </c>
      <c r="I47" s="48">
        <f>VLOOKUP($A47,observed!$A$2:$I$138,9,FALSE)</f>
        <v>0</v>
      </c>
      <c r="J47" s="48">
        <f t="shared" si="0"/>
        <v>169.3046875</v>
      </c>
      <c r="K47" s="59">
        <f>IFERROR(VLOOKUP($A47,md[[route]:[boarding_EV]],2,FALSE),"")</f>
        <v>5.6099690000000004</v>
      </c>
      <c r="L47" s="59">
        <f>IFERROR(VLOOKUP($A47,md[[route]:[boarding_EV]],3,FALSE),"")</f>
        <v>41.43242</v>
      </c>
      <c r="M47" s="59">
        <f>IFERROR(VLOOKUP($A47,md[[route]:[boarding_EV]],4,FALSE),"")</f>
        <v>49.890225000000001</v>
      </c>
      <c r="N47" s="59">
        <f>IFERROR(VLOOKUP($A47,md[[route]:[boarding_EV]],5,FALSE),"")</f>
        <v>37.668042999999997</v>
      </c>
      <c r="O47" s="59">
        <f>IFERROR(VLOOKUP($A47,md[[route]:[boarding_EV]],6,FALSE),"")</f>
        <v>21.903926999999999</v>
      </c>
      <c r="P47" s="59">
        <f t="shared" si="1"/>
        <v>156.50458400000002</v>
      </c>
      <c r="Q47" s="290">
        <f t="shared" si="2"/>
        <v>-7.5603952194176371E-2</v>
      </c>
      <c r="R47" s="289">
        <f t="shared" si="3"/>
        <v>163.84264961071167</v>
      </c>
    </row>
    <row r="48" spans="1:18" x14ac:dyDescent="0.25">
      <c r="A48" s="47">
        <v>84</v>
      </c>
      <c r="B48" s="47">
        <v>10</v>
      </c>
      <c r="C48" s="47" t="s">
        <v>0</v>
      </c>
      <c r="D48" s="47">
        <v>5</v>
      </c>
      <c r="E48" s="48">
        <f>VLOOKUP($A48,observed!$A$2:$I$138,5,FALSE)</f>
        <v>0</v>
      </c>
      <c r="F48" s="48">
        <f>VLOOKUP($A48,observed!$A$2:$I$138,6,FALSE)</f>
        <v>41</v>
      </c>
      <c r="G48" s="48">
        <f>VLOOKUP($A48,observed!$A$2:$I$138,7,FALSE)</f>
        <v>60.681037632444117</v>
      </c>
      <c r="H48" s="48">
        <f>VLOOKUP($A48,observed!$A$2:$I$138,8,FALSE)</f>
        <v>34.579466569236551</v>
      </c>
      <c r="I48" s="48">
        <f>VLOOKUP($A48,observed!$A$2:$I$138,9,FALSE)</f>
        <v>0</v>
      </c>
      <c r="J48" s="48">
        <f t="shared" si="0"/>
        <v>136.26050420168067</v>
      </c>
      <c r="K48" s="59">
        <f>IFERROR(VLOOKUP($A48,md[[route]:[boarding_EV]],2,FALSE),"")</f>
        <v>2</v>
      </c>
      <c r="L48" s="59">
        <f>IFERROR(VLOOKUP($A48,md[[route]:[boarding_EV]],3,FALSE),"")</f>
        <v>37</v>
      </c>
      <c r="M48" s="59">
        <f>IFERROR(VLOOKUP($A48,md[[route]:[boarding_EV]],4,FALSE),"")</f>
        <v>91</v>
      </c>
      <c r="N48" s="59">
        <f>IFERROR(VLOOKUP($A48,md[[route]:[boarding_EV]],5,FALSE),"")</f>
        <v>57</v>
      </c>
      <c r="O48" s="59">
        <f>IFERROR(VLOOKUP($A48,md[[route]:[boarding_EV]],6,FALSE),"")</f>
        <v>39</v>
      </c>
      <c r="P48" s="59">
        <f t="shared" si="1"/>
        <v>226</v>
      </c>
      <c r="Q48" s="290">
        <f t="shared" si="2"/>
        <v>0.65858772741288929</v>
      </c>
      <c r="R48" s="289">
        <f t="shared" si="3"/>
        <v>8053.1771061365716</v>
      </c>
    </row>
    <row r="49" spans="1:18" x14ac:dyDescent="0.25">
      <c r="A49" s="47">
        <v>88</v>
      </c>
      <c r="B49" s="47">
        <v>10</v>
      </c>
      <c r="C49" s="47" t="s">
        <v>0</v>
      </c>
      <c r="D49" s="47">
        <v>5</v>
      </c>
      <c r="E49" s="48">
        <f>VLOOKUP($A49,observed!$A$2:$I$138,5,FALSE)</f>
        <v>1.1111111111111112</v>
      </c>
      <c r="F49" s="48">
        <f>VLOOKUP($A49,observed!$A$2:$I$138,6,FALSE)</f>
        <v>79.388888888888886</v>
      </c>
      <c r="G49" s="48">
        <f>VLOOKUP($A49,observed!$A$2:$I$138,7,FALSE)</f>
        <v>123.54054054054012</v>
      </c>
      <c r="H49" s="48">
        <f>VLOOKUP($A49,observed!$A$2:$I$138,8,FALSE)</f>
        <v>83.916666666667183</v>
      </c>
      <c r="I49" s="48">
        <f>VLOOKUP($A49,observed!$A$2:$I$138,9,FALSE)</f>
        <v>38.556306306306205</v>
      </c>
      <c r="J49" s="48">
        <f t="shared" si="0"/>
        <v>326.51351351351354</v>
      </c>
      <c r="K49" s="59">
        <f>IFERROR(VLOOKUP($A49,md[[route]:[boarding_EV]],2,FALSE),"")</f>
        <v>21.371098</v>
      </c>
      <c r="L49" s="59">
        <f>IFERROR(VLOOKUP($A49,md[[route]:[boarding_EV]],3,FALSE),"")</f>
        <v>93.574664999999996</v>
      </c>
      <c r="M49" s="59">
        <f>IFERROR(VLOOKUP($A49,md[[route]:[boarding_EV]],4,FALSE),"")</f>
        <v>115.683938</v>
      </c>
      <c r="N49" s="59">
        <f>IFERROR(VLOOKUP($A49,md[[route]:[boarding_EV]],5,FALSE),"")</f>
        <v>90.912495000000007</v>
      </c>
      <c r="O49" s="59">
        <f>IFERROR(VLOOKUP($A49,md[[route]:[boarding_EV]],6,FALSE),"")</f>
        <v>62.831485999999998</v>
      </c>
      <c r="P49" s="59">
        <f t="shared" si="1"/>
        <v>384.37368199999997</v>
      </c>
      <c r="Q49" s="290">
        <f t="shared" si="2"/>
        <v>0.17720604536048312</v>
      </c>
      <c r="R49" s="289">
        <f t="shared" si="3"/>
        <v>3347.7990972845973</v>
      </c>
    </row>
    <row r="50" spans="1:18" x14ac:dyDescent="0.25">
      <c r="A50" s="47">
        <v>101</v>
      </c>
      <c r="B50" s="47">
        <v>10</v>
      </c>
      <c r="C50" s="47" t="s">
        <v>0</v>
      </c>
      <c r="D50" s="47">
        <v>5</v>
      </c>
      <c r="E50" s="48">
        <f>VLOOKUP($A50,observed!$A$2:$I$138,5,FALSE)</f>
        <v>36.427533577533588</v>
      </c>
      <c r="F50" s="48">
        <f>VLOOKUP($A50,observed!$A$2:$I$138,6,FALSE)</f>
        <v>485.09649594807354</v>
      </c>
      <c r="G50" s="48">
        <f>VLOOKUP($A50,observed!$A$2:$I$138,7,FALSE)</f>
        <v>1085.9374880942792</v>
      </c>
      <c r="H50" s="48">
        <f>VLOOKUP($A50,observed!$A$2:$I$138,8,FALSE)</f>
        <v>586.56217257419087</v>
      </c>
      <c r="I50" s="48">
        <f>VLOOKUP($A50,observed!$A$2:$I$138,9,FALSE)</f>
        <v>216.09673815632721</v>
      </c>
      <c r="J50" s="48">
        <f t="shared" si="0"/>
        <v>2410.1204283504044</v>
      </c>
      <c r="K50" s="59">
        <f>IFERROR(VLOOKUP($A50,md[[route]:[boarding_EV]],2,FALSE),"")</f>
        <v>197.82924199999999</v>
      </c>
      <c r="L50" s="59">
        <f>IFERROR(VLOOKUP($A50,md[[route]:[boarding_EV]],3,FALSE),"")</f>
        <v>603.11623099999997</v>
      </c>
      <c r="M50" s="59">
        <f>IFERROR(VLOOKUP($A50,md[[route]:[boarding_EV]],4,FALSE),"")</f>
        <v>958.22043099999996</v>
      </c>
      <c r="N50" s="59">
        <f>IFERROR(VLOOKUP($A50,md[[route]:[boarding_EV]],5,FALSE),"")</f>
        <v>1064.0671689999999</v>
      </c>
      <c r="O50" s="59">
        <f>IFERROR(VLOOKUP($A50,md[[route]:[boarding_EV]],6,FALSE),"")</f>
        <v>524.61037299999998</v>
      </c>
      <c r="P50" s="59">
        <f t="shared" si="1"/>
        <v>3347.8434459999999</v>
      </c>
      <c r="Q50" s="290">
        <f t="shared" si="2"/>
        <v>0.38907724552644685</v>
      </c>
      <c r="R50" s="289">
        <f t="shared" si="3"/>
        <v>879324.45782986353</v>
      </c>
    </row>
    <row r="51" spans="1:18" x14ac:dyDescent="0.25">
      <c r="A51" s="47">
        <v>105</v>
      </c>
      <c r="B51" s="47">
        <v>10</v>
      </c>
      <c r="C51" s="47" t="s">
        <v>0</v>
      </c>
      <c r="D51" s="47">
        <v>5</v>
      </c>
      <c r="E51" s="48">
        <f>VLOOKUP($A51,observed!$A$2:$I$138,5,FALSE)</f>
        <v>26.999765291607392</v>
      </c>
      <c r="F51" s="48">
        <f>VLOOKUP($A51,observed!$A$2:$I$138,6,FALSE)</f>
        <v>257.41255469295299</v>
      </c>
      <c r="G51" s="48">
        <f>VLOOKUP($A51,observed!$A$2:$I$138,7,FALSE)</f>
        <v>523.23020419739009</v>
      </c>
      <c r="H51" s="48">
        <f>VLOOKUP($A51,observed!$A$2:$I$138,8,FALSE)</f>
        <v>241.49221378069501</v>
      </c>
      <c r="I51" s="48">
        <f>VLOOKUP($A51,observed!$A$2:$I$138,9,FALSE)</f>
        <v>79.992000626566025</v>
      </c>
      <c r="J51" s="48">
        <f t="shared" si="0"/>
        <v>1129.1267385892115</v>
      </c>
      <c r="K51" s="59">
        <f>IFERROR(VLOOKUP($A51,md[[route]:[boarding_EV]],2,FALSE),"")</f>
        <v>48.585841000000002</v>
      </c>
      <c r="L51" s="59">
        <f>IFERROR(VLOOKUP($A51,md[[route]:[boarding_EV]],3,FALSE),"")</f>
        <v>234.31177199999999</v>
      </c>
      <c r="M51" s="59">
        <f>IFERROR(VLOOKUP($A51,md[[route]:[boarding_EV]],4,FALSE),"")</f>
        <v>531.78320900000006</v>
      </c>
      <c r="N51" s="59">
        <f>IFERROR(VLOOKUP($A51,md[[route]:[boarding_EV]],5,FALSE),"")</f>
        <v>351.31557099999998</v>
      </c>
      <c r="O51" s="59">
        <f>IFERROR(VLOOKUP($A51,md[[route]:[boarding_EV]],6,FALSE),"")</f>
        <v>216.55853500000001</v>
      </c>
      <c r="P51" s="59">
        <f t="shared" si="1"/>
        <v>1382.554928</v>
      </c>
      <c r="Q51" s="290">
        <f t="shared" si="2"/>
        <v>0.22444618548971262</v>
      </c>
      <c r="R51" s="289">
        <f t="shared" si="3"/>
        <v>64225.847188030486</v>
      </c>
    </row>
    <row r="52" spans="1:18" x14ac:dyDescent="0.25">
      <c r="A52" s="47">
        <v>115</v>
      </c>
      <c r="B52" s="47">
        <v>10</v>
      </c>
      <c r="C52" s="47" t="s">
        <v>0</v>
      </c>
      <c r="D52" s="47">
        <v>5</v>
      </c>
      <c r="E52" s="48">
        <f>VLOOKUP($A52,observed!$A$2:$I$138,5,FALSE)</f>
        <v>0.83799999999999564</v>
      </c>
      <c r="F52" s="48">
        <f>VLOOKUP($A52,observed!$A$2:$I$138,6,FALSE)</f>
        <v>225.73798669623062</v>
      </c>
      <c r="G52" s="48">
        <f>VLOOKUP($A52,observed!$A$2:$I$138,7,FALSE)</f>
        <v>541.02515471791014</v>
      </c>
      <c r="H52" s="48">
        <f>VLOOKUP($A52,observed!$A$2:$I$138,8,FALSE)</f>
        <v>218.34600144300236</v>
      </c>
      <c r="I52" s="48">
        <f>VLOOKUP($A52,observed!$A$2:$I$138,9,FALSE)</f>
        <v>66.892857142856926</v>
      </c>
      <c r="J52" s="48">
        <f t="shared" si="0"/>
        <v>1052.8400000000001</v>
      </c>
      <c r="K52" s="59">
        <f>IFERROR(VLOOKUP($A52,md[[route]:[boarding_EV]],2,FALSE),"")</f>
        <v>48.162328000000002</v>
      </c>
      <c r="L52" s="59">
        <f>IFERROR(VLOOKUP($A52,md[[route]:[boarding_EV]],3,FALSE),"")</f>
        <v>478.64643999999998</v>
      </c>
      <c r="M52" s="59">
        <f>IFERROR(VLOOKUP($A52,md[[route]:[boarding_EV]],4,FALSE),"")</f>
        <v>887.70364400000005</v>
      </c>
      <c r="N52" s="59">
        <f>IFERROR(VLOOKUP($A52,md[[route]:[boarding_EV]],5,FALSE),"")</f>
        <v>691.37731499999995</v>
      </c>
      <c r="O52" s="59">
        <f>IFERROR(VLOOKUP($A52,md[[route]:[boarding_EV]],6,FALSE),"")</f>
        <v>450.58495799999997</v>
      </c>
      <c r="P52" s="59">
        <f t="shared" si="1"/>
        <v>2556.4746849999997</v>
      </c>
      <c r="Q52" s="290">
        <f t="shared" si="2"/>
        <v>1.4281701730557343</v>
      </c>
      <c r="R52" s="289">
        <f t="shared" si="3"/>
        <v>2260917.265935048</v>
      </c>
    </row>
    <row r="53" spans="1:18" x14ac:dyDescent="0.25">
      <c r="A53" s="47">
        <v>302</v>
      </c>
      <c r="B53" s="47">
        <v>10</v>
      </c>
      <c r="C53" s="47" t="s">
        <v>0</v>
      </c>
      <c r="D53" s="47">
        <v>5</v>
      </c>
      <c r="E53" s="48">
        <f>VLOOKUP($A53,observed!$A$2:$I$138,5,FALSE)</f>
        <v>74.094693877551009</v>
      </c>
      <c r="F53" s="48">
        <f>VLOOKUP($A53,observed!$A$2:$I$138,6,FALSE)</f>
        <v>458.56606083943024</v>
      </c>
      <c r="G53" s="48">
        <f>VLOOKUP($A53,observed!$A$2:$I$138,7,FALSE)</f>
        <v>1192.7098103600165</v>
      </c>
      <c r="H53" s="48">
        <f>VLOOKUP($A53,observed!$A$2:$I$138,8,FALSE)</f>
        <v>615.4480686250198</v>
      </c>
      <c r="I53" s="48">
        <f>VLOOKUP($A53,observed!$A$2:$I$138,9,FALSE)</f>
        <v>293.42136629798239</v>
      </c>
      <c r="J53" s="48">
        <f t="shared" si="0"/>
        <v>2634.24</v>
      </c>
      <c r="K53" s="59">
        <f>IFERROR(VLOOKUP($A53,md[[route]:[boarding_EV]],2,FALSE),"")</f>
        <v>101.146079</v>
      </c>
      <c r="L53" s="59">
        <f>IFERROR(VLOOKUP($A53,md[[route]:[boarding_EV]],3,FALSE),"")</f>
        <v>580.996126</v>
      </c>
      <c r="M53" s="59">
        <f>IFERROR(VLOOKUP($A53,md[[route]:[boarding_EV]],4,FALSE),"")</f>
        <v>1215.8490509999999</v>
      </c>
      <c r="N53" s="59">
        <f>IFERROR(VLOOKUP($A53,md[[route]:[boarding_EV]],5,FALSE),"")</f>
        <v>898.645622</v>
      </c>
      <c r="O53" s="59">
        <f>IFERROR(VLOOKUP($A53,md[[route]:[boarding_EV]],6,FALSE),"")</f>
        <v>463.81141400000001</v>
      </c>
      <c r="P53" s="59">
        <f t="shared" si="1"/>
        <v>3260.448292</v>
      </c>
      <c r="Q53" s="290">
        <f t="shared" si="2"/>
        <v>0.23771876974003892</v>
      </c>
      <c r="R53" s="289">
        <f t="shared" si="3"/>
        <v>392136.82496955758</v>
      </c>
    </row>
    <row r="54" spans="1:18" x14ac:dyDescent="0.25">
      <c r="A54" s="47">
        <v>303</v>
      </c>
      <c r="B54" s="47">
        <v>10</v>
      </c>
      <c r="C54" s="47" t="s">
        <v>0</v>
      </c>
      <c r="D54" s="47">
        <v>5</v>
      </c>
      <c r="E54" s="48">
        <f>VLOOKUP($A54,observed!$A$2:$I$138,5,FALSE)</f>
        <v>209.56815867561292</v>
      </c>
      <c r="F54" s="48">
        <f>VLOOKUP($A54,observed!$A$2:$I$138,6,FALSE)</f>
        <v>994.0628806646024</v>
      </c>
      <c r="G54" s="48">
        <f>VLOOKUP($A54,observed!$A$2:$I$138,7,FALSE)</f>
        <v>2179.2377880985009</v>
      </c>
      <c r="H54" s="48">
        <f>VLOOKUP($A54,observed!$A$2:$I$138,8,FALSE)</f>
        <v>1117.7773753269573</v>
      </c>
      <c r="I54" s="48">
        <f>VLOOKUP($A54,observed!$A$2:$I$138,9,FALSE)</f>
        <v>473.54379825653683</v>
      </c>
      <c r="J54" s="48">
        <f t="shared" si="0"/>
        <v>4974.1900010222107</v>
      </c>
      <c r="K54" s="59">
        <f>IFERROR(VLOOKUP($A54,md[[route]:[boarding_EV]],2,FALSE),"")</f>
        <v>115.052649</v>
      </c>
      <c r="L54" s="59">
        <f>IFERROR(VLOOKUP($A54,md[[route]:[boarding_EV]],3,FALSE),"")</f>
        <v>566.28318200000001</v>
      </c>
      <c r="M54" s="59">
        <f>IFERROR(VLOOKUP($A54,md[[route]:[boarding_EV]],4,FALSE),"")</f>
        <v>1049.4143509999999</v>
      </c>
      <c r="N54" s="59">
        <f>IFERROR(VLOOKUP($A54,md[[route]:[boarding_EV]],5,FALSE),"")</f>
        <v>878.33117300000004</v>
      </c>
      <c r="O54" s="59">
        <f>IFERROR(VLOOKUP($A54,md[[route]:[boarding_EV]],6,FALSE),"")</f>
        <v>407.74846000000002</v>
      </c>
      <c r="P54" s="59">
        <f t="shared" si="1"/>
        <v>3016.8298150000001</v>
      </c>
      <c r="Q54" s="290">
        <f t="shared" si="2"/>
        <v>-0.39350330116460519</v>
      </c>
      <c r="R54" s="289">
        <f t="shared" si="3"/>
        <v>3831258.897824903</v>
      </c>
    </row>
    <row r="55" spans="1:18" x14ac:dyDescent="0.25">
      <c r="A55" s="47">
        <v>304</v>
      </c>
      <c r="B55" s="47">
        <v>10</v>
      </c>
      <c r="C55" s="47" t="s">
        <v>0</v>
      </c>
      <c r="D55" s="47">
        <v>5</v>
      </c>
      <c r="E55" s="48">
        <f>VLOOKUP($A55,observed!$A$2:$I$138,5,FALSE)</f>
        <v>33.387849807445463</v>
      </c>
      <c r="F55" s="48">
        <f>VLOOKUP($A55,observed!$A$2:$I$138,6,FALSE)</f>
        <v>276.51056192478364</v>
      </c>
      <c r="G55" s="48">
        <f>VLOOKUP($A55,observed!$A$2:$I$138,7,FALSE)</f>
        <v>369.06042019033856</v>
      </c>
      <c r="H55" s="48">
        <f>VLOOKUP($A55,observed!$A$2:$I$138,8,FALSE)</f>
        <v>224.44091072675172</v>
      </c>
      <c r="I55" s="48">
        <f>VLOOKUP($A55,observed!$A$2:$I$138,9,FALSE)</f>
        <v>46.108290094339438</v>
      </c>
      <c r="J55" s="48">
        <f t="shared" si="0"/>
        <v>949.50803274365887</v>
      </c>
      <c r="K55" s="59">
        <f>IFERROR(VLOOKUP($A55,md[[route]:[boarding_EV]],2,FALSE),"")</f>
        <v>60.559710000000003</v>
      </c>
      <c r="L55" s="59">
        <f>IFERROR(VLOOKUP($A55,md[[route]:[boarding_EV]],3,FALSE),"")</f>
        <v>371.89923800000003</v>
      </c>
      <c r="M55" s="59">
        <f>IFERROR(VLOOKUP($A55,md[[route]:[boarding_EV]],4,FALSE),"")</f>
        <v>518.81462199999999</v>
      </c>
      <c r="N55" s="59">
        <f>IFERROR(VLOOKUP($A55,md[[route]:[boarding_EV]],5,FALSE),"")</f>
        <v>621.01545399999998</v>
      </c>
      <c r="O55" s="59">
        <f>IFERROR(VLOOKUP($A55,md[[route]:[boarding_EV]],6,FALSE),"")</f>
        <v>241.70176699999999</v>
      </c>
      <c r="P55" s="59">
        <f t="shared" si="1"/>
        <v>1813.9907910000002</v>
      </c>
      <c r="Q55" s="290">
        <f t="shared" si="2"/>
        <v>0.91045333840764675</v>
      </c>
      <c r="R55" s="289">
        <f t="shared" si="3"/>
        <v>747330.43932249187</v>
      </c>
    </row>
    <row r="56" spans="1:18" x14ac:dyDescent="0.25">
      <c r="A56" s="47">
        <v>305</v>
      </c>
      <c r="B56" s="47">
        <v>10</v>
      </c>
      <c r="C56" s="47" t="s">
        <v>0</v>
      </c>
      <c r="D56" s="47">
        <v>5</v>
      </c>
      <c r="E56" s="48">
        <f>VLOOKUP($A56,observed!$A$2:$I$138,5,FALSE)</f>
        <v>79.1819261006208</v>
      </c>
      <c r="F56" s="48">
        <f>VLOOKUP($A56,observed!$A$2:$I$138,6,FALSE)</f>
        <v>458.28914475586026</v>
      </c>
      <c r="G56" s="48">
        <f>VLOOKUP($A56,observed!$A$2:$I$138,7,FALSE)</f>
        <v>989.82026907258296</v>
      </c>
      <c r="H56" s="48">
        <f>VLOOKUP($A56,observed!$A$2:$I$138,8,FALSE)</f>
        <v>490.54928072615496</v>
      </c>
      <c r="I56" s="48">
        <f>VLOOKUP($A56,observed!$A$2:$I$138,9,FALSE)</f>
        <v>224.39049458318175</v>
      </c>
      <c r="J56" s="48">
        <f t="shared" si="0"/>
        <v>2242.2311152384009</v>
      </c>
      <c r="K56" s="59">
        <f>IFERROR(VLOOKUP($A56,md[[route]:[boarding_EV]],2,FALSE),"")</f>
        <v>95.436670000000007</v>
      </c>
      <c r="L56" s="59">
        <f>IFERROR(VLOOKUP($A56,md[[route]:[boarding_EV]],3,FALSE),"")</f>
        <v>687.68743800000004</v>
      </c>
      <c r="M56" s="59">
        <f>IFERROR(VLOOKUP($A56,md[[route]:[boarding_EV]],4,FALSE),"")</f>
        <v>1346.2424980000001</v>
      </c>
      <c r="N56" s="59">
        <f>IFERROR(VLOOKUP($A56,md[[route]:[boarding_EV]],5,FALSE),"")</f>
        <v>1063.789352</v>
      </c>
      <c r="O56" s="59">
        <f>IFERROR(VLOOKUP($A56,md[[route]:[boarding_EV]],6,FALSE),"")</f>
        <v>507.49555900000001</v>
      </c>
      <c r="P56" s="59">
        <f t="shared" si="1"/>
        <v>3700.6515170000002</v>
      </c>
      <c r="Q56" s="290">
        <f t="shared" si="2"/>
        <v>0.65043268370064333</v>
      </c>
      <c r="R56" s="289">
        <f t="shared" si="3"/>
        <v>2126990.0682744649</v>
      </c>
    </row>
    <row r="57" spans="1:18" x14ac:dyDescent="0.25">
      <c r="A57" s="47">
        <v>306</v>
      </c>
      <c r="B57" s="47">
        <v>10</v>
      </c>
      <c r="C57" s="47" t="s">
        <v>0</v>
      </c>
      <c r="D57" s="47">
        <v>5</v>
      </c>
      <c r="E57" s="48">
        <f>VLOOKUP($A57,observed!$A$2:$I$138,5,FALSE)</f>
        <v>47.59869802043314</v>
      </c>
      <c r="F57" s="48">
        <f>VLOOKUP($A57,observed!$A$2:$I$138,6,FALSE)</f>
        <v>264.41867744087773</v>
      </c>
      <c r="G57" s="48">
        <f>VLOOKUP($A57,observed!$A$2:$I$138,7,FALSE)</f>
        <v>354.74337830825118</v>
      </c>
      <c r="H57" s="48">
        <f>VLOOKUP($A57,observed!$A$2:$I$138,8,FALSE)</f>
        <v>238.44457214621193</v>
      </c>
      <c r="I57" s="48">
        <f>VLOOKUP($A57,observed!$A$2:$I$138,9,FALSE)</f>
        <v>77.678837209301875</v>
      </c>
      <c r="J57" s="48">
        <f t="shared" si="0"/>
        <v>982.88416312507582</v>
      </c>
      <c r="K57" s="59">
        <f>IFERROR(VLOOKUP($A57,md[[route]:[boarding_EV]],2,FALSE),"")</f>
        <v>20.333331999999999</v>
      </c>
      <c r="L57" s="59">
        <f>IFERROR(VLOOKUP($A57,md[[route]:[boarding_EV]],3,FALSE),"")</f>
        <v>133.871647</v>
      </c>
      <c r="M57" s="59">
        <f>IFERROR(VLOOKUP($A57,md[[route]:[boarding_EV]],4,FALSE),"")</f>
        <v>205.76749899999999</v>
      </c>
      <c r="N57" s="59">
        <f>IFERROR(VLOOKUP($A57,md[[route]:[boarding_EV]],5,FALSE),"")</f>
        <v>230.73366100000001</v>
      </c>
      <c r="O57" s="59">
        <f>IFERROR(VLOOKUP($A57,md[[route]:[boarding_EV]],6,FALSE),"")</f>
        <v>86.896586999999997</v>
      </c>
      <c r="P57" s="59">
        <f t="shared" si="1"/>
        <v>677.60272599999996</v>
      </c>
      <c r="Q57" s="290">
        <f t="shared" si="2"/>
        <v>-0.31059757454473058</v>
      </c>
      <c r="R57" s="289">
        <f t="shared" si="3"/>
        <v>93196.755853151641</v>
      </c>
    </row>
    <row r="58" spans="1:18" x14ac:dyDescent="0.25">
      <c r="A58" s="47">
        <v>308</v>
      </c>
      <c r="B58" s="47">
        <v>10</v>
      </c>
      <c r="C58" s="47" t="s">
        <v>0</v>
      </c>
      <c r="D58" s="47">
        <v>5</v>
      </c>
      <c r="E58" s="48">
        <f>VLOOKUP($A58,observed!$A$2:$I$138,5,FALSE)</f>
        <v>5.7245759955816586</v>
      </c>
      <c r="F58" s="48">
        <f>VLOOKUP($A58,observed!$A$2:$I$138,6,FALSE)</f>
        <v>128.44046030180118</v>
      </c>
      <c r="G58" s="48">
        <f>VLOOKUP($A58,observed!$A$2:$I$138,7,FALSE)</f>
        <v>264.95166198115197</v>
      </c>
      <c r="H58" s="48">
        <f>VLOOKUP($A58,observed!$A$2:$I$138,8,FALSE)</f>
        <v>166.74953696790297</v>
      </c>
      <c r="I58" s="48">
        <f>VLOOKUP($A58,observed!$A$2:$I$138,9,FALSE)</f>
        <v>21.727114923833433</v>
      </c>
      <c r="J58" s="48">
        <f t="shared" si="0"/>
        <v>587.59335017027126</v>
      </c>
      <c r="K58" s="59">
        <f>IFERROR(VLOOKUP($A58,md[[route]:[boarding_EV]],2,FALSE),"")</f>
        <v>31.489832</v>
      </c>
      <c r="L58" s="59">
        <f>IFERROR(VLOOKUP($A58,md[[route]:[boarding_EV]],3,FALSE),"")</f>
        <v>109.66295599999999</v>
      </c>
      <c r="M58" s="59">
        <f>IFERROR(VLOOKUP($A58,md[[route]:[boarding_EV]],4,FALSE),"")</f>
        <v>156.40495300000001</v>
      </c>
      <c r="N58" s="59">
        <f>IFERROR(VLOOKUP($A58,md[[route]:[boarding_EV]],5,FALSE),"")</f>
        <v>164.30628999999999</v>
      </c>
      <c r="O58" s="59">
        <f>IFERROR(VLOOKUP($A58,md[[route]:[boarding_EV]],6,FALSE),"")</f>
        <v>79.405212000000006</v>
      </c>
      <c r="P58" s="59">
        <f t="shared" si="1"/>
        <v>541.26924299999996</v>
      </c>
      <c r="Q58" s="290">
        <f t="shared" si="2"/>
        <v>-7.8837017397912379E-2</v>
      </c>
      <c r="R58" s="289">
        <f t="shared" si="3"/>
        <v>2145.9229051227812</v>
      </c>
    </row>
    <row r="59" spans="1:18" x14ac:dyDescent="0.25">
      <c r="A59" s="47">
        <v>309</v>
      </c>
      <c r="B59" s="47">
        <v>10</v>
      </c>
      <c r="C59" s="47" t="s">
        <v>0</v>
      </c>
      <c r="D59" s="47">
        <v>5</v>
      </c>
      <c r="E59" s="48">
        <f>VLOOKUP($A59,observed!$A$2:$I$138,5,FALSE)</f>
        <v>58.39431992788213</v>
      </c>
      <c r="F59" s="48">
        <f>VLOOKUP($A59,observed!$A$2:$I$138,6,FALSE)</f>
        <v>297.98615218555028</v>
      </c>
      <c r="G59" s="48">
        <f>VLOOKUP($A59,observed!$A$2:$I$138,7,FALSE)</f>
        <v>712.2281102582275</v>
      </c>
      <c r="H59" s="48">
        <f>VLOOKUP($A59,observed!$A$2:$I$138,8,FALSE)</f>
        <v>404.69713845477122</v>
      </c>
      <c r="I59" s="48">
        <f>VLOOKUP($A59,observed!$A$2:$I$138,9,FALSE)</f>
        <v>147.88654439042762</v>
      </c>
      <c r="J59" s="48">
        <f t="shared" si="0"/>
        <v>1621.1922652168587</v>
      </c>
      <c r="K59" s="59">
        <f>IFERROR(VLOOKUP($A59,md[[route]:[boarding_EV]],2,FALSE),"")</f>
        <v>126.599825</v>
      </c>
      <c r="L59" s="59">
        <f>IFERROR(VLOOKUP($A59,md[[route]:[boarding_EV]],3,FALSE),"")</f>
        <v>530.98639500000002</v>
      </c>
      <c r="M59" s="59">
        <f>IFERROR(VLOOKUP($A59,md[[route]:[boarding_EV]],4,FALSE),"")</f>
        <v>996.39015300000005</v>
      </c>
      <c r="N59" s="59">
        <f>IFERROR(VLOOKUP($A59,md[[route]:[boarding_EV]],5,FALSE),"")</f>
        <v>860.63560500000006</v>
      </c>
      <c r="O59" s="59">
        <f>IFERROR(VLOOKUP($A59,md[[route]:[boarding_EV]],6,FALSE),"")</f>
        <v>399.84022399999998</v>
      </c>
      <c r="P59" s="59">
        <f t="shared" si="1"/>
        <v>2914.4522019999999</v>
      </c>
      <c r="Q59" s="290">
        <f t="shared" si="2"/>
        <v>0.79772150689983001</v>
      </c>
      <c r="R59" s="289">
        <f t="shared" si="3"/>
        <v>1672521.2640883345</v>
      </c>
    </row>
    <row r="60" spans="1:18" x14ac:dyDescent="0.25">
      <c r="A60" s="47">
        <v>311</v>
      </c>
      <c r="B60" s="47">
        <v>10</v>
      </c>
      <c r="C60" s="47" t="s">
        <v>0</v>
      </c>
      <c r="D60" s="47">
        <v>5</v>
      </c>
      <c r="E60" s="48">
        <f>VLOOKUP($A60,observed!$A$2:$I$138,5,FALSE)</f>
        <v>14.639457843855434</v>
      </c>
      <c r="F60" s="48">
        <f>VLOOKUP($A60,observed!$A$2:$I$138,6,FALSE)</f>
        <v>155.62876923076919</v>
      </c>
      <c r="G60" s="48">
        <f>VLOOKUP($A60,observed!$A$2:$I$138,7,FALSE)</f>
        <v>255.55848552652529</v>
      </c>
      <c r="H60" s="48">
        <f>VLOOKUP($A60,observed!$A$2:$I$138,8,FALSE)</f>
        <v>51.128000000000199</v>
      </c>
      <c r="I60" s="48">
        <f>VLOOKUP($A60,observed!$A$2:$I$138,9,FALSE)</f>
        <v>0</v>
      </c>
      <c r="J60" s="48">
        <f t="shared" si="0"/>
        <v>476.95471260115011</v>
      </c>
      <c r="K60" s="59">
        <f>IFERROR(VLOOKUP($A60,md[[route]:[boarding_EV]],2,FALSE),"")</f>
        <v>1.6397139999999999</v>
      </c>
      <c r="L60" s="59">
        <f>IFERROR(VLOOKUP($A60,md[[route]:[boarding_EV]],3,FALSE),"")</f>
        <v>72.474430999999996</v>
      </c>
      <c r="M60" s="59">
        <f>IFERROR(VLOOKUP($A60,md[[route]:[boarding_EV]],4,FALSE),"")</f>
        <v>33.870863</v>
      </c>
      <c r="N60" s="59">
        <f>IFERROR(VLOOKUP($A60,md[[route]:[boarding_EV]],5,FALSE),"")</f>
        <v>93.364464999999996</v>
      </c>
      <c r="O60" s="59">
        <f>IFERROR(VLOOKUP($A60,md[[route]:[boarding_EV]],6,FALSE),"")</f>
        <v>17.643039999999999</v>
      </c>
      <c r="P60" s="59">
        <f t="shared" si="1"/>
        <v>218.99251299999997</v>
      </c>
      <c r="Q60" s="290">
        <f t="shared" si="2"/>
        <v>-0.54085260672719082</v>
      </c>
      <c r="R60" s="289">
        <f t="shared" si="3"/>
        <v>66544.496423063625</v>
      </c>
    </row>
    <row r="61" spans="1:18" x14ac:dyDescent="0.25">
      <c r="A61" s="47">
        <v>313</v>
      </c>
      <c r="B61" s="47">
        <v>10</v>
      </c>
      <c r="C61" s="47" t="s">
        <v>0</v>
      </c>
      <c r="D61" s="47">
        <v>5</v>
      </c>
      <c r="E61" s="48">
        <f>VLOOKUP($A61,observed!$A$2:$I$138,5,FALSE)</f>
        <v>7.1162790697674376</v>
      </c>
      <c r="F61" s="48">
        <f>VLOOKUP($A61,observed!$A$2:$I$138,6,FALSE)</f>
        <v>107.103783469389</v>
      </c>
      <c r="G61" s="48">
        <f>VLOOKUP($A61,observed!$A$2:$I$138,7,FALSE)</f>
        <v>190.62879842596723</v>
      </c>
      <c r="H61" s="48">
        <f>VLOOKUP($A61,observed!$A$2:$I$138,8,FALSE)</f>
        <v>92.852451879105459</v>
      </c>
      <c r="I61" s="48">
        <f>VLOOKUP($A61,observed!$A$2:$I$138,9,FALSE)</f>
        <v>8</v>
      </c>
      <c r="J61" s="48">
        <f t="shared" si="0"/>
        <v>405.70131284422911</v>
      </c>
      <c r="K61" s="59">
        <f>IFERROR(VLOOKUP($A61,md[[route]:[boarding_EV]],2,FALSE),"")</f>
        <v>7.6633570000000004</v>
      </c>
      <c r="L61" s="59">
        <f>IFERROR(VLOOKUP($A61,md[[route]:[boarding_EV]],3,FALSE),"")</f>
        <v>97.013502000000003</v>
      </c>
      <c r="M61" s="59">
        <f>IFERROR(VLOOKUP($A61,md[[route]:[boarding_EV]],4,FALSE),"")</f>
        <v>149.45410100000001</v>
      </c>
      <c r="N61" s="59">
        <f>IFERROR(VLOOKUP($A61,md[[route]:[boarding_EV]],5,FALSE),"")</f>
        <v>111.971277</v>
      </c>
      <c r="O61" s="59">
        <f>IFERROR(VLOOKUP($A61,md[[route]:[boarding_EV]],6,FALSE),"")</f>
        <v>44.387467000000001</v>
      </c>
      <c r="P61" s="59">
        <f t="shared" si="1"/>
        <v>410.48970400000002</v>
      </c>
      <c r="Q61" s="290">
        <f t="shared" si="2"/>
        <v>1.180274996450259E-2</v>
      </c>
      <c r="R61" s="289">
        <f t="shared" si="3"/>
        <v>22.92868986066507</v>
      </c>
    </row>
    <row r="62" spans="1:18" x14ac:dyDescent="0.25">
      <c r="A62" s="47">
        <v>315</v>
      </c>
      <c r="B62" s="47">
        <v>10</v>
      </c>
      <c r="C62" s="47" t="s">
        <v>0</v>
      </c>
      <c r="D62" s="47">
        <v>5</v>
      </c>
      <c r="E62" s="48">
        <f>VLOOKUP($A62,observed!$A$2:$I$138,5,FALSE)</f>
        <v>19.1833688871715</v>
      </c>
      <c r="F62" s="48">
        <f>VLOOKUP($A62,observed!$A$2:$I$138,6,FALSE)</f>
        <v>120.85132153972947</v>
      </c>
      <c r="G62" s="48">
        <f>VLOOKUP($A62,observed!$A$2:$I$138,7,FALSE)</f>
        <v>211.15547117701738</v>
      </c>
      <c r="H62" s="48">
        <f>VLOOKUP($A62,observed!$A$2:$I$138,8,FALSE)</f>
        <v>110.48959747108464</v>
      </c>
      <c r="I62" s="48">
        <f>VLOOKUP($A62,observed!$A$2:$I$138,9,FALSE)</f>
        <v>41.412050765263892</v>
      </c>
      <c r="J62" s="48">
        <f t="shared" si="0"/>
        <v>503.09180984026682</v>
      </c>
      <c r="K62" s="59">
        <f>IFERROR(VLOOKUP($A62,md[[route]:[boarding_EV]],2,FALSE),"")</f>
        <v>21.085923000000001</v>
      </c>
      <c r="L62" s="59">
        <f>IFERROR(VLOOKUP($A62,md[[route]:[boarding_EV]],3,FALSE),"")</f>
        <v>86.108315000000005</v>
      </c>
      <c r="M62" s="59">
        <f>IFERROR(VLOOKUP($A62,md[[route]:[boarding_EV]],4,FALSE),"")</f>
        <v>172.347759</v>
      </c>
      <c r="N62" s="59">
        <f>IFERROR(VLOOKUP($A62,md[[route]:[boarding_EV]],5,FALSE),"")</f>
        <v>145.449265</v>
      </c>
      <c r="O62" s="59">
        <f>IFERROR(VLOOKUP($A62,md[[route]:[boarding_EV]],6,FALSE),"")</f>
        <v>79.719397000000001</v>
      </c>
      <c r="P62" s="59">
        <f t="shared" si="1"/>
        <v>504.71065900000002</v>
      </c>
      <c r="Q62" s="290">
        <f t="shared" si="2"/>
        <v>3.217800663952719E-3</v>
      </c>
      <c r="R62" s="289">
        <f t="shared" si="3"/>
        <v>2.6206726019688933</v>
      </c>
    </row>
    <row r="63" spans="1:18" x14ac:dyDescent="0.25">
      <c r="A63" s="47">
        <v>316</v>
      </c>
      <c r="B63" s="47">
        <v>10</v>
      </c>
      <c r="C63" s="47" t="s">
        <v>0</v>
      </c>
      <c r="D63" s="47">
        <v>5</v>
      </c>
      <c r="E63" s="48">
        <f>VLOOKUP($A63,observed!$A$2:$I$138,5,FALSE)</f>
        <v>1.9456250000000022</v>
      </c>
      <c r="F63" s="48">
        <f>VLOOKUP($A63,observed!$A$2:$I$138,6,FALSE)</f>
        <v>34.007708333333326</v>
      </c>
      <c r="G63" s="48">
        <f>VLOOKUP($A63,observed!$A$2:$I$138,7,FALSE)</f>
        <v>67.208888888888765</v>
      </c>
      <c r="H63" s="48">
        <f>VLOOKUP($A63,observed!$A$2:$I$138,8,FALSE)</f>
        <v>30.647777777777904</v>
      </c>
      <c r="I63" s="48">
        <f>VLOOKUP($A63,observed!$A$2:$I$138,9,FALSE)</f>
        <v>0</v>
      </c>
      <c r="J63" s="48">
        <f t="shared" si="0"/>
        <v>133.81</v>
      </c>
      <c r="K63" s="59">
        <f>IFERROR(VLOOKUP($A63,md[[route]:[boarding_EV]],2,FALSE),"")</f>
        <v>3.5</v>
      </c>
      <c r="L63" s="59">
        <f>IFERROR(VLOOKUP($A63,md[[route]:[boarding_EV]],3,FALSE),"")</f>
        <v>69.065889999999996</v>
      </c>
      <c r="M63" s="59">
        <f>IFERROR(VLOOKUP($A63,md[[route]:[boarding_EV]],4,FALSE),"")</f>
        <v>159.85577900000001</v>
      </c>
      <c r="N63" s="59">
        <f>IFERROR(VLOOKUP($A63,md[[route]:[boarding_EV]],5,FALSE),"")</f>
        <v>99.562184999999999</v>
      </c>
      <c r="O63" s="59">
        <f>IFERROR(VLOOKUP($A63,md[[route]:[boarding_EV]],6,FALSE),"")</f>
        <v>76.246471</v>
      </c>
      <c r="P63" s="59">
        <f t="shared" si="1"/>
        <v>408.23032499999999</v>
      </c>
      <c r="Q63" s="290">
        <f t="shared" si="2"/>
        <v>2.0508207533069278</v>
      </c>
      <c r="R63" s="289">
        <f t="shared" si="3"/>
        <v>75306.51477310562</v>
      </c>
    </row>
    <row r="64" spans="1:18" x14ac:dyDescent="0.25">
      <c r="A64" s="47">
        <v>318</v>
      </c>
      <c r="B64" s="47">
        <v>10</v>
      </c>
      <c r="C64" s="47" t="s">
        <v>0</v>
      </c>
      <c r="D64" s="47">
        <v>5</v>
      </c>
      <c r="E64" s="48">
        <f>VLOOKUP($A64,observed!$A$2:$I$138,5,FALSE)</f>
        <v>33.205028461013512</v>
      </c>
      <c r="F64" s="48">
        <f>VLOOKUP($A64,observed!$A$2:$I$138,6,FALSE)</f>
        <v>151.38616800638312</v>
      </c>
      <c r="G64" s="48">
        <f>VLOOKUP($A64,observed!$A$2:$I$138,7,FALSE)</f>
        <v>351.84006795757807</v>
      </c>
      <c r="H64" s="48">
        <f>VLOOKUP($A64,observed!$A$2:$I$138,8,FALSE)</f>
        <v>194.05301636246847</v>
      </c>
      <c r="I64" s="48">
        <f>VLOOKUP($A64,observed!$A$2:$I$138,9,FALSE)</f>
        <v>24.58</v>
      </c>
      <c r="J64" s="48">
        <f t="shared" si="0"/>
        <v>755.06428078744318</v>
      </c>
      <c r="K64" s="59">
        <f>IFERROR(VLOOKUP($A64,md[[route]:[boarding_EV]],2,FALSE),"")</f>
        <v>50.021945000000002</v>
      </c>
      <c r="L64" s="59">
        <f>IFERROR(VLOOKUP($A64,md[[route]:[boarding_EV]],3,FALSE),"")</f>
        <v>247.695078</v>
      </c>
      <c r="M64" s="59">
        <f>IFERROR(VLOOKUP($A64,md[[route]:[boarding_EV]],4,FALSE),"")</f>
        <v>497.04201999999998</v>
      </c>
      <c r="N64" s="59">
        <f>IFERROR(VLOOKUP($A64,md[[route]:[boarding_EV]],5,FALSE),"")</f>
        <v>345.81933099999998</v>
      </c>
      <c r="O64" s="59">
        <f>IFERROR(VLOOKUP($A64,md[[route]:[boarding_EV]],6,FALSE),"")</f>
        <v>203.076537</v>
      </c>
      <c r="P64" s="59">
        <f t="shared" si="1"/>
        <v>1343.6549109999999</v>
      </c>
      <c r="Q64" s="290">
        <f t="shared" si="2"/>
        <v>0.77952386993955791</v>
      </c>
      <c r="R64" s="289">
        <f t="shared" si="3"/>
        <v>346438.92997401464</v>
      </c>
    </row>
    <row r="65" spans="1:18" x14ac:dyDescent="0.25">
      <c r="A65" s="47">
        <v>323</v>
      </c>
      <c r="B65" s="47">
        <v>10</v>
      </c>
      <c r="C65" s="47" t="s">
        <v>0</v>
      </c>
      <c r="D65" s="47">
        <v>5</v>
      </c>
      <c r="E65" s="48">
        <f>VLOOKUP($A65,observed!$A$2:$I$138,5,FALSE)</f>
        <v>3.9882352941176498</v>
      </c>
      <c r="F65" s="48">
        <f>VLOOKUP($A65,observed!$A$2:$I$138,6,FALSE)</f>
        <v>65.215663111756768</v>
      </c>
      <c r="G65" s="48">
        <f>VLOOKUP($A65,observed!$A$2:$I$138,7,FALSE)</f>
        <v>85.246514149347675</v>
      </c>
      <c r="H65" s="48">
        <f>VLOOKUP($A65,observed!$A$2:$I$138,8,FALSE)</f>
        <v>23.117388289676711</v>
      </c>
      <c r="I65" s="48">
        <f>VLOOKUP($A65,observed!$A$2:$I$138,9,FALSE)</f>
        <v>0</v>
      </c>
      <c r="J65" s="48">
        <f t="shared" si="0"/>
        <v>177.56780084489881</v>
      </c>
      <c r="K65" s="59">
        <f>IFERROR(VLOOKUP($A65,md[[route]:[boarding_EV]],2,FALSE),"")</f>
        <v>4.589207</v>
      </c>
      <c r="L65" s="59">
        <f>IFERROR(VLOOKUP($A65,md[[route]:[boarding_EV]],3,FALSE),"")</f>
        <v>27.201627999999999</v>
      </c>
      <c r="M65" s="59">
        <f>IFERROR(VLOOKUP($A65,md[[route]:[boarding_EV]],4,FALSE),"")</f>
        <v>55.372785999999998</v>
      </c>
      <c r="N65" s="59">
        <f>IFERROR(VLOOKUP($A65,md[[route]:[boarding_EV]],5,FALSE),"")</f>
        <v>59.769919999999999</v>
      </c>
      <c r="O65" s="59">
        <f>IFERROR(VLOOKUP($A65,md[[route]:[boarding_EV]],6,FALSE),"")</f>
        <v>33.191811999999999</v>
      </c>
      <c r="P65" s="59">
        <f t="shared" si="1"/>
        <v>180.12535299999999</v>
      </c>
      <c r="Q65" s="290">
        <f t="shared" si="2"/>
        <v>1.4403242834184482E-2</v>
      </c>
      <c r="R65" s="289">
        <f t="shared" si="3"/>
        <v>6.5410730260626773</v>
      </c>
    </row>
    <row r="66" spans="1:18" x14ac:dyDescent="0.25">
      <c r="A66" s="47">
        <v>325</v>
      </c>
      <c r="B66" s="47">
        <v>10</v>
      </c>
      <c r="C66" s="47" t="s">
        <v>0</v>
      </c>
      <c r="D66" s="47">
        <v>5</v>
      </c>
      <c r="E66" s="48">
        <f>VLOOKUP($A66,observed!$A$2:$I$138,5,FALSE)</f>
        <v>11.060951690821256</v>
      </c>
      <c r="F66" s="48">
        <f>VLOOKUP($A66,observed!$A$2:$I$138,6,FALSE)</f>
        <v>125.95724634890625</v>
      </c>
      <c r="G66" s="48">
        <f>VLOOKUP($A66,observed!$A$2:$I$138,7,FALSE)</f>
        <v>375.02468175519175</v>
      </c>
      <c r="H66" s="48">
        <f>VLOOKUP($A66,observed!$A$2:$I$138,8,FALSE)</f>
        <v>192.68093606338036</v>
      </c>
      <c r="I66" s="48">
        <f>VLOOKUP($A66,observed!$A$2:$I$138,9,FALSE)</f>
        <v>41.418498455689871</v>
      </c>
      <c r="J66" s="48">
        <f t="shared" si="0"/>
        <v>746.14231431398957</v>
      </c>
      <c r="K66" s="59">
        <f>IFERROR(VLOOKUP($A66,md[[route]:[boarding_EV]],2,FALSE),"")</f>
        <v>29.687626999999999</v>
      </c>
      <c r="L66" s="59">
        <f>IFERROR(VLOOKUP($A66,md[[route]:[boarding_EV]],3,FALSE),"")</f>
        <v>251.18530699999999</v>
      </c>
      <c r="M66" s="59">
        <f>IFERROR(VLOOKUP($A66,md[[route]:[boarding_EV]],4,FALSE),"")</f>
        <v>529.40777200000002</v>
      </c>
      <c r="N66" s="59">
        <f>IFERROR(VLOOKUP($A66,md[[route]:[boarding_EV]],5,FALSE),"")</f>
        <v>379.35213099999999</v>
      </c>
      <c r="O66" s="59">
        <f>IFERROR(VLOOKUP($A66,md[[route]:[boarding_EV]],6,FALSE),"")</f>
        <v>192.50143299999999</v>
      </c>
      <c r="P66" s="59">
        <f t="shared" si="1"/>
        <v>1382.13427</v>
      </c>
      <c r="Q66" s="290">
        <f t="shared" si="2"/>
        <v>0.85237352645084541</v>
      </c>
      <c r="R66" s="289">
        <f t="shared" si="3"/>
        <v>404485.76769731625</v>
      </c>
    </row>
    <row r="67" spans="1:18" x14ac:dyDescent="0.25">
      <c r="A67" s="47">
        <v>332</v>
      </c>
      <c r="B67" s="47">
        <v>10</v>
      </c>
      <c r="C67" s="47" t="s">
        <v>0</v>
      </c>
      <c r="D67" s="47">
        <v>5</v>
      </c>
      <c r="E67" s="48">
        <f>VLOOKUP($A67,observed!$A$2:$I$138,5,FALSE)</f>
        <v>48.346736980883314</v>
      </c>
      <c r="F67" s="48">
        <f>VLOOKUP($A67,observed!$A$2:$I$138,6,FALSE)</f>
        <v>421.89228669567149</v>
      </c>
      <c r="G67" s="48">
        <f>VLOOKUP($A67,observed!$A$2:$I$138,7,FALSE)</f>
        <v>652.32737859812585</v>
      </c>
      <c r="H67" s="48">
        <f>VLOOKUP($A67,observed!$A$2:$I$138,8,FALSE)</f>
        <v>366.64796301400196</v>
      </c>
      <c r="I67" s="48">
        <f>VLOOKUP($A67,observed!$A$2:$I$138,9,FALSE)</f>
        <v>87.1388888888888</v>
      </c>
      <c r="J67" s="48">
        <f t="shared" si="0"/>
        <v>1576.3532541775712</v>
      </c>
      <c r="K67" s="59">
        <f>IFERROR(VLOOKUP($A67,md[[route]:[boarding_EV]],2,FALSE),"")</f>
        <v>61.193215000000002</v>
      </c>
      <c r="L67" s="59">
        <f>IFERROR(VLOOKUP($A67,md[[route]:[boarding_EV]],3,FALSE),"")</f>
        <v>338.27124099999997</v>
      </c>
      <c r="M67" s="59">
        <f>IFERROR(VLOOKUP($A67,md[[route]:[boarding_EV]],4,FALSE),"")</f>
        <v>544.345282</v>
      </c>
      <c r="N67" s="59">
        <f>IFERROR(VLOOKUP($A67,md[[route]:[boarding_EV]],5,FALSE),"")</f>
        <v>515.88857499999995</v>
      </c>
      <c r="O67" s="59">
        <f>IFERROR(VLOOKUP($A67,md[[route]:[boarding_EV]],6,FALSE),"")</f>
        <v>220.551986</v>
      </c>
      <c r="P67" s="59">
        <f t="shared" si="1"/>
        <v>1680.2502989999998</v>
      </c>
      <c r="Q67" s="290">
        <f t="shared" si="2"/>
        <v>6.5909747416758258E-2</v>
      </c>
      <c r="R67" s="289">
        <f t="shared" si="3"/>
        <v>10794.595922833738</v>
      </c>
    </row>
    <row r="68" spans="1:18" x14ac:dyDescent="0.25">
      <c r="A68" s="47">
        <v>334</v>
      </c>
      <c r="B68" s="47">
        <v>10</v>
      </c>
      <c r="C68" s="47" t="s">
        <v>0</v>
      </c>
      <c r="D68" s="47">
        <v>5</v>
      </c>
      <c r="E68" s="48">
        <f>VLOOKUP($A68,observed!$A$2:$I$138,5,FALSE)</f>
        <v>9.33</v>
      </c>
      <c r="F68" s="48">
        <f>VLOOKUP($A68,observed!$A$2:$I$138,6,FALSE)</f>
        <v>50.988846153846147</v>
      </c>
      <c r="G68" s="48">
        <f>VLOOKUP($A68,observed!$A$2:$I$138,7,FALSE)</f>
        <v>122.55334134615367</v>
      </c>
      <c r="H68" s="48">
        <f>VLOOKUP($A68,observed!$A$2:$I$138,8,FALSE)</f>
        <v>62.822256944444725</v>
      </c>
      <c r="I68" s="48">
        <f>VLOOKUP($A68,observed!$A$2:$I$138,9,FALSE)</f>
        <v>8.7055555555554527</v>
      </c>
      <c r="J68" s="48">
        <f t="shared" ref="J68:J131" si="8">SUM(E68:I68)</f>
        <v>254.4</v>
      </c>
      <c r="K68" s="59">
        <f>IFERROR(VLOOKUP($A68,md[[route]:[boarding_EV]],2,FALSE),"")</f>
        <v>12.311287</v>
      </c>
      <c r="L68" s="59">
        <f>IFERROR(VLOOKUP($A68,md[[route]:[boarding_EV]],3,FALSE),"")</f>
        <v>46.696558000000003</v>
      </c>
      <c r="M68" s="59">
        <f>IFERROR(VLOOKUP($A68,md[[route]:[boarding_EV]],4,FALSE),"")</f>
        <v>142.01944</v>
      </c>
      <c r="N68" s="59">
        <f>IFERROR(VLOOKUP($A68,md[[route]:[boarding_EV]],5,FALSE),"")</f>
        <v>94.512397000000007</v>
      </c>
      <c r="O68" s="59">
        <f>IFERROR(VLOOKUP($A68,md[[route]:[boarding_EV]],6,FALSE),"")</f>
        <v>79.609589999999997</v>
      </c>
      <c r="P68" s="59">
        <f t="shared" ref="P68:P131" si="9">SUM(K68:O68)</f>
        <v>375.149272</v>
      </c>
      <c r="Q68" s="290">
        <f t="shared" ref="Q68:Q131" si="10">P68/J68-1</f>
        <v>0.47464336477987423</v>
      </c>
      <c r="R68" s="289">
        <f t="shared" ref="R68:R131" si="11">POWER((P68-J68),2)</f>
        <v>14580.386688529981</v>
      </c>
    </row>
    <row r="69" spans="1:18" x14ac:dyDescent="0.25">
      <c r="A69" s="47">
        <v>335</v>
      </c>
      <c r="B69" s="47">
        <v>10</v>
      </c>
      <c r="C69" s="47" t="s">
        <v>0</v>
      </c>
      <c r="D69" s="47">
        <v>5</v>
      </c>
      <c r="E69" s="48">
        <f>VLOOKUP($A69,observed!$A$2:$I$138,5,FALSE)</f>
        <v>1.6935485098847851</v>
      </c>
      <c r="F69" s="48">
        <f>VLOOKUP($A69,observed!$A$2:$I$138,6,FALSE)</f>
        <v>36.005230641647096</v>
      </c>
      <c r="G69" s="48">
        <f>VLOOKUP($A69,observed!$A$2:$I$138,7,FALSE)</f>
        <v>6.715384615384516</v>
      </c>
      <c r="H69" s="48">
        <f>VLOOKUP($A69,observed!$A$2:$I$138,8,FALSE)</f>
        <v>27.484615384615481</v>
      </c>
      <c r="I69" s="48">
        <f>VLOOKUP($A69,observed!$A$2:$I$138,9,FALSE)</f>
        <v>0</v>
      </c>
      <c r="J69" s="48">
        <f t="shared" si="8"/>
        <v>71.898779151531869</v>
      </c>
      <c r="K69" s="59">
        <f>IFERROR(VLOOKUP($A69,md[[route]:[boarding_EV]],2,FALSE),"")</f>
        <v>0</v>
      </c>
      <c r="L69" s="59">
        <f>IFERROR(VLOOKUP($A69,md[[route]:[boarding_EV]],3,FALSE),"")</f>
        <v>55.372199999999999</v>
      </c>
      <c r="M69" s="59">
        <f>IFERROR(VLOOKUP($A69,md[[route]:[boarding_EV]],4,FALSE),"")</f>
        <v>0</v>
      </c>
      <c r="N69" s="59">
        <f>IFERROR(VLOOKUP($A69,md[[route]:[boarding_EV]],5,FALSE),"")</f>
        <v>113.286778</v>
      </c>
      <c r="O69" s="59">
        <f>IFERROR(VLOOKUP($A69,md[[route]:[boarding_EV]],6,FALSE),"")</f>
        <v>0</v>
      </c>
      <c r="P69" s="59">
        <f t="shared" si="9"/>
        <v>168.65897799999999</v>
      </c>
      <c r="Q69" s="290">
        <f t="shared" si="10"/>
        <v>1.3457836139962684</v>
      </c>
      <c r="R69" s="289">
        <f t="shared" si="11"/>
        <v>9362.5360811950923</v>
      </c>
    </row>
    <row r="70" spans="1:18" x14ac:dyDescent="0.25">
      <c r="A70" s="47">
        <v>347</v>
      </c>
      <c r="B70" s="47">
        <v>10</v>
      </c>
      <c r="C70" s="47" t="s">
        <v>0</v>
      </c>
      <c r="D70" s="47">
        <v>5</v>
      </c>
      <c r="E70" s="48">
        <f>VLOOKUP($A70,observed!$A$2:$I$138,5,FALSE)</f>
        <v>3.2840909090909096</v>
      </c>
      <c r="F70" s="48">
        <f>VLOOKUP($A70,observed!$A$2:$I$138,6,FALSE)</f>
        <v>87.438120097391774</v>
      </c>
      <c r="G70" s="48">
        <f>VLOOKUP($A70,observed!$A$2:$I$138,7,FALSE)</f>
        <v>216.19547101449251</v>
      </c>
      <c r="H70" s="48">
        <f>VLOOKUP($A70,observed!$A$2:$I$138,8,FALSE)</f>
        <v>76.875851449275729</v>
      </c>
      <c r="I70" s="48">
        <f>VLOOKUP($A70,observed!$A$2:$I$138,9,FALSE)</f>
        <v>2.939981884057854</v>
      </c>
      <c r="J70" s="48">
        <f t="shared" si="8"/>
        <v>386.73351535430874</v>
      </c>
      <c r="K70" s="59">
        <f>IFERROR(VLOOKUP($A70,md[[route]:[boarding_EV]],2,FALSE),"")</f>
        <v>28</v>
      </c>
      <c r="L70" s="59">
        <f>IFERROR(VLOOKUP($A70,md[[route]:[boarding_EV]],3,FALSE),"")</f>
        <v>183.97836699999999</v>
      </c>
      <c r="M70" s="59">
        <f>IFERROR(VLOOKUP($A70,md[[route]:[boarding_EV]],4,FALSE),"")</f>
        <v>503.33332999999999</v>
      </c>
      <c r="N70" s="59">
        <f>IFERROR(VLOOKUP($A70,md[[route]:[boarding_EV]],5,FALSE),"")</f>
        <v>329.86977200000001</v>
      </c>
      <c r="O70" s="59">
        <f>IFERROR(VLOOKUP($A70,md[[route]:[boarding_EV]],6,FALSE),"")</f>
        <v>250</v>
      </c>
      <c r="P70" s="59">
        <f t="shared" si="9"/>
        <v>1295.1814690000001</v>
      </c>
      <c r="Q70" s="290">
        <f t="shared" si="10"/>
        <v>2.3490282522149912</v>
      </c>
      <c r="R70" s="289">
        <f t="shared" si="11"/>
        <v>825277.68448304408</v>
      </c>
    </row>
    <row r="71" spans="1:18" x14ac:dyDescent="0.25">
      <c r="A71" s="47">
        <v>351</v>
      </c>
      <c r="B71" s="47">
        <v>10</v>
      </c>
      <c r="C71" s="47" t="s">
        <v>0</v>
      </c>
      <c r="D71" s="47">
        <v>5</v>
      </c>
      <c r="E71" s="48">
        <f>VLOOKUP($A71,observed!$A$2:$I$138,5,FALSE)</f>
        <v>36.03142857142857</v>
      </c>
      <c r="F71" s="48">
        <f>VLOOKUP($A71,observed!$A$2:$I$138,6,FALSE)</f>
        <v>183.43829479895359</v>
      </c>
      <c r="G71" s="48">
        <f>VLOOKUP($A71,observed!$A$2:$I$138,7,FALSE)</f>
        <v>408.48810893794791</v>
      </c>
      <c r="H71" s="48">
        <f>VLOOKUP($A71,observed!$A$2:$I$138,8,FALSE)</f>
        <v>217.71280423449315</v>
      </c>
      <c r="I71" s="48">
        <f>VLOOKUP($A71,observed!$A$2:$I$138,9,FALSE)</f>
        <v>120.52294117647033</v>
      </c>
      <c r="J71" s="48">
        <f t="shared" si="8"/>
        <v>966.19357771929367</v>
      </c>
      <c r="K71" s="59">
        <f>IFERROR(VLOOKUP($A71,md[[route]:[boarding_EV]],2,FALSE),"")</f>
        <v>27.448291000000001</v>
      </c>
      <c r="L71" s="59">
        <f>IFERROR(VLOOKUP($A71,md[[route]:[boarding_EV]],3,FALSE),"")</f>
        <v>128.415335</v>
      </c>
      <c r="M71" s="59">
        <f>IFERROR(VLOOKUP($A71,md[[route]:[boarding_EV]],4,FALSE),"")</f>
        <v>239.81377699999999</v>
      </c>
      <c r="N71" s="59">
        <f>IFERROR(VLOOKUP($A71,md[[route]:[boarding_EV]],5,FALSE),"")</f>
        <v>195.27966699999999</v>
      </c>
      <c r="O71" s="59">
        <f>IFERROR(VLOOKUP($A71,md[[route]:[boarding_EV]],6,FALSE),"")</f>
        <v>86.653814999999994</v>
      </c>
      <c r="P71" s="59">
        <f t="shared" si="9"/>
        <v>677.61088500000005</v>
      </c>
      <c r="Q71" s="290">
        <f t="shared" si="10"/>
        <v>-0.29867999474856266</v>
      </c>
      <c r="R71" s="289">
        <f t="shared" si="11"/>
        <v>83279.970537118235</v>
      </c>
    </row>
    <row r="72" spans="1:18" x14ac:dyDescent="0.25">
      <c r="A72" s="47">
        <v>352</v>
      </c>
      <c r="B72" s="47">
        <v>10</v>
      </c>
      <c r="C72" s="47" t="s">
        <v>0</v>
      </c>
      <c r="D72" s="47">
        <v>5</v>
      </c>
      <c r="E72" s="48">
        <f>VLOOKUP($A72,observed!$A$2:$I$138,5,FALSE)</f>
        <v>35.928606673656937</v>
      </c>
      <c r="F72" s="48">
        <f>VLOOKUP($A72,observed!$A$2:$I$138,6,FALSE)</f>
        <v>211.69187177736609</v>
      </c>
      <c r="G72" s="48">
        <f>VLOOKUP($A72,observed!$A$2:$I$138,7,FALSE)</f>
        <v>378.23951081137909</v>
      </c>
      <c r="H72" s="48">
        <f>VLOOKUP($A72,observed!$A$2:$I$138,8,FALSE)</f>
        <v>215.22400917405329</v>
      </c>
      <c r="I72" s="48">
        <f>VLOOKUP($A72,observed!$A$2:$I$138,9,FALSE)</f>
        <v>71.457142857142472</v>
      </c>
      <c r="J72" s="48">
        <f t="shared" si="8"/>
        <v>912.54114129359789</v>
      </c>
      <c r="K72" s="59">
        <f>IFERROR(VLOOKUP($A72,md[[route]:[boarding_EV]],2,FALSE),"")</f>
        <v>20.799049</v>
      </c>
      <c r="L72" s="59">
        <f>IFERROR(VLOOKUP($A72,md[[route]:[boarding_EV]],3,FALSE),"")</f>
        <v>111.025082</v>
      </c>
      <c r="M72" s="59">
        <f>IFERROR(VLOOKUP($A72,md[[route]:[boarding_EV]],4,FALSE),"")</f>
        <v>245.619392</v>
      </c>
      <c r="N72" s="59">
        <f>IFERROR(VLOOKUP($A72,md[[route]:[boarding_EV]],5,FALSE),"")</f>
        <v>216.994462</v>
      </c>
      <c r="O72" s="59">
        <f>IFERROR(VLOOKUP($A72,md[[route]:[boarding_EV]],6,FALSE),"")</f>
        <v>94.155781000000005</v>
      </c>
      <c r="P72" s="59">
        <f t="shared" si="9"/>
        <v>688.59376600000007</v>
      </c>
      <c r="Q72" s="290">
        <f t="shared" si="10"/>
        <v>-0.24541071647042134</v>
      </c>
      <c r="R72" s="289">
        <f t="shared" si="11"/>
        <v>50152.426900891543</v>
      </c>
    </row>
    <row r="73" spans="1:18" x14ac:dyDescent="0.25">
      <c r="A73" s="47">
        <v>353</v>
      </c>
      <c r="B73" s="47">
        <v>10</v>
      </c>
      <c r="C73" s="47" t="s">
        <v>0</v>
      </c>
      <c r="D73" s="47">
        <v>5</v>
      </c>
      <c r="E73" s="48">
        <f>VLOOKUP($A73,observed!$A$2:$I$138,5,FALSE)</f>
        <v>15.704230769230769</v>
      </c>
      <c r="F73" s="48">
        <f>VLOOKUP($A73,observed!$A$2:$I$138,6,FALSE)</f>
        <v>95.394340659340656</v>
      </c>
      <c r="G73" s="48">
        <f>VLOOKUP($A73,observed!$A$2:$I$138,7,FALSE)</f>
        <v>222.50918291385989</v>
      </c>
      <c r="H73" s="48">
        <f>VLOOKUP($A73,observed!$A$2:$I$138,8,FALSE)</f>
        <v>101.33891232423537</v>
      </c>
      <c r="I73" s="48">
        <f>VLOOKUP($A73,observed!$A$2:$I$138,9,FALSE)</f>
        <v>21.543333333333305</v>
      </c>
      <c r="J73" s="48">
        <f t="shared" si="8"/>
        <v>456.49</v>
      </c>
      <c r="K73" s="59">
        <f>IFERROR(VLOOKUP($A73,md[[route]:[boarding_EV]],2,FALSE),"")</f>
        <v>27.943251</v>
      </c>
      <c r="L73" s="59">
        <f>IFERROR(VLOOKUP($A73,md[[route]:[boarding_EV]],3,FALSE),"")</f>
        <v>137.38957600000001</v>
      </c>
      <c r="M73" s="59">
        <f>IFERROR(VLOOKUP($A73,md[[route]:[boarding_EV]],4,FALSE),"")</f>
        <v>264.88358599999998</v>
      </c>
      <c r="N73" s="59">
        <f>IFERROR(VLOOKUP($A73,md[[route]:[boarding_EV]],5,FALSE),"")</f>
        <v>264.86146500000001</v>
      </c>
      <c r="O73" s="59">
        <f>IFERROR(VLOOKUP($A73,md[[route]:[boarding_EV]],6,FALSE),"")</f>
        <v>149.32720699999999</v>
      </c>
      <c r="P73" s="59">
        <f t="shared" si="9"/>
        <v>844.4050850000001</v>
      </c>
      <c r="Q73" s="290">
        <f t="shared" si="10"/>
        <v>0.84977783741155366</v>
      </c>
      <c r="R73" s="289">
        <f t="shared" si="11"/>
        <v>150478.11317055731</v>
      </c>
    </row>
    <row r="74" spans="1:18" x14ac:dyDescent="0.25">
      <c r="A74" s="47">
        <v>354</v>
      </c>
      <c r="B74" s="47">
        <v>10</v>
      </c>
      <c r="C74" s="47" t="s">
        <v>0</v>
      </c>
      <c r="D74" s="47">
        <v>5</v>
      </c>
      <c r="E74" s="48">
        <f>VLOOKUP($A74,observed!$A$2:$I$138,5,FALSE)</f>
        <v>11.298656715436394</v>
      </c>
      <c r="F74" s="48">
        <f>VLOOKUP($A74,observed!$A$2:$I$138,6,FALSE)</f>
        <v>214.95612039648347</v>
      </c>
      <c r="G74" s="48">
        <f>VLOOKUP($A74,observed!$A$2:$I$138,7,FALSE)</f>
        <v>362.80527609046402</v>
      </c>
      <c r="H74" s="48">
        <f>VLOOKUP($A74,observed!$A$2:$I$138,8,FALSE)</f>
        <v>174.83965180265764</v>
      </c>
      <c r="I74" s="48">
        <f>VLOOKUP($A74,observed!$A$2:$I$138,9,FALSE)</f>
        <v>30.85461538461535</v>
      </c>
      <c r="J74" s="48">
        <f t="shared" si="8"/>
        <v>794.75432038965687</v>
      </c>
      <c r="K74" s="59">
        <f>IFERROR(VLOOKUP($A74,md[[route]:[boarding_EV]],2,FALSE),"")</f>
        <v>23.709416999999998</v>
      </c>
      <c r="L74" s="59">
        <f>IFERROR(VLOOKUP($A74,md[[route]:[boarding_EV]],3,FALSE),"")</f>
        <v>135.269184</v>
      </c>
      <c r="M74" s="59">
        <f>IFERROR(VLOOKUP($A74,md[[route]:[boarding_EV]],4,FALSE),"")</f>
        <v>240.63019499999999</v>
      </c>
      <c r="N74" s="59">
        <f>IFERROR(VLOOKUP($A74,md[[route]:[boarding_EV]],5,FALSE),"")</f>
        <v>206.78564900000001</v>
      </c>
      <c r="O74" s="59">
        <f>IFERROR(VLOOKUP($A74,md[[route]:[boarding_EV]],6,FALSE),"")</f>
        <v>142.922709</v>
      </c>
      <c r="P74" s="59">
        <f t="shared" si="9"/>
        <v>749.31715400000007</v>
      </c>
      <c r="Q74" s="290">
        <f t="shared" si="10"/>
        <v>-5.7171336127345151E-2</v>
      </c>
      <c r="R74" s="289">
        <f t="shared" si="11"/>
        <v>2064.5360895213571</v>
      </c>
    </row>
    <row r="75" spans="1:18" x14ac:dyDescent="0.25">
      <c r="A75" s="47">
        <v>355</v>
      </c>
      <c r="B75" s="47">
        <v>10</v>
      </c>
      <c r="C75" s="47" t="s">
        <v>0</v>
      </c>
      <c r="D75" s="47">
        <v>5</v>
      </c>
      <c r="E75" s="48">
        <f>VLOOKUP($A75,observed!$A$2:$I$138,5,FALSE)</f>
        <v>0</v>
      </c>
      <c r="F75" s="48">
        <f>VLOOKUP($A75,observed!$A$2:$I$138,6,FALSE)</f>
        <v>67.76444444444445</v>
      </c>
      <c r="G75" s="48">
        <f>VLOOKUP($A75,observed!$A$2:$I$138,7,FALSE)</f>
        <v>120.40698412698383</v>
      </c>
      <c r="H75" s="48">
        <f>VLOOKUP($A75,observed!$A$2:$I$138,8,FALSE)</f>
        <v>71.528571428571723</v>
      </c>
      <c r="I75" s="48">
        <f>VLOOKUP($A75,observed!$A$2:$I$138,9,FALSE)</f>
        <v>22.2</v>
      </c>
      <c r="J75" s="48">
        <f t="shared" si="8"/>
        <v>281.90000000000003</v>
      </c>
      <c r="K75" s="59">
        <f>IFERROR(VLOOKUP($A75,md[[route]:[boarding_EV]],2,FALSE),"")</f>
        <v>15.690848000000001</v>
      </c>
      <c r="L75" s="59">
        <f>IFERROR(VLOOKUP($A75,md[[route]:[boarding_EV]],3,FALSE),"")</f>
        <v>73.057097999999996</v>
      </c>
      <c r="M75" s="59">
        <f>IFERROR(VLOOKUP($A75,md[[route]:[boarding_EV]],4,FALSE),"")</f>
        <v>157.15633</v>
      </c>
      <c r="N75" s="59">
        <f>IFERROR(VLOOKUP($A75,md[[route]:[boarding_EV]],5,FALSE),"")</f>
        <v>123.41014</v>
      </c>
      <c r="O75" s="59">
        <f>IFERROR(VLOOKUP($A75,md[[route]:[boarding_EV]],6,FALSE),"")</f>
        <v>71.734701000000001</v>
      </c>
      <c r="P75" s="59">
        <f t="shared" si="9"/>
        <v>441.04911700000002</v>
      </c>
      <c r="Q75" s="290">
        <f t="shared" si="10"/>
        <v>0.56455876906704505</v>
      </c>
      <c r="R75" s="289">
        <f t="shared" si="11"/>
        <v>25328.441441879684</v>
      </c>
    </row>
    <row r="76" spans="1:18" x14ac:dyDescent="0.25">
      <c r="A76" s="47">
        <v>356</v>
      </c>
      <c r="B76" s="47">
        <v>10</v>
      </c>
      <c r="C76" s="47" t="s">
        <v>0</v>
      </c>
      <c r="D76" s="47">
        <v>5</v>
      </c>
      <c r="E76" s="48">
        <f>VLOOKUP($A76,observed!$A$2:$I$138,5,FALSE)</f>
        <v>17</v>
      </c>
      <c r="F76" s="48">
        <f>VLOOKUP($A76,observed!$A$2:$I$138,6,FALSE)</f>
        <v>97.27</v>
      </c>
      <c r="G76" s="48">
        <f>VLOOKUP($A76,observed!$A$2:$I$138,7,FALSE)</f>
        <v>203.99672049535982</v>
      </c>
      <c r="H76" s="48">
        <f>VLOOKUP($A76,observed!$A$2:$I$138,8,FALSE)</f>
        <v>123.34</v>
      </c>
      <c r="I76" s="48">
        <f>VLOOKUP($A76,observed!$A$2:$I$138,9,FALSE)</f>
        <v>46.439961285341482</v>
      </c>
      <c r="J76" s="48">
        <f t="shared" si="8"/>
        <v>488.04668178070131</v>
      </c>
      <c r="K76" s="59">
        <f>IFERROR(VLOOKUP($A76,md[[route]:[boarding_EV]],2,FALSE),"")</f>
        <v>12.782252</v>
      </c>
      <c r="L76" s="59">
        <f>IFERROR(VLOOKUP($A76,md[[route]:[boarding_EV]],3,FALSE),"")</f>
        <v>69.255827999999994</v>
      </c>
      <c r="M76" s="59">
        <f>IFERROR(VLOOKUP($A76,md[[route]:[boarding_EV]],4,FALSE),"")</f>
        <v>164.54755599999999</v>
      </c>
      <c r="N76" s="59">
        <f>IFERROR(VLOOKUP($A76,md[[route]:[boarding_EV]],5,FALSE),"")</f>
        <v>139.79227299999999</v>
      </c>
      <c r="O76" s="59">
        <f>IFERROR(VLOOKUP($A76,md[[route]:[boarding_EV]],6,FALSE),"")</f>
        <v>52.998666</v>
      </c>
      <c r="P76" s="59">
        <f t="shared" si="9"/>
        <v>439.37657499999995</v>
      </c>
      <c r="Q76" s="290">
        <f t="shared" si="10"/>
        <v>-9.9724285806272017E-2</v>
      </c>
      <c r="R76" s="289">
        <f t="shared" si="11"/>
        <v>2368.7792940448726</v>
      </c>
    </row>
    <row r="77" spans="1:18" x14ac:dyDescent="0.25">
      <c r="A77" s="47">
        <v>357</v>
      </c>
      <c r="B77" s="47">
        <v>10</v>
      </c>
      <c r="C77" s="47" t="s">
        <v>0</v>
      </c>
      <c r="D77" s="47">
        <v>5</v>
      </c>
      <c r="E77" s="48">
        <f>VLOOKUP($A77,observed!$A$2:$I$138,5,FALSE)</f>
        <v>0</v>
      </c>
      <c r="F77" s="48">
        <f>VLOOKUP($A77,observed!$A$2:$I$138,6,FALSE)</f>
        <v>67.966027818652861</v>
      </c>
      <c r="G77" s="48">
        <f>VLOOKUP($A77,observed!$A$2:$I$138,7,FALSE)</f>
        <v>171.33341463414635</v>
      </c>
      <c r="H77" s="48">
        <f>VLOOKUP($A77,observed!$A$2:$I$138,8,FALSE)</f>
        <v>58.43</v>
      </c>
      <c r="I77" s="48">
        <f>VLOOKUP($A77,observed!$A$2:$I$138,9,FALSE)</f>
        <v>0</v>
      </c>
      <c r="J77" s="48">
        <f t="shared" si="8"/>
        <v>297.72944245279922</v>
      </c>
      <c r="K77" s="59">
        <f>IFERROR(VLOOKUP($A77,md[[route]:[boarding_EV]],2,FALSE),"")</f>
        <v>14.885049</v>
      </c>
      <c r="L77" s="59">
        <f>IFERROR(VLOOKUP($A77,md[[route]:[boarding_EV]],3,FALSE),"")</f>
        <v>84.699590999999998</v>
      </c>
      <c r="M77" s="59">
        <f>IFERROR(VLOOKUP($A77,md[[route]:[boarding_EV]],4,FALSE),"")</f>
        <v>169.967558</v>
      </c>
      <c r="N77" s="59">
        <f>IFERROR(VLOOKUP($A77,md[[route]:[boarding_EV]],5,FALSE),"")</f>
        <v>146.282149</v>
      </c>
      <c r="O77" s="59">
        <f>IFERROR(VLOOKUP($A77,md[[route]:[boarding_EV]],6,FALSE),"")</f>
        <v>72.361031999999994</v>
      </c>
      <c r="P77" s="59">
        <f t="shared" si="9"/>
        <v>488.195379</v>
      </c>
      <c r="Q77" s="290">
        <f t="shared" si="10"/>
        <v>0.63972825454572391</v>
      </c>
      <c r="R77" s="289">
        <f t="shared" si="11"/>
        <v>36277.272984802315</v>
      </c>
    </row>
    <row r="78" spans="1:18" x14ac:dyDescent="0.25">
      <c r="A78" s="47">
        <v>358</v>
      </c>
      <c r="B78" s="47">
        <v>10</v>
      </c>
      <c r="C78" s="47" t="s">
        <v>0</v>
      </c>
      <c r="D78" s="47">
        <v>5</v>
      </c>
      <c r="E78" s="48">
        <f>VLOOKUP($A78,observed!$A$2:$I$138,5,FALSE)</f>
        <v>0</v>
      </c>
      <c r="F78" s="48">
        <f>VLOOKUP($A78,observed!$A$2:$I$138,6,FALSE)</f>
        <v>39.439034843526571</v>
      </c>
      <c r="G78" s="48">
        <f>VLOOKUP($A78,observed!$A$2:$I$138,7,FALSE)</f>
        <v>70.11</v>
      </c>
      <c r="H78" s="48">
        <f>VLOOKUP($A78,observed!$A$2:$I$138,8,FALSE)</f>
        <v>40.75</v>
      </c>
      <c r="I78" s="48">
        <f>VLOOKUP($A78,observed!$A$2:$I$138,9,FALSE)</f>
        <v>9.73</v>
      </c>
      <c r="J78" s="48">
        <f t="shared" si="8"/>
        <v>160.02903484352655</v>
      </c>
      <c r="K78" s="59">
        <f>IFERROR(VLOOKUP($A78,md[[route]:[boarding_EV]],2,FALSE),"")</f>
        <v>8.1348319999999994</v>
      </c>
      <c r="L78" s="59">
        <f>IFERROR(VLOOKUP($A78,md[[route]:[boarding_EV]],3,FALSE),"")</f>
        <v>66.948025999999999</v>
      </c>
      <c r="M78" s="59">
        <f>IFERROR(VLOOKUP($A78,md[[route]:[boarding_EV]],4,FALSE),"")</f>
        <v>146.059596</v>
      </c>
      <c r="N78" s="59">
        <f>IFERROR(VLOOKUP($A78,md[[route]:[boarding_EV]],5,FALSE),"")</f>
        <v>116.94753</v>
      </c>
      <c r="O78" s="59">
        <f>IFERROR(VLOOKUP($A78,md[[route]:[boarding_EV]],6,FALSE),"")</f>
        <v>76.765680000000003</v>
      </c>
      <c r="P78" s="59">
        <f t="shared" si="9"/>
        <v>414.85566399999993</v>
      </c>
      <c r="Q78" s="290">
        <f t="shared" si="10"/>
        <v>1.5923774670367674</v>
      </c>
      <c r="R78" s="289">
        <f t="shared" si="11"/>
        <v>64936.610927250811</v>
      </c>
    </row>
    <row r="79" spans="1:18" x14ac:dyDescent="0.25">
      <c r="A79" s="47">
        <v>359</v>
      </c>
      <c r="B79" s="47">
        <v>10</v>
      </c>
      <c r="C79" s="47" t="s">
        <v>0</v>
      </c>
      <c r="D79" s="47">
        <v>5</v>
      </c>
      <c r="E79" s="48">
        <f>VLOOKUP($A79,observed!$A$2:$I$138,5,FALSE)</f>
        <v>4.8863262161083805</v>
      </c>
      <c r="F79" s="48">
        <f>VLOOKUP($A79,observed!$A$2:$I$138,6,FALSE)</f>
        <v>24.287915603597536</v>
      </c>
      <c r="G79" s="48">
        <f>VLOOKUP($A79,observed!$A$2:$I$138,7,FALSE)</f>
        <v>69.329268292682713</v>
      </c>
      <c r="H79" s="48">
        <f>VLOOKUP($A79,observed!$A$2:$I$138,8,FALSE)</f>
        <v>25.670731707317291</v>
      </c>
      <c r="I79" s="48">
        <f>VLOOKUP($A79,observed!$A$2:$I$138,9,FALSE)</f>
        <v>9.25</v>
      </c>
      <c r="J79" s="48">
        <f t="shared" si="8"/>
        <v>133.42424181970591</v>
      </c>
      <c r="K79" s="59">
        <f>IFERROR(VLOOKUP($A79,md[[route]:[boarding_EV]],2,FALSE),"")</f>
        <v>9.9487459999999999</v>
      </c>
      <c r="L79" s="59">
        <f>IFERROR(VLOOKUP($A79,md[[route]:[boarding_EV]],3,FALSE),"")</f>
        <v>77.808325999999994</v>
      </c>
      <c r="M79" s="59">
        <f>IFERROR(VLOOKUP($A79,md[[route]:[boarding_EV]],4,FALSE),"")</f>
        <v>156.214384</v>
      </c>
      <c r="N79" s="59">
        <f>IFERROR(VLOOKUP($A79,md[[route]:[boarding_EV]],5,FALSE),"")</f>
        <v>122.121737</v>
      </c>
      <c r="O79" s="59">
        <f>IFERROR(VLOOKUP($A79,md[[route]:[boarding_EV]],6,FALSE),"")</f>
        <v>75.161036999999993</v>
      </c>
      <c r="P79" s="59">
        <f t="shared" si="9"/>
        <v>441.25423000000001</v>
      </c>
      <c r="Q79" s="290">
        <f t="shared" si="10"/>
        <v>2.3071518637239845</v>
      </c>
      <c r="R79" s="289">
        <f t="shared" si="11"/>
        <v>94759.301623079999</v>
      </c>
    </row>
    <row r="80" spans="1:18" x14ac:dyDescent="0.25">
      <c r="A80" s="47">
        <v>371</v>
      </c>
      <c r="B80" s="47">
        <v>10</v>
      </c>
      <c r="C80" s="47" t="s">
        <v>0</v>
      </c>
      <c r="D80" s="47">
        <v>5</v>
      </c>
      <c r="E80" s="48">
        <f>VLOOKUP($A80,observed!$A$2:$I$138,5,FALSE)</f>
        <v>6.8378378378378359</v>
      </c>
      <c r="F80" s="48">
        <f>VLOOKUP($A80,observed!$A$2:$I$138,6,FALSE)</f>
        <v>18.138906348208671</v>
      </c>
      <c r="G80" s="48">
        <f>VLOOKUP($A80,observed!$A$2:$I$138,7,FALSE)</f>
        <v>3.023255813953496</v>
      </c>
      <c r="H80" s="48">
        <f>VLOOKUP($A80,observed!$A$2:$I$138,8,FALSE)</f>
        <v>0</v>
      </c>
      <c r="I80" s="48">
        <f>VLOOKUP($A80,observed!$A$2:$I$138,9,FALSE)</f>
        <v>0</v>
      </c>
      <c r="J80" s="48">
        <f t="shared" si="8"/>
        <v>28.000000000000004</v>
      </c>
      <c r="K80" s="59">
        <f>IFERROR(VLOOKUP($A80,md[[route]:[boarding_EV]],2,FALSE),"")</f>
        <v>7.4836299999999998</v>
      </c>
      <c r="L80" s="59">
        <f>IFERROR(VLOOKUP($A80,md[[route]:[boarding_EV]],3,FALSE),"")</f>
        <v>51.850064000000003</v>
      </c>
      <c r="M80" s="59">
        <f>IFERROR(VLOOKUP($A80,md[[route]:[boarding_EV]],4,FALSE),"")</f>
        <v>29.560229</v>
      </c>
      <c r="N80" s="59">
        <f>IFERROR(VLOOKUP($A80,md[[route]:[boarding_EV]],5,FALSE),"")</f>
        <v>69.040403999999995</v>
      </c>
      <c r="O80" s="59">
        <f>IFERROR(VLOOKUP($A80,md[[route]:[boarding_EV]],6,FALSE),"")</f>
        <v>24.991032000000001</v>
      </c>
      <c r="P80" s="59">
        <f t="shared" si="9"/>
        <v>182.92535899999999</v>
      </c>
      <c r="Q80" s="290">
        <f t="shared" si="10"/>
        <v>5.5330485357142845</v>
      </c>
      <c r="R80" s="289">
        <f t="shared" si="11"/>
        <v>24001.866861278875</v>
      </c>
    </row>
    <row r="81" spans="1:18" x14ac:dyDescent="0.25">
      <c r="A81" s="47">
        <v>388</v>
      </c>
      <c r="B81" s="47">
        <v>10</v>
      </c>
      <c r="C81" s="47" t="s">
        <v>0</v>
      </c>
      <c r="D81" s="47">
        <v>5</v>
      </c>
      <c r="E81" s="48">
        <f>VLOOKUP($A81,observed!$A$2:$I$138,5,FALSE)</f>
        <v>17.255813953488378</v>
      </c>
      <c r="F81" s="48">
        <f>VLOOKUP($A81,observed!$A$2:$I$138,6,FALSE)</f>
        <v>82.514186046511625</v>
      </c>
      <c r="G81" s="48">
        <f>VLOOKUP($A81,observed!$A$2:$I$138,7,FALSE)</f>
        <v>301.47212258064474</v>
      </c>
      <c r="H81" s="48">
        <f>VLOOKUP($A81,observed!$A$2:$I$138,8,FALSE)</f>
        <v>179.64787741935532</v>
      </c>
      <c r="I81" s="48">
        <f>VLOOKUP($A81,observed!$A$2:$I$138,9,FALSE)</f>
        <v>88.53</v>
      </c>
      <c r="J81" s="48">
        <f t="shared" si="8"/>
        <v>669.42000000000007</v>
      </c>
      <c r="K81" s="59">
        <f>IFERROR(VLOOKUP($A81,md[[route]:[boarding_EV]],2,FALSE),"")</f>
        <v>14.028143999999999</v>
      </c>
      <c r="L81" s="59">
        <f>IFERROR(VLOOKUP($A81,md[[route]:[boarding_EV]],3,FALSE),"")</f>
        <v>74.188564</v>
      </c>
      <c r="M81" s="59">
        <f>IFERROR(VLOOKUP($A81,md[[route]:[boarding_EV]],4,FALSE),"")</f>
        <v>127.97542900000001</v>
      </c>
      <c r="N81" s="59">
        <f>IFERROR(VLOOKUP($A81,md[[route]:[boarding_EV]],5,FALSE),"")</f>
        <v>108.602642</v>
      </c>
      <c r="O81" s="59">
        <f>IFERROR(VLOOKUP($A81,md[[route]:[boarding_EV]],6,FALSE),"")</f>
        <v>51.815376000000001</v>
      </c>
      <c r="P81" s="59">
        <f t="shared" si="9"/>
        <v>376.61015500000002</v>
      </c>
      <c r="Q81" s="290">
        <f t="shared" si="10"/>
        <v>-0.43740827133936844</v>
      </c>
      <c r="R81" s="289">
        <f t="shared" si="11"/>
        <v>85737.605328924052</v>
      </c>
    </row>
    <row r="82" spans="1:18" x14ac:dyDescent="0.25">
      <c r="A82" s="47">
        <v>389</v>
      </c>
      <c r="B82" s="47">
        <v>10</v>
      </c>
      <c r="C82" s="47" t="s">
        <v>0</v>
      </c>
      <c r="D82" s="47">
        <v>5</v>
      </c>
      <c r="E82" s="48">
        <f>VLOOKUP($A82,observed!$A$2:$I$138,5,FALSE)</f>
        <v>0</v>
      </c>
      <c r="F82" s="48">
        <f>VLOOKUP($A82,observed!$A$2:$I$138,6,FALSE)</f>
        <v>24.72169607733499</v>
      </c>
      <c r="G82" s="48">
        <f>VLOOKUP($A82,observed!$A$2:$I$138,7,FALSE)</f>
        <v>83.342604980838146</v>
      </c>
      <c r="H82" s="48">
        <f>VLOOKUP($A82,observed!$A$2:$I$138,8,FALSE)</f>
        <v>34.38009039003002</v>
      </c>
      <c r="I82" s="48">
        <f>VLOOKUP($A82,observed!$A$2:$I$138,9,FALSE)</f>
        <v>23.720673389105144</v>
      </c>
      <c r="J82" s="48">
        <f t="shared" si="8"/>
        <v>166.16506483730828</v>
      </c>
      <c r="K82" s="59">
        <f>IFERROR(VLOOKUP($A82,md[[route]:[boarding_EV]],2,FALSE),"")</f>
        <v>3.8242669999999999</v>
      </c>
      <c r="L82" s="59">
        <f>IFERROR(VLOOKUP($A82,md[[route]:[boarding_EV]],3,FALSE),"")</f>
        <v>9.4924029999999995</v>
      </c>
      <c r="M82" s="59">
        <f>IFERROR(VLOOKUP($A82,md[[route]:[boarding_EV]],4,FALSE),"")</f>
        <v>9.8928569999999993</v>
      </c>
      <c r="N82" s="59">
        <f>IFERROR(VLOOKUP($A82,md[[route]:[boarding_EV]],5,FALSE),"")</f>
        <v>17.014334000000002</v>
      </c>
      <c r="O82" s="59">
        <f>IFERROR(VLOOKUP($A82,md[[route]:[boarding_EV]],6,FALSE),"")</f>
        <v>2.6541039999999998</v>
      </c>
      <c r="P82" s="59">
        <f t="shared" si="9"/>
        <v>42.877964999999996</v>
      </c>
      <c r="Q82" s="290">
        <f t="shared" si="10"/>
        <v>-0.74195559673158917</v>
      </c>
      <c r="R82" s="289">
        <f t="shared" si="11"/>
        <v>15199.708986294421</v>
      </c>
    </row>
    <row r="83" spans="1:18" x14ac:dyDescent="0.25">
      <c r="A83" s="47">
        <v>392</v>
      </c>
      <c r="B83" s="47">
        <v>10</v>
      </c>
      <c r="C83" s="47" t="s">
        <v>0</v>
      </c>
      <c r="D83" s="47">
        <v>5</v>
      </c>
      <c r="E83" s="48">
        <f>VLOOKUP($A83,observed!$A$2:$I$138,5,FALSE)</f>
        <v>2.699999999999998</v>
      </c>
      <c r="F83" s="48">
        <f>VLOOKUP($A83,observed!$A$2:$I$138,6,FALSE)</f>
        <v>38.32</v>
      </c>
      <c r="G83" s="48">
        <f>VLOOKUP($A83,observed!$A$2:$I$138,7,FALSE)</f>
        <v>58.449999999999847</v>
      </c>
      <c r="H83" s="48">
        <f>VLOOKUP($A83,observed!$A$2:$I$138,8,FALSE)</f>
        <v>22.810000000000151</v>
      </c>
      <c r="I83" s="48">
        <f>VLOOKUP($A83,observed!$A$2:$I$138,9,FALSE)</f>
        <v>0</v>
      </c>
      <c r="J83" s="48">
        <f t="shared" si="8"/>
        <v>122.28</v>
      </c>
      <c r="K83" s="59">
        <f>IFERROR(VLOOKUP($A83,md[[route]:[boarding_EV]],2,FALSE),"")</f>
        <v>30.174592000000001</v>
      </c>
      <c r="L83" s="59">
        <f>IFERROR(VLOOKUP($A83,md[[route]:[boarding_EV]],3,FALSE),"")</f>
        <v>178.18450100000001</v>
      </c>
      <c r="M83" s="59">
        <f>IFERROR(VLOOKUP($A83,md[[route]:[boarding_EV]],4,FALSE),"")</f>
        <v>244.670075</v>
      </c>
      <c r="N83" s="59">
        <f>IFERROR(VLOOKUP($A83,md[[route]:[boarding_EV]],5,FALSE),"")</f>
        <v>312.82285400000001</v>
      </c>
      <c r="O83" s="59">
        <f>IFERROR(VLOOKUP($A83,md[[route]:[boarding_EV]],6,FALSE),"")</f>
        <v>123.7042</v>
      </c>
      <c r="P83" s="59">
        <f t="shared" si="9"/>
        <v>889.55622200000005</v>
      </c>
      <c r="Q83" s="290">
        <f t="shared" si="10"/>
        <v>6.2747482989859344</v>
      </c>
      <c r="R83" s="289">
        <f t="shared" si="11"/>
        <v>588712.80084659345</v>
      </c>
    </row>
    <row r="84" spans="1:18" x14ac:dyDescent="0.25">
      <c r="A84" s="47">
        <v>395</v>
      </c>
      <c r="B84" s="47">
        <v>10</v>
      </c>
      <c r="C84" s="47" t="s">
        <v>0</v>
      </c>
      <c r="D84" s="47">
        <v>5</v>
      </c>
      <c r="E84" s="48">
        <f>VLOOKUP($A84,observed!$A$2:$I$138,5,FALSE)</f>
        <v>0</v>
      </c>
      <c r="F84" s="48">
        <f>VLOOKUP($A84,observed!$A$2:$I$138,6,FALSE)</f>
        <v>23.456103896103897</v>
      </c>
      <c r="G84" s="48">
        <f>VLOOKUP($A84,observed!$A$2:$I$138,7,FALSE)</f>
        <v>69.818571428571346</v>
      </c>
      <c r="H84" s="48">
        <f>VLOOKUP($A84,observed!$A$2:$I$138,8,FALSE)</f>
        <v>49.915973009061013</v>
      </c>
      <c r="I84" s="48">
        <f>VLOOKUP($A84,observed!$A$2:$I$138,9,FALSE)</f>
        <v>42.437183209357279</v>
      </c>
      <c r="J84" s="48">
        <f t="shared" si="8"/>
        <v>185.62783154309352</v>
      </c>
      <c r="K84" s="59">
        <f>IFERROR(VLOOKUP($A84,md[[route]:[boarding_EV]],2,FALSE),"")</f>
        <v>8.3254079999999995</v>
      </c>
      <c r="L84" s="59">
        <f>IFERROR(VLOOKUP($A84,md[[route]:[boarding_EV]],3,FALSE),"")</f>
        <v>28.316405</v>
      </c>
      <c r="M84" s="59">
        <f>IFERROR(VLOOKUP($A84,md[[route]:[boarding_EV]],4,FALSE),"")</f>
        <v>70.079933999999994</v>
      </c>
      <c r="N84" s="59">
        <f>IFERROR(VLOOKUP($A84,md[[route]:[boarding_EV]],5,FALSE),"")</f>
        <v>45.410418</v>
      </c>
      <c r="O84" s="59">
        <f>IFERROR(VLOOKUP($A84,md[[route]:[boarding_EV]],6,FALSE),"")</f>
        <v>29.795797</v>
      </c>
      <c r="P84" s="59">
        <f t="shared" si="9"/>
        <v>181.92796199999998</v>
      </c>
      <c r="Q84" s="290">
        <f t="shared" si="10"/>
        <v>-1.9931653094997337E-2</v>
      </c>
      <c r="R84" s="289">
        <f t="shared" si="11"/>
        <v>13.689034635911209</v>
      </c>
    </row>
    <row r="85" spans="1:18" x14ac:dyDescent="0.25">
      <c r="A85" s="47">
        <v>444</v>
      </c>
      <c r="B85" s="47">
        <v>10</v>
      </c>
      <c r="C85" s="47" t="s">
        <v>0</v>
      </c>
      <c r="D85" s="47">
        <v>5</v>
      </c>
      <c r="E85" s="48">
        <f>VLOOKUP($A85,observed!$A$2:$I$138,5,FALSE)</f>
        <v>0</v>
      </c>
      <c r="F85" s="48">
        <f>VLOOKUP($A85,observed!$A$2:$I$138,6,FALSE)</f>
        <v>26.399999999999981</v>
      </c>
      <c r="G85" s="48">
        <f>VLOOKUP($A85,observed!$A$2:$I$138,7,FALSE)</f>
        <v>2.0000000000000195</v>
      </c>
      <c r="H85" s="48">
        <f>VLOOKUP($A85,observed!$A$2:$I$138,8,FALSE)</f>
        <v>22.2</v>
      </c>
      <c r="I85" s="48">
        <f>VLOOKUP($A85,observed!$A$2:$I$138,9,FALSE)</f>
        <v>0</v>
      </c>
      <c r="J85" s="48">
        <f t="shared" si="8"/>
        <v>50.599999999999994</v>
      </c>
      <c r="K85" s="59">
        <f>IFERROR(VLOOKUP($A85,md[[route]:[boarding_EV]],2,FALSE),"")</f>
        <v>0</v>
      </c>
      <c r="L85" s="59">
        <f>IFERROR(VLOOKUP($A85,md[[route]:[boarding_EV]],3,FALSE),"")</f>
        <v>28.695948999999999</v>
      </c>
      <c r="M85" s="59">
        <f>IFERROR(VLOOKUP($A85,md[[route]:[boarding_EV]],4,FALSE),"")</f>
        <v>0</v>
      </c>
      <c r="N85" s="59">
        <f>IFERROR(VLOOKUP($A85,md[[route]:[boarding_EV]],5,FALSE),"")</f>
        <v>38.999608000000002</v>
      </c>
      <c r="O85" s="59">
        <f>IFERROR(VLOOKUP($A85,md[[route]:[boarding_EV]],6,FALSE),"")</f>
        <v>0</v>
      </c>
      <c r="P85" s="59">
        <f t="shared" si="9"/>
        <v>67.695557000000008</v>
      </c>
      <c r="Q85" s="290">
        <f t="shared" si="10"/>
        <v>0.33785685770751028</v>
      </c>
      <c r="R85" s="289">
        <f t="shared" si="11"/>
        <v>292.25806914024946</v>
      </c>
    </row>
    <row r="86" spans="1:18" x14ac:dyDescent="0.25">
      <c r="A86" s="47">
        <v>445</v>
      </c>
      <c r="B86" s="47">
        <v>10</v>
      </c>
      <c r="C86" s="47" t="s">
        <v>0</v>
      </c>
      <c r="D86" s="47">
        <v>5</v>
      </c>
      <c r="E86" s="48">
        <f>VLOOKUP($A86,observed!$A$2:$I$138,5,FALSE)</f>
        <v>0</v>
      </c>
      <c r="F86" s="48">
        <f>VLOOKUP($A86,observed!$A$2:$I$138,6,FALSE)</f>
        <v>60.320000000000007</v>
      </c>
      <c r="G86" s="48">
        <f>VLOOKUP($A86,observed!$A$2:$I$138,7,FALSE)</f>
        <v>1.3999999999999955</v>
      </c>
      <c r="H86" s="48">
        <f>VLOOKUP($A86,observed!$A$2:$I$138,8,FALSE)</f>
        <v>45.73</v>
      </c>
      <c r="I86" s="48">
        <f>VLOOKUP($A86,observed!$A$2:$I$138,9,FALSE)</f>
        <v>0</v>
      </c>
      <c r="J86" s="48">
        <f t="shared" si="8"/>
        <v>107.45</v>
      </c>
      <c r="K86" s="59">
        <f>IFERROR(VLOOKUP($A86,md[[route]:[boarding_EV]],2,FALSE),"")</f>
        <v>0</v>
      </c>
      <c r="L86" s="59">
        <f>IFERROR(VLOOKUP($A86,md[[route]:[boarding_EV]],3,FALSE),"")</f>
        <v>125.28249700000001</v>
      </c>
      <c r="M86" s="59">
        <f>IFERROR(VLOOKUP($A86,md[[route]:[boarding_EV]],4,FALSE),"")</f>
        <v>0</v>
      </c>
      <c r="N86" s="59">
        <f>IFERROR(VLOOKUP($A86,md[[route]:[boarding_EV]],5,FALSE),"")</f>
        <v>207.76123999999999</v>
      </c>
      <c r="O86" s="59">
        <f>IFERROR(VLOOKUP($A86,md[[route]:[boarding_EV]],6,FALSE),"")</f>
        <v>0</v>
      </c>
      <c r="P86" s="59">
        <f t="shared" si="9"/>
        <v>333.04373699999996</v>
      </c>
      <c r="Q86" s="290">
        <f t="shared" si="10"/>
        <v>2.0995229129827822</v>
      </c>
      <c r="R86" s="289">
        <f t="shared" si="11"/>
        <v>50892.534173625158</v>
      </c>
    </row>
    <row r="87" spans="1:18" x14ac:dyDescent="0.25">
      <c r="A87" s="47">
        <v>446</v>
      </c>
      <c r="B87" s="47">
        <v>10</v>
      </c>
      <c r="C87" s="47" t="s">
        <v>0</v>
      </c>
      <c r="D87" s="47">
        <v>5</v>
      </c>
      <c r="E87" s="48">
        <f>VLOOKUP($A87,observed!$A$2:$I$138,5,FALSE)</f>
        <v>0</v>
      </c>
      <c r="F87" s="48">
        <f>VLOOKUP($A87,observed!$A$2:$I$138,6,FALSE)</f>
        <v>4</v>
      </c>
      <c r="G87" s="48">
        <f>VLOOKUP($A87,observed!$A$2:$I$138,7,FALSE)</f>
        <v>0</v>
      </c>
      <c r="H87" s="48">
        <f>VLOOKUP($A87,observed!$A$2:$I$138,8,FALSE)</f>
        <v>7.5</v>
      </c>
      <c r="I87" s="48">
        <f>VLOOKUP($A87,observed!$A$2:$I$138,9,FALSE)</f>
        <v>0</v>
      </c>
      <c r="J87" s="48">
        <f t="shared" si="8"/>
        <v>11.5</v>
      </c>
      <c r="K87" s="59">
        <f>IFERROR(VLOOKUP($A87,md[[route]:[boarding_EV]],2,FALSE),"")</f>
        <v>0</v>
      </c>
      <c r="L87" s="59">
        <f>IFERROR(VLOOKUP($A87,md[[route]:[boarding_EV]],3,FALSE),"")</f>
        <v>7.6666670000000003</v>
      </c>
      <c r="M87" s="59">
        <f>IFERROR(VLOOKUP($A87,md[[route]:[boarding_EV]],4,FALSE),"")</f>
        <v>0</v>
      </c>
      <c r="N87" s="59">
        <f>IFERROR(VLOOKUP($A87,md[[route]:[boarding_EV]],5,FALSE),"")</f>
        <v>13.736266000000001</v>
      </c>
      <c r="O87" s="59">
        <f>IFERROR(VLOOKUP($A87,md[[route]:[boarding_EV]],6,FALSE),"")</f>
        <v>0</v>
      </c>
      <c r="P87" s="59">
        <f t="shared" si="9"/>
        <v>21.402933000000001</v>
      </c>
      <c r="Q87" s="290">
        <f t="shared" si="10"/>
        <v>0.86112460869565233</v>
      </c>
      <c r="R87" s="289">
        <f t="shared" si="11"/>
        <v>98.068082002489021</v>
      </c>
    </row>
    <row r="88" spans="1:18" x14ac:dyDescent="0.25">
      <c r="A88" s="47">
        <v>701</v>
      </c>
      <c r="B88" s="47">
        <v>10</v>
      </c>
      <c r="C88" s="47" t="s">
        <v>0</v>
      </c>
      <c r="D88" s="47">
        <v>5</v>
      </c>
      <c r="E88" s="48">
        <f>VLOOKUP($A88,observed!$A$2:$I$138,5,FALSE)</f>
        <v>21.859999999999978</v>
      </c>
      <c r="F88" s="48">
        <f>VLOOKUP($A88,observed!$A$2:$I$138,6,FALSE)</f>
        <v>449.1447270615563</v>
      </c>
      <c r="G88" s="48">
        <f>VLOOKUP($A88,observed!$A$2:$I$138,7,FALSE)</f>
        <v>1055.8490837206834</v>
      </c>
      <c r="H88" s="48">
        <f>VLOOKUP($A88,observed!$A$2:$I$138,8,FALSE)</f>
        <v>412.02540490403544</v>
      </c>
      <c r="I88" s="48">
        <f>VLOOKUP($A88,observed!$A$2:$I$138,9,FALSE)</f>
        <v>83.360784313725162</v>
      </c>
      <c r="J88" s="48">
        <f t="shared" si="8"/>
        <v>2022.2400000000002</v>
      </c>
      <c r="K88" s="59">
        <f>IFERROR(VLOOKUP($A88,md[[route]:[boarding_EV]],2,FALSE),"")</f>
        <v>40.866432000000003</v>
      </c>
      <c r="L88" s="59">
        <f>IFERROR(VLOOKUP($A88,md[[route]:[boarding_EV]],3,FALSE),"")</f>
        <v>245.95923199999999</v>
      </c>
      <c r="M88" s="59">
        <f>IFERROR(VLOOKUP($A88,md[[route]:[boarding_EV]],4,FALSE),"")</f>
        <v>569.32453299999997</v>
      </c>
      <c r="N88" s="59">
        <f>IFERROR(VLOOKUP($A88,md[[route]:[boarding_EV]],5,FALSE),"")</f>
        <v>459.07203800000002</v>
      </c>
      <c r="O88" s="59">
        <f>IFERROR(VLOOKUP($A88,md[[route]:[boarding_EV]],6,FALSE),"")</f>
        <v>271.64394600000003</v>
      </c>
      <c r="P88" s="59">
        <f t="shared" si="9"/>
        <v>1586.8661809999999</v>
      </c>
      <c r="Q88" s="290">
        <f t="shared" si="10"/>
        <v>-0.21529285297491907</v>
      </c>
      <c r="R88" s="289">
        <f t="shared" si="11"/>
        <v>189550.36227064507</v>
      </c>
    </row>
    <row r="89" spans="1:18" x14ac:dyDescent="0.25">
      <c r="A89" s="47">
        <v>704</v>
      </c>
      <c r="B89" s="47">
        <v>10</v>
      </c>
      <c r="C89" s="47" t="s">
        <v>0</v>
      </c>
      <c r="D89" s="47">
        <v>5</v>
      </c>
      <c r="E89" s="48">
        <f>VLOOKUP($A89,observed!$A$2:$I$138,5,FALSE)</f>
        <v>44.65588235294117</v>
      </c>
      <c r="F89" s="48">
        <f>VLOOKUP($A89,observed!$A$2:$I$138,6,FALSE)</f>
        <v>374.45788453089801</v>
      </c>
      <c r="G89" s="48">
        <f>VLOOKUP($A89,observed!$A$2:$I$138,7,FALSE)</f>
        <v>842.98771663264301</v>
      </c>
      <c r="H89" s="48">
        <f>VLOOKUP($A89,observed!$A$2:$I$138,8,FALSE)</f>
        <v>393.1169093406611</v>
      </c>
      <c r="I89" s="48">
        <f>VLOOKUP($A89,observed!$A$2:$I$138,9,FALSE)</f>
        <v>100.72160714285677</v>
      </c>
      <c r="J89" s="48">
        <f t="shared" si="8"/>
        <v>1755.94</v>
      </c>
      <c r="K89" s="59">
        <f>IFERROR(VLOOKUP($A89,md[[route]:[boarding_EV]],2,FALSE),"")</f>
        <v>64.048232999999996</v>
      </c>
      <c r="L89" s="59">
        <f>IFERROR(VLOOKUP($A89,md[[route]:[boarding_EV]],3,FALSE),"")</f>
        <v>278.15364499999998</v>
      </c>
      <c r="M89" s="59">
        <f>IFERROR(VLOOKUP($A89,md[[route]:[boarding_EV]],4,FALSE),"")</f>
        <v>579.57673299999999</v>
      </c>
      <c r="N89" s="59">
        <f>IFERROR(VLOOKUP($A89,md[[route]:[boarding_EV]],5,FALSE),"")</f>
        <v>490.00456700000001</v>
      </c>
      <c r="O89" s="59">
        <f>IFERROR(VLOOKUP($A89,md[[route]:[boarding_EV]],6,FALSE),"")</f>
        <v>286.43142799999998</v>
      </c>
      <c r="P89" s="59">
        <f t="shared" si="9"/>
        <v>1698.214606</v>
      </c>
      <c r="Q89" s="290">
        <f t="shared" si="10"/>
        <v>-3.2874354476804424E-2</v>
      </c>
      <c r="R89" s="289">
        <f t="shared" si="11"/>
        <v>3332.2211124552418</v>
      </c>
    </row>
    <row r="90" spans="1:18" x14ac:dyDescent="0.25">
      <c r="A90" s="47">
        <v>705</v>
      </c>
      <c r="B90" s="47">
        <v>10</v>
      </c>
      <c r="C90" s="47" t="s">
        <v>0</v>
      </c>
      <c r="D90" s="47">
        <v>5</v>
      </c>
      <c r="E90" s="48">
        <f>VLOOKUP($A90,observed!$A$2:$I$138,5,FALSE)</f>
        <v>0</v>
      </c>
      <c r="F90" s="48">
        <f>VLOOKUP($A90,observed!$A$2:$I$138,6,FALSE)</f>
        <v>158.38</v>
      </c>
      <c r="G90" s="48">
        <f>VLOOKUP($A90,observed!$A$2:$I$138,7,FALSE)</f>
        <v>488.71826923076839</v>
      </c>
      <c r="H90" s="48">
        <f>VLOOKUP($A90,observed!$A$2:$I$138,8,FALSE)</f>
        <v>241.06173076923147</v>
      </c>
      <c r="I90" s="48">
        <f>VLOOKUP($A90,observed!$A$2:$I$138,9,FALSE)</f>
        <v>42.54</v>
      </c>
      <c r="J90" s="48">
        <f t="shared" si="8"/>
        <v>930.69999999999982</v>
      </c>
      <c r="K90" s="59">
        <f>IFERROR(VLOOKUP($A90,md[[route]:[boarding_EV]],2,FALSE),"")</f>
        <v>24.526582000000001</v>
      </c>
      <c r="L90" s="59">
        <f>IFERROR(VLOOKUP($A90,md[[route]:[boarding_EV]],3,FALSE),"")</f>
        <v>162.60947300000001</v>
      </c>
      <c r="M90" s="59">
        <f>IFERROR(VLOOKUP($A90,md[[route]:[boarding_EV]],4,FALSE),"")</f>
        <v>347.12248199999999</v>
      </c>
      <c r="N90" s="59">
        <f>IFERROR(VLOOKUP($A90,md[[route]:[boarding_EV]],5,FALSE),"")</f>
        <v>250.574996</v>
      </c>
      <c r="O90" s="59">
        <f>IFERROR(VLOOKUP($A90,md[[route]:[boarding_EV]],6,FALSE),"")</f>
        <v>147.87455199999999</v>
      </c>
      <c r="P90" s="59">
        <f t="shared" si="9"/>
        <v>932.70808499999998</v>
      </c>
      <c r="Q90" s="290">
        <f t="shared" si="10"/>
        <v>2.1576071773934391E-3</v>
      </c>
      <c r="R90" s="289">
        <f t="shared" si="11"/>
        <v>4.0324053672256612</v>
      </c>
    </row>
    <row r="91" spans="1:18" x14ac:dyDescent="0.25">
      <c r="A91" s="47">
        <v>707</v>
      </c>
      <c r="B91" s="47">
        <v>10</v>
      </c>
      <c r="C91" s="47" t="s">
        <v>0</v>
      </c>
      <c r="D91" s="47">
        <v>5</v>
      </c>
      <c r="E91" s="48">
        <f>VLOOKUP($A91,observed!$A$2:$I$138,5,FALSE)</f>
        <v>0</v>
      </c>
      <c r="F91" s="48">
        <f>VLOOKUP($A91,observed!$A$2:$I$138,6,FALSE)</f>
        <v>7.16</v>
      </c>
      <c r="G91" s="48">
        <f>VLOOKUP($A91,observed!$A$2:$I$138,7,FALSE)</f>
        <v>183.7</v>
      </c>
      <c r="H91" s="48">
        <f>VLOOKUP($A91,observed!$A$2:$I$138,8,FALSE)</f>
        <v>49.55</v>
      </c>
      <c r="I91" s="48">
        <f>VLOOKUP($A91,observed!$A$2:$I$138,9,FALSE)</f>
        <v>4.21</v>
      </c>
      <c r="J91" s="48">
        <f t="shared" si="8"/>
        <v>244.61999999999998</v>
      </c>
      <c r="K91" s="59">
        <f>IFERROR(VLOOKUP($A91,md[[route]:[boarding_EV]],2,FALSE),"")</f>
        <v>20.666667</v>
      </c>
      <c r="L91" s="59">
        <f>IFERROR(VLOOKUP($A91,md[[route]:[boarding_EV]],3,FALSE),"")</f>
        <v>0</v>
      </c>
      <c r="M91" s="59">
        <f>IFERROR(VLOOKUP($A91,md[[route]:[boarding_EV]],4,FALSE),"")</f>
        <v>263.11057</v>
      </c>
      <c r="N91" s="59">
        <f>IFERROR(VLOOKUP($A91,md[[route]:[boarding_EV]],5,FALSE),"")</f>
        <v>129.553214</v>
      </c>
      <c r="O91" s="59">
        <f>IFERROR(VLOOKUP($A91,md[[route]:[boarding_EV]],6,FALSE),"")</f>
        <v>122.39021099999999</v>
      </c>
      <c r="P91" s="59">
        <f t="shared" si="9"/>
        <v>535.72066200000006</v>
      </c>
      <c r="Q91" s="290">
        <f t="shared" si="10"/>
        <v>1.1900116997792498</v>
      </c>
      <c r="R91" s="289">
        <f t="shared" si="11"/>
        <v>84739.595416838274</v>
      </c>
    </row>
    <row r="92" spans="1:18" x14ac:dyDescent="0.25">
      <c r="A92" s="1">
        <v>709</v>
      </c>
      <c r="B92" s="1">
        <v>10</v>
      </c>
      <c r="C92" s="1" t="s">
        <v>0</v>
      </c>
      <c r="D92" s="1">
        <v>5</v>
      </c>
      <c r="E92" s="226">
        <v>43.507143228193165</v>
      </c>
      <c r="F92" s="226">
        <v>759.30706513791836</v>
      </c>
      <c r="G92" s="226">
        <v>1331.8942025669278</v>
      </c>
      <c r="H92" s="226">
        <v>637.24181990495003</v>
      </c>
      <c r="I92" s="226">
        <v>134.62923082624368</v>
      </c>
      <c r="J92" s="226">
        <f t="shared" si="8"/>
        <v>2906.5794616642333</v>
      </c>
      <c r="K92" s="227">
        <f>VLOOKUP($A92,readme!$T$26:$AE$138,2,FALSE)</f>
        <v>109.664807</v>
      </c>
      <c r="L92" s="227">
        <f>VLOOKUP($A92,readme!$T$26:$AE$138,3,FALSE)</f>
        <v>737.47344999999996</v>
      </c>
      <c r="M92" s="227">
        <f>VLOOKUP($A92,readme!$T$26:$AE$138,4,FALSE)</f>
        <v>1471.065701</v>
      </c>
      <c r="N92" s="227">
        <f>VLOOKUP($A92,readme!$T$26:$AE$138,5,FALSE)</f>
        <v>1157.6897799999999</v>
      </c>
      <c r="O92" s="227">
        <f>VLOOKUP($A92,readme!$T$26:$AE$138,6,FALSE)</f>
        <v>624.13193999999999</v>
      </c>
      <c r="P92" s="227">
        <f t="shared" si="9"/>
        <v>4100.025678</v>
      </c>
      <c r="Q92" s="295">
        <f t="shared" si="10"/>
        <v>0.41060161336598378</v>
      </c>
      <c r="R92" s="289">
        <f t="shared" si="11"/>
        <v>1424313.8712861575</v>
      </c>
    </row>
    <row r="93" spans="1:18" x14ac:dyDescent="0.25">
      <c r="A93" s="47">
        <v>712</v>
      </c>
      <c r="B93" s="47">
        <v>10</v>
      </c>
      <c r="C93" s="47" t="s">
        <v>0</v>
      </c>
      <c r="D93" s="47">
        <v>5</v>
      </c>
      <c r="E93" s="48">
        <f>VLOOKUP($A93,observed!$A$2:$I$138,5,FALSE)</f>
        <v>38.021538461538441</v>
      </c>
      <c r="F93" s="48">
        <f>VLOOKUP($A93,observed!$A$2:$I$138,6,FALSE)</f>
        <v>478.08443956043953</v>
      </c>
      <c r="G93" s="48">
        <f>VLOOKUP($A93,observed!$A$2:$I$138,7,FALSE)</f>
        <v>1183.410307692305</v>
      </c>
      <c r="H93" s="48">
        <f>VLOOKUP($A93,observed!$A$2:$I$138,8,FALSE)</f>
        <v>531.58621428571746</v>
      </c>
      <c r="I93" s="48">
        <f>VLOOKUP($A93,observed!$A$2:$I$138,9,FALSE)</f>
        <v>146.57749999999905</v>
      </c>
      <c r="J93" s="48">
        <f t="shared" si="8"/>
        <v>2377.6799999999994</v>
      </c>
      <c r="K93" s="59">
        <f>IFERROR(VLOOKUP($A93,md[[route]:[boarding_EV]],2,FALSE),"")</f>
        <v>57.740653000000002</v>
      </c>
      <c r="L93" s="59">
        <f>IFERROR(VLOOKUP($A93,md[[route]:[boarding_EV]],3,FALSE),"")</f>
        <v>467.95426099999997</v>
      </c>
      <c r="M93" s="59">
        <f>IFERROR(VLOOKUP($A93,md[[route]:[boarding_EV]],4,FALSE),"")</f>
        <v>960.62542499999995</v>
      </c>
      <c r="N93" s="59">
        <f>IFERROR(VLOOKUP($A93,md[[route]:[boarding_EV]],5,FALSE),"")</f>
        <v>765.54709500000001</v>
      </c>
      <c r="O93" s="59">
        <f>IFERROR(VLOOKUP($A93,md[[route]:[boarding_EV]],6,FALSE),"")</f>
        <v>382.51138500000002</v>
      </c>
      <c r="P93" s="59">
        <f t="shared" si="9"/>
        <v>2634.3788189999996</v>
      </c>
      <c r="Q93" s="290">
        <f t="shared" si="10"/>
        <v>0.1079618867972143</v>
      </c>
      <c r="R93" s="289">
        <f t="shared" si="11"/>
        <v>65894.283675994855</v>
      </c>
    </row>
    <row r="94" spans="1:18" x14ac:dyDescent="0.25">
      <c r="A94" s="47">
        <v>815</v>
      </c>
      <c r="B94" s="47">
        <v>10</v>
      </c>
      <c r="C94" s="47" t="s">
        <v>0</v>
      </c>
      <c r="D94" s="47">
        <v>5</v>
      </c>
      <c r="E94" s="48">
        <f>VLOOKUP($A94,observed!$A$2:$I$138,5,FALSE)</f>
        <v>26.380999999999979</v>
      </c>
      <c r="F94" s="48">
        <f>VLOOKUP($A94,observed!$A$2:$I$138,6,FALSE)</f>
        <v>155.13240659340664</v>
      </c>
      <c r="G94" s="48">
        <f>VLOOKUP($A94,observed!$A$2:$I$138,7,FALSE)</f>
        <v>503.28890109890023</v>
      </c>
      <c r="H94" s="48">
        <f>VLOOKUP($A94,observed!$A$2:$I$138,8,FALSE)</f>
        <v>198.557692307693</v>
      </c>
      <c r="I94" s="48">
        <f>VLOOKUP($A94,observed!$A$2:$I$138,9,FALSE)</f>
        <v>64.84</v>
      </c>
      <c r="J94" s="48">
        <f t="shared" si="8"/>
        <v>948.19999999999993</v>
      </c>
      <c r="K94" s="59">
        <f>IFERROR(VLOOKUP($A94,md[[route]:[boarding_EV]],2,FALSE),"")</f>
        <v>9.1141079999999999</v>
      </c>
      <c r="L94" s="59">
        <f>IFERROR(VLOOKUP($A94,md[[route]:[boarding_EV]],3,FALSE),"")</f>
        <v>69.740253999999993</v>
      </c>
      <c r="M94" s="59">
        <f>IFERROR(VLOOKUP($A94,md[[route]:[boarding_EV]],4,FALSE),"")</f>
        <v>151.69699</v>
      </c>
      <c r="N94" s="59">
        <f>IFERROR(VLOOKUP($A94,md[[route]:[boarding_EV]],5,FALSE),"")</f>
        <v>135.707044</v>
      </c>
      <c r="O94" s="59">
        <f>IFERROR(VLOOKUP($A94,md[[route]:[boarding_EV]],6,FALSE),"")</f>
        <v>65.852183999999994</v>
      </c>
      <c r="P94" s="59">
        <f t="shared" si="9"/>
        <v>432.11058000000003</v>
      </c>
      <c r="Q94" s="290">
        <f t="shared" si="10"/>
        <v>-0.54428329466357295</v>
      </c>
      <c r="R94" s="289">
        <f t="shared" si="11"/>
        <v>266348.28943593631</v>
      </c>
    </row>
    <row r="95" spans="1:18" x14ac:dyDescent="0.25">
      <c r="A95" s="47">
        <v>816</v>
      </c>
      <c r="B95" s="47">
        <v>10</v>
      </c>
      <c r="C95" s="47" t="s">
        <v>0</v>
      </c>
      <c r="D95" s="47">
        <v>5</v>
      </c>
      <c r="E95" s="48">
        <f>VLOOKUP($A95,observed!$A$2:$I$138,5,FALSE)</f>
        <v>33.353999999999999</v>
      </c>
      <c r="F95" s="48">
        <f>VLOOKUP($A95,observed!$A$2:$I$138,6,FALSE)</f>
        <v>214.10672192513371</v>
      </c>
      <c r="G95" s="48">
        <f>VLOOKUP($A95,observed!$A$2:$I$138,7,FALSE)</f>
        <v>614.47593582887646</v>
      </c>
      <c r="H95" s="48">
        <f>VLOOKUP($A95,observed!$A$2:$I$138,8,FALSE)</f>
        <v>257.01690474599008</v>
      </c>
      <c r="I95" s="48">
        <f>VLOOKUP($A95,observed!$A$2:$I$138,9,FALSE)</f>
        <v>11.506437499999743</v>
      </c>
      <c r="J95" s="48">
        <f t="shared" si="8"/>
        <v>1130.46</v>
      </c>
      <c r="K95" s="59">
        <f>IFERROR(VLOOKUP($A95,md[[route]:[boarding_EV]],2,FALSE),"")</f>
        <v>27.780774000000001</v>
      </c>
      <c r="L95" s="59">
        <f>IFERROR(VLOOKUP($A95,md[[route]:[boarding_EV]],3,FALSE),"")</f>
        <v>222.72919300000001</v>
      </c>
      <c r="M95" s="59">
        <f>IFERROR(VLOOKUP($A95,md[[route]:[boarding_EV]],4,FALSE),"")</f>
        <v>453.41344800000002</v>
      </c>
      <c r="N95" s="59">
        <f>IFERROR(VLOOKUP($A95,md[[route]:[boarding_EV]],5,FALSE),"")</f>
        <v>363.12747999999999</v>
      </c>
      <c r="O95" s="59">
        <f>IFERROR(VLOOKUP($A95,md[[route]:[boarding_EV]],6,FALSE),"")</f>
        <v>204.47504699999999</v>
      </c>
      <c r="P95" s="59">
        <f t="shared" si="9"/>
        <v>1271.5259419999998</v>
      </c>
      <c r="Q95" s="290">
        <f t="shared" si="10"/>
        <v>0.12478631884365621</v>
      </c>
      <c r="R95" s="289">
        <f t="shared" si="11"/>
        <v>19899.599992347285</v>
      </c>
    </row>
    <row r="96" spans="1:18" x14ac:dyDescent="0.25">
      <c r="A96" s="47">
        <v>832</v>
      </c>
      <c r="B96" s="47">
        <v>10</v>
      </c>
      <c r="C96" s="47" t="s">
        <v>0</v>
      </c>
      <c r="D96" s="47">
        <v>5</v>
      </c>
      <c r="E96" s="48">
        <f>VLOOKUP($A96,observed!$A$2:$I$138,5,FALSE)</f>
        <v>0</v>
      </c>
      <c r="F96" s="48">
        <f>VLOOKUP($A96,observed!$A$2:$I$138,6,FALSE)</f>
        <v>65.459999999999994</v>
      </c>
      <c r="G96" s="48">
        <f>VLOOKUP($A96,observed!$A$2:$I$138,7,FALSE)</f>
        <v>90.21</v>
      </c>
      <c r="H96" s="48">
        <f>VLOOKUP($A96,observed!$A$2:$I$138,8,FALSE)</f>
        <v>38.81</v>
      </c>
      <c r="I96" s="48">
        <f>VLOOKUP($A96,observed!$A$2:$I$138,9,FALSE)</f>
        <v>0</v>
      </c>
      <c r="J96" s="48">
        <f t="shared" si="8"/>
        <v>194.48</v>
      </c>
      <c r="K96" s="59">
        <f>IFERROR(VLOOKUP($A96,md[[route]:[boarding_EV]],2,FALSE),"")</f>
        <v>7.4285709999999998</v>
      </c>
      <c r="L96" s="59">
        <f>IFERROR(VLOOKUP($A96,md[[route]:[boarding_EV]],3,FALSE),"")</f>
        <v>52.833333000000003</v>
      </c>
      <c r="M96" s="59">
        <f>IFERROR(VLOOKUP($A96,md[[route]:[boarding_EV]],4,FALSE),"")</f>
        <v>93.476532000000006</v>
      </c>
      <c r="N96" s="59">
        <f>IFERROR(VLOOKUP($A96,md[[route]:[boarding_EV]],5,FALSE),"")</f>
        <v>152.02829600000001</v>
      </c>
      <c r="O96" s="59">
        <f>IFERROR(VLOOKUP($A96,md[[route]:[boarding_EV]],6,FALSE),"")</f>
        <v>86.358751999999996</v>
      </c>
      <c r="P96" s="59">
        <f t="shared" si="9"/>
        <v>392.12548400000003</v>
      </c>
      <c r="Q96" s="290">
        <f t="shared" si="10"/>
        <v>1.016276655697244</v>
      </c>
      <c r="R96" s="289">
        <f t="shared" si="11"/>
        <v>39063.737345594272</v>
      </c>
    </row>
    <row r="97" spans="1:18" x14ac:dyDescent="0.25">
      <c r="A97" s="47">
        <v>833</v>
      </c>
      <c r="B97" s="47">
        <v>10</v>
      </c>
      <c r="C97" s="47" t="s">
        <v>0</v>
      </c>
      <c r="D97" s="47">
        <v>5</v>
      </c>
      <c r="E97" s="48">
        <f>VLOOKUP($A97,observed!$A$2:$I$138,5,FALSE)</f>
        <v>13.333333333333311</v>
      </c>
      <c r="F97" s="48">
        <f>VLOOKUP($A97,observed!$A$2:$I$138,6,FALSE)</f>
        <v>113.9569892473118</v>
      </c>
      <c r="G97" s="48">
        <f>VLOOKUP($A97,observed!$A$2:$I$138,7,FALSE)</f>
        <v>258.86432637571119</v>
      </c>
      <c r="H97" s="48">
        <f>VLOOKUP($A97,observed!$A$2:$I$138,8,FALSE)</f>
        <v>129.84535104364372</v>
      </c>
      <c r="I97" s="48">
        <f>VLOOKUP($A97,observed!$A$2:$I$138,9,FALSE)</f>
        <v>0</v>
      </c>
      <c r="J97" s="48">
        <f t="shared" si="8"/>
        <v>516</v>
      </c>
      <c r="K97" s="59">
        <f>IFERROR(VLOOKUP($A97,md[[route]:[boarding_EV]],2,FALSE),"")</f>
        <v>12.336114999999999</v>
      </c>
      <c r="L97" s="59">
        <f>IFERROR(VLOOKUP($A97,md[[route]:[boarding_EV]],3,FALSE),"")</f>
        <v>65.404967999999997</v>
      </c>
      <c r="M97" s="59">
        <f>IFERROR(VLOOKUP($A97,md[[route]:[boarding_EV]],4,FALSE),"")</f>
        <v>153.64454799999999</v>
      </c>
      <c r="N97" s="59">
        <f>IFERROR(VLOOKUP($A97,md[[route]:[boarding_EV]],5,FALSE),"")</f>
        <v>174.061769</v>
      </c>
      <c r="O97" s="59">
        <f>IFERROR(VLOOKUP($A97,md[[route]:[boarding_EV]],6,FALSE),"")</f>
        <v>83.782393999999996</v>
      </c>
      <c r="P97" s="59">
        <f t="shared" si="9"/>
        <v>489.22979400000003</v>
      </c>
      <c r="Q97" s="290">
        <f t="shared" si="10"/>
        <v>-5.188024418604642E-2</v>
      </c>
      <c r="R97" s="289">
        <f t="shared" si="11"/>
        <v>716.64392928243456</v>
      </c>
    </row>
    <row r="98" spans="1:18" x14ac:dyDescent="0.25">
      <c r="A98" s="47">
        <v>834</v>
      </c>
      <c r="B98" s="47">
        <v>10</v>
      </c>
      <c r="C98" s="47" t="s">
        <v>0</v>
      </c>
      <c r="D98" s="47">
        <v>5</v>
      </c>
      <c r="E98" s="48">
        <f>VLOOKUP($A98,observed!$A$2:$I$138,5,FALSE)</f>
        <v>0</v>
      </c>
      <c r="F98" s="48">
        <f>VLOOKUP($A98,observed!$A$2:$I$138,6,FALSE)</f>
        <v>37.33</v>
      </c>
      <c r="G98" s="48">
        <f>VLOOKUP($A98,observed!$A$2:$I$138,7,FALSE)</f>
        <v>52.446461538461392</v>
      </c>
      <c r="H98" s="48">
        <f>VLOOKUP($A98,observed!$A$2:$I$138,8,FALSE)</f>
        <v>1.527866722028648E-13</v>
      </c>
      <c r="I98" s="48">
        <f>VLOOKUP($A98,observed!$A$2:$I$138,9,FALSE)</f>
        <v>0</v>
      </c>
      <c r="J98" s="48">
        <f t="shared" si="8"/>
        <v>89.776461538461547</v>
      </c>
      <c r="K98" s="59">
        <f>IFERROR(VLOOKUP($A98,md[[route]:[boarding_EV]],2,FALSE),"")</f>
        <v>2</v>
      </c>
      <c r="L98" s="59">
        <f>IFERROR(VLOOKUP($A98,md[[route]:[boarding_EV]],3,FALSE),"")</f>
        <v>29.5</v>
      </c>
      <c r="M98" s="59">
        <f>IFERROR(VLOOKUP($A98,md[[route]:[boarding_EV]],4,FALSE),"")</f>
        <v>93.5</v>
      </c>
      <c r="N98" s="59">
        <f>IFERROR(VLOOKUP($A98,md[[route]:[boarding_EV]],5,FALSE),"")</f>
        <v>0</v>
      </c>
      <c r="O98" s="59">
        <f>IFERROR(VLOOKUP($A98,md[[route]:[boarding_EV]],6,FALSE),"")</f>
        <v>39</v>
      </c>
      <c r="P98" s="59">
        <f t="shared" si="9"/>
        <v>164</v>
      </c>
      <c r="Q98" s="290">
        <f t="shared" si="10"/>
        <v>0.82675945553657182</v>
      </c>
      <c r="R98" s="289">
        <f t="shared" si="11"/>
        <v>5509.133661751478</v>
      </c>
    </row>
    <row r="99" spans="1:18" x14ac:dyDescent="0.25">
      <c r="A99" s="47">
        <v>848</v>
      </c>
      <c r="B99" s="47">
        <v>10</v>
      </c>
      <c r="C99" s="47" t="s">
        <v>0</v>
      </c>
      <c r="D99" s="47">
        <v>5</v>
      </c>
      <c r="E99" s="48">
        <f>VLOOKUP($A99,observed!$A$2:$I$138,5,FALSE)</f>
        <v>55.052166666666658</v>
      </c>
      <c r="F99" s="48">
        <f>VLOOKUP($A99,observed!$A$2:$I$138,6,FALSE)</f>
        <v>256.97401754385965</v>
      </c>
      <c r="G99" s="48">
        <f>VLOOKUP($A99,observed!$A$2:$I$138,7,FALSE)</f>
        <v>596.3902965587032</v>
      </c>
      <c r="H99" s="48">
        <f>VLOOKUP($A99,observed!$A$2:$I$138,8,FALSE)</f>
        <v>316.06718589743753</v>
      </c>
      <c r="I99" s="48">
        <f>VLOOKUP($A99,observed!$A$2:$I$138,9,FALSE)</f>
        <v>100.29633333333294</v>
      </c>
      <c r="J99" s="48">
        <f t="shared" si="8"/>
        <v>1324.78</v>
      </c>
      <c r="K99" s="59">
        <f>IFERROR(VLOOKUP($A99,md[[route]:[boarding_EV]],2,FALSE),"")</f>
        <v>36.743121000000002</v>
      </c>
      <c r="L99" s="59">
        <f>IFERROR(VLOOKUP($A99,md[[route]:[boarding_EV]],3,FALSE),"")</f>
        <v>163.94429099999999</v>
      </c>
      <c r="M99" s="59">
        <f>IFERROR(VLOOKUP($A99,md[[route]:[boarding_EV]],4,FALSE),"")</f>
        <v>354.90718099999998</v>
      </c>
      <c r="N99" s="59">
        <f>IFERROR(VLOOKUP($A99,md[[route]:[boarding_EV]],5,FALSE),"")</f>
        <v>289.22050200000001</v>
      </c>
      <c r="O99" s="59">
        <f>IFERROR(VLOOKUP($A99,md[[route]:[boarding_EV]],6,FALSE),"")</f>
        <v>158.675848</v>
      </c>
      <c r="P99" s="59">
        <f t="shared" si="9"/>
        <v>1003.490943</v>
      </c>
      <c r="Q99" s="290">
        <f t="shared" si="10"/>
        <v>-0.24252257506906805</v>
      </c>
      <c r="R99" s="289">
        <f t="shared" si="11"/>
        <v>103226.65814794922</v>
      </c>
    </row>
    <row r="100" spans="1:18" x14ac:dyDescent="0.25">
      <c r="A100" s="47">
        <v>851</v>
      </c>
      <c r="B100" s="47">
        <v>10</v>
      </c>
      <c r="C100" s="47" t="s">
        <v>0</v>
      </c>
      <c r="D100" s="47">
        <v>5</v>
      </c>
      <c r="E100" s="48">
        <f>VLOOKUP($A100,observed!$A$2:$I$138,5,FALSE)</f>
        <v>22.000000000000011</v>
      </c>
      <c r="F100" s="48">
        <f>VLOOKUP($A100,observed!$A$2:$I$138,6,FALSE)</f>
        <v>98.222222222222229</v>
      </c>
      <c r="G100" s="48">
        <f>VLOOKUP($A100,observed!$A$2:$I$138,7,FALSE)</f>
        <v>111.77777777777776</v>
      </c>
      <c r="H100" s="48">
        <f>VLOOKUP($A100,observed!$A$2:$I$138,8,FALSE)</f>
        <v>98</v>
      </c>
      <c r="I100" s="48">
        <f>VLOOKUP($A100,observed!$A$2:$I$138,9,FALSE)</f>
        <v>0</v>
      </c>
      <c r="J100" s="48">
        <f t="shared" si="8"/>
        <v>330</v>
      </c>
      <c r="K100" s="59">
        <f>IFERROR(VLOOKUP($A100,md[[route]:[boarding_EV]],2,FALSE),"")</f>
        <v>4.6171290000000003</v>
      </c>
      <c r="L100" s="59">
        <f>IFERROR(VLOOKUP($A100,md[[route]:[boarding_EV]],3,FALSE),"")</f>
        <v>30.248899000000002</v>
      </c>
      <c r="M100" s="59">
        <f>IFERROR(VLOOKUP($A100,md[[route]:[boarding_EV]],4,FALSE),"")</f>
        <v>69.117310000000003</v>
      </c>
      <c r="N100" s="59">
        <f>IFERROR(VLOOKUP($A100,md[[route]:[boarding_EV]],5,FALSE),"")</f>
        <v>40.876710000000003</v>
      </c>
      <c r="O100" s="59">
        <f>IFERROR(VLOOKUP($A100,md[[route]:[boarding_EV]],6,FALSE),"")</f>
        <v>48.340944</v>
      </c>
      <c r="P100" s="59">
        <f t="shared" si="9"/>
        <v>193.20099200000001</v>
      </c>
      <c r="Q100" s="290">
        <f t="shared" si="10"/>
        <v>-0.41454244848484845</v>
      </c>
      <c r="R100" s="289">
        <f t="shared" si="11"/>
        <v>18713.968589784061</v>
      </c>
    </row>
    <row r="101" spans="1:18" x14ac:dyDescent="0.25">
      <c r="A101" s="47">
        <v>854</v>
      </c>
      <c r="B101" s="47">
        <v>10</v>
      </c>
      <c r="C101" s="47" t="s">
        <v>0</v>
      </c>
      <c r="D101" s="47">
        <v>5</v>
      </c>
      <c r="E101" s="48">
        <f>VLOOKUP($A101,observed!$A$2:$I$138,5,FALSE)</f>
        <v>6.56</v>
      </c>
      <c r="F101" s="48">
        <f>VLOOKUP($A101,observed!$A$2:$I$138,6,FALSE)</f>
        <v>142.67499999999998</v>
      </c>
      <c r="G101" s="48">
        <f>VLOOKUP($A101,observed!$A$2:$I$138,7,FALSE)</f>
        <v>507.91318181818156</v>
      </c>
      <c r="H101" s="48">
        <f>VLOOKUP($A101,observed!$A$2:$I$138,8,FALSE)</f>
        <v>178.51931818181865</v>
      </c>
      <c r="I101" s="48">
        <f>VLOOKUP($A101,observed!$A$2:$I$138,9,FALSE)</f>
        <v>48.592499999999788</v>
      </c>
      <c r="J101" s="48">
        <f t="shared" si="8"/>
        <v>884.26</v>
      </c>
      <c r="K101" s="59">
        <f>IFERROR(VLOOKUP($A101,md[[route]:[boarding_EV]],2,FALSE),"")</f>
        <v>11.044824999999999</v>
      </c>
      <c r="L101" s="59">
        <f>IFERROR(VLOOKUP($A101,md[[route]:[boarding_EV]],3,FALSE),"")</f>
        <v>200.99088</v>
      </c>
      <c r="M101" s="59">
        <f>IFERROR(VLOOKUP($A101,md[[route]:[boarding_EV]],4,FALSE),"")</f>
        <v>359.308649</v>
      </c>
      <c r="N101" s="59">
        <f>IFERROR(VLOOKUP($A101,md[[route]:[boarding_EV]],5,FALSE),"")</f>
        <v>278.66420099999999</v>
      </c>
      <c r="O101" s="59">
        <f>IFERROR(VLOOKUP($A101,md[[route]:[boarding_EV]],6,FALSE),"")</f>
        <v>160.25513100000001</v>
      </c>
      <c r="P101" s="59">
        <f t="shared" si="9"/>
        <v>1010.2636860000001</v>
      </c>
      <c r="Q101" s="290">
        <f t="shared" si="10"/>
        <v>0.14249619568905092</v>
      </c>
      <c r="R101" s="289">
        <f t="shared" si="11"/>
        <v>15876.928885586629</v>
      </c>
    </row>
    <row r="102" spans="1:18" x14ac:dyDescent="0.25">
      <c r="A102" s="47">
        <v>855</v>
      </c>
      <c r="B102" s="47">
        <v>10</v>
      </c>
      <c r="C102" s="47" t="s">
        <v>0</v>
      </c>
      <c r="D102" s="47">
        <v>5</v>
      </c>
      <c r="E102" s="48">
        <f>VLOOKUP($A102,observed!$A$2:$I$138,5,FALSE)</f>
        <v>18.71</v>
      </c>
      <c r="F102" s="48">
        <f>VLOOKUP($A102,observed!$A$2:$I$138,6,FALSE)</f>
        <v>219.78</v>
      </c>
      <c r="G102" s="48">
        <f>VLOOKUP($A102,observed!$A$2:$I$138,7,FALSE)</f>
        <v>441.30999999999995</v>
      </c>
      <c r="H102" s="48">
        <f>VLOOKUP($A102,observed!$A$2:$I$138,8,FALSE)</f>
        <v>209.48999999999995</v>
      </c>
      <c r="I102" s="48">
        <f>VLOOKUP($A102,observed!$A$2:$I$138,9,FALSE)</f>
        <v>85.95</v>
      </c>
      <c r="J102" s="48">
        <f t="shared" si="8"/>
        <v>975.24</v>
      </c>
      <c r="K102" s="59">
        <f>IFERROR(VLOOKUP($A102,md[[route]:[boarding_EV]],2,FALSE),"")</f>
        <v>11.5</v>
      </c>
      <c r="L102" s="59">
        <f>IFERROR(VLOOKUP($A102,md[[route]:[boarding_EV]],3,FALSE),"")</f>
        <v>76.974187999999998</v>
      </c>
      <c r="M102" s="59">
        <f>IFERROR(VLOOKUP($A102,md[[route]:[boarding_EV]],4,FALSE),"")</f>
        <v>175.52974</v>
      </c>
      <c r="N102" s="59">
        <f>IFERROR(VLOOKUP($A102,md[[route]:[boarding_EV]],5,FALSE),"")</f>
        <v>146.38347999999999</v>
      </c>
      <c r="O102" s="59">
        <f>IFERROR(VLOOKUP($A102,md[[route]:[boarding_EV]],6,FALSE),"")</f>
        <v>90.5</v>
      </c>
      <c r="P102" s="59">
        <f t="shared" si="9"/>
        <v>500.88740799999994</v>
      </c>
      <c r="Q102" s="290">
        <f t="shared" si="10"/>
        <v>-0.48639575078954933</v>
      </c>
      <c r="R102" s="289">
        <f t="shared" si="11"/>
        <v>225010.38153711852</v>
      </c>
    </row>
    <row r="103" spans="1:18" x14ac:dyDescent="0.25">
      <c r="A103" s="47">
        <v>856</v>
      </c>
      <c r="B103" s="47">
        <v>10</v>
      </c>
      <c r="C103" s="47" t="s">
        <v>0</v>
      </c>
      <c r="D103" s="47">
        <v>5</v>
      </c>
      <c r="E103" s="48">
        <f>VLOOKUP($A103,observed!$A$2:$I$138,5,FALSE)</f>
        <v>78.586660965013536</v>
      </c>
      <c r="F103" s="48">
        <f>VLOOKUP($A103,observed!$A$2:$I$138,6,FALSE)</f>
        <v>469.68094596332122</v>
      </c>
      <c r="G103" s="48">
        <f>VLOOKUP($A103,observed!$A$2:$I$138,7,FALSE)</f>
        <v>1070.126568937671</v>
      </c>
      <c r="H103" s="48">
        <f>VLOOKUP($A103,observed!$A$2:$I$138,8,FALSE)</f>
        <v>600.29093310617952</v>
      </c>
      <c r="I103" s="48">
        <f>VLOOKUP($A103,observed!$A$2:$I$138,9,FALSE)</f>
        <v>189.92489102781479</v>
      </c>
      <c r="J103" s="48">
        <f t="shared" si="8"/>
        <v>2408.61</v>
      </c>
      <c r="K103" s="59">
        <f>IFERROR(VLOOKUP($A103,md[[route]:[boarding_EV]],2,FALSE),"")</f>
        <v>58.496006000000001</v>
      </c>
      <c r="L103" s="59">
        <f>IFERROR(VLOOKUP($A103,md[[route]:[boarding_EV]],3,FALSE),"")</f>
        <v>476.36087300000003</v>
      </c>
      <c r="M103" s="59">
        <f>IFERROR(VLOOKUP($A103,md[[route]:[boarding_EV]],4,FALSE),"")</f>
        <v>1104.754179</v>
      </c>
      <c r="N103" s="59">
        <f>IFERROR(VLOOKUP($A103,md[[route]:[boarding_EV]],5,FALSE),"")</f>
        <v>794.46919800000001</v>
      </c>
      <c r="O103" s="59">
        <f>IFERROR(VLOOKUP($A103,md[[route]:[boarding_EV]],6,FALSE),"")</f>
        <v>472.90413100000001</v>
      </c>
      <c r="P103" s="59">
        <f t="shared" si="9"/>
        <v>2906.9843870000004</v>
      </c>
      <c r="Q103" s="290">
        <f t="shared" si="10"/>
        <v>0.2069136917143084</v>
      </c>
      <c r="R103" s="289">
        <f t="shared" si="11"/>
        <v>248377.02961762607</v>
      </c>
    </row>
    <row r="104" spans="1:18" x14ac:dyDescent="0.25">
      <c r="A104" s="47">
        <v>864</v>
      </c>
      <c r="B104" s="47">
        <v>10</v>
      </c>
      <c r="C104" s="47" t="s">
        <v>0</v>
      </c>
      <c r="D104" s="47">
        <v>5</v>
      </c>
      <c r="E104" s="48">
        <f>VLOOKUP($A104,observed!$A$2:$I$138,5,FALSE)</f>
        <v>37.354210526315804</v>
      </c>
      <c r="F104" s="48">
        <f>VLOOKUP($A104,observed!$A$2:$I$138,6,FALSE)</f>
        <v>270.41131328320802</v>
      </c>
      <c r="G104" s="48">
        <f>VLOOKUP($A104,observed!$A$2:$I$138,7,FALSE)</f>
        <v>602.30841418614943</v>
      </c>
      <c r="H104" s="48">
        <f>VLOOKUP($A104,observed!$A$2:$I$138,8,FALSE)</f>
        <v>301.31342556066511</v>
      </c>
      <c r="I104" s="48">
        <f>VLOOKUP($A104,observed!$A$2:$I$138,9,FALSE)</f>
        <v>155.9126364436616</v>
      </c>
      <c r="J104" s="48">
        <f t="shared" si="8"/>
        <v>1367.3</v>
      </c>
      <c r="K104" s="59">
        <f>IFERROR(VLOOKUP($A104,md[[route]:[boarding_EV]],2,FALSE),"")</f>
        <v>37.023997999999999</v>
      </c>
      <c r="L104" s="59">
        <f>IFERROR(VLOOKUP($A104,md[[route]:[boarding_EV]],3,FALSE),"")</f>
        <v>142.41934499999999</v>
      </c>
      <c r="M104" s="59">
        <f>IFERROR(VLOOKUP($A104,md[[route]:[boarding_EV]],4,FALSE),"")</f>
        <v>393.59711099999998</v>
      </c>
      <c r="N104" s="59">
        <f>IFERROR(VLOOKUP($A104,md[[route]:[boarding_EV]],5,FALSE),"")</f>
        <v>354.65919000000002</v>
      </c>
      <c r="O104" s="59">
        <f>IFERROR(VLOOKUP($A104,md[[route]:[boarding_EV]],6,FALSE),"")</f>
        <v>204.74811099999999</v>
      </c>
      <c r="P104" s="59">
        <f t="shared" si="9"/>
        <v>1132.4477550000001</v>
      </c>
      <c r="Q104" s="290">
        <f t="shared" si="10"/>
        <v>-0.17176350837416798</v>
      </c>
      <c r="R104" s="289">
        <f t="shared" si="11"/>
        <v>55155.57698153994</v>
      </c>
    </row>
    <row r="105" spans="1:18" x14ac:dyDescent="0.25">
      <c r="A105" s="47">
        <v>871</v>
      </c>
      <c r="B105" s="47">
        <v>10</v>
      </c>
      <c r="C105" s="47" t="s">
        <v>0</v>
      </c>
      <c r="D105" s="47">
        <v>5</v>
      </c>
      <c r="E105" s="48">
        <f>VLOOKUP($A105,observed!$A$2:$I$138,5,FALSE)</f>
        <v>4.43</v>
      </c>
      <c r="F105" s="48">
        <f>VLOOKUP($A105,observed!$A$2:$I$138,6,FALSE)</f>
        <v>36.39</v>
      </c>
      <c r="G105" s="48">
        <f>VLOOKUP($A105,observed!$A$2:$I$138,7,FALSE)</f>
        <v>103.89666666666645</v>
      </c>
      <c r="H105" s="48">
        <f>VLOOKUP($A105,observed!$A$2:$I$138,8,FALSE)</f>
        <v>47.923333333333574</v>
      </c>
      <c r="I105" s="48">
        <f>VLOOKUP($A105,observed!$A$2:$I$138,9,FALSE)</f>
        <v>20.88</v>
      </c>
      <c r="J105" s="48">
        <f t="shared" si="8"/>
        <v>213.52</v>
      </c>
      <c r="K105" s="59">
        <f>IFERROR(VLOOKUP($A105,md[[route]:[boarding_EV]],2,FALSE),"")</f>
        <v>6.5200019999999999</v>
      </c>
      <c r="L105" s="59">
        <f>IFERROR(VLOOKUP($A105,md[[route]:[boarding_EV]],3,FALSE),"")</f>
        <v>31.447338999999999</v>
      </c>
      <c r="M105" s="59">
        <f>IFERROR(VLOOKUP($A105,md[[route]:[boarding_EV]],4,FALSE),"")</f>
        <v>71.854275000000001</v>
      </c>
      <c r="N105" s="59">
        <f>IFERROR(VLOOKUP($A105,md[[route]:[boarding_EV]],5,FALSE),"")</f>
        <v>61.244459999999997</v>
      </c>
      <c r="O105" s="59">
        <f>IFERROR(VLOOKUP($A105,md[[route]:[boarding_EV]],6,FALSE),"")</f>
        <v>32.135058000000001</v>
      </c>
      <c r="P105" s="59">
        <f t="shared" si="9"/>
        <v>203.20113400000002</v>
      </c>
      <c r="Q105" s="290">
        <f t="shared" si="10"/>
        <v>-4.8327397901835822E-2</v>
      </c>
      <c r="R105" s="289">
        <f t="shared" si="11"/>
        <v>106.47899552595571</v>
      </c>
    </row>
    <row r="106" spans="1:18" x14ac:dyDescent="0.25">
      <c r="A106" s="47">
        <v>872</v>
      </c>
      <c r="B106" s="47">
        <v>10</v>
      </c>
      <c r="C106" s="47" t="s">
        <v>0</v>
      </c>
      <c r="D106" s="47">
        <v>5</v>
      </c>
      <c r="E106" s="48">
        <f>VLOOKUP($A106,observed!$A$2:$I$138,5,FALSE)</f>
        <v>0</v>
      </c>
      <c r="F106" s="48">
        <f>VLOOKUP($A106,observed!$A$2:$I$138,6,FALSE)</f>
        <v>24.593333333333344</v>
      </c>
      <c r="G106" s="48">
        <f>VLOOKUP($A106,observed!$A$2:$I$138,7,FALSE)</f>
        <v>86.776666666666642</v>
      </c>
      <c r="H106" s="48">
        <f>VLOOKUP($A106,observed!$A$2:$I$138,8,FALSE)</f>
        <v>36.819130434782743</v>
      </c>
      <c r="I106" s="48">
        <f>VLOOKUP($A106,observed!$A$2:$I$138,9,FALSE)</f>
        <v>30.360869565217257</v>
      </c>
      <c r="J106" s="48">
        <f t="shared" si="8"/>
        <v>178.54999999999998</v>
      </c>
      <c r="K106" s="59">
        <f>IFERROR(VLOOKUP($A106,md[[route]:[boarding_EV]],2,FALSE),"")</f>
        <v>5.0643750000000001</v>
      </c>
      <c r="L106" s="59">
        <f>IFERROR(VLOOKUP($A106,md[[route]:[boarding_EV]],3,FALSE),"")</f>
        <v>27.403727</v>
      </c>
      <c r="M106" s="59">
        <f>IFERROR(VLOOKUP($A106,md[[route]:[boarding_EV]],4,FALSE),"")</f>
        <v>73.903752999999995</v>
      </c>
      <c r="N106" s="59">
        <f>IFERROR(VLOOKUP($A106,md[[route]:[boarding_EV]],5,FALSE),"")</f>
        <v>61.999668</v>
      </c>
      <c r="O106" s="59">
        <f>IFERROR(VLOOKUP($A106,md[[route]:[boarding_EV]],6,FALSE),"")</f>
        <v>29.549427999999999</v>
      </c>
      <c r="P106" s="59">
        <f t="shared" si="9"/>
        <v>197.920951</v>
      </c>
      <c r="Q106" s="290">
        <f t="shared" si="10"/>
        <v>0.10849034444133299</v>
      </c>
      <c r="R106" s="289">
        <f t="shared" si="11"/>
        <v>375.23374264440173</v>
      </c>
    </row>
    <row r="107" spans="1:18" x14ac:dyDescent="0.25">
      <c r="A107" s="47">
        <v>874</v>
      </c>
      <c r="B107" s="47">
        <v>10</v>
      </c>
      <c r="C107" s="47" t="s">
        <v>0</v>
      </c>
      <c r="D107" s="47">
        <v>5</v>
      </c>
      <c r="E107" s="48">
        <f>VLOOKUP($A107,observed!$A$2:$I$138,5,FALSE)</f>
        <v>18.759999999999987</v>
      </c>
      <c r="F107" s="48">
        <f>VLOOKUP($A107,observed!$A$2:$I$138,6,FALSE)</f>
        <v>151.7521568627451</v>
      </c>
      <c r="G107" s="48">
        <f>VLOOKUP($A107,observed!$A$2:$I$138,7,FALSE)</f>
        <v>410.91747276688409</v>
      </c>
      <c r="H107" s="48">
        <f>VLOOKUP($A107,observed!$A$2:$I$138,8,FALSE)</f>
        <v>172.99037037037101</v>
      </c>
      <c r="I107" s="48">
        <f>VLOOKUP($A107,observed!$A$2:$I$138,9,FALSE)</f>
        <v>55.879999999999825</v>
      </c>
      <c r="J107" s="48">
        <f t="shared" si="8"/>
        <v>810.3</v>
      </c>
      <c r="K107" s="59">
        <f>IFERROR(VLOOKUP($A107,md[[route]:[boarding_EV]],2,FALSE),"")</f>
        <v>20.329523999999999</v>
      </c>
      <c r="L107" s="59">
        <f>IFERROR(VLOOKUP($A107,md[[route]:[boarding_EV]],3,FALSE),"")</f>
        <v>93.099434000000002</v>
      </c>
      <c r="M107" s="59">
        <f>IFERROR(VLOOKUP($A107,md[[route]:[boarding_EV]],4,FALSE),"")</f>
        <v>216.717985</v>
      </c>
      <c r="N107" s="59">
        <f>IFERROR(VLOOKUP($A107,md[[route]:[boarding_EV]],5,FALSE),"")</f>
        <v>155.791191</v>
      </c>
      <c r="O107" s="59">
        <f>IFERROR(VLOOKUP($A107,md[[route]:[boarding_EV]],6,FALSE),"")</f>
        <v>99.306759999999997</v>
      </c>
      <c r="P107" s="59">
        <f t="shared" si="9"/>
        <v>585.24489399999993</v>
      </c>
      <c r="Q107" s="290">
        <f t="shared" si="10"/>
        <v>-0.27774294212020245</v>
      </c>
      <c r="R107" s="289">
        <f t="shared" si="11"/>
        <v>50649.800736671248</v>
      </c>
    </row>
    <row r="108" spans="1:18" x14ac:dyDescent="0.25">
      <c r="A108" s="47">
        <v>875</v>
      </c>
      <c r="B108" s="47">
        <v>10</v>
      </c>
      <c r="C108" s="47" t="s">
        <v>0</v>
      </c>
      <c r="D108" s="47">
        <v>5</v>
      </c>
      <c r="E108" s="48">
        <f>VLOOKUP($A108,observed!$A$2:$I$138,5,FALSE)</f>
        <v>0</v>
      </c>
      <c r="F108" s="48">
        <f>VLOOKUP($A108,observed!$A$2:$I$138,6,FALSE)</f>
        <v>102.71529411764709</v>
      </c>
      <c r="G108" s="48">
        <f>VLOOKUP($A108,observed!$A$2:$I$138,7,FALSE)</f>
        <v>351.18891640866832</v>
      </c>
      <c r="H108" s="48">
        <f>VLOOKUP($A108,observed!$A$2:$I$138,8,FALSE)</f>
        <v>182.86507518797075</v>
      </c>
      <c r="I108" s="48">
        <f>VLOOKUP($A108,observed!$A$2:$I$138,9,FALSE)</f>
        <v>59.850714285713877</v>
      </c>
      <c r="J108" s="48">
        <f t="shared" si="8"/>
        <v>696.62000000000012</v>
      </c>
      <c r="K108" s="59">
        <f>IFERROR(VLOOKUP($A108,md[[route]:[boarding_EV]],2,FALSE),"")</f>
        <v>9.8832889999999995</v>
      </c>
      <c r="L108" s="59">
        <f>IFERROR(VLOOKUP($A108,md[[route]:[boarding_EV]],3,FALSE),"")</f>
        <v>72.872882000000004</v>
      </c>
      <c r="M108" s="59">
        <f>IFERROR(VLOOKUP($A108,md[[route]:[boarding_EV]],4,FALSE),"")</f>
        <v>195.01541399999999</v>
      </c>
      <c r="N108" s="59">
        <f>IFERROR(VLOOKUP($A108,md[[route]:[boarding_EV]],5,FALSE),"")</f>
        <v>192.048742</v>
      </c>
      <c r="O108" s="59">
        <f>IFERROR(VLOOKUP($A108,md[[route]:[boarding_EV]],6,FALSE),"")</f>
        <v>106.79255999999999</v>
      </c>
      <c r="P108" s="59">
        <f t="shared" si="9"/>
        <v>576.612887</v>
      </c>
      <c r="Q108" s="290">
        <f t="shared" si="10"/>
        <v>-0.17227055352990162</v>
      </c>
      <c r="R108" s="289">
        <f t="shared" si="11"/>
        <v>14401.707170594796</v>
      </c>
    </row>
    <row r="109" spans="1:18" x14ac:dyDescent="0.25">
      <c r="A109" s="47">
        <v>901</v>
      </c>
      <c r="B109" s="47">
        <v>10</v>
      </c>
      <c r="C109" s="47" t="s">
        <v>0</v>
      </c>
      <c r="D109" s="47">
        <v>5</v>
      </c>
      <c r="E109" s="48">
        <f>VLOOKUP($A109,observed!$A$2:$I$138,5,FALSE)</f>
        <v>99.785850389496474</v>
      </c>
      <c r="F109" s="48">
        <f>VLOOKUP($A109,observed!$A$2:$I$138,6,FALSE)</f>
        <v>525.87021172230482</v>
      </c>
      <c r="G109" s="48">
        <f>VLOOKUP($A109,observed!$A$2:$I$138,7,FALSE)</f>
        <v>1049.3432319485669</v>
      </c>
      <c r="H109" s="48">
        <f>VLOOKUP($A109,observed!$A$2:$I$138,8,FALSE)</f>
        <v>606.47688347586416</v>
      </c>
      <c r="I109" s="48">
        <f>VLOOKUP($A109,observed!$A$2:$I$138,9,FALSE)</f>
        <v>290.04382246376764</v>
      </c>
      <c r="J109" s="48">
        <f t="shared" si="8"/>
        <v>2571.52</v>
      </c>
      <c r="K109" s="59">
        <f>IFERROR(VLOOKUP($A109,md[[route]:[boarding_EV]],2,FALSE),"")</f>
        <v>213.81672900000001</v>
      </c>
      <c r="L109" s="59">
        <f>IFERROR(VLOOKUP($A109,md[[route]:[boarding_EV]],3,FALSE),"")</f>
        <v>967.81056699999999</v>
      </c>
      <c r="M109" s="59">
        <f>IFERROR(VLOOKUP($A109,md[[route]:[boarding_EV]],4,FALSE),"")</f>
        <v>1318.6808659999999</v>
      </c>
      <c r="N109" s="59">
        <f>IFERROR(VLOOKUP($A109,md[[route]:[boarding_EV]],5,FALSE),"")</f>
        <v>1429.799041</v>
      </c>
      <c r="O109" s="59">
        <f>IFERROR(VLOOKUP($A109,md[[route]:[boarding_EV]],6,FALSE),"")</f>
        <v>660.19101999999998</v>
      </c>
      <c r="P109" s="59">
        <f t="shared" si="9"/>
        <v>4590.2982230000007</v>
      </c>
      <c r="Q109" s="290">
        <f t="shared" si="10"/>
        <v>0.7850525070775265</v>
      </c>
      <c r="R109" s="289">
        <f t="shared" si="11"/>
        <v>4075465.5136590404</v>
      </c>
    </row>
    <row r="110" spans="1:18" x14ac:dyDescent="0.25">
      <c r="A110" s="47">
        <v>904</v>
      </c>
      <c r="B110" s="47">
        <v>10</v>
      </c>
      <c r="C110" s="47" t="s">
        <v>0</v>
      </c>
      <c r="D110" s="47">
        <v>5</v>
      </c>
      <c r="E110" s="48">
        <f>VLOOKUP($A110,observed!$A$2:$I$138,5,FALSE)</f>
        <v>0</v>
      </c>
      <c r="F110" s="48">
        <f>VLOOKUP($A110,observed!$A$2:$I$138,6,FALSE)</f>
        <v>0</v>
      </c>
      <c r="G110" s="48">
        <f>VLOOKUP($A110,observed!$A$2:$I$138,7,FALSE)</f>
        <v>79.946232727272587</v>
      </c>
      <c r="H110" s="48">
        <f>VLOOKUP($A110,observed!$A$2:$I$138,8,FALSE)</f>
        <v>55.272727272727401</v>
      </c>
      <c r="I110" s="48">
        <f>VLOOKUP($A110,observed!$A$2:$I$138,9,FALSE)</f>
        <v>0</v>
      </c>
      <c r="J110" s="48">
        <f t="shared" si="8"/>
        <v>135.21895999999998</v>
      </c>
      <c r="K110" s="59">
        <f>IFERROR(VLOOKUP($A110,md[[route]:[boarding_EV]],2,FALSE),"")</f>
        <v>2.381453</v>
      </c>
      <c r="L110" s="59">
        <f>IFERROR(VLOOKUP($A110,md[[route]:[boarding_EV]],3,FALSE),"")</f>
        <v>0</v>
      </c>
      <c r="M110" s="59">
        <f>IFERROR(VLOOKUP($A110,md[[route]:[boarding_EV]],4,FALSE),"")</f>
        <v>19.680683999999999</v>
      </c>
      <c r="N110" s="59">
        <f>IFERROR(VLOOKUP($A110,md[[route]:[boarding_EV]],5,FALSE),"")</f>
        <v>13.593401</v>
      </c>
      <c r="O110" s="59">
        <f>IFERROR(VLOOKUP($A110,md[[route]:[boarding_EV]],6,FALSE),"")</f>
        <v>14.195983</v>
      </c>
      <c r="P110" s="59">
        <f t="shared" si="9"/>
        <v>49.851520999999998</v>
      </c>
      <c r="Q110" s="290">
        <f t="shared" si="10"/>
        <v>-0.63132743366758626</v>
      </c>
      <c r="R110" s="289">
        <f t="shared" si="11"/>
        <v>7287.5996414187193</v>
      </c>
    </row>
    <row r="111" spans="1:18" x14ac:dyDescent="0.25">
      <c r="A111" s="47">
        <v>905</v>
      </c>
      <c r="B111" s="47">
        <v>10</v>
      </c>
      <c r="C111" s="47" t="s">
        <v>0</v>
      </c>
      <c r="D111" s="47">
        <v>5</v>
      </c>
      <c r="E111" s="48">
        <f>VLOOKUP($A111,observed!$A$2:$I$138,5,FALSE)</f>
        <v>173.12633333333332</v>
      </c>
      <c r="F111" s="48">
        <f>VLOOKUP($A111,observed!$A$2:$I$138,6,FALSE)</f>
        <v>450.97249783549779</v>
      </c>
      <c r="G111" s="48">
        <f>VLOOKUP($A111,observed!$A$2:$I$138,7,FALSE)</f>
        <v>614.98390635129624</v>
      </c>
      <c r="H111" s="48">
        <f>VLOOKUP($A111,observed!$A$2:$I$138,8,FALSE)</f>
        <v>475.55000322061409</v>
      </c>
      <c r="I111" s="48">
        <f>VLOOKUP($A111,observed!$A$2:$I$138,9,FALSE)</f>
        <v>102.32725925925853</v>
      </c>
      <c r="J111" s="48">
        <f t="shared" si="8"/>
        <v>1816.96</v>
      </c>
      <c r="K111" s="59">
        <f>IFERROR(VLOOKUP($A111,md[[route]:[boarding_EV]],2,FALSE),"")</f>
        <v>157.760774</v>
      </c>
      <c r="L111" s="59">
        <f>IFERROR(VLOOKUP($A111,md[[route]:[boarding_EV]],3,FALSE),"")</f>
        <v>343.602914</v>
      </c>
      <c r="M111" s="59">
        <f>IFERROR(VLOOKUP($A111,md[[route]:[boarding_EV]],4,FALSE),"")</f>
        <v>577.03434100000004</v>
      </c>
      <c r="N111" s="59">
        <f>IFERROR(VLOOKUP($A111,md[[route]:[boarding_EV]],5,FALSE),"")</f>
        <v>601.29604500000005</v>
      </c>
      <c r="O111" s="59">
        <f>IFERROR(VLOOKUP($A111,md[[route]:[boarding_EV]],6,FALSE),"")</f>
        <v>739.42570999999998</v>
      </c>
      <c r="P111" s="59">
        <f t="shared" si="9"/>
        <v>2419.119784</v>
      </c>
      <c r="Q111" s="290">
        <f t="shared" si="10"/>
        <v>0.33141058911588583</v>
      </c>
      <c r="R111" s="289">
        <f t="shared" si="11"/>
        <v>362596.40546692658</v>
      </c>
    </row>
    <row r="112" spans="1:18" x14ac:dyDescent="0.25">
      <c r="A112" s="47">
        <v>906</v>
      </c>
      <c r="B112" s="47">
        <v>10</v>
      </c>
      <c r="C112" s="47" t="s">
        <v>0</v>
      </c>
      <c r="D112" s="47">
        <v>5</v>
      </c>
      <c r="E112" s="48">
        <f>VLOOKUP($A112,observed!$A$2:$I$138,5,FALSE)</f>
        <v>168.63</v>
      </c>
      <c r="F112" s="48">
        <f>VLOOKUP($A112,observed!$A$2:$I$138,6,FALSE)</f>
        <v>423.12902173913045</v>
      </c>
      <c r="G112" s="48">
        <f>VLOOKUP($A112,observed!$A$2:$I$138,7,FALSE)</f>
        <v>1314.4265726664626</v>
      </c>
      <c r="H112" s="48">
        <f>VLOOKUP($A112,observed!$A$2:$I$138,8,FALSE)</f>
        <v>651.85450789619756</v>
      </c>
      <c r="I112" s="48">
        <f>VLOOKUP($A112,observed!$A$2:$I$138,9,FALSE)</f>
        <v>219.04451634227703</v>
      </c>
      <c r="J112" s="48">
        <f t="shared" si="8"/>
        <v>2777.0846186440676</v>
      </c>
      <c r="K112" s="59">
        <f>IFERROR(VLOOKUP($A112,md[[route]:[boarding_EV]],2,FALSE),"")</f>
        <v>164.45740699999999</v>
      </c>
      <c r="L112" s="59">
        <f>IFERROR(VLOOKUP($A112,md[[route]:[boarding_EV]],3,FALSE),"")</f>
        <v>377.24689599999999</v>
      </c>
      <c r="M112" s="59">
        <f>IFERROR(VLOOKUP($A112,md[[route]:[boarding_EV]],4,FALSE),"")</f>
        <v>939.58250799999996</v>
      </c>
      <c r="N112" s="59">
        <f>IFERROR(VLOOKUP($A112,md[[route]:[boarding_EV]],5,FALSE),"")</f>
        <v>505.09334799999999</v>
      </c>
      <c r="O112" s="59">
        <f>IFERROR(VLOOKUP($A112,md[[route]:[boarding_EV]],6,FALSE),"")</f>
        <v>372.95283999999998</v>
      </c>
      <c r="P112" s="59">
        <f t="shared" si="9"/>
        <v>2359.3329989999997</v>
      </c>
      <c r="Q112" s="290">
        <f t="shared" si="10"/>
        <v>-0.15042812049711263</v>
      </c>
      <c r="R112" s="289">
        <f t="shared" si="11"/>
        <v>174516.41571524198</v>
      </c>
    </row>
    <row r="113" spans="1:18" x14ac:dyDescent="0.25">
      <c r="A113" s="47">
        <v>907</v>
      </c>
      <c r="B113" s="47">
        <v>10</v>
      </c>
      <c r="C113" s="47" t="s">
        <v>0</v>
      </c>
      <c r="D113" s="47">
        <v>5</v>
      </c>
      <c r="E113" s="48">
        <f>VLOOKUP($A113,observed!$A$2:$I$138,5,FALSE)</f>
        <v>155.72363636363639</v>
      </c>
      <c r="F113" s="48">
        <f>VLOOKUP($A113,observed!$A$2:$I$138,6,FALSE)</f>
        <v>620.44617647058817</v>
      </c>
      <c r="G113" s="48">
        <f>VLOOKUP($A113,observed!$A$2:$I$138,7,FALSE)</f>
        <v>1763.0498235294101</v>
      </c>
      <c r="H113" s="48">
        <f>VLOOKUP($A113,observed!$A$2:$I$138,8,FALSE)</f>
        <v>771.40346428571684</v>
      </c>
      <c r="I113" s="48">
        <f>VLOOKUP($A113,observed!$A$2:$I$138,9,FALSE)</f>
        <v>255.67056460488567</v>
      </c>
      <c r="J113" s="48">
        <f t="shared" si="8"/>
        <v>3566.2936652542376</v>
      </c>
      <c r="K113" s="59">
        <f>IFERROR(VLOOKUP($A113,md[[route]:[boarding_EV]],2,FALSE),"")</f>
        <v>71.118352000000002</v>
      </c>
      <c r="L113" s="59">
        <f>IFERROR(VLOOKUP($A113,md[[route]:[boarding_EV]],3,FALSE),"")</f>
        <v>209.33948699999999</v>
      </c>
      <c r="M113" s="59">
        <f>IFERROR(VLOOKUP($A113,md[[route]:[boarding_EV]],4,FALSE),"")</f>
        <v>615.73212000000001</v>
      </c>
      <c r="N113" s="59">
        <f>IFERROR(VLOOKUP($A113,md[[route]:[boarding_EV]],5,FALSE),"")</f>
        <v>627.25</v>
      </c>
      <c r="O113" s="59">
        <f>IFERROR(VLOOKUP($A113,md[[route]:[boarding_EV]],6,FALSE),"")</f>
        <v>662.75</v>
      </c>
      <c r="P113" s="59">
        <f t="shared" si="9"/>
        <v>2186.1899590000003</v>
      </c>
      <c r="Q113" s="290">
        <f t="shared" si="10"/>
        <v>-0.38698543524341289</v>
      </c>
      <c r="R113" s="289">
        <f t="shared" si="11"/>
        <v>1904686.2400166821</v>
      </c>
    </row>
    <row r="114" spans="1:18" x14ac:dyDescent="0.25">
      <c r="A114" s="47">
        <v>916</v>
      </c>
      <c r="B114" s="47">
        <v>10</v>
      </c>
      <c r="C114" s="47" t="s">
        <v>0</v>
      </c>
      <c r="D114" s="47">
        <v>5</v>
      </c>
      <c r="E114" s="48">
        <f>VLOOKUP($A114,observed!$A$2:$I$138,5,FALSE)</f>
        <v>6.58</v>
      </c>
      <c r="F114" s="48">
        <f>VLOOKUP($A114,observed!$A$2:$I$138,6,FALSE)</f>
        <v>55.04804347826088</v>
      </c>
      <c r="G114" s="48">
        <f>VLOOKUP($A114,observed!$A$2:$I$138,7,FALSE)</f>
        <v>137.40034480012696</v>
      </c>
      <c r="H114" s="48">
        <f>VLOOKUP($A114,observed!$A$2:$I$138,8,FALSE)</f>
        <v>93.060842490843015</v>
      </c>
      <c r="I114" s="48">
        <f>VLOOKUP($A114,observed!$A$2:$I$138,9,FALSE)</f>
        <v>26.620769230769138</v>
      </c>
      <c r="J114" s="48">
        <f t="shared" si="8"/>
        <v>318.71000000000004</v>
      </c>
      <c r="K114" s="59">
        <f>IFERROR(VLOOKUP($A114,md[[route]:[boarding_EV]],2,FALSE),"")</f>
        <v>10.082637999999999</v>
      </c>
      <c r="L114" s="59">
        <f>IFERROR(VLOOKUP($A114,md[[route]:[boarding_EV]],3,FALSE),"")</f>
        <v>46.407041999999997</v>
      </c>
      <c r="M114" s="59">
        <f>IFERROR(VLOOKUP($A114,md[[route]:[boarding_EV]],4,FALSE),"")</f>
        <v>128.64314400000001</v>
      </c>
      <c r="N114" s="59">
        <f>IFERROR(VLOOKUP($A114,md[[route]:[boarding_EV]],5,FALSE),"")</f>
        <v>121.290583</v>
      </c>
      <c r="O114" s="59">
        <f>IFERROR(VLOOKUP($A114,md[[route]:[boarding_EV]],6,FALSE),"")</f>
        <v>67.283484000000001</v>
      </c>
      <c r="P114" s="59">
        <f t="shared" si="9"/>
        <v>373.70689099999998</v>
      </c>
      <c r="Q114" s="290">
        <f t="shared" si="10"/>
        <v>0.1725609205861125</v>
      </c>
      <c r="R114" s="289">
        <f t="shared" si="11"/>
        <v>3024.6580196658751</v>
      </c>
    </row>
    <row r="115" spans="1:18" x14ac:dyDescent="0.25">
      <c r="A115" s="47">
        <v>917</v>
      </c>
      <c r="B115" s="47">
        <v>10</v>
      </c>
      <c r="C115" s="47" t="s">
        <v>0</v>
      </c>
      <c r="D115" s="47">
        <v>5</v>
      </c>
      <c r="E115" s="48">
        <f>VLOOKUP($A115,observed!$A$2:$I$138,5,FALSE)</f>
        <v>6.27</v>
      </c>
      <c r="F115" s="48">
        <f>VLOOKUP($A115,observed!$A$2:$I$138,6,FALSE)</f>
        <v>66.995999999999995</v>
      </c>
      <c r="G115" s="48">
        <f>VLOOKUP($A115,observed!$A$2:$I$138,7,FALSE)</f>
        <v>134.64494339622624</v>
      </c>
      <c r="H115" s="48">
        <f>VLOOKUP($A115,observed!$A$2:$I$138,8,FALSE)</f>
        <v>92.740943396226726</v>
      </c>
      <c r="I115" s="48">
        <f>VLOOKUP($A115,observed!$A$2:$I$138,9,FALSE)</f>
        <v>43.178113207547028</v>
      </c>
      <c r="J115" s="48">
        <f t="shared" si="8"/>
        <v>343.83</v>
      </c>
      <c r="K115" s="59">
        <f>IFERROR(VLOOKUP($A115,md[[route]:[boarding_EV]],2,FALSE),"")</f>
        <v>5.1632670000000003</v>
      </c>
      <c r="L115" s="59">
        <f>IFERROR(VLOOKUP($A115,md[[route]:[boarding_EV]],3,FALSE),"")</f>
        <v>61.774312999999999</v>
      </c>
      <c r="M115" s="59">
        <f>IFERROR(VLOOKUP($A115,md[[route]:[boarding_EV]],4,FALSE),"")</f>
        <v>90.360201000000004</v>
      </c>
      <c r="N115" s="59">
        <f>IFERROR(VLOOKUP($A115,md[[route]:[boarding_EV]],5,FALSE),"")</f>
        <v>108.01605000000001</v>
      </c>
      <c r="O115" s="59">
        <f>IFERROR(VLOOKUP($A115,md[[route]:[boarding_EV]],6,FALSE),"")</f>
        <v>50.114680999999997</v>
      </c>
      <c r="P115" s="59">
        <f t="shared" si="9"/>
        <v>315.42851200000001</v>
      </c>
      <c r="Q115" s="290">
        <f t="shared" si="10"/>
        <v>-8.2603286507867191E-2</v>
      </c>
      <c r="R115" s="289">
        <f t="shared" si="11"/>
        <v>806.64452061414238</v>
      </c>
    </row>
    <row r="116" spans="1:18" x14ac:dyDescent="0.25">
      <c r="A116" s="47">
        <v>921</v>
      </c>
      <c r="B116" s="47">
        <v>10</v>
      </c>
      <c r="C116" s="47" t="s">
        <v>0</v>
      </c>
      <c r="D116" s="47">
        <v>5</v>
      </c>
      <c r="E116" s="48">
        <f>VLOOKUP($A116,observed!$A$2:$I$138,5,FALSE)</f>
        <v>0.83333333333333282</v>
      </c>
      <c r="F116" s="48">
        <f>VLOOKUP($A116,observed!$A$2:$I$138,6,FALSE)</f>
        <v>187.67607500378682</v>
      </c>
      <c r="G116" s="48">
        <f>VLOOKUP($A116,observed!$A$2:$I$138,7,FALSE)</f>
        <v>456.95215255868828</v>
      </c>
      <c r="H116" s="48">
        <f>VLOOKUP($A116,observed!$A$2:$I$138,8,FALSE)</f>
        <v>267.74602734567441</v>
      </c>
      <c r="I116" s="48">
        <f>VLOOKUP($A116,observed!$A$2:$I$138,9,FALSE)</f>
        <v>23.957652916073624</v>
      </c>
      <c r="J116" s="48">
        <f t="shared" si="8"/>
        <v>937.16524115755647</v>
      </c>
      <c r="K116" s="59">
        <f>IFERROR(VLOOKUP($A116,md[[route]:[boarding_EV]],2,FALSE),"")</f>
        <v>186.64046300000001</v>
      </c>
      <c r="L116" s="59">
        <f>IFERROR(VLOOKUP($A116,md[[route]:[boarding_EV]],3,FALSE),"")</f>
        <v>503.473772</v>
      </c>
      <c r="M116" s="59">
        <f>IFERROR(VLOOKUP($A116,md[[route]:[boarding_EV]],4,FALSE),"")</f>
        <v>1169.417586</v>
      </c>
      <c r="N116" s="59">
        <f>IFERROR(VLOOKUP($A116,md[[route]:[boarding_EV]],5,FALSE),"")</f>
        <v>702.18497500000001</v>
      </c>
      <c r="O116" s="59">
        <f>IFERROR(VLOOKUP($A116,md[[route]:[boarding_EV]],6,FALSE),"")</f>
        <v>531.97502999999995</v>
      </c>
      <c r="P116" s="59">
        <f t="shared" si="9"/>
        <v>3093.6918260000002</v>
      </c>
      <c r="Q116" s="290">
        <f t="shared" si="10"/>
        <v>2.3011166976047588</v>
      </c>
      <c r="R116" s="289">
        <f t="shared" si="11"/>
        <v>4650606.9111322137</v>
      </c>
    </row>
    <row r="117" spans="1:18" x14ac:dyDescent="0.25">
      <c r="A117" s="47">
        <v>923</v>
      </c>
      <c r="B117" s="47">
        <v>10</v>
      </c>
      <c r="C117" s="47" t="s">
        <v>0</v>
      </c>
      <c r="D117" s="47">
        <v>5</v>
      </c>
      <c r="E117" s="48">
        <f>VLOOKUP($A117,observed!$A$2:$I$138,5,FALSE)</f>
        <v>12.319215686274502</v>
      </c>
      <c r="F117" s="48">
        <f>VLOOKUP($A117,observed!$A$2:$I$138,6,FALSE)</f>
        <v>222.39997755950412</v>
      </c>
      <c r="G117" s="48">
        <f>VLOOKUP($A117,observed!$A$2:$I$138,7,FALSE)</f>
        <v>369.94497342088778</v>
      </c>
      <c r="H117" s="48">
        <f>VLOOKUP($A117,observed!$A$2:$I$138,8,FALSE)</f>
        <v>246.35464540121572</v>
      </c>
      <c r="I117" s="48">
        <f>VLOOKUP($A117,observed!$A$2:$I$138,9,FALSE)</f>
        <v>7.5711879321179572</v>
      </c>
      <c r="J117" s="48">
        <f t="shared" si="8"/>
        <v>858.59000000000015</v>
      </c>
      <c r="K117" s="59">
        <f>IFERROR(VLOOKUP($A117,md[[route]:[boarding_EV]],2,FALSE),"")</f>
        <v>65.983942999999996</v>
      </c>
      <c r="L117" s="59">
        <f>IFERROR(VLOOKUP($A117,md[[route]:[boarding_EV]],3,FALSE),"")</f>
        <v>333.085576</v>
      </c>
      <c r="M117" s="59">
        <f>IFERROR(VLOOKUP($A117,md[[route]:[boarding_EV]],4,FALSE),"")</f>
        <v>491.60031700000002</v>
      </c>
      <c r="N117" s="59">
        <f>IFERROR(VLOOKUP($A117,md[[route]:[boarding_EV]],5,FALSE),"")</f>
        <v>418.915527</v>
      </c>
      <c r="O117" s="59">
        <f>IFERROR(VLOOKUP($A117,md[[route]:[boarding_EV]],6,FALSE),"")</f>
        <v>193.042663</v>
      </c>
      <c r="P117" s="59">
        <f t="shared" si="9"/>
        <v>1502.6280260000001</v>
      </c>
      <c r="Q117" s="290">
        <f t="shared" si="10"/>
        <v>0.75011125915745569</v>
      </c>
      <c r="R117" s="289">
        <f t="shared" si="11"/>
        <v>414784.97893397661</v>
      </c>
    </row>
    <row r="118" spans="1:18" x14ac:dyDescent="0.25">
      <c r="A118" s="47">
        <v>928</v>
      </c>
      <c r="B118" s="47">
        <v>10</v>
      </c>
      <c r="C118" s="47" t="s">
        <v>0</v>
      </c>
      <c r="D118" s="47">
        <v>5</v>
      </c>
      <c r="E118" s="48">
        <f>VLOOKUP($A118,observed!$A$2:$I$138,5,FALSE)</f>
        <v>17.921944444444435</v>
      </c>
      <c r="F118" s="48">
        <f>VLOOKUP($A118,observed!$A$2:$I$138,6,FALSE)</f>
        <v>196.87694444444443</v>
      </c>
      <c r="G118" s="48">
        <f>VLOOKUP($A118,observed!$A$2:$I$138,7,FALSE)</f>
        <v>484.06192506459877</v>
      </c>
      <c r="H118" s="48">
        <f>VLOOKUP($A118,observed!$A$2:$I$138,8,FALSE)</f>
        <v>228.32953692370572</v>
      </c>
      <c r="I118" s="48">
        <f>VLOOKUP($A118,observed!$A$2:$I$138,9,FALSE)</f>
        <v>47.289649122806665</v>
      </c>
      <c r="J118" s="48">
        <f t="shared" si="8"/>
        <v>974.48</v>
      </c>
      <c r="K118" s="59">
        <f>IFERROR(VLOOKUP($A118,md[[route]:[boarding_EV]],2,FALSE),"")</f>
        <v>40.917175999999998</v>
      </c>
      <c r="L118" s="59">
        <f>IFERROR(VLOOKUP($A118,md[[route]:[boarding_EV]],3,FALSE),"")</f>
        <v>190.97344899999999</v>
      </c>
      <c r="M118" s="59">
        <f>IFERROR(VLOOKUP($A118,md[[route]:[boarding_EV]],4,FALSE),"")</f>
        <v>378.23966999999999</v>
      </c>
      <c r="N118" s="59">
        <f>IFERROR(VLOOKUP($A118,md[[route]:[boarding_EV]],5,FALSE),"")</f>
        <v>299.71267</v>
      </c>
      <c r="O118" s="59">
        <f>IFERROR(VLOOKUP($A118,md[[route]:[boarding_EV]],6,FALSE),"")</f>
        <v>175.66309999999999</v>
      </c>
      <c r="P118" s="59">
        <f t="shared" si="9"/>
        <v>1085.506065</v>
      </c>
      <c r="Q118" s="290">
        <f t="shared" si="10"/>
        <v>0.11393365179377724</v>
      </c>
      <c r="R118" s="289">
        <f t="shared" si="11"/>
        <v>12326.78710938423</v>
      </c>
    </row>
    <row r="119" spans="1:18" x14ac:dyDescent="0.25">
      <c r="A119" s="47">
        <v>929</v>
      </c>
      <c r="B119" s="47">
        <v>10</v>
      </c>
      <c r="C119" s="47" t="s">
        <v>0</v>
      </c>
      <c r="D119" s="47">
        <v>5</v>
      </c>
      <c r="E119" s="48">
        <f>VLOOKUP($A119,observed!$A$2:$I$138,5,FALSE)</f>
        <v>164.04551319648093</v>
      </c>
      <c r="F119" s="48">
        <f>VLOOKUP($A119,observed!$A$2:$I$138,6,FALSE)</f>
        <v>1147.0849658858401</v>
      </c>
      <c r="G119" s="48">
        <f>VLOOKUP($A119,observed!$A$2:$I$138,7,FALSE)</f>
        <v>3683.521279112651</v>
      </c>
      <c r="H119" s="48">
        <f>VLOOKUP($A119,observed!$A$2:$I$138,8,FALSE)</f>
        <v>1564.020455539164</v>
      </c>
      <c r="I119" s="48">
        <f>VLOOKUP($A119,observed!$A$2:$I$138,9,FALSE)</f>
        <v>681.49679669646025</v>
      </c>
      <c r="J119" s="48">
        <f t="shared" si="8"/>
        <v>7240.1690104305962</v>
      </c>
      <c r="K119" s="59">
        <f>IFERROR(VLOOKUP($A119,md[[route]:[boarding_EV]],2,FALSE),"")</f>
        <v>343.97199699999999</v>
      </c>
      <c r="L119" s="59">
        <f>IFERROR(VLOOKUP($A119,md[[route]:[boarding_EV]],3,FALSE),"")</f>
        <v>1116.688285</v>
      </c>
      <c r="M119" s="59">
        <f>IFERROR(VLOOKUP($A119,md[[route]:[boarding_EV]],4,FALSE),"")</f>
        <v>2796.9611239999999</v>
      </c>
      <c r="N119" s="59">
        <f>IFERROR(VLOOKUP($A119,md[[route]:[boarding_EV]],5,FALSE),"")</f>
        <v>2124.6235379999998</v>
      </c>
      <c r="O119" s="59">
        <f>IFERROR(VLOOKUP($A119,md[[route]:[boarding_EV]],6,FALSE),"")</f>
        <v>1363.7801899999999</v>
      </c>
      <c r="P119" s="59">
        <f t="shared" si="9"/>
        <v>7746.0251339999995</v>
      </c>
      <c r="Q119" s="290">
        <f t="shared" si="10"/>
        <v>6.9867999329938035E-2</v>
      </c>
      <c r="R119" s="289">
        <f t="shared" si="11"/>
        <v>255890.4177526634</v>
      </c>
    </row>
    <row r="120" spans="1:18" x14ac:dyDescent="0.25">
      <c r="A120" s="47">
        <v>932</v>
      </c>
      <c r="B120" s="47">
        <v>10</v>
      </c>
      <c r="C120" s="47" t="s">
        <v>0</v>
      </c>
      <c r="D120" s="47">
        <v>5</v>
      </c>
      <c r="E120" s="48">
        <f>VLOOKUP($A120,observed!$A$2:$I$138,5,FALSE)</f>
        <v>88.98310559006211</v>
      </c>
      <c r="F120" s="48">
        <f>VLOOKUP($A120,observed!$A$2:$I$138,6,FALSE)</f>
        <v>567.56791968466337</v>
      </c>
      <c r="G120" s="48">
        <f>VLOOKUP($A120,observed!$A$2:$I$138,7,FALSE)</f>
        <v>2110.1038462791566</v>
      </c>
      <c r="H120" s="48">
        <f>VLOOKUP($A120,observed!$A$2:$I$138,8,FALSE)</f>
        <v>906.08935293747004</v>
      </c>
      <c r="I120" s="48">
        <f>VLOOKUP($A120,observed!$A$2:$I$138,9,FALSE)</f>
        <v>248.59577550864785</v>
      </c>
      <c r="J120" s="48">
        <f t="shared" si="8"/>
        <v>3921.3399999999997</v>
      </c>
      <c r="K120" s="59">
        <f>IFERROR(VLOOKUP($A120,md[[route]:[boarding_EV]],2,FALSE),"")</f>
        <v>128.030495</v>
      </c>
      <c r="L120" s="59">
        <f>IFERROR(VLOOKUP($A120,md[[route]:[boarding_EV]],3,FALSE),"")</f>
        <v>576.715552</v>
      </c>
      <c r="M120" s="59">
        <f>IFERROR(VLOOKUP($A120,md[[route]:[boarding_EV]],4,FALSE),"")</f>
        <v>1543.0271130000001</v>
      </c>
      <c r="N120" s="59">
        <f>IFERROR(VLOOKUP($A120,md[[route]:[boarding_EV]],5,FALSE),"")</f>
        <v>1162.4571570000001</v>
      </c>
      <c r="O120" s="59">
        <f>IFERROR(VLOOKUP($A120,md[[route]:[boarding_EV]],6,FALSE),"")</f>
        <v>785.99157300000002</v>
      </c>
      <c r="P120" s="59">
        <f t="shared" si="9"/>
        <v>4196.2218900000007</v>
      </c>
      <c r="Q120" s="290">
        <f t="shared" si="10"/>
        <v>7.0098968719876531E-2</v>
      </c>
      <c r="R120" s="289">
        <f t="shared" si="11"/>
        <v>75560.053449972664</v>
      </c>
    </row>
    <row r="121" spans="1:18" x14ac:dyDescent="0.25">
      <c r="A121" s="47">
        <v>933</v>
      </c>
      <c r="B121" s="47">
        <v>10</v>
      </c>
      <c r="C121" s="47" t="s">
        <v>0</v>
      </c>
      <c r="D121" s="47">
        <v>5</v>
      </c>
      <c r="E121" s="48">
        <f>VLOOKUP($A121,observed!$A$2:$I$138,5,FALSE)</f>
        <v>95.915060568086886</v>
      </c>
      <c r="F121" s="48">
        <f>VLOOKUP($A121,observed!$A$2:$I$138,6,FALSE)</f>
        <v>505.09039397736768</v>
      </c>
      <c r="G121" s="48">
        <f>VLOOKUP($A121,observed!$A$2:$I$138,7,FALSE)</f>
        <v>1322.5782440846808</v>
      </c>
      <c r="H121" s="48">
        <f>VLOOKUP($A121,observed!$A$2:$I$138,8,FALSE)</f>
        <v>666.53959140796928</v>
      </c>
      <c r="I121" s="48">
        <f>VLOOKUP($A121,observed!$A$2:$I$138,9,FALSE)</f>
        <v>247.64745679953197</v>
      </c>
      <c r="J121" s="48">
        <f t="shared" si="8"/>
        <v>2837.7707468376366</v>
      </c>
      <c r="K121" s="59">
        <f>IFERROR(VLOOKUP($A121,md[[route]:[boarding_EV]],2,FALSE),"")</f>
        <v>96.568456999999995</v>
      </c>
      <c r="L121" s="59">
        <f>IFERROR(VLOOKUP($A121,md[[route]:[boarding_EV]],3,FALSE),"")</f>
        <v>248.40985900000001</v>
      </c>
      <c r="M121" s="59">
        <f>IFERROR(VLOOKUP($A121,md[[route]:[boarding_EV]],4,FALSE),"")</f>
        <v>823.18357700000001</v>
      </c>
      <c r="N121" s="59">
        <f>IFERROR(VLOOKUP($A121,md[[route]:[boarding_EV]],5,FALSE),"")</f>
        <v>643.97354900000005</v>
      </c>
      <c r="O121" s="59">
        <f>IFERROR(VLOOKUP($A121,md[[route]:[boarding_EV]],6,FALSE),"")</f>
        <v>407.346789</v>
      </c>
      <c r="P121" s="59">
        <f t="shared" si="9"/>
        <v>2219.482231</v>
      </c>
      <c r="Q121" s="290">
        <f t="shared" si="10"/>
        <v>-0.21787824704537773</v>
      </c>
      <c r="R121" s="289">
        <f t="shared" si="11"/>
        <v>382280.68881670741</v>
      </c>
    </row>
    <row r="122" spans="1:18" x14ac:dyDescent="0.25">
      <c r="A122" s="47">
        <v>934</v>
      </c>
      <c r="B122" s="47">
        <v>10</v>
      </c>
      <c r="C122" s="47" t="s">
        <v>0</v>
      </c>
      <c r="D122" s="47">
        <v>5</v>
      </c>
      <c r="E122" s="48">
        <f>VLOOKUP($A122,observed!$A$2:$I$138,5,FALSE)</f>
        <v>86.004999999999981</v>
      </c>
      <c r="F122" s="48">
        <f>VLOOKUP($A122,observed!$A$2:$I$138,6,FALSE)</f>
        <v>608.27264448924734</v>
      </c>
      <c r="G122" s="48">
        <f>VLOOKUP($A122,observed!$A$2:$I$138,7,FALSE)</f>
        <v>1168.9421947801575</v>
      </c>
      <c r="H122" s="48">
        <f>VLOOKUP($A122,observed!$A$2:$I$138,8,FALSE)</f>
        <v>628.79799681982558</v>
      </c>
      <c r="I122" s="48">
        <f>VLOOKUP($A122,observed!$A$2:$I$138,9,FALSE)</f>
        <v>227.97089896535286</v>
      </c>
      <c r="J122" s="48">
        <f t="shared" si="8"/>
        <v>2719.9887350545832</v>
      </c>
      <c r="K122" s="59">
        <f>IFERROR(VLOOKUP($A122,md[[route]:[boarding_EV]],2,FALSE),"")</f>
        <v>64.727981</v>
      </c>
      <c r="L122" s="59">
        <f>IFERROR(VLOOKUP($A122,md[[route]:[boarding_EV]],3,FALSE),"")</f>
        <v>388.884929</v>
      </c>
      <c r="M122" s="59">
        <f>IFERROR(VLOOKUP($A122,md[[route]:[boarding_EV]],4,FALSE),"")</f>
        <v>715.11510699999997</v>
      </c>
      <c r="N122" s="59">
        <f>IFERROR(VLOOKUP($A122,md[[route]:[boarding_EV]],5,FALSE),"")</f>
        <v>531.72110299999997</v>
      </c>
      <c r="O122" s="59">
        <f>IFERROR(VLOOKUP($A122,md[[route]:[boarding_EV]],6,FALSE),"")</f>
        <v>435.09937600000001</v>
      </c>
      <c r="P122" s="59">
        <f t="shared" si="9"/>
        <v>2135.5484959999999</v>
      </c>
      <c r="Q122" s="290">
        <f t="shared" si="10"/>
        <v>-0.21486862483011537</v>
      </c>
      <c r="R122" s="289">
        <f t="shared" si="11"/>
        <v>341570.39302617853</v>
      </c>
    </row>
    <row r="123" spans="1:18" x14ac:dyDescent="0.25">
      <c r="A123" s="47">
        <v>936</v>
      </c>
      <c r="B123" s="47">
        <v>10</v>
      </c>
      <c r="C123" s="47" t="s">
        <v>0</v>
      </c>
      <c r="D123" s="47">
        <v>5</v>
      </c>
      <c r="E123" s="48">
        <f>VLOOKUP($A123,observed!$A$2:$I$138,5,FALSE)</f>
        <v>26.881273809523808</v>
      </c>
      <c r="F123" s="48">
        <f>VLOOKUP($A123,observed!$A$2:$I$138,6,FALSE)</f>
        <v>303.77553369907696</v>
      </c>
      <c r="G123" s="48">
        <f>VLOOKUP($A123,observed!$A$2:$I$138,7,FALSE)</f>
        <v>807.96805052156651</v>
      </c>
      <c r="H123" s="48">
        <f>VLOOKUP($A123,observed!$A$2:$I$138,8,FALSE)</f>
        <v>419.91571044528558</v>
      </c>
      <c r="I123" s="48">
        <f>VLOOKUP($A123,observed!$A$2:$I$138,9,FALSE)</f>
        <v>176.39943152454714</v>
      </c>
      <c r="J123" s="48">
        <f t="shared" si="8"/>
        <v>1734.94</v>
      </c>
      <c r="K123" s="59">
        <f>IFERROR(VLOOKUP($A123,md[[route]:[boarding_EV]],2,FALSE),"")</f>
        <v>43.632088000000003</v>
      </c>
      <c r="L123" s="59">
        <f>IFERROR(VLOOKUP($A123,md[[route]:[boarding_EV]],3,FALSE),"")</f>
        <v>279.075852</v>
      </c>
      <c r="M123" s="59">
        <f>IFERROR(VLOOKUP($A123,md[[route]:[boarding_EV]],4,FALSE),"")</f>
        <v>631.52533500000004</v>
      </c>
      <c r="N123" s="59">
        <f>IFERROR(VLOOKUP($A123,md[[route]:[boarding_EV]],5,FALSE),"")</f>
        <v>483.71608300000003</v>
      </c>
      <c r="O123" s="59">
        <f>IFERROR(VLOOKUP($A123,md[[route]:[boarding_EV]],6,FALSE),"")</f>
        <v>307.55757499999999</v>
      </c>
      <c r="P123" s="59">
        <f t="shared" si="9"/>
        <v>1745.5069330000001</v>
      </c>
      <c r="Q123" s="290">
        <f t="shared" si="10"/>
        <v>6.0906619249081473E-3</v>
      </c>
      <c r="R123" s="289">
        <f t="shared" si="11"/>
        <v>111.66007302649032</v>
      </c>
    </row>
    <row r="124" spans="1:18" x14ac:dyDescent="0.25">
      <c r="A124" s="47">
        <v>944</v>
      </c>
      <c r="B124" s="47">
        <v>10</v>
      </c>
      <c r="C124" s="47" t="s">
        <v>0</v>
      </c>
      <c r="D124" s="47">
        <v>5</v>
      </c>
      <c r="E124" s="48">
        <f>VLOOKUP($A124,observed!$A$2:$I$138,5,FALSE)</f>
        <v>3</v>
      </c>
      <c r="F124" s="48">
        <f>VLOOKUP($A124,observed!$A$2:$I$138,6,FALSE)</f>
        <v>56</v>
      </c>
      <c r="G124" s="48">
        <f>VLOOKUP($A124,observed!$A$2:$I$138,7,FALSE)</f>
        <v>88.374999999999801</v>
      </c>
      <c r="H124" s="48">
        <f>VLOOKUP($A124,observed!$A$2:$I$138,8,FALSE)</f>
        <v>69.625000000000313</v>
      </c>
      <c r="I124" s="48">
        <f>VLOOKUP($A124,observed!$A$2:$I$138,9,FALSE)</f>
        <v>1.9999999999999085</v>
      </c>
      <c r="J124" s="48">
        <f t="shared" si="8"/>
        <v>219.00000000000003</v>
      </c>
      <c r="K124" s="59">
        <f>IFERROR(VLOOKUP($A124,md[[route]:[boarding_EV]],2,FALSE),"")</f>
        <v>15.454545</v>
      </c>
      <c r="L124" s="59">
        <f>IFERROR(VLOOKUP($A124,md[[route]:[boarding_EV]],3,FALSE),"")</f>
        <v>81.899489000000003</v>
      </c>
      <c r="M124" s="59">
        <f>IFERROR(VLOOKUP($A124,md[[route]:[boarding_EV]],4,FALSE),"")</f>
        <v>144.82746</v>
      </c>
      <c r="N124" s="59">
        <f>IFERROR(VLOOKUP($A124,md[[route]:[boarding_EV]],5,FALSE),"")</f>
        <v>143.54035400000001</v>
      </c>
      <c r="O124" s="59">
        <f>IFERROR(VLOOKUP($A124,md[[route]:[boarding_EV]],6,FALSE),"")</f>
        <v>91.191100000000006</v>
      </c>
      <c r="P124" s="59">
        <f t="shared" si="9"/>
        <v>476.91294800000003</v>
      </c>
      <c r="Q124" s="290">
        <f t="shared" si="10"/>
        <v>1.177684694063927</v>
      </c>
      <c r="R124" s="289">
        <f t="shared" si="11"/>
        <v>66519.088746050722</v>
      </c>
    </row>
    <row r="125" spans="1:18" x14ac:dyDescent="0.25">
      <c r="A125" s="47">
        <v>945</v>
      </c>
      <c r="B125" s="47">
        <v>10</v>
      </c>
      <c r="C125" s="47" t="s">
        <v>0</v>
      </c>
      <c r="D125" s="47">
        <v>5</v>
      </c>
      <c r="E125" s="48">
        <f>VLOOKUP($A125,observed!$A$2:$I$138,5,FALSE)</f>
        <v>8.012987012987006</v>
      </c>
      <c r="F125" s="48">
        <f>VLOOKUP($A125,observed!$A$2:$I$138,6,FALSE)</f>
        <v>191</v>
      </c>
      <c r="G125" s="48">
        <f>VLOOKUP($A125,observed!$A$2:$I$138,7,FALSE)</f>
        <v>288</v>
      </c>
      <c r="H125" s="48">
        <f>VLOOKUP($A125,observed!$A$2:$I$138,8,FALSE)</f>
        <v>157</v>
      </c>
      <c r="I125" s="48">
        <f>VLOOKUP($A125,observed!$A$2:$I$138,9,FALSE)</f>
        <v>8.8291866028704611</v>
      </c>
      <c r="J125" s="48">
        <f t="shared" si="8"/>
        <v>652.8421736158574</v>
      </c>
      <c r="K125" s="59">
        <f>IFERROR(VLOOKUP($A125,md[[route]:[boarding_EV]],2,FALSE),"")</f>
        <v>9</v>
      </c>
      <c r="L125" s="59">
        <f>IFERROR(VLOOKUP($A125,md[[route]:[boarding_EV]],3,FALSE),"")</f>
        <v>139.27607399999999</v>
      </c>
      <c r="M125" s="59">
        <f>IFERROR(VLOOKUP($A125,md[[route]:[boarding_EV]],4,FALSE),"")</f>
        <v>277.31817999999998</v>
      </c>
      <c r="N125" s="59">
        <f>IFERROR(VLOOKUP($A125,md[[route]:[boarding_EV]],5,FALSE),"")</f>
        <v>252.443625</v>
      </c>
      <c r="O125" s="59">
        <f>IFERROR(VLOOKUP($A125,md[[route]:[boarding_EV]],6,FALSE),"")</f>
        <v>141.27272199999999</v>
      </c>
      <c r="P125" s="59">
        <f t="shared" si="9"/>
        <v>819.31060099999991</v>
      </c>
      <c r="Q125" s="290">
        <f t="shared" si="10"/>
        <v>0.25499030870223027</v>
      </c>
      <c r="R125" s="289">
        <f t="shared" si="11"/>
        <v>27711.737315749524</v>
      </c>
    </row>
    <row r="126" spans="1:18" x14ac:dyDescent="0.25">
      <c r="A126" s="47">
        <v>955</v>
      </c>
      <c r="B126" s="47">
        <v>10</v>
      </c>
      <c r="C126" s="47" t="s">
        <v>0</v>
      </c>
      <c r="D126" s="47">
        <v>5</v>
      </c>
      <c r="E126" s="48">
        <f>VLOOKUP($A126,observed!$A$2:$I$138,5,FALSE)</f>
        <v>111.12909090909089</v>
      </c>
      <c r="F126" s="48">
        <f>VLOOKUP($A126,observed!$A$2:$I$138,6,FALSE)</f>
        <v>873.86628534601232</v>
      </c>
      <c r="G126" s="48">
        <f>VLOOKUP($A126,observed!$A$2:$I$138,7,FALSE)</f>
        <v>2168.5142789173078</v>
      </c>
      <c r="H126" s="48">
        <f>VLOOKUP($A126,observed!$A$2:$I$138,8,FALSE)</f>
        <v>1116.5351071643104</v>
      </c>
      <c r="I126" s="48">
        <f>VLOOKUP($A126,observed!$A$2:$I$138,9,FALSE)</f>
        <v>411.74523766327854</v>
      </c>
      <c r="J126" s="48">
        <f t="shared" si="8"/>
        <v>4681.79</v>
      </c>
      <c r="K126" s="59">
        <f>IFERROR(VLOOKUP($A126,md[[route]:[boarding_EV]],2,FALSE),"")</f>
        <v>100.264687</v>
      </c>
      <c r="L126" s="59">
        <f>IFERROR(VLOOKUP($A126,md[[route]:[boarding_EV]],3,FALSE),"")</f>
        <v>718.06360600000005</v>
      </c>
      <c r="M126" s="59">
        <f>IFERROR(VLOOKUP($A126,md[[route]:[boarding_EV]],4,FALSE),"")</f>
        <v>1446.5229979999999</v>
      </c>
      <c r="N126" s="59">
        <f>IFERROR(VLOOKUP($A126,md[[route]:[boarding_EV]],5,FALSE),"")</f>
        <v>1093.083803</v>
      </c>
      <c r="O126" s="59">
        <f>IFERROR(VLOOKUP($A126,md[[route]:[boarding_EV]],6,FALSE),"")</f>
        <v>653.31093799999996</v>
      </c>
      <c r="P126" s="59">
        <f t="shared" si="9"/>
        <v>4011.246032</v>
      </c>
      <c r="Q126" s="290">
        <f t="shared" si="10"/>
        <v>-0.14322384558042967</v>
      </c>
      <c r="R126" s="289">
        <f t="shared" si="11"/>
        <v>449629.21302118496</v>
      </c>
    </row>
    <row r="127" spans="1:18" x14ac:dyDescent="0.25">
      <c r="A127" s="47">
        <v>961</v>
      </c>
      <c r="B127" s="47">
        <v>10</v>
      </c>
      <c r="C127" s="47" t="s">
        <v>0</v>
      </c>
      <c r="D127" s="47">
        <v>5</v>
      </c>
      <c r="E127" s="48">
        <f>VLOOKUP($A127,observed!$A$2:$I$138,5,FALSE)</f>
        <v>52.268960373907753</v>
      </c>
      <c r="F127" s="48">
        <f>VLOOKUP($A127,observed!$A$2:$I$138,6,FALSE)</f>
        <v>383.2000790997763</v>
      </c>
      <c r="G127" s="48">
        <f>VLOOKUP($A127,observed!$A$2:$I$138,7,FALSE)</f>
        <v>938.86492971398957</v>
      </c>
      <c r="H127" s="48">
        <f>VLOOKUP($A127,observed!$A$2:$I$138,8,FALSE)</f>
        <v>513.1793783733026</v>
      </c>
      <c r="I127" s="48">
        <f>VLOOKUP($A127,observed!$A$2:$I$138,9,FALSE)</f>
        <v>147.32665243902355</v>
      </c>
      <c r="J127" s="48">
        <f t="shared" si="8"/>
        <v>2034.8399999999997</v>
      </c>
      <c r="K127" s="59">
        <f>IFERROR(VLOOKUP($A127,md[[route]:[boarding_EV]],2,FALSE),"")</f>
        <v>62.509728000000003</v>
      </c>
      <c r="L127" s="59">
        <f>IFERROR(VLOOKUP($A127,md[[route]:[boarding_EV]],3,FALSE),"")</f>
        <v>276.18167699999998</v>
      </c>
      <c r="M127" s="59">
        <f>IFERROR(VLOOKUP($A127,md[[route]:[boarding_EV]],4,FALSE),"")</f>
        <v>736.63955299999998</v>
      </c>
      <c r="N127" s="59">
        <f>IFERROR(VLOOKUP($A127,md[[route]:[boarding_EV]],5,FALSE),"")</f>
        <v>581.78210300000001</v>
      </c>
      <c r="O127" s="59">
        <f>IFERROR(VLOOKUP($A127,md[[route]:[boarding_EV]],6,FALSE),"")</f>
        <v>352.12327599999998</v>
      </c>
      <c r="P127" s="59">
        <f t="shared" si="9"/>
        <v>2009.236337</v>
      </c>
      <c r="Q127" s="290">
        <f t="shared" si="10"/>
        <v>-1.2582641878476797E-2</v>
      </c>
      <c r="R127" s="289">
        <f t="shared" si="11"/>
        <v>655.54755901755073</v>
      </c>
    </row>
    <row r="128" spans="1:18" x14ac:dyDescent="0.25">
      <c r="A128" s="47">
        <v>962</v>
      </c>
      <c r="B128" s="47">
        <v>10</v>
      </c>
      <c r="C128" s="47" t="s">
        <v>0</v>
      </c>
      <c r="D128" s="47">
        <v>5</v>
      </c>
      <c r="E128" s="48">
        <f>VLOOKUP($A128,observed!$A$2:$I$138,5,FALSE)</f>
        <v>30.108722689075631</v>
      </c>
      <c r="F128" s="48">
        <f>VLOOKUP($A128,observed!$A$2:$I$138,6,FALSE)</f>
        <v>267.80416192630895</v>
      </c>
      <c r="G128" s="48">
        <f>VLOOKUP($A128,observed!$A$2:$I$138,7,FALSE)</f>
        <v>693.72072165639111</v>
      </c>
      <c r="H128" s="48">
        <f>VLOOKUP($A128,observed!$A$2:$I$138,8,FALSE)</f>
        <v>341.51137442320533</v>
      </c>
      <c r="I128" s="48">
        <f>VLOOKUP($A128,observed!$A$2:$I$138,9,FALSE)</f>
        <v>98.475019305018918</v>
      </c>
      <c r="J128" s="48">
        <f t="shared" si="8"/>
        <v>1431.62</v>
      </c>
      <c r="K128" s="59">
        <f>IFERROR(VLOOKUP($A128,md[[route]:[boarding_EV]],2,FALSE),"")</f>
        <v>27.376874999999998</v>
      </c>
      <c r="L128" s="59">
        <f>IFERROR(VLOOKUP($A128,md[[route]:[boarding_EV]],3,FALSE),"")</f>
        <v>243.52665999999999</v>
      </c>
      <c r="M128" s="59">
        <f>IFERROR(VLOOKUP($A128,md[[route]:[boarding_EV]],4,FALSE),"")</f>
        <v>572.90350000000001</v>
      </c>
      <c r="N128" s="59">
        <f>IFERROR(VLOOKUP($A128,md[[route]:[boarding_EV]],5,FALSE),"")</f>
        <v>466.13595299999997</v>
      </c>
      <c r="O128" s="59">
        <f>IFERROR(VLOOKUP($A128,md[[route]:[boarding_EV]],6,FALSE),"")</f>
        <v>254.610342</v>
      </c>
      <c r="P128" s="59">
        <f t="shared" si="9"/>
        <v>1564.55333</v>
      </c>
      <c r="Q128" s="290">
        <f t="shared" si="10"/>
        <v>9.2855178050041287E-2</v>
      </c>
      <c r="R128" s="289">
        <f t="shared" si="11"/>
        <v>17671.270224888918</v>
      </c>
    </row>
    <row r="129" spans="1:18" x14ac:dyDescent="0.25">
      <c r="A129" s="47">
        <v>963</v>
      </c>
      <c r="B129" s="47">
        <v>10</v>
      </c>
      <c r="C129" s="47" t="s">
        <v>0</v>
      </c>
      <c r="D129" s="47">
        <v>5</v>
      </c>
      <c r="E129" s="48">
        <f>VLOOKUP($A129,observed!$A$2:$I$138,5,FALSE)</f>
        <v>7.9706578947368349</v>
      </c>
      <c r="F129" s="48">
        <f>VLOOKUP($A129,observed!$A$2:$I$138,6,FALSE)</f>
        <v>115.06780364372472</v>
      </c>
      <c r="G129" s="48">
        <f>VLOOKUP($A129,observed!$A$2:$I$138,7,FALSE)</f>
        <v>381.50015915119309</v>
      </c>
      <c r="H129" s="48">
        <f>VLOOKUP($A129,observed!$A$2:$I$138,8,FALSE)</f>
        <v>195.11637931034571</v>
      </c>
      <c r="I129" s="48">
        <f>VLOOKUP($A129,observed!$A$2:$I$138,9,FALSE)</f>
        <v>54.73499999999968</v>
      </c>
      <c r="J129" s="48">
        <f t="shared" si="8"/>
        <v>754.39</v>
      </c>
      <c r="K129" s="59">
        <f>IFERROR(VLOOKUP($A129,md[[route]:[boarding_EV]],2,FALSE),"")</f>
        <v>7.2500749999999998</v>
      </c>
      <c r="L129" s="59">
        <f>IFERROR(VLOOKUP($A129,md[[route]:[boarding_EV]],3,FALSE),"")</f>
        <v>59.272264999999997</v>
      </c>
      <c r="M129" s="59">
        <f>IFERROR(VLOOKUP($A129,md[[route]:[boarding_EV]],4,FALSE),"")</f>
        <v>122.495052</v>
      </c>
      <c r="N129" s="59">
        <f>IFERROR(VLOOKUP($A129,md[[route]:[boarding_EV]],5,FALSE),"")</f>
        <v>94.440877999999998</v>
      </c>
      <c r="O129" s="59">
        <f>IFERROR(VLOOKUP($A129,md[[route]:[boarding_EV]],6,FALSE),"")</f>
        <v>85.817408</v>
      </c>
      <c r="P129" s="59">
        <f t="shared" si="9"/>
        <v>369.27567799999997</v>
      </c>
      <c r="Q129" s="290">
        <f t="shared" si="10"/>
        <v>-0.51049764975675715</v>
      </c>
      <c r="R129" s="289">
        <f t="shared" si="11"/>
        <v>148313.04100951969</v>
      </c>
    </row>
    <row r="130" spans="1:18" x14ac:dyDescent="0.25">
      <c r="A130" s="47">
        <v>964</v>
      </c>
      <c r="B130" s="47">
        <v>10</v>
      </c>
      <c r="C130" s="47" t="s">
        <v>0</v>
      </c>
      <c r="D130" s="47">
        <v>5</v>
      </c>
      <c r="E130" s="48">
        <f>VLOOKUP($A130,observed!$A$2:$I$138,5,FALSE)</f>
        <v>5.8965517241379191</v>
      </c>
      <c r="F130" s="48">
        <f>VLOOKUP($A130,observed!$A$2:$I$138,6,FALSE)</f>
        <v>137.70344827586212</v>
      </c>
      <c r="G130" s="48">
        <f>VLOOKUP($A130,observed!$A$2:$I$138,7,FALSE)</f>
        <v>288.87365591397821</v>
      </c>
      <c r="H130" s="48">
        <f>VLOOKUP($A130,observed!$A$2:$I$138,8,FALSE)</f>
        <v>173.70537634408635</v>
      </c>
      <c r="I130" s="48">
        <f>VLOOKUP($A130,observed!$A$2:$I$138,9,FALSE)</f>
        <v>32.074193548387015</v>
      </c>
      <c r="J130" s="48">
        <f t="shared" si="8"/>
        <v>638.25322580645161</v>
      </c>
      <c r="K130" s="59">
        <f>IFERROR(VLOOKUP($A130,md[[route]:[boarding_EV]],2,FALSE),"")</f>
        <v>38.140062999999998</v>
      </c>
      <c r="L130" s="59">
        <f>IFERROR(VLOOKUP($A130,md[[route]:[boarding_EV]],3,FALSE),"")</f>
        <v>226.78879800000001</v>
      </c>
      <c r="M130" s="59">
        <f>IFERROR(VLOOKUP($A130,md[[route]:[boarding_EV]],4,FALSE),"")</f>
        <v>578.98107800000002</v>
      </c>
      <c r="N130" s="59">
        <f>IFERROR(VLOOKUP($A130,md[[route]:[boarding_EV]],5,FALSE),"")</f>
        <v>449.78451100000001</v>
      </c>
      <c r="O130" s="59">
        <f>IFERROR(VLOOKUP($A130,md[[route]:[boarding_EV]],6,FALSE),"")</f>
        <v>282.69617899999997</v>
      </c>
      <c r="P130" s="59">
        <f t="shared" si="9"/>
        <v>1576.390629</v>
      </c>
      <c r="Q130" s="290">
        <f t="shared" si="10"/>
        <v>1.4698514089109138</v>
      </c>
      <c r="R130" s="289">
        <f t="shared" si="11"/>
        <v>880101.78727073432</v>
      </c>
    </row>
    <row r="131" spans="1:18" x14ac:dyDescent="0.25">
      <c r="A131" s="47">
        <v>965</v>
      </c>
      <c r="B131" s="47">
        <v>10</v>
      </c>
      <c r="C131" s="47" t="s">
        <v>0</v>
      </c>
      <c r="D131" s="47">
        <v>5</v>
      </c>
      <c r="E131" s="48">
        <f>VLOOKUP($A131,observed!$A$2:$I$138,5,FALSE)</f>
        <v>13</v>
      </c>
      <c r="F131" s="48">
        <f>VLOOKUP($A131,observed!$A$2:$I$138,6,FALSE)</f>
        <v>58.916666666666693</v>
      </c>
      <c r="G131" s="48">
        <f>VLOOKUP($A131,observed!$A$2:$I$138,7,FALSE)</f>
        <v>105.04761904761889</v>
      </c>
      <c r="H131" s="48">
        <f>VLOOKUP($A131,observed!$A$2:$I$138,8,FALSE)</f>
        <v>73.920329670329878</v>
      </c>
      <c r="I131" s="48">
        <f>VLOOKUP($A131,observed!$A$2:$I$138,9,FALSE)</f>
        <v>21.115384615384542</v>
      </c>
      <c r="J131" s="48">
        <f t="shared" si="8"/>
        <v>272</v>
      </c>
      <c r="K131" s="59">
        <f>IFERROR(VLOOKUP($A131,md[[route]:[boarding_EV]],2,FALSE),"")</f>
        <v>5.2194459999999996</v>
      </c>
      <c r="L131" s="59">
        <f>IFERROR(VLOOKUP($A131,md[[route]:[boarding_EV]],3,FALSE),"")</f>
        <v>24.253222999999998</v>
      </c>
      <c r="M131" s="59">
        <f>IFERROR(VLOOKUP($A131,md[[route]:[boarding_EV]],4,FALSE),"")</f>
        <v>48.742007000000001</v>
      </c>
      <c r="N131" s="59">
        <f>IFERROR(VLOOKUP($A131,md[[route]:[boarding_EV]],5,FALSE),"")</f>
        <v>36.727795</v>
      </c>
      <c r="O131" s="59">
        <f>IFERROR(VLOOKUP($A131,md[[route]:[boarding_EV]],6,FALSE),"")</f>
        <v>24.684667000000001</v>
      </c>
      <c r="P131" s="59">
        <f t="shared" si="9"/>
        <v>139.627138</v>
      </c>
      <c r="Q131" s="290">
        <f t="shared" si="10"/>
        <v>-0.48666493382352938</v>
      </c>
      <c r="R131" s="289">
        <f t="shared" si="11"/>
        <v>17522.574594071044</v>
      </c>
    </row>
    <row r="132" spans="1:18" x14ac:dyDescent="0.25">
      <c r="A132" s="47">
        <v>967</v>
      </c>
      <c r="B132" s="47">
        <v>10</v>
      </c>
      <c r="C132" s="47" t="s">
        <v>0</v>
      </c>
      <c r="D132" s="47">
        <v>5</v>
      </c>
      <c r="E132" s="48">
        <f>VLOOKUP($A132,observed!$A$2:$I$138,5,FALSE)</f>
        <v>1.94</v>
      </c>
      <c r="F132" s="48">
        <f>VLOOKUP($A132,observed!$A$2:$I$138,6,FALSE)</f>
        <v>52.55</v>
      </c>
      <c r="G132" s="48">
        <f>VLOOKUP($A132,observed!$A$2:$I$138,7,FALSE)</f>
        <v>103.0765116279068</v>
      </c>
      <c r="H132" s="48">
        <f>VLOOKUP($A132,observed!$A$2:$I$138,8,FALSE)</f>
        <v>45.823488372093188</v>
      </c>
      <c r="I132" s="48">
        <f>VLOOKUP($A132,observed!$A$2:$I$138,9,FALSE)</f>
        <v>17.600000000000001</v>
      </c>
      <c r="J132" s="48">
        <f>SUM(E132:I132)</f>
        <v>220.98999999999995</v>
      </c>
      <c r="K132" s="59">
        <f>IFERROR(VLOOKUP($A132,md[[route]:[boarding_EV]],2,FALSE),"")</f>
        <v>3.1390910000000001</v>
      </c>
      <c r="L132" s="59">
        <f>IFERROR(VLOOKUP($A132,md[[route]:[boarding_EV]],3,FALSE),"")</f>
        <v>33.004181000000003</v>
      </c>
      <c r="M132" s="59">
        <f>IFERROR(VLOOKUP($A132,md[[route]:[boarding_EV]],4,FALSE),"")</f>
        <v>54.056719000000001</v>
      </c>
      <c r="N132" s="59">
        <f>IFERROR(VLOOKUP($A132,md[[route]:[boarding_EV]],5,FALSE),"")</f>
        <v>43.861423000000002</v>
      </c>
      <c r="O132" s="59">
        <f>IFERROR(VLOOKUP($A132,md[[route]:[boarding_EV]],6,FALSE),"")</f>
        <v>33.802188999999998</v>
      </c>
      <c r="P132" s="59">
        <f>SUM(K132:O132)</f>
        <v>167.86360300000001</v>
      </c>
      <c r="Q132" s="290">
        <f t="shared" ref="Q132:Q136" si="12">P132/J132-1</f>
        <v>-0.2404018145617447</v>
      </c>
      <c r="R132" s="289">
        <f t="shared" ref="R132:R136" si="13">POWER((P132-J132),2)</f>
        <v>2822.4140582016025</v>
      </c>
    </row>
    <row r="133" spans="1:18" x14ac:dyDescent="0.25">
      <c r="A133" s="47">
        <v>968</v>
      </c>
      <c r="B133" s="47">
        <v>10</v>
      </c>
      <c r="C133" s="47" t="s">
        <v>0</v>
      </c>
      <c r="D133" s="47">
        <v>5</v>
      </c>
      <c r="E133" s="48">
        <f>VLOOKUP($A133,observed!$A$2:$I$138,5,FALSE)</f>
        <v>14.573023255813951</v>
      </c>
      <c r="F133" s="48">
        <f>VLOOKUP($A133,observed!$A$2:$I$138,6,FALSE)</f>
        <v>37.081657595249872</v>
      </c>
      <c r="G133" s="48">
        <f>VLOOKUP($A133,observed!$A$2:$I$138,7,FALSE)</f>
        <v>100.36531914893618</v>
      </c>
      <c r="H133" s="48">
        <f>VLOOKUP($A133,observed!$A$2:$I$138,8,FALSE)</f>
        <v>43.980909090909151</v>
      </c>
      <c r="I133" s="48">
        <f>VLOOKUP($A133,observed!$A$2:$I$138,9,FALSE)</f>
        <v>11.849090909090849</v>
      </c>
      <c r="J133" s="48">
        <f>SUM(E133:I133)</f>
        <v>207.85</v>
      </c>
      <c r="K133" s="59">
        <f>IFERROR(VLOOKUP($A133,md[[route]:[boarding_EV]],2,FALSE),"")</f>
        <v>3.911775</v>
      </c>
      <c r="L133" s="59">
        <f>IFERROR(VLOOKUP($A133,md[[route]:[boarding_EV]],3,FALSE),"")</f>
        <v>42.798741999999997</v>
      </c>
      <c r="M133" s="59">
        <f>IFERROR(VLOOKUP($A133,md[[route]:[boarding_EV]],4,FALSE),"")</f>
        <v>69.636748999999995</v>
      </c>
      <c r="N133" s="59">
        <f>IFERROR(VLOOKUP($A133,md[[route]:[boarding_EV]],5,FALSE),"")</f>
        <v>72.778469999999999</v>
      </c>
      <c r="O133" s="59">
        <f>IFERROR(VLOOKUP($A133,md[[route]:[boarding_EV]],6,FALSE),"")</f>
        <v>39.144086999999999</v>
      </c>
      <c r="P133" s="59">
        <f>SUM(K133:O133)</f>
        <v>228.26982299999997</v>
      </c>
      <c r="Q133" s="290">
        <f t="shared" si="12"/>
        <v>9.8243074332451163E-2</v>
      </c>
      <c r="R133" s="289">
        <f t="shared" si="13"/>
        <v>416.96917135132816</v>
      </c>
    </row>
    <row r="134" spans="1:18" x14ac:dyDescent="0.25">
      <c r="A134" s="47">
        <v>972</v>
      </c>
      <c r="B134" s="47">
        <v>10</v>
      </c>
      <c r="C134" s="47" t="s">
        <v>0</v>
      </c>
      <c r="D134" s="47">
        <v>5</v>
      </c>
      <c r="E134" s="48">
        <f>VLOOKUP($A134,observed!$A$2:$I$138,5,FALSE)</f>
        <v>0</v>
      </c>
      <c r="F134" s="48">
        <f>VLOOKUP($A134,observed!$A$2:$I$138,6,FALSE)</f>
        <v>73.619047619047635</v>
      </c>
      <c r="G134" s="48">
        <f>VLOOKUP($A134,observed!$A$2:$I$138,7,FALSE)</f>
        <v>8.3809523809523583</v>
      </c>
      <c r="H134" s="48">
        <f>VLOOKUP($A134,observed!$A$2:$I$138,8,FALSE)</f>
        <v>58</v>
      </c>
      <c r="I134" s="48">
        <f>VLOOKUP($A134,observed!$A$2:$I$138,9,FALSE)</f>
        <v>0</v>
      </c>
      <c r="J134" s="48">
        <f>SUM(E134:I134)</f>
        <v>140</v>
      </c>
      <c r="K134" s="59">
        <f>IFERROR(VLOOKUP($A134,md[[route]:[boarding_EV]],2,FALSE),"")</f>
        <v>0</v>
      </c>
      <c r="L134" s="59">
        <f>IFERROR(VLOOKUP($A134,md[[route]:[boarding_EV]],3,FALSE),"")</f>
        <v>86.050631999999993</v>
      </c>
      <c r="M134" s="59">
        <f>IFERROR(VLOOKUP($A134,md[[route]:[boarding_EV]],4,FALSE),"")</f>
        <v>0</v>
      </c>
      <c r="N134" s="59">
        <f>IFERROR(VLOOKUP($A134,md[[route]:[boarding_EV]],5,FALSE),"")</f>
        <v>112.382999</v>
      </c>
      <c r="O134" s="59">
        <f>IFERROR(VLOOKUP($A134,md[[route]:[boarding_EV]],6,FALSE),"")</f>
        <v>0</v>
      </c>
      <c r="P134" s="59">
        <f>SUM(K134:O134)</f>
        <v>198.43363099999999</v>
      </c>
      <c r="Q134" s="290">
        <f t="shared" si="12"/>
        <v>0.41738307857142853</v>
      </c>
      <c r="R134" s="289">
        <f t="shared" si="13"/>
        <v>3414.4892318441598</v>
      </c>
    </row>
    <row r="135" spans="1:18" x14ac:dyDescent="0.25">
      <c r="A135" s="47">
        <v>973</v>
      </c>
      <c r="B135" s="47">
        <v>10</v>
      </c>
      <c r="C135" s="47" t="s">
        <v>0</v>
      </c>
      <c r="D135" s="47">
        <v>5</v>
      </c>
      <c r="E135" s="48">
        <f>VLOOKUP($A135,observed!$A$2:$I$138,5,FALSE)</f>
        <v>0</v>
      </c>
      <c r="F135" s="48">
        <f>VLOOKUP($A135,observed!$A$2:$I$138,6,FALSE)</f>
        <v>49</v>
      </c>
      <c r="G135" s="48">
        <f>VLOOKUP($A135,observed!$A$2:$I$138,7,FALSE)</f>
        <v>0</v>
      </c>
      <c r="H135" s="48">
        <f>VLOOKUP($A135,observed!$A$2:$I$138,8,FALSE)</f>
        <v>50</v>
      </c>
      <c r="I135" s="48">
        <f>VLOOKUP($A135,observed!$A$2:$I$138,9,FALSE)</f>
        <v>0</v>
      </c>
      <c r="J135" s="48">
        <f>SUM(E135:I135)</f>
        <v>99</v>
      </c>
      <c r="K135" s="59">
        <f>IFERROR(VLOOKUP($A135,md[[route]:[boarding_EV]],2,FALSE),"")</f>
        <v>0</v>
      </c>
      <c r="L135" s="59">
        <f>IFERROR(VLOOKUP($A135,md[[route]:[boarding_EV]],3,FALSE),"")</f>
        <v>91.441033000000004</v>
      </c>
      <c r="M135" s="59">
        <f>IFERROR(VLOOKUP($A135,md[[route]:[boarding_EV]],4,FALSE),"")</f>
        <v>0</v>
      </c>
      <c r="N135" s="59">
        <f>IFERROR(VLOOKUP($A135,md[[route]:[boarding_EV]],5,FALSE),"")</f>
        <v>84.172725999999997</v>
      </c>
      <c r="O135" s="59">
        <f>IFERROR(VLOOKUP($A135,md[[route]:[boarding_EV]],6,FALSE),"")</f>
        <v>0</v>
      </c>
      <c r="P135" s="59">
        <f>SUM(K135:O135)</f>
        <v>175.61375900000002</v>
      </c>
      <c r="Q135" s="290">
        <f t="shared" si="12"/>
        <v>0.77387635353535367</v>
      </c>
      <c r="R135" s="289">
        <f t="shared" si="13"/>
        <v>5869.6680681100834</v>
      </c>
    </row>
    <row r="136" spans="1:18" x14ac:dyDescent="0.25">
      <c r="A136" s="47">
        <v>978</v>
      </c>
      <c r="B136" s="47">
        <v>10</v>
      </c>
      <c r="C136" s="47" t="s">
        <v>0</v>
      </c>
      <c r="D136" s="47">
        <v>5</v>
      </c>
      <c r="E136" s="48">
        <f>VLOOKUP($A136,observed!$A$2:$I$138,5,FALSE)</f>
        <v>0</v>
      </c>
      <c r="F136" s="48">
        <f>VLOOKUP($A136,observed!$A$2:$I$138,6,FALSE)</f>
        <v>51</v>
      </c>
      <c r="G136" s="48">
        <f>VLOOKUP($A136,observed!$A$2:$I$138,7,FALSE)</f>
        <v>0</v>
      </c>
      <c r="H136" s="48">
        <f>VLOOKUP($A136,observed!$A$2:$I$138,8,FALSE)</f>
        <v>45</v>
      </c>
      <c r="I136" s="48">
        <f>VLOOKUP($A136,observed!$A$2:$I$138,9,FALSE)</f>
        <v>0</v>
      </c>
      <c r="J136" s="48">
        <f>SUM(E136:I136)</f>
        <v>96</v>
      </c>
      <c r="K136" s="59">
        <f>IFERROR(VLOOKUP($A136,md[[route]:[boarding_EV]],2,FALSE),"")</f>
        <v>0</v>
      </c>
      <c r="L136" s="59">
        <f>IFERROR(VLOOKUP($A136,md[[route]:[boarding_EV]],3,FALSE),"")</f>
        <v>62.997548999999999</v>
      </c>
      <c r="M136" s="59">
        <f>IFERROR(VLOOKUP($A136,md[[route]:[boarding_EV]],4,FALSE),"")</f>
        <v>0</v>
      </c>
      <c r="N136" s="59">
        <f>IFERROR(VLOOKUP($A136,md[[route]:[boarding_EV]],5,FALSE),"")</f>
        <v>69.641005000000007</v>
      </c>
      <c r="O136" s="59">
        <f>IFERROR(VLOOKUP($A136,md[[route]:[boarding_EV]],6,FALSE),"")</f>
        <v>0</v>
      </c>
      <c r="P136" s="59">
        <f>SUM(K136:O136)</f>
        <v>132.638554</v>
      </c>
      <c r="Q136" s="290">
        <f t="shared" si="12"/>
        <v>0.38165160416666666</v>
      </c>
      <c r="R136" s="289">
        <f t="shared" si="13"/>
        <v>1342.383639210916</v>
      </c>
    </row>
    <row r="137" spans="1:18" x14ac:dyDescent="0.25">
      <c r="A137" s="47">
        <v>979</v>
      </c>
      <c r="B137" s="47">
        <v>10</v>
      </c>
      <c r="C137" s="47" t="s">
        <v>0</v>
      </c>
      <c r="D137" s="47">
        <v>5</v>
      </c>
      <c r="E137" s="48">
        <f>VLOOKUP($A137,observed!$A$2:$I$138,5,FALSE)</f>
        <v>0</v>
      </c>
      <c r="F137" s="48">
        <f>VLOOKUP($A137,observed!$A$2:$I$138,6,FALSE)</f>
        <v>37</v>
      </c>
      <c r="G137" s="48">
        <f>VLOOKUP($A137,observed!$A$2:$I$138,7,FALSE)</f>
        <v>0</v>
      </c>
      <c r="H137" s="48">
        <f>VLOOKUP($A137,observed!$A$2:$I$138,8,FALSE)</f>
        <v>40</v>
      </c>
      <c r="I137" s="48">
        <f>VLOOKUP($A137,observed!$A$2:$I$138,9,FALSE)</f>
        <v>0</v>
      </c>
      <c r="J137" s="48">
        <f t="shared" ref="J137:J138" si="14">SUM(E137:I137)</f>
        <v>77</v>
      </c>
      <c r="K137" s="59">
        <f>IFERROR(VLOOKUP($A137,md[[route]:[boarding_EV]],2,FALSE),"")</f>
        <v>0</v>
      </c>
      <c r="L137" s="59">
        <f>IFERROR(VLOOKUP($A137,md[[route]:[boarding_EV]],3,FALSE),"")</f>
        <v>122.85561199999999</v>
      </c>
      <c r="M137" s="59">
        <f>IFERROR(VLOOKUP($A137,md[[route]:[boarding_EV]],4,FALSE),"")</f>
        <v>0</v>
      </c>
      <c r="N137" s="59">
        <f>IFERROR(VLOOKUP($A137,md[[route]:[boarding_EV]],5,FALSE),"")</f>
        <v>172.582323</v>
      </c>
      <c r="O137" s="59">
        <f>IFERROR(VLOOKUP($A137,md[[route]:[boarding_EV]],6,FALSE),"")</f>
        <v>0</v>
      </c>
      <c r="P137" s="59">
        <f t="shared" ref="P137:P138" si="15">SUM(K137:O137)</f>
        <v>295.43793499999998</v>
      </c>
      <c r="Q137" s="290">
        <f t="shared" ref="Q137:Q138" si="16">P137/J137-1</f>
        <v>2.8368562987012984</v>
      </c>
      <c r="R137" s="289">
        <f t="shared" ref="R137:R138" si="17">POWER((P137-J137),2)</f>
        <v>47715.131447064217</v>
      </c>
    </row>
    <row r="138" spans="1:18" x14ac:dyDescent="0.25">
      <c r="A138" s="47">
        <v>992</v>
      </c>
      <c r="B138" s="47">
        <v>10</v>
      </c>
      <c r="C138" s="47" t="s">
        <v>0</v>
      </c>
      <c r="D138" s="47">
        <v>5</v>
      </c>
      <c r="E138" s="48">
        <f>VLOOKUP($A138,observed!$A$2:$I$138,5,FALSE)</f>
        <v>49.118750000000013</v>
      </c>
      <c r="F138" s="48">
        <f>VLOOKUP($A138,observed!$A$2:$I$138,6,FALSE)</f>
        <v>180.21273936170215</v>
      </c>
      <c r="G138" s="48">
        <f>VLOOKUP($A138,observed!$A$2:$I$138,7,FALSE)</f>
        <v>549.64371063829742</v>
      </c>
      <c r="H138" s="48">
        <f>VLOOKUP($A138,observed!$A$2:$I$138,8,FALSE)</f>
        <v>215.88600000000065</v>
      </c>
      <c r="I138" s="48">
        <f>VLOOKUP($A138,observed!$A$2:$I$138,9,FALSE)</f>
        <v>176.54879999999983</v>
      </c>
      <c r="J138" s="48">
        <f t="shared" si="14"/>
        <v>1171.4100000000001</v>
      </c>
      <c r="K138" s="59">
        <f>IFERROR(VLOOKUP($A138,md[[route]:[boarding_EV]],2,FALSE),"")</f>
        <v>96.969868000000005</v>
      </c>
      <c r="L138" s="59">
        <f>IFERROR(VLOOKUP($A138,md[[route]:[boarding_EV]],3,FALSE),"")</f>
        <v>351.45837399999999</v>
      </c>
      <c r="M138" s="59">
        <f>IFERROR(VLOOKUP($A138,md[[route]:[boarding_EV]],4,FALSE),"")</f>
        <v>338.57511599999998</v>
      </c>
      <c r="N138" s="59">
        <f>IFERROR(VLOOKUP($A138,md[[route]:[boarding_EV]],5,FALSE),"")</f>
        <v>326.45203800000002</v>
      </c>
      <c r="O138" s="59">
        <f>IFERROR(VLOOKUP($A138,md[[route]:[boarding_EV]],6,FALSE),"")</f>
        <v>126.90320699999999</v>
      </c>
      <c r="P138" s="59">
        <f t="shared" si="15"/>
        <v>1240.3586029999999</v>
      </c>
      <c r="Q138" s="290">
        <f t="shared" si="16"/>
        <v>5.8859496674947165E-2</v>
      </c>
      <c r="R138" s="289">
        <f t="shared" si="17"/>
        <v>4753.9098556515846</v>
      </c>
    </row>
  </sheetData>
  <conditionalFormatting sqref="J1:J1048576">
    <cfRule type="cellIs" dxfId="0" priority="1" operator="lessThan">
      <formula>70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138"/>
  <sheetViews>
    <sheetView workbookViewId="0">
      <pane ySplit="1" topLeftCell="A2" activePane="bottomLeft" state="frozen"/>
      <selection activeCell="U23" sqref="U23"/>
      <selection pane="bottomLeft" activeCell="S36" sqref="S36"/>
    </sheetView>
  </sheetViews>
  <sheetFormatPr defaultRowHeight="15" x14ac:dyDescent="0.25"/>
  <cols>
    <col min="1" max="2" width="9.140625" style="5"/>
    <col min="3" max="3" width="15" style="5" customWidth="1"/>
    <col min="4" max="4" width="9.140625" style="5"/>
    <col min="5" max="10" width="7.7109375" style="10" customWidth="1"/>
    <col min="11" max="15" width="7.7109375" style="57" customWidth="1"/>
    <col min="16" max="16" width="7.7109375" style="64" customWidth="1"/>
    <col min="17" max="17" width="9.140625" style="5"/>
    <col min="18" max="18" width="14.7109375" style="238" customWidth="1"/>
    <col min="19" max="16384" width="9.140625" style="5"/>
  </cols>
  <sheetData>
    <row r="1" spans="1:21" x14ac:dyDescent="0.25">
      <c r="A1" s="5" t="s">
        <v>1</v>
      </c>
      <c r="B1" s="5" t="s">
        <v>2</v>
      </c>
      <c r="C1" s="5" t="s">
        <v>3</v>
      </c>
      <c r="D1" s="5" t="s">
        <v>41</v>
      </c>
      <c r="E1" s="10" t="s">
        <v>42</v>
      </c>
      <c r="F1" s="10" t="s">
        <v>43</v>
      </c>
      <c r="G1" s="10" t="s">
        <v>44</v>
      </c>
      <c r="H1" s="10" t="s">
        <v>45</v>
      </c>
      <c r="I1" s="10" t="s">
        <v>46</v>
      </c>
      <c r="J1" s="10" t="s">
        <v>47</v>
      </c>
      <c r="K1" s="57" t="s">
        <v>42</v>
      </c>
      <c r="L1" s="57" t="s">
        <v>43</v>
      </c>
      <c r="M1" s="57" t="s">
        <v>44</v>
      </c>
      <c r="N1" s="57" t="s">
        <v>45</v>
      </c>
      <c r="O1" s="57" t="s">
        <v>46</v>
      </c>
      <c r="P1" s="57" t="s">
        <v>47</v>
      </c>
      <c r="Q1" s="2" t="s">
        <v>82</v>
      </c>
      <c r="R1" s="237" t="s">
        <v>88</v>
      </c>
      <c r="S1" s="2">
        <f>SUM(J2:J138)</f>
        <v>1617610.6372729833</v>
      </c>
      <c r="T1" s="2">
        <f>SUM(P2:P138)</f>
        <v>1892984.3420047837</v>
      </c>
      <c r="U1" s="225">
        <f>T1/S1-1</f>
        <v>0.17023485033211316</v>
      </c>
    </row>
    <row r="2" spans="1:21" x14ac:dyDescent="0.25">
      <c r="A2" s="55">
        <v>398</v>
      </c>
      <c r="B2" s="55">
        <v>4</v>
      </c>
      <c r="C2" s="55" t="s">
        <v>12</v>
      </c>
      <c r="D2" s="55">
        <v>1</v>
      </c>
      <c r="E2" s="56">
        <f>VLOOKUP($A2,observed!$A$2:$N$138,10,FALSE)</f>
        <v>3400.5878222163342</v>
      </c>
      <c r="F2" s="56">
        <f>VLOOKUP($A2,observed!$A$2:$N$138,11,FALSE)</f>
        <v>39093.184108910056</v>
      </c>
      <c r="G2" s="56">
        <f>VLOOKUP($A2,observed!$A$2:$N$138,12,FALSE)</f>
        <v>20105.041468705818</v>
      </c>
      <c r="H2" s="56">
        <f>VLOOKUP($A2,observed!$A$2:$N$138,13,FALSE)</f>
        <v>48388.058295557006</v>
      </c>
      <c r="I2" s="56">
        <f>VLOOKUP($A2,observed!$A$2:$N$138,14,FALSE)</f>
        <v>7451.255716314623</v>
      </c>
      <c r="J2" s="56">
        <f>SUM(E2:I2)</f>
        <v>118438.12741170384</v>
      </c>
      <c r="K2" s="58">
        <f>IFERROR(VLOOKUP($A2,md[[route]:[passenger_mile_EV]],7,FALSE),"")</f>
        <v>12334.416312448609</v>
      </c>
      <c r="L2" s="58">
        <f>IFERROR(VLOOKUP($A2,md[[route]:[passenger_mile_EV]],8,FALSE),"")</f>
        <v>48430.055461573029</v>
      </c>
      <c r="M2" s="58">
        <f>IFERROR(VLOOKUP($A2,md[[route]:[passenger_mile_EV]],9,FALSE),"")</f>
        <v>18617.489963306449</v>
      </c>
      <c r="N2" s="58">
        <f>IFERROR(VLOOKUP($A2,md[[route]:[passenger_mile_EV]],10,FALSE),"")</f>
        <v>46658.746465500531</v>
      </c>
      <c r="O2" s="58">
        <f>IFERROR(VLOOKUP($A2,md[[route]:[passenger_mile_EV]],11,FALSE),"")</f>
        <v>8194.0967520494196</v>
      </c>
      <c r="P2" s="58">
        <f>SUM(K2:O2)</f>
        <v>134234.80495487805</v>
      </c>
      <c r="Q2" s="225">
        <f>P2/J2-1</f>
        <v>0.13337493498409714</v>
      </c>
      <c r="R2" s="239">
        <f>POWER((P2-J2),2)</f>
        <v>249535021.40302449</v>
      </c>
    </row>
    <row r="3" spans="1:21" x14ac:dyDescent="0.25">
      <c r="A3" s="47">
        <v>399</v>
      </c>
      <c r="B3" s="47">
        <v>5</v>
      </c>
      <c r="C3" s="47" t="s">
        <v>13</v>
      </c>
      <c r="D3" s="47">
        <v>2</v>
      </c>
      <c r="E3" s="48">
        <f>VLOOKUP($A3,observed!$A$2:$N$138,10,FALSE)</f>
        <v>2931.9152830188686</v>
      </c>
      <c r="F3" s="48">
        <f>VLOOKUP($A3,observed!$A$2:$N$138,11,FALSE)</f>
        <v>15473.950188679244</v>
      </c>
      <c r="G3" s="48">
        <f>VLOOKUP($A3,observed!$A$2:$N$138,12,FALSE)</f>
        <v>28316.459622641494</v>
      </c>
      <c r="H3" s="48">
        <f>VLOOKUP($A3,observed!$A$2:$N$138,13,FALSE)</f>
        <v>18886.206603773619</v>
      </c>
      <c r="I3" s="48">
        <f>VLOOKUP($A3,observed!$A$2:$N$138,14,FALSE)</f>
        <v>8274.1883018867811</v>
      </c>
      <c r="J3" s="48">
        <f t="shared" ref="J3:J67" si="0">SUM(E3:I3)</f>
        <v>73882.720000000001</v>
      </c>
      <c r="K3" s="59">
        <f>IFERROR(VLOOKUP($A3,md[[route]:[passenger_mile_EV]],7,FALSE),"")</f>
        <v>5382.745124811433</v>
      </c>
      <c r="L3" s="59">
        <f>IFERROR(VLOOKUP($A3,md[[route]:[passenger_mile_EV]],8,FALSE),"")</f>
        <v>20974.0711608159</v>
      </c>
      <c r="M3" s="59">
        <f>IFERROR(VLOOKUP($A3,md[[route]:[passenger_mile_EV]],9,FALSE),"")</f>
        <v>32802.877766086087</v>
      </c>
      <c r="N3" s="59">
        <f>IFERROR(VLOOKUP($A3,md[[route]:[passenger_mile_EV]],10,FALSE),"")</f>
        <v>27243.137458553902</v>
      </c>
      <c r="O3" s="59">
        <f>IFERROR(VLOOKUP($A3,md[[route]:[passenger_mile_EV]],11,FALSE),"")</f>
        <v>12283.161513701019</v>
      </c>
      <c r="P3" s="59">
        <f t="shared" ref="P3:P67" si="1">SUM(K3:O3)</f>
        <v>98685.993023968345</v>
      </c>
      <c r="Q3" s="225">
        <f t="shared" ref="Q3:Q67" si="2">P3/J3-1</f>
        <v>0.33571142242689955</v>
      </c>
      <c r="R3" s="239">
        <f t="shared" ref="R3:R67" si="3">POWER((P3-J3),2)</f>
        <v>615202352.70151579</v>
      </c>
    </row>
    <row r="4" spans="1:21" x14ac:dyDescent="0.25">
      <c r="A4" s="53">
        <v>510</v>
      </c>
      <c r="B4" s="53">
        <v>5</v>
      </c>
      <c r="C4" s="53" t="s">
        <v>13</v>
      </c>
      <c r="D4" s="53">
        <v>2</v>
      </c>
      <c r="E4" s="54">
        <f>VLOOKUP($A4,observed!$A$2:$N$138,10,FALSE)</f>
        <v>20115.601641577061</v>
      </c>
      <c r="F4" s="54">
        <f>VLOOKUP($A4,observed!$A$2:$N$138,11,FALSE)</f>
        <v>63661.031247311803</v>
      </c>
      <c r="G4" s="54">
        <f>VLOOKUP($A4,observed!$A$2:$N$138,12,FALSE)</f>
        <v>113411.91242245938</v>
      </c>
      <c r="H4" s="54">
        <f>VLOOKUP($A4,observed!$A$2:$N$138,13,FALSE)</f>
        <v>82707.204553063653</v>
      </c>
      <c r="I4" s="54">
        <f>VLOOKUP($A4,observed!$A$2:$N$138,14,FALSE)</f>
        <v>32146.675777777673</v>
      </c>
      <c r="J4" s="54">
        <f t="shared" si="0"/>
        <v>312042.42564218957</v>
      </c>
      <c r="K4" s="60">
        <f>IFERROR(VLOOKUP($A4,md[[route]:[passenger_mile_EV]],7,FALSE),"")</f>
        <v>29374.786309073901</v>
      </c>
      <c r="L4" s="60">
        <f>IFERROR(VLOOKUP($A4,md[[route]:[passenger_mile_EV]],8,FALSE),"")</f>
        <v>87730.268332019637</v>
      </c>
      <c r="M4" s="60">
        <f>IFERROR(VLOOKUP($A4,md[[route]:[passenger_mile_EV]],9,FALSE),"")</f>
        <v>119952.1802675597</v>
      </c>
      <c r="N4" s="60">
        <f>IFERROR(VLOOKUP($A4,md[[route]:[passenger_mile_EV]],10,FALSE),"")</f>
        <v>120448.6673089018</v>
      </c>
      <c r="O4" s="60">
        <f>IFERROR(VLOOKUP($A4,md[[route]:[passenger_mile_EV]],11,FALSE),"")</f>
        <v>81319.305545824318</v>
      </c>
      <c r="P4" s="60">
        <f t="shared" si="1"/>
        <v>438825.20776337932</v>
      </c>
      <c r="Q4" s="225">
        <f t="shared" si="2"/>
        <v>0.40629982240481644</v>
      </c>
      <c r="R4" s="239">
        <f t="shared" si="3"/>
        <v>16073873842.389072</v>
      </c>
    </row>
    <row r="5" spans="1:21" x14ac:dyDescent="0.25">
      <c r="A5" s="51">
        <v>520</v>
      </c>
      <c r="B5" s="51">
        <v>5</v>
      </c>
      <c r="C5" s="51" t="s">
        <v>13</v>
      </c>
      <c r="D5" s="51">
        <v>2</v>
      </c>
      <c r="E5" s="52">
        <f>VLOOKUP($A5,observed!$A$2:$N$138,10,FALSE)</f>
        <v>5429.6671698113214</v>
      </c>
      <c r="F5" s="52">
        <f>VLOOKUP($A5,observed!$A$2:$N$138,11,FALSE)</f>
        <v>26119.409433962264</v>
      </c>
      <c r="G5" s="52">
        <f>VLOOKUP($A5,observed!$A$2:$N$138,12,FALSE)</f>
        <v>48821.427547169755</v>
      </c>
      <c r="H5" s="52">
        <f>VLOOKUP($A5,observed!$A$2:$N$138,13,FALSE)</f>
        <v>32385.773584905754</v>
      </c>
      <c r="I5" s="52">
        <f>VLOOKUP($A5,observed!$A$2:$N$138,14,FALSE)</f>
        <v>14643.872264150914</v>
      </c>
      <c r="J5" s="52">
        <f t="shared" si="0"/>
        <v>127400.15</v>
      </c>
      <c r="K5" s="61">
        <f>IFERROR(VLOOKUP($A5,md[[route]:[passenger_mile_EV]],7,FALSE),"")</f>
        <v>6345.5307158489932</v>
      </c>
      <c r="L5" s="61">
        <f>IFERROR(VLOOKUP($A5,md[[route]:[passenger_mile_EV]],8,FALSE),"")</f>
        <v>26970.856092266411</v>
      </c>
      <c r="M5" s="61">
        <f>IFERROR(VLOOKUP($A5,md[[route]:[passenger_mile_EV]],9,FALSE),"")</f>
        <v>31656.145652922951</v>
      </c>
      <c r="N5" s="61">
        <f>IFERROR(VLOOKUP($A5,md[[route]:[passenger_mile_EV]],10,FALSE),"")</f>
        <v>33016.629012223311</v>
      </c>
      <c r="O5" s="61">
        <f>IFERROR(VLOOKUP($A5,md[[route]:[passenger_mile_EV]],11,FALSE),"")</f>
        <v>17221.317331488532</v>
      </c>
      <c r="P5" s="61">
        <f t="shared" si="1"/>
        <v>115210.47880475019</v>
      </c>
      <c r="Q5" s="225">
        <f t="shared" si="2"/>
        <v>-9.5680195001731194E-2</v>
      </c>
      <c r="R5" s="239">
        <f t="shared" si="3"/>
        <v>148588083.84830272</v>
      </c>
    </row>
    <row r="6" spans="1:21" x14ac:dyDescent="0.25">
      <c r="A6" s="49">
        <v>530</v>
      </c>
      <c r="B6" s="49">
        <v>5</v>
      </c>
      <c r="C6" s="49" t="s">
        <v>13</v>
      </c>
      <c r="D6" s="49">
        <v>2</v>
      </c>
      <c r="E6" s="50">
        <f>VLOOKUP($A6,observed!$A$2:$N$138,10,FALSE)</f>
        <v>4645.7594029850743</v>
      </c>
      <c r="F6" s="50">
        <f>VLOOKUP($A6,observed!$A$2:$N$138,11,FALSE)</f>
        <v>33698.409552238809</v>
      </c>
      <c r="G6" s="50">
        <f>VLOOKUP($A6,observed!$A$2:$N$138,12,FALSE)</f>
        <v>72664.740298507386</v>
      </c>
      <c r="H6" s="50">
        <f>VLOOKUP($A6,observed!$A$2:$N$138,13,FALSE)</f>
        <v>47205.91656716432</v>
      </c>
      <c r="I6" s="50">
        <f>VLOOKUP($A6,observed!$A$2:$N$138,14,FALSE)</f>
        <v>21031.51417910443</v>
      </c>
      <c r="J6" s="50">
        <f t="shared" si="0"/>
        <v>179246.34000000003</v>
      </c>
      <c r="K6" s="62">
        <f>IFERROR(VLOOKUP($A6,md[[route]:[passenger_mile_EV]],7,FALSE),"")</f>
        <v>9443.0042180070232</v>
      </c>
      <c r="L6" s="62">
        <f>IFERROR(VLOOKUP($A6,md[[route]:[passenger_mile_EV]],8,FALSE),"")</f>
        <v>39914.496244947542</v>
      </c>
      <c r="M6" s="62">
        <f>IFERROR(VLOOKUP($A6,md[[route]:[passenger_mile_EV]],9,FALSE),"")</f>
        <v>51761.373359379693</v>
      </c>
      <c r="N6" s="62">
        <f>IFERROR(VLOOKUP($A6,md[[route]:[passenger_mile_EV]],10,FALSE),"")</f>
        <v>52812.452718031833</v>
      </c>
      <c r="O6" s="62">
        <f>IFERROR(VLOOKUP($A6,md[[route]:[passenger_mile_EV]],11,FALSE),"")</f>
        <v>26649.058786739981</v>
      </c>
      <c r="P6" s="62">
        <f t="shared" si="1"/>
        <v>180580.38532710605</v>
      </c>
      <c r="Q6" s="225">
        <f t="shared" si="2"/>
        <v>7.4425247796190419E-3</v>
      </c>
      <c r="R6" s="239">
        <f t="shared" si="3"/>
        <v>1779676.9347734214</v>
      </c>
    </row>
    <row r="7" spans="1:21" x14ac:dyDescent="0.25">
      <c r="A7" s="5">
        <v>10</v>
      </c>
      <c r="B7" s="5">
        <v>9</v>
      </c>
      <c r="C7" s="5" t="s">
        <v>9</v>
      </c>
      <c r="D7" s="5">
        <v>3</v>
      </c>
      <c r="E7" s="10">
        <f>VLOOKUP($A7,observed!$A$2:$N$138,10,FALSE)</f>
        <v>371.14096616541343</v>
      </c>
      <c r="F7" s="10">
        <f>VLOOKUP($A7,observed!$A$2:$N$138,11,FALSE)</f>
        <v>2719.3538338345857</v>
      </c>
      <c r="G7" s="10">
        <f>VLOOKUP($A7,observed!$A$2:$N$138,12,FALSE)</f>
        <v>5447.3801819921446</v>
      </c>
      <c r="H7" s="10">
        <f>VLOOKUP($A7,observed!$A$2:$N$138,13,FALSE)</f>
        <v>3274.7624075468675</v>
      </c>
      <c r="I7" s="10">
        <f>VLOOKUP($A7,observed!$A$2:$N$138,14,FALSE)</f>
        <v>1653.812610460988</v>
      </c>
      <c r="J7" s="10">
        <f t="shared" si="0"/>
        <v>13466.449999999997</v>
      </c>
      <c r="K7" s="57">
        <f>IFERROR(VLOOKUP($A7,md[[route]:[passenger_mile_EV]],7,FALSE),"")</f>
        <v>537.34845825963703</v>
      </c>
      <c r="L7" s="57">
        <f>IFERROR(VLOOKUP($A7,md[[route]:[passenger_mile_EV]],8,FALSE),"")</f>
        <v>2250.3680956515068</v>
      </c>
      <c r="M7" s="57">
        <f>IFERROR(VLOOKUP($A7,md[[route]:[passenger_mile_EV]],9,FALSE),"")</f>
        <v>2811.9957311922299</v>
      </c>
      <c r="N7" s="57">
        <f>IFERROR(VLOOKUP($A7,md[[route]:[passenger_mile_EV]],10,FALSE),"")</f>
        <v>2803.6419826561619</v>
      </c>
      <c r="O7" s="57">
        <f>IFERROR(VLOOKUP($A7,md[[route]:[passenger_mile_EV]],11,FALSE),"")</f>
        <v>1490.481093090184</v>
      </c>
      <c r="P7" s="57">
        <f t="shared" si="1"/>
        <v>9893.83536084972</v>
      </c>
      <c r="Q7" s="225">
        <f t="shared" si="2"/>
        <v>-0.26529743467285571</v>
      </c>
      <c r="R7" s="239">
        <f t="shared" si="3"/>
        <v>12763575.359870864</v>
      </c>
    </row>
    <row r="8" spans="1:21" x14ac:dyDescent="0.25">
      <c r="A8" s="5">
        <v>20</v>
      </c>
      <c r="B8" s="5">
        <v>9</v>
      </c>
      <c r="C8" s="5" t="s">
        <v>9</v>
      </c>
      <c r="D8" s="5">
        <v>3</v>
      </c>
      <c r="E8" s="10">
        <f>VLOOKUP($A8,observed!$A$2:$N$138,10,FALSE)</f>
        <v>431.64548721089818</v>
      </c>
      <c r="F8" s="10">
        <f>VLOOKUP($A8,observed!$A$2:$N$138,11,FALSE)</f>
        <v>5053.558512370606</v>
      </c>
      <c r="G8" s="10">
        <f>VLOOKUP($A8,observed!$A$2:$N$138,12,FALSE)</f>
        <v>8566.1477696714537</v>
      </c>
      <c r="H8" s="10">
        <f>VLOOKUP($A8,observed!$A$2:$N$138,13,FALSE)</f>
        <v>4904.4296368288569</v>
      </c>
      <c r="I8" s="10">
        <f>VLOOKUP($A8,observed!$A$2:$N$138,14,FALSE)</f>
        <v>1341.743917548979</v>
      </c>
      <c r="J8" s="10">
        <f t="shared" si="0"/>
        <v>20297.525323630791</v>
      </c>
      <c r="K8" s="57">
        <f>IFERROR(VLOOKUP($A8,md[[route]:[passenger_mile_EV]],7,FALSE),"")</f>
        <v>1508.222396207369</v>
      </c>
      <c r="L8" s="57">
        <f>IFERROR(VLOOKUP($A8,md[[route]:[passenger_mile_EV]],8,FALSE),"")</f>
        <v>4593.7517586338236</v>
      </c>
      <c r="M8" s="57">
        <f>IFERROR(VLOOKUP($A8,md[[route]:[passenger_mile_EV]],9,FALSE),"")</f>
        <v>6283.6833953163832</v>
      </c>
      <c r="N8" s="57">
        <f>IFERROR(VLOOKUP($A8,md[[route]:[passenger_mile_EV]],10,FALSE),"")</f>
        <v>6284.9976385313748</v>
      </c>
      <c r="O8" s="57">
        <f>IFERROR(VLOOKUP($A8,md[[route]:[passenger_mile_EV]],11,FALSE),"")</f>
        <v>4246.2269015552993</v>
      </c>
      <c r="P8" s="57">
        <f t="shared" si="1"/>
        <v>22916.882090244249</v>
      </c>
      <c r="Q8" s="225">
        <f t="shared" si="2"/>
        <v>0.12904808467286166</v>
      </c>
      <c r="R8" s="239">
        <f t="shared" si="3"/>
        <v>6861029.8708037129</v>
      </c>
    </row>
    <row r="9" spans="1:21" x14ac:dyDescent="0.25">
      <c r="A9" s="5">
        <v>50</v>
      </c>
      <c r="B9" s="5">
        <v>9</v>
      </c>
      <c r="C9" s="5" t="s">
        <v>9</v>
      </c>
      <c r="D9" s="5">
        <v>3</v>
      </c>
      <c r="E9" s="10">
        <f>VLOOKUP($A9,observed!$A$2:$N$138,10,FALSE)</f>
        <v>468.39814800680011</v>
      </c>
      <c r="F9" s="10">
        <f>VLOOKUP($A9,observed!$A$2:$N$138,11,FALSE)</f>
        <v>2374.4192248309682</v>
      </c>
      <c r="G9" s="10">
        <f>VLOOKUP($A9,observed!$A$2:$N$138,12,FALSE)</f>
        <v>1985.8193997374781</v>
      </c>
      <c r="H9" s="10">
        <f>VLOOKUP($A9,observed!$A$2:$N$138,13,FALSE)</f>
        <v>1927.8102041689403</v>
      </c>
      <c r="I9" s="10">
        <f>VLOOKUP($A9,observed!$A$2:$N$138,14,FALSE)</f>
        <v>49.613023255812699</v>
      </c>
      <c r="J9" s="10">
        <f t="shared" si="0"/>
        <v>6806.0599999999986</v>
      </c>
      <c r="K9" s="57">
        <f>IFERROR(VLOOKUP($A9,md[[route]:[passenger_mile_EV]],7,FALSE),"")</f>
        <v>540.54495813028905</v>
      </c>
      <c r="L9" s="57">
        <f>IFERROR(VLOOKUP($A9,md[[route]:[passenger_mile_EV]],8,FALSE),"")</f>
        <v>1999.359338123837</v>
      </c>
      <c r="M9" s="57">
        <f>IFERROR(VLOOKUP($A9,md[[route]:[passenger_mile_EV]],9,FALSE),"")</f>
        <v>1843.393751374733</v>
      </c>
      <c r="N9" s="57">
        <f>IFERROR(VLOOKUP($A9,md[[route]:[passenger_mile_EV]],10,FALSE),"")</f>
        <v>2159.7213549557332</v>
      </c>
      <c r="O9" s="57">
        <f>IFERROR(VLOOKUP($A9,md[[route]:[passenger_mile_EV]],11,FALSE),"")</f>
        <v>670.58876843145902</v>
      </c>
      <c r="P9" s="57">
        <f t="shared" si="1"/>
        <v>7213.6081710160515</v>
      </c>
      <c r="Q9" s="225">
        <f t="shared" si="2"/>
        <v>5.9880190744138861E-2</v>
      </c>
      <c r="R9" s="239">
        <f t="shared" si="3"/>
        <v>166095.51169852994</v>
      </c>
    </row>
    <row r="10" spans="1:21" x14ac:dyDescent="0.25">
      <c r="A10" s="5">
        <v>60</v>
      </c>
      <c r="B10" s="5">
        <v>9</v>
      </c>
      <c r="C10" s="5" t="s">
        <v>9</v>
      </c>
      <c r="D10" s="5">
        <v>3</v>
      </c>
      <c r="E10" s="10">
        <f>VLOOKUP($A10,observed!$A$2:$N$138,10,FALSE)</f>
        <v>633.05900000000008</v>
      </c>
      <c r="F10" s="10">
        <f>VLOOKUP($A10,observed!$A$2:$N$138,11,FALSE)</f>
        <v>1324.9009999999998</v>
      </c>
      <c r="G10" s="10">
        <f>VLOOKUP($A10,observed!$A$2:$N$138,12,FALSE)</f>
        <v>21.349230769228146</v>
      </c>
      <c r="H10" s="10">
        <f>VLOOKUP($A10,observed!$A$2:$N$138,13,FALSE)</f>
        <v>1328.3507692307719</v>
      </c>
      <c r="I10" s="10">
        <f>VLOOKUP($A10,observed!$A$2:$N$138,14,FALSE)</f>
        <v>0</v>
      </c>
      <c r="J10" s="10">
        <f t="shared" si="0"/>
        <v>3307.66</v>
      </c>
      <c r="K10" s="57">
        <f>IFERROR(VLOOKUP($A10,md[[route]:[passenger_mile_EV]],7,FALSE),"")</f>
        <v>0</v>
      </c>
      <c r="L10" s="57">
        <f>IFERROR(VLOOKUP($A10,md[[route]:[passenger_mile_EV]],8,FALSE),"")</f>
        <v>1701.660894505399</v>
      </c>
      <c r="M10" s="57">
        <f>IFERROR(VLOOKUP($A10,md[[route]:[passenger_mile_EV]],9,FALSE),"")</f>
        <v>0</v>
      </c>
      <c r="N10" s="57">
        <f>IFERROR(VLOOKUP($A10,md[[route]:[passenger_mile_EV]],10,FALSE),"")</f>
        <v>2508.6479517321109</v>
      </c>
      <c r="O10" s="57">
        <f>IFERROR(VLOOKUP($A10,md[[route]:[passenger_mile_EV]],11,FALSE),"")</f>
        <v>0</v>
      </c>
      <c r="P10" s="57">
        <f t="shared" si="1"/>
        <v>4210.3088462375099</v>
      </c>
      <c r="Q10" s="225">
        <f t="shared" si="2"/>
        <v>0.27289650273532051</v>
      </c>
      <c r="R10" s="239">
        <f t="shared" si="3"/>
        <v>814774.93961390806</v>
      </c>
    </row>
    <row r="11" spans="1:21" x14ac:dyDescent="0.25">
      <c r="A11" s="5">
        <v>110</v>
      </c>
      <c r="B11" s="5">
        <v>9</v>
      </c>
      <c r="C11" s="5" t="s">
        <v>9</v>
      </c>
      <c r="D11" s="5">
        <v>3</v>
      </c>
      <c r="E11" s="10">
        <f>VLOOKUP($A11,observed!$A$2:$N$138,10,FALSE)</f>
        <v>0</v>
      </c>
      <c r="F11" s="10">
        <f>VLOOKUP($A11,observed!$A$2:$N$138,11,FALSE)</f>
        <v>1540.7099999999998</v>
      </c>
      <c r="G11" s="10">
        <f>VLOOKUP($A11,observed!$A$2:$N$138,12,FALSE)</f>
        <v>0</v>
      </c>
      <c r="H11" s="10">
        <f>VLOOKUP($A11,observed!$A$2:$N$138,13,FALSE)</f>
        <v>1544.41</v>
      </c>
      <c r="I11" s="10">
        <f>VLOOKUP($A11,observed!$A$2:$N$138,14,FALSE)</f>
        <v>0</v>
      </c>
      <c r="J11" s="10">
        <f t="shared" si="0"/>
        <v>3085.12</v>
      </c>
      <c r="K11" s="57">
        <f>IFERROR(VLOOKUP($A11,md[[route]:[passenger_mile_EV]],7,FALSE),"")</f>
        <v>0</v>
      </c>
      <c r="L11" s="57">
        <f>IFERROR(VLOOKUP($A11,md[[route]:[passenger_mile_EV]],8,FALSE),"")</f>
        <v>1301.5789675799481</v>
      </c>
      <c r="M11" s="57">
        <f>IFERROR(VLOOKUP($A11,md[[route]:[passenger_mile_EV]],9,FALSE),"")</f>
        <v>0</v>
      </c>
      <c r="N11" s="57">
        <f>IFERROR(VLOOKUP($A11,md[[route]:[passenger_mile_EV]],10,FALSE),"")</f>
        <v>1289.335774185844</v>
      </c>
      <c r="O11" s="57">
        <f>IFERROR(VLOOKUP($A11,md[[route]:[passenger_mile_EV]],11,FALSE),"")</f>
        <v>0</v>
      </c>
      <c r="P11" s="57">
        <f t="shared" si="1"/>
        <v>2590.9147417657923</v>
      </c>
      <c r="Q11" s="225">
        <f t="shared" si="2"/>
        <v>-0.16018996286504494</v>
      </c>
      <c r="R11" s="239">
        <f t="shared" si="3"/>
        <v>244238.8372663398</v>
      </c>
    </row>
    <row r="12" spans="1:21" x14ac:dyDescent="0.25">
      <c r="A12" s="5">
        <v>120</v>
      </c>
      <c r="B12" s="5">
        <v>9</v>
      </c>
      <c r="C12" s="5" t="s">
        <v>9</v>
      </c>
      <c r="D12" s="5">
        <v>3</v>
      </c>
      <c r="E12" s="10">
        <f>VLOOKUP($A12,observed!$A$2:$N$138,10,FALSE)</f>
        <v>134.62173997545005</v>
      </c>
      <c r="F12" s="10">
        <f>VLOOKUP($A12,observed!$A$2:$N$138,11,FALSE)</f>
        <v>1974.0267453605509</v>
      </c>
      <c r="G12" s="10">
        <f>VLOOKUP($A12,observed!$A$2:$N$138,12,FALSE)</f>
        <v>4445.7789365377394</v>
      </c>
      <c r="H12" s="10">
        <f>VLOOKUP($A12,observed!$A$2:$N$138,13,FALSE)</f>
        <v>2215.3361592459541</v>
      </c>
      <c r="I12" s="10">
        <f>VLOOKUP($A12,observed!$A$2:$N$138,14,FALSE)</f>
        <v>1072.7117751542014</v>
      </c>
      <c r="J12" s="10">
        <f t="shared" si="0"/>
        <v>9842.4753562738952</v>
      </c>
      <c r="K12" s="57">
        <f>IFERROR(VLOOKUP($A12,md[[route]:[passenger_mile_EV]],7,FALSE),"")</f>
        <v>732.63769578508095</v>
      </c>
      <c r="L12" s="57">
        <f>IFERROR(VLOOKUP($A12,md[[route]:[passenger_mile_EV]],8,FALSE),"")</f>
        <v>2315.5594508888939</v>
      </c>
      <c r="M12" s="57">
        <f>IFERROR(VLOOKUP($A12,md[[route]:[passenger_mile_EV]],9,FALSE),"")</f>
        <v>4334.7250808324688</v>
      </c>
      <c r="N12" s="57">
        <f>IFERROR(VLOOKUP($A12,md[[route]:[passenger_mile_EV]],10,FALSE),"")</f>
        <v>3237.9647286382979</v>
      </c>
      <c r="O12" s="57">
        <f>IFERROR(VLOOKUP($A12,md[[route]:[passenger_mile_EV]],11,FALSE),"")</f>
        <v>2287.411252166004</v>
      </c>
      <c r="P12" s="57">
        <f t="shared" si="1"/>
        <v>12908.298208310747</v>
      </c>
      <c r="Q12" s="225">
        <f t="shared" si="2"/>
        <v>0.31148900465192453</v>
      </c>
      <c r="R12" s="239">
        <f t="shared" si="3"/>
        <v>9399269.7600713782</v>
      </c>
    </row>
    <row r="13" spans="1:21" x14ac:dyDescent="0.25">
      <c r="A13" s="5">
        <v>150</v>
      </c>
      <c r="B13" s="5">
        <v>9</v>
      </c>
      <c r="C13" s="5" t="s">
        <v>9</v>
      </c>
      <c r="D13" s="5">
        <v>3</v>
      </c>
      <c r="E13" s="10">
        <f>VLOOKUP($A13,observed!$A$2:$N$138,10,FALSE)</f>
        <v>0</v>
      </c>
      <c r="F13" s="10">
        <f>VLOOKUP($A13,observed!$A$2:$N$138,11,FALSE)</f>
        <v>7161.1232026794933</v>
      </c>
      <c r="G13" s="10">
        <f>VLOOKUP($A13,observed!$A$2:$N$138,12,FALSE)</f>
        <v>9868.338448569335</v>
      </c>
      <c r="H13" s="10">
        <f>VLOOKUP($A13,observed!$A$2:$N$138,13,FALSE)</f>
        <v>7202.8815352924948</v>
      </c>
      <c r="I13" s="10">
        <f>VLOOKUP($A13,observed!$A$2:$N$138,14,FALSE)</f>
        <v>1959.8668134586792</v>
      </c>
      <c r="J13" s="10">
        <f t="shared" si="0"/>
        <v>26192.210000000003</v>
      </c>
      <c r="K13" s="57">
        <f>IFERROR(VLOOKUP($A13,md[[route]:[passenger_mile_EV]],7,FALSE),"")</f>
        <v>1942.6171149780009</v>
      </c>
      <c r="L13" s="57">
        <f>IFERROR(VLOOKUP($A13,md[[route]:[passenger_mile_EV]],8,FALSE),"")</f>
        <v>7635.159217266686</v>
      </c>
      <c r="M13" s="57">
        <f>IFERROR(VLOOKUP($A13,md[[route]:[passenger_mile_EV]],9,FALSE),"")</f>
        <v>6776.2679705088731</v>
      </c>
      <c r="N13" s="57">
        <f>IFERROR(VLOOKUP($A13,md[[route]:[passenger_mile_EV]],10,FALSE),"")</f>
        <v>7980.9543258822769</v>
      </c>
      <c r="O13" s="57">
        <f>IFERROR(VLOOKUP($A13,md[[route]:[passenger_mile_EV]],11,FALSE),"")</f>
        <v>3319.545246869945</v>
      </c>
      <c r="P13" s="57">
        <f t="shared" si="1"/>
        <v>27654.54387550578</v>
      </c>
      <c r="Q13" s="225">
        <f t="shared" si="2"/>
        <v>5.583087015207111E-2</v>
      </c>
      <c r="R13" s="239">
        <f t="shared" si="3"/>
        <v>2138420.3634517468</v>
      </c>
    </row>
    <row r="14" spans="1:21" x14ac:dyDescent="0.25">
      <c r="A14" s="5">
        <v>950</v>
      </c>
      <c r="B14" s="5">
        <v>9</v>
      </c>
      <c r="C14" s="5" t="s">
        <v>9</v>
      </c>
      <c r="D14" s="5">
        <v>3</v>
      </c>
      <c r="E14" s="10">
        <f>VLOOKUP($A14,observed!$A$2:$N$138,10,FALSE)</f>
        <v>1701.5885714285716</v>
      </c>
      <c r="F14" s="10">
        <f>VLOOKUP($A14,observed!$A$2:$N$138,11,FALSE)</f>
        <v>3304.6642857142856</v>
      </c>
      <c r="G14" s="10">
        <f>VLOOKUP($A14,observed!$A$2:$N$138,12,FALSE)</f>
        <v>2611.2971428571323</v>
      </c>
      <c r="H14" s="10">
        <f>VLOOKUP($A14,observed!$A$2:$N$138,13,FALSE)</f>
        <v>2345.2700000000109</v>
      </c>
      <c r="I14" s="10">
        <f>VLOOKUP($A14,observed!$A$2:$N$138,14,FALSE)</f>
        <v>224.37</v>
      </c>
      <c r="J14" s="10">
        <f t="shared" si="0"/>
        <v>10187.190000000002</v>
      </c>
      <c r="K14" s="57">
        <f>IFERROR(VLOOKUP($A14,md[[route]:[passenger_mile_EV]],7,FALSE),"")</f>
        <v>2220.7749232855999</v>
      </c>
      <c r="L14" s="57">
        <f>IFERROR(VLOOKUP($A14,md[[route]:[passenger_mile_EV]],8,FALSE),"")</f>
        <v>4880.8430510983999</v>
      </c>
      <c r="M14" s="57">
        <f>IFERROR(VLOOKUP($A14,md[[route]:[passenger_mile_EV]],9,FALSE),"")</f>
        <v>7486.609617696</v>
      </c>
      <c r="N14" s="57">
        <f>IFERROR(VLOOKUP($A14,md[[route]:[passenger_mile_EV]],10,FALSE),"")</f>
        <v>7406.8227631917498</v>
      </c>
      <c r="O14" s="57">
        <f>IFERROR(VLOOKUP($A14,md[[route]:[passenger_mile_EV]],11,FALSE),"")</f>
        <v>1146.1220458222999</v>
      </c>
      <c r="P14" s="57">
        <f t="shared" si="1"/>
        <v>23141.172401094049</v>
      </c>
      <c r="Q14" s="225">
        <f t="shared" si="2"/>
        <v>1.2715952486499265</v>
      </c>
      <c r="R14" s="239">
        <f t="shared" si="3"/>
        <v>167805660.04785427</v>
      </c>
    </row>
    <row r="15" spans="1:21" x14ac:dyDescent="0.25">
      <c r="A15" s="1">
        <v>709</v>
      </c>
      <c r="B15" s="1">
        <v>9</v>
      </c>
      <c r="C15" s="1" t="s">
        <v>9</v>
      </c>
      <c r="D15" s="1">
        <v>3</v>
      </c>
      <c r="E15" s="226">
        <v>34.115279805101878</v>
      </c>
      <c r="F15" s="226">
        <v>664.83587399915882</v>
      </c>
      <c r="G15" s="226">
        <v>849.31106989133411</v>
      </c>
      <c r="H15" s="226">
        <v>489.42560580160546</v>
      </c>
      <c r="I15" s="226">
        <v>97.206832348893585</v>
      </c>
      <c r="J15" s="226">
        <f t="shared" si="0"/>
        <v>2134.8946618460936</v>
      </c>
      <c r="K15" s="227">
        <f>IFERROR(VLOOKUP($A15,md[[route]:[passenger_mile_EV]],7,FALSE),"")</f>
        <v>512.30104885265803</v>
      </c>
      <c r="L15" s="227">
        <f>IFERROR(VLOOKUP($A15,md[[route]:[passenger_mile_EV]],8,FALSE),"")</f>
        <v>3450.9408779719288</v>
      </c>
      <c r="M15" s="227">
        <f>IFERROR(VLOOKUP($A15,md[[route]:[passenger_mile_EV]],9,FALSE),"")</f>
        <v>5897.5832433279802</v>
      </c>
      <c r="N15" s="227">
        <f>IFERROR(VLOOKUP($A15,md[[route]:[passenger_mile_EV]],10,FALSE),"")</f>
        <v>4846.5975261868216</v>
      </c>
      <c r="O15" s="227">
        <f>IFERROR(VLOOKUP($A15,md[[route]:[passenger_mile_EV]],11,FALSE),"")</f>
        <v>2558.4465087869071</v>
      </c>
      <c r="P15" s="227">
        <f t="shared" ref="P15" si="4">SUM(K15:O15)</f>
        <v>17265.869205126295</v>
      </c>
      <c r="Q15" s="295">
        <f t="shared" ref="Q15" si="5">P15/J15-1</f>
        <v>7.0874572004391503</v>
      </c>
      <c r="R15" s="296">
        <f t="shared" ref="R15" si="6">POWER((P15-J15),2)</f>
        <v>228946390.62939349</v>
      </c>
    </row>
    <row r="16" spans="1:21" x14ac:dyDescent="0.25">
      <c r="A16" s="5">
        <v>870</v>
      </c>
      <c r="B16" s="5">
        <v>8</v>
      </c>
      <c r="C16" s="5" t="s">
        <v>14</v>
      </c>
      <c r="D16" s="5">
        <v>3</v>
      </c>
      <c r="E16" s="10">
        <f>VLOOKUP($A16,observed!$A$2:$N$138,10,FALSE)</f>
        <v>0</v>
      </c>
      <c r="F16" s="10">
        <f>VLOOKUP($A16,observed!$A$2:$N$138,11,FALSE)</f>
        <v>323.86</v>
      </c>
      <c r="G16" s="10">
        <f>VLOOKUP($A16,observed!$A$2:$N$138,12,FALSE)</f>
        <v>0</v>
      </c>
      <c r="H16" s="10">
        <f>VLOOKUP($A16,observed!$A$2:$N$138,13,FALSE)</f>
        <v>322.45999999999998</v>
      </c>
      <c r="I16" s="10">
        <f>VLOOKUP($A16,observed!$A$2:$N$138,14,FALSE)</f>
        <v>0</v>
      </c>
      <c r="J16" s="10">
        <f t="shared" si="0"/>
        <v>646.31999999999994</v>
      </c>
      <c r="K16" s="57">
        <f>IFERROR(VLOOKUP($A16,md[[route]:[passenger_mile_EV]],7,FALSE),"")</f>
        <v>0</v>
      </c>
      <c r="L16" s="57">
        <f>IFERROR(VLOOKUP($A16,md[[route]:[passenger_mile_EV]],8,FALSE),"")</f>
        <v>319.43756424639002</v>
      </c>
      <c r="M16" s="57">
        <f>IFERROR(VLOOKUP($A16,md[[route]:[passenger_mile_EV]],9,FALSE),"")</f>
        <v>0</v>
      </c>
      <c r="N16" s="57">
        <f>IFERROR(VLOOKUP($A16,md[[route]:[passenger_mile_EV]],10,FALSE),"")</f>
        <v>819.481791565506</v>
      </c>
      <c r="O16" s="57">
        <f>IFERROR(VLOOKUP($A16,md[[route]:[passenger_mile_EV]],11,FALSE),"")</f>
        <v>0</v>
      </c>
      <c r="P16" s="57">
        <f t="shared" si="1"/>
        <v>1138.9193558118959</v>
      </c>
      <c r="Q16" s="225">
        <f t="shared" si="2"/>
        <v>0.76216016185774227</v>
      </c>
      <c r="R16" s="239">
        <f t="shared" si="3"/>
        <v>242654.1253462949</v>
      </c>
    </row>
    <row r="17" spans="1:18" x14ac:dyDescent="0.25">
      <c r="A17" s="11">
        <v>235</v>
      </c>
      <c r="B17" s="11">
        <v>6</v>
      </c>
      <c r="C17" s="11" t="s">
        <v>11</v>
      </c>
      <c r="D17" s="11">
        <v>4</v>
      </c>
      <c r="E17" s="12">
        <f>VLOOKUP($A17,observed!$A$2:$N$138,10,FALSE)</f>
        <v>3579.8673264010754</v>
      </c>
      <c r="F17" s="12">
        <f>VLOOKUP($A17,observed!$A$2:$N$138,11,FALSE)</f>
        <v>20321.968535270287</v>
      </c>
      <c r="G17" s="12">
        <f>VLOOKUP($A17,observed!$A$2:$N$138,12,FALSE)</f>
        <v>31183.483768700669</v>
      </c>
      <c r="H17" s="12">
        <f>VLOOKUP($A17,observed!$A$2:$N$138,13,FALSE)</f>
        <v>23386.157900091359</v>
      </c>
      <c r="I17" s="12">
        <f>VLOOKUP($A17,observed!$A$2:$N$138,14,FALSE)</f>
        <v>9959.8924695366059</v>
      </c>
      <c r="J17" s="12">
        <f t="shared" si="0"/>
        <v>88431.37</v>
      </c>
      <c r="K17" s="63">
        <f>IFERROR(VLOOKUP($A17,md[[route]:[passenger_mile_EV]],7,FALSE),"")</f>
        <v>9511.6150110010021</v>
      </c>
      <c r="L17" s="63">
        <f>IFERROR(VLOOKUP($A17,md[[route]:[passenger_mile_EV]],8,FALSE),"")</f>
        <v>23189.809295619481</v>
      </c>
      <c r="M17" s="63">
        <f>IFERROR(VLOOKUP($A17,md[[route]:[passenger_mile_EV]],9,FALSE),"")</f>
        <v>28570.507646757811</v>
      </c>
      <c r="N17" s="63">
        <f>IFERROR(VLOOKUP($A17,md[[route]:[passenger_mile_EV]],10,FALSE),"")</f>
        <v>30112.990948987299</v>
      </c>
      <c r="O17" s="63">
        <f>IFERROR(VLOOKUP($A17,md[[route]:[passenger_mile_EV]],11,FALSE),"")</f>
        <v>15509.623137532721</v>
      </c>
      <c r="P17" s="63">
        <f t="shared" si="1"/>
        <v>106894.54603989831</v>
      </c>
      <c r="Q17" s="225">
        <f t="shared" si="2"/>
        <v>0.2087853670015325</v>
      </c>
      <c r="R17" s="239">
        <f t="shared" si="3"/>
        <v>340888869.48027527</v>
      </c>
    </row>
    <row r="18" spans="1:18" x14ac:dyDescent="0.25">
      <c r="A18" s="11">
        <v>237</v>
      </c>
      <c r="B18" s="11">
        <v>6</v>
      </c>
      <c r="C18" s="11" t="s">
        <v>11</v>
      </c>
      <c r="D18" s="11">
        <v>4</v>
      </c>
      <c r="E18" s="12">
        <f>VLOOKUP($A18,observed!$A$2:$N$138,10,FALSE)</f>
        <v>75.683595605422937</v>
      </c>
      <c r="F18" s="12">
        <f>VLOOKUP($A18,observed!$A$2:$N$138,11,FALSE)</f>
        <v>2752.4322438127674</v>
      </c>
      <c r="G18" s="12">
        <f>VLOOKUP($A18,observed!$A$2:$N$138,12,FALSE)</f>
        <v>1136.7917475655358</v>
      </c>
      <c r="H18" s="12">
        <f>VLOOKUP($A18,observed!$A$2:$N$138,13,FALSE)</f>
        <v>2893.0408117090874</v>
      </c>
      <c r="I18" s="12">
        <f>VLOOKUP($A18,observed!$A$2:$N$138,14,FALSE)</f>
        <v>394.14160130718648</v>
      </c>
      <c r="J18" s="12">
        <f t="shared" si="0"/>
        <v>7252.09</v>
      </c>
      <c r="K18" s="63">
        <f>IFERROR(VLOOKUP($A18,md[[route]:[passenger_mile_EV]],7,FALSE),"")</f>
        <v>169.27716154360601</v>
      </c>
      <c r="L18" s="63">
        <f>IFERROR(VLOOKUP($A18,md[[route]:[passenger_mile_EV]],8,FALSE),"")</f>
        <v>4942.757279116363</v>
      </c>
      <c r="M18" s="63">
        <f>IFERROR(VLOOKUP($A18,md[[route]:[passenger_mile_EV]],9,FALSE),"")</f>
        <v>1818.179252338849</v>
      </c>
      <c r="N18" s="63">
        <f>IFERROR(VLOOKUP($A18,md[[route]:[passenger_mile_EV]],10,FALSE),"")</f>
        <v>6401.3725152712686</v>
      </c>
      <c r="O18" s="63">
        <f>IFERROR(VLOOKUP($A18,md[[route]:[passenger_mile_EV]],11,FALSE),"")</f>
        <v>1060.6783660653671</v>
      </c>
      <c r="P18" s="63">
        <f t="shared" si="1"/>
        <v>14392.264574335453</v>
      </c>
      <c r="Q18" s="225">
        <f t="shared" si="2"/>
        <v>0.98456783828323324</v>
      </c>
      <c r="R18" s="239">
        <f t="shared" si="3"/>
        <v>50982092.951986469</v>
      </c>
    </row>
    <row r="19" spans="1:18" x14ac:dyDescent="0.25">
      <c r="A19" s="11">
        <v>280</v>
      </c>
      <c r="B19" s="11">
        <v>6</v>
      </c>
      <c r="C19" s="11" t="s">
        <v>11</v>
      </c>
      <c r="D19" s="11">
        <v>4</v>
      </c>
      <c r="E19" s="12">
        <f>VLOOKUP($A19,observed!$A$2:$N$138,10,FALSE)</f>
        <v>1085.5262264150945</v>
      </c>
      <c r="F19" s="12">
        <f>VLOOKUP($A19,observed!$A$2:$N$138,11,FALSE)</f>
        <v>7041.7537735849073</v>
      </c>
      <c r="G19" s="12">
        <f>VLOOKUP($A19,observed!$A$2:$N$138,12,FALSE)</f>
        <v>439.35295081966416</v>
      </c>
      <c r="H19" s="12">
        <f>VLOOKUP($A19,observed!$A$2:$N$138,13,FALSE)</f>
        <v>7050.3170491803357</v>
      </c>
      <c r="I19" s="12">
        <f>VLOOKUP($A19,observed!$A$2:$N$138,14,FALSE)</f>
        <v>0</v>
      </c>
      <c r="J19" s="12">
        <f t="shared" si="0"/>
        <v>15616.95</v>
      </c>
      <c r="K19" s="63" t="str">
        <f>IFERROR(VLOOKUP($A19,md[[route]:[passenger_mile_EV]],7,FALSE),"")</f>
        <v/>
      </c>
      <c r="L19" s="63" t="str">
        <f>IFERROR(VLOOKUP($A19,md[[route]:[passenger_mile_EV]],8,FALSE),"")</f>
        <v/>
      </c>
      <c r="M19" s="63" t="str">
        <f>IFERROR(VLOOKUP($A19,md[[route]:[passenger_mile_EV]],9,FALSE),"")</f>
        <v/>
      </c>
      <c r="N19" s="63" t="str">
        <f>IFERROR(VLOOKUP($A19,md[[route]:[passenger_mile_EV]],10,FALSE),"")</f>
        <v/>
      </c>
      <c r="O19" s="63" t="str">
        <f>IFERROR(VLOOKUP($A19,md[[route]:[passenger_mile_EV]],11,FALSE),"")</f>
        <v/>
      </c>
      <c r="P19" s="63">
        <f t="shared" si="1"/>
        <v>0</v>
      </c>
      <c r="Q19" s="225">
        <f t="shared" si="2"/>
        <v>-1</v>
      </c>
      <c r="R19" s="239">
        <f t="shared" si="3"/>
        <v>243889127.30250001</v>
      </c>
    </row>
    <row r="20" spans="1:18" x14ac:dyDescent="0.25">
      <c r="A20" s="11">
        <v>290</v>
      </c>
      <c r="B20" s="11">
        <v>6</v>
      </c>
      <c r="C20" s="11" t="s">
        <v>11</v>
      </c>
      <c r="D20" s="11">
        <v>4</v>
      </c>
      <c r="E20" s="12">
        <f>VLOOKUP($A20,observed!$A$2:$N$138,10,FALSE)</f>
        <v>638.70000000000005</v>
      </c>
      <c r="F20" s="12">
        <f>VLOOKUP($A20,observed!$A$2:$N$138,11,FALSE)</f>
        <v>6671.75</v>
      </c>
      <c r="G20" s="12">
        <f>VLOOKUP($A20,observed!$A$2:$N$138,12,FALSE)</f>
        <v>413.07061224488945</v>
      </c>
      <c r="H20" s="12">
        <f>VLOOKUP($A20,observed!$A$2:$N$138,13,FALSE)</f>
        <v>6052.2493877551115</v>
      </c>
      <c r="I20" s="12">
        <f>VLOOKUP($A20,observed!$A$2:$N$138,14,FALSE)</f>
        <v>0</v>
      </c>
      <c r="J20" s="12">
        <f t="shared" si="0"/>
        <v>13775.77</v>
      </c>
      <c r="K20" s="63">
        <f>IFERROR(VLOOKUP($A20,md[[route]:[passenger_mile_EV]],7,FALSE),"")</f>
        <v>0</v>
      </c>
      <c r="L20" s="63">
        <f>IFERROR(VLOOKUP($A20,md[[route]:[passenger_mile_EV]],8,FALSE),"")</f>
        <v>2512.6134559346278</v>
      </c>
      <c r="M20" s="63">
        <f>IFERROR(VLOOKUP($A20,md[[route]:[passenger_mile_EV]],9,FALSE),"")</f>
        <v>0</v>
      </c>
      <c r="N20" s="63">
        <f>IFERROR(VLOOKUP($A20,md[[route]:[passenger_mile_EV]],10,FALSE),"")</f>
        <v>2741.9089360839521</v>
      </c>
      <c r="O20" s="63">
        <f>IFERROR(VLOOKUP($A20,md[[route]:[passenger_mile_EV]],11,FALSE),"")</f>
        <v>0</v>
      </c>
      <c r="P20" s="63">
        <f t="shared" si="1"/>
        <v>5254.5223920185799</v>
      </c>
      <c r="Q20" s="225">
        <f t="shared" si="2"/>
        <v>-0.61856779025647346</v>
      </c>
      <c r="R20" s="239">
        <f t="shared" si="3"/>
        <v>72611660.796529084</v>
      </c>
    </row>
    <row r="21" spans="1:18" x14ac:dyDescent="0.25">
      <c r="A21" s="11">
        <v>201</v>
      </c>
      <c r="B21" s="11">
        <v>7</v>
      </c>
      <c r="C21" s="11" t="s">
        <v>10</v>
      </c>
      <c r="D21" s="11">
        <v>4</v>
      </c>
      <c r="E21" s="12">
        <f>VLOOKUP($A21,observed!$A$2:$N$138,10,FALSE)</f>
        <v>3.6519999999999975</v>
      </c>
      <c r="F21" s="12">
        <f>VLOOKUP($A21,observed!$A$2:$N$138,11,FALSE)</f>
        <v>435.92633333333328</v>
      </c>
      <c r="G21" s="12">
        <f>VLOOKUP($A21,observed!$A$2:$N$138,12,FALSE)</f>
        <v>3111.2335227272661</v>
      </c>
      <c r="H21" s="12">
        <f>VLOOKUP($A21,observed!$A$2:$N$138,13,FALSE)</f>
        <v>3352.1382416911169</v>
      </c>
      <c r="I21" s="12">
        <f>VLOOKUP($A21,observed!$A$2:$N$138,14,FALSE)</f>
        <v>1395.6299022482847</v>
      </c>
      <c r="J21" s="12">
        <f t="shared" si="0"/>
        <v>8298.5800000000017</v>
      </c>
      <c r="K21" s="63">
        <f>IFERROR(VLOOKUP($A21,md[[route]:[passenger_mile_EV]],7,FALSE),"")</f>
        <v>46.995585762215001</v>
      </c>
      <c r="L21" s="63">
        <f>IFERROR(VLOOKUP($A21,md[[route]:[passenger_mile_EV]],8,FALSE),"")</f>
        <v>340.56300600109802</v>
      </c>
      <c r="M21" s="63">
        <f>IFERROR(VLOOKUP($A21,md[[route]:[passenger_mile_EV]],9,FALSE),"")</f>
        <v>883.24982874299701</v>
      </c>
      <c r="N21" s="63">
        <f>IFERROR(VLOOKUP($A21,md[[route]:[passenger_mile_EV]],10,FALSE),"")</f>
        <v>816.59666294936005</v>
      </c>
      <c r="O21" s="63">
        <f>IFERROR(VLOOKUP($A21,md[[route]:[passenger_mile_EV]],11,FALSE),"")</f>
        <v>391.80893861786302</v>
      </c>
      <c r="P21" s="63">
        <f t="shared" si="1"/>
        <v>2479.2140220735332</v>
      </c>
      <c r="Q21" s="225">
        <f t="shared" si="2"/>
        <v>-0.70124840369394126</v>
      </c>
      <c r="R21" s="239">
        <f t="shared" si="3"/>
        <v>33865020.385048091</v>
      </c>
    </row>
    <row r="22" spans="1:18" x14ac:dyDescent="0.25">
      <c r="A22" s="11">
        <v>202</v>
      </c>
      <c r="B22" s="11">
        <v>7</v>
      </c>
      <c r="C22" s="11" t="s">
        <v>10</v>
      </c>
      <c r="D22" s="11">
        <v>4</v>
      </c>
      <c r="E22" s="12">
        <f>VLOOKUP($A22,observed!$A$2:$N$138,10,FALSE)</f>
        <v>10.176923076923057</v>
      </c>
      <c r="F22" s="12">
        <f>VLOOKUP($A22,observed!$A$2:$N$138,11,FALSE)</f>
        <v>1947.6916145574855</v>
      </c>
      <c r="G22" s="12">
        <f>VLOOKUP($A22,observed!$A$2:$N$138,12,FALSE)</f>
        <v>5123.707219941346</v>
      </c>
      <c r="H22" s="12">
        <f>VLOOKUP($A22,observed!$A$2:$N$138,13,FALSE)</f>
        <v>1667.1387585532805</v>
      </c>
      <c r="I22" s="12">
        <f>VLOOKUP($A22,observed!$A$2:$N$138,14,FALSE)</f>
        <v>721.79548387096565</v>
      </c>
      <c r="J22" s="12">
        <f t="shared" si="0"/>
        <v>9470.510000000002</v>
      </c>
      <c r="K22" s="63">
        <f>IFERROR(VLOOKUP($A22,md[[route]:[passenger_mile_EV]],7,FALSE),"")</f>
        <v>79.233971226969999</v>
      </c>
      <c r="L22" s="63">
        <f>IFERROR(VLOOKUP($A22,md[[route]:[passenger_mile_EV]],8,FALSE),"")</f>
        <v>513.70624972306803</v>
      </c>
      <c r="M22" s="63">
        <f>IFERROR(VLOOKUP($A22,md[[route]:[passenger_mile_EV]],9,FALSE),"")</f>
        <v>1029.1594463933959</v>
      </c>
      <c r="N22" s="63">
        <f>IFERROR(VLOOKUP($A22,md[[route]:[passenger_mile_EV]],10,FALSE),"")</f>
        <v>577.03859027214298</v>
      </c>
      <c r="O22" s="63">
        <f>IFERROR(VLOOKUP($A22,md[[route]:[passenger_mile_EV]],11,FALSE),"")</f>
        <v>345.108466675937</v>
      </c>
      <c r="P22" s="63">
        <f t="shared" si="1"/>
        <v>2544.2467242915136</v>
      </c>
      <c r="Q22" s="225">
        <f t="shared" si="2"/>
        <v>-0.73135061107675159</v>
      </c>
      <c r="R22" s="239">
        <f t="shared" si="3"/>
        <v>47973122.964428082</v>
      </c>
    </row>
    <row r="23" spans="1:18" x14ac:dyDescent="0.25">
      <c r="A23" s="11">
        <v>204</v>
      </c>
      <c r="B23" s="11">
        <v>7</v>
      </c>
      <c r="C23" s="11" t="s">
        <v>10</v>
      </c>
      <c r="D23" s="11">
        <v>4</v>
      </c>
      <c r="E23" s="12">
        <f>VLOOKUP($A23,observed!$A$2:$N$138,10,FALSE)</f>
        <v>5.31</v>
      </c>
      <c r="F23" s="12">
        <f>VLOOKUP($A23,observed!$A$2:$N$138,11,FALSE)</f>
        <v>202.63200000000001</v>
      </c>
      <c r="G23" s="12">
        <f>VLOOKUP($A23,observed!$A$2:$N$138,12,FALSE)</f>
        <v>517.40533333333281</v>
      </c>
      <c r="H23" s="12">
        <f>VLOOKUP($A23,observed!$A$2:$N$138,13,FALSE)</f>
        <v>292.06189743589886</v>
      </c>
      <c r="I23" s="12">
        <f>VLOOKUP($A23,observed!$A$2:$N$138,14,FALSE)</f>
        <v>171.78076923076839</v>
      </c>
      <c r="J23" s="12">
        <f t="shared" si="0"/>
        <v>1189.19</v>
      </c>
      <c r="K23" s="63">
        <f>IFERROR(VLOOKUP($A23,md[[route]:[passenger_mile_EV]],7,FALSE),"")</f>
        <v>30.12463194039</v>
      </c>
      <c r="L23" s="63">
        <f>IFERROR(VLOOKUP($A23,md[[route]:[passenger_mile_EV]],8,FALSE),"")</f>
        <v>131.68144922055001</v>
      </c>
      <c r="M23" s="63">
        <f>IFERROR(VLOOKUP($A23,md[[route]:[passenger_mile_EV]],9,FALSE),"")</f>
        <v>319.44423985826</v>
      </c>
      <c r="N23" s="63">
        <f>IFERROR(VLOOKUP($A23,md[[route]:[passenger_mile_EV]],10,FALSE),"")</f>
        <v>197.21003511396</v>
      </c>
      <c r="O23" s="63">
        <f>IFERROR(VLOOKUP($A23,md[[route]:[passenger_mile_EV]],11,FALSE),"")</f>
        <v>122.74014607933999</v>
      </c>
      <c r="P23" s="63">
        <f t="shared" si="1"/>
        <v>801.20050221249994</v>
      </c>
      <c r="Q23" s="225">
        <f t="shared" si="2"/>
        <v>-0.32626367341425688</v>
      </c>
      <c r="R23" s="239">
        <f t="shared" si="3"/>
        <v>150535.85039339657</v>
      </c>
    </row>
    <row r="24" spans="1:18" x14ac:dyDescent="0.25">
      <c r="A24" s="11">
        <v>215</v>
      </c>
      <c r="B24" s="11">
        <v>7</v>
      </c>
      <c r="C24" s="11" t="s">
        <v>10</v>
      </c>
      <c r="D24" s="11">
        <v>4</v>
      </c>
      <c r="E24" s="12">
        <f>VLOOKUP($A24,observed!$A$2:$N$138,10,FALSE)</f>
        <v>783.55435321532798</v>
      </c>
      <c r="F24" s="12">
        <f>VLOOKUP($A24,observed!$A$2:$N$138,11,FALSE)</f>
        <v>4426.3554427030404</v>
      </c>
      <c r="G24" s="12">
        <f>VLOOKUP($A24,observed!$A$2:$N$138,12,FALSE)</f>
        <v>9426.9211300075458</v>
      </c>
      <c r="H24" s="12">
        <f>VLOOKUP($A24,observed!$A$2:$N$138,13,FALSE)</f>
        <v>5860.9870958226993</v>
      </c>
      <c r="I24" s="12">
        <f>VLOOKUP($A24,observed!$A$2:$N$138,14,FALSE)</f>
        <v>3336.5143625388446</v>
      </c>
      <c r="J24" s="12">
        <f t="shared" si="0"/>
        <v>23834.33238428746</v>
      </c>
      <c r="K24" s="63">
        <f>IFERROR(VLOOKUP($A24,md[[route]:[passenger_mile_EV]],7,FALSE),"")</f>
        <v>1089.943430587258</v>
      </c>
      <c r="L24" s="63">
        <f>IFERROR(VLOOKUP($A24,md[[route]:[passenger_mile_EV]],8,FALSE),"")</f>
        <v>7001.2178361538681</v>
      </c>
      <c r="M24" s="63">
        <f>IFERROR(VLOOKUP($A24,md[[route]:[passenger_mile_EV]],9,FALSE),"")</f>
        <v>9413.8623518970235</v>
      </c>
      <c r="N24" s="63">
        <f>IFERROR(VLOOKUP($A24,md[[route]:[passenger_mile_EV]],10,FALSE),"")</f>
        <v>9357.4054546903826</v>
      </c>
      <c r="O24" s="63">
        <f>IFERROR(VLOOKUP($A24,md[[route]:[passenger_mile_EV]],11,FALSE),"")</f>
        <v>4196.0282049416201</v>
      </c>
      <c r="P24" s="63">
        <f t="shared" si="1"/>
        <v>31058.457278270154</v>
      </c>
      <c r="Q24" s="225">
        <f t="shared" si="2"/>
        <v>0.30309743010654344</v>
      </c>
      <c r="R24" s="239">
        <f t="shared" si="3"/>
        <v>52187980.483860478</v>
      </c>
    </row>
    <row r="25" spans="1:18" x14ac:dyDescent="0.25">
      <c r="A25" s="11">
        <v>350</v>
      </c>
      <c r="B25" s="11">
        <v>7</v>
      </c>
      <c r="C25" s="11" t="s">
        <v>10</v>
      </c>
      <c r="D25" s="11">
        <v>4</v>
      </c>
      <c r="E25" s="12">
        <f>VLOOKUP($A25,observed!$A$2:$N$138,10,FALSE)</f>
        <v>87.183587021057306</v>
      </c>
      <c r="F25" s="12">
        <f>VLOOKUP($A25,observed!$A$2:$N$138,11,FALSE)</f>
        <v>1070.6294659877362</v>
      </c>
      <c r="G25" s="12">
        <f>VLOOKUP($A25,observed!$A$2:$N$138,12,FALSE)</f>
        <v>2397.767120903688</v>
      </c>
      <c r="H25" s="12">
        <f>VLOOKUP($A25,observed!$A$2:$N$138,13,FALSE)</f>
        <v>1005.7996036283801</v>
      </c>
      <c r="I25" s="12">
        <f>VLOOKUP($A25,observed!$A$2:$N$138,14,FALSE)</f>
        <v>212.43831202350648</v>
      </c>
      <c r="J25" s="12">
        <f t="shared" si="0"/>
        <v>4773.8180895643682</v>
      </c>
      <c r="K25" s="63">
        <f>IFERROR(VLOOKUP($A25,md[[route]:[passenger_mile_EV]],7,FALSE),"")</f>
        <v>97.355861924907003</v>
      </c>
      <c r="L25" s="63">
        <f>IFERROR(VLOOKUP($A25,md[[route]:[passenger_mile_EV]],8,FALSE),"")</f>
        <v>615.63582256564405</v>
      </c>
      <c r="M25" s="63">
        <f>IFERROR(VLOOKUP($A25,md[[route]:[passenger_mile_EV]],9,FALSE),"")</f>
        <v>1185.7195913879959</v>
      </c>
      <c r="N25" s="63">
        <f>IFERROR(VLOOKUP($A25,md[[route]:[passenger_mile_EV]],10,FALSE),"")</f>
        <v>926.836853553129</v>
      </c>
      <c r="O25" s="63">
        <f>IFERROR(VLOOKUP($A25,md[[route]:[passenger_mile_EV]],11,FALSE),"")</f>
        <v>600.07909681665501</v>
      </c>
      <c r="P25" s="63">
        <f t="shared" si="1"/>
        <v>3425.6272262483308</v>
      </c>
      <c r="Q25" s="225">
        <f t="shared" si="2"/>
        <v>-0.28241353943988801</v>
      </c>
      <c r="R25" s="239">
        <f t="shared" si="3"/>
        <v>1817618.6039288421</v>
      </c>
    </row>
    <row r="26" spans="1:18" x14ac:dyDescent="0.25">
      <c r="A26" s="5">
        <v>1</v>
      </c>
      <c r="B26" s="5">
        <v>10</v>
      </c>
      <c r="C26" s="5" t="s">
        <v>0</v>
      </c>
      <c r="D26" s="5">
        <v>5</v>
      </c>
      <c r="E26" s="10">
        <f>VLOOKUP($A26,observed!$A$2:$N$138,10,FALSE)</f>
        <v>226.03021664098608</v>
      </c>
      <c r="F26" s="10">
        <f>VLOOKUP($A26,observed!$A$2:$N$138,11,FALSE)</f>
        <v>1469.3117869364994</v>
      </c>
      <c r="G26" s="10">
        <f>VLOOKUP($A26,observed!$A$2:$N$138,12,FALSE)</f>
        <v>4588.2222368802368</v>
      </c>
      <c r="H26" s="10">
        <f>VLOOKUP($A26,observed!$A$2:$N$138,13,FALSE)</f>
        <v>2201.1120383894831</v>
      </c>
      <c r="I26" s="10">
        <f>VLOOKUP($A26,observed!$A$2:$N$138,14,FALSE)</f>
        <v>1194.493721152794</v>
      </c>
      <c r="J26" s="10">
        <f t="shared" si="0"/>
        <v>9679.1699999999983</v>
      </c>
      <c r="K26" s="57">
        <f>IFERROR(VLOOKUP($A26,md[[route]:[passenger_mile_EV]],7,FALSE),"")</f>
        <v>444.53998635597998</v>
      </c>
      <c r="L26" s="57">
        <f>IFERROR(VLOOKUP($A26,md[[route]:[passenger_mile_EV]],8,FALSE),"")</f>
        <v>1707.538022010496</v>
      </c>
      <c r="M26" s="57">
        <f>IFERROR(VLOOKUP($A26,md[[route]:[passenger_mile_EV]],9,FALSE),"")</f>
        <v>3679.0929323964838</v>
      </c>
      <c r="N26" s="57">
        <f>IFERROR(VLOOKUP($A26,md[[route]:[passenger_mile_EV]],10,FALSE),"")</f>
        <v>3093.5881289590661</v>
      </c>
      <c r="O26" s="57">
        <f>IFERROR(VLOOKUP($A26,md[[route]:[passenger_mile_EV]],11,FALSE),"")</f>
        <v>1704.783022784464</v>
      </c>
      <c r="P26" s="57">
        <f t="shared" si="1"/>
        <v>10629.54209250649</v>
      </c>
      <c r="Q26" s="225">
        <f t="shared" si="2"/>
        <v>9.8187354133308036E-2</v>
      </c>
      <c r="R26" s="239">
        <f t="shared" si="3"/>
        <v>903207.1142151677</v>
      </c>
    </row>
    <row r="27" spans="1:18" x14ac:dyDescent="0.25">
      <c r="A27" s="5">
        <v>2</v>
      </c>
      <c r="B27" s="5">
        <v>10</v>
      </c>
      <c r="C27" s="5" t="s">
        <v>0</v>
      </c>
      <c r="D27" s="5">
        <v>5</v>
      </c>
      <c r="E27" s="10">
        <f>VLOOKUP($A27,observed!$A$2:$N$138,10,FALSE)</f>
        <v>116.15054187192115</v>
      </c>
      <c r="F27" s="10">
        <f>VLOOKUP($A27,observed!$A$2:$N$138,11,FALSE)</f>
        <v>1310.4886473172678</v>
      </c>
      <c r="G27" s="10">
        <f>VLOOKUP($A27,observed!$A$2:$N$138,12,FALSE)</f>
        <v>2667.3895912986104</v>
      </c>
      <c r="H27" s="10">
        <f>VLOOKUP($A27,observed!$A$2:$N$138,13,FALSE)</f>
        <v>1721.7970168259988</v>
      </c>
      <c r="I27" s="10">
        <f>VLOOKUP($A27,observed!$A$2:$N$138,14,FALSE)</f>
        <v>764.44420268620013</v>
      </c>
      <c r="J27" s="10">
        <f t="shared" si="0"/>
        <v>6580.2699999999977</v>
      </c>
      <c r="K27" s="57">
        <f>IFERROR(VLOOKUP($A27,md[[route]:[passenger_mile_EV]],7,FALSE),"")</f>
        <v>192.62251881968101</v>
      </c>
      <c r="L27" s="57">
        <f>IFERROR(VLOOKUP($A27,md[[route]:[passenger_mile_EV]],8,FALSE),"")</f>
        <v>1007.554707767349</v>
      </c>
      <c r="M27" s="57">
        <f>IFERROR(VLOOKUP($A27,md[[route]:[passenger_mile_EV]],9,FALSE),"")</f>
        <v>1819.6814724132221</v>
      </c>
      <c r="N27" s="57">
        <f>IFERROR(VLOOKUP($A27,md[[route]:[passenger_mile_EV]],10,FALSE),"")</f>
        <v>1676.1958407646091</v>
      </c>
      <c r="O27" s="57">
        <f>IFERROR(VLOOKUP($A27,md[[route]:[passenger_mile_EV]],11,FALSE),"")</f>
        <v>910.51299017159704</v>
      </c>
      <c r="P27" s="57">
        <f t="shared" si="1"/>
        <v>5606.5675299364584</v>
      </c>
      <c r="Q27" s="225">
        <f t="shared" si="2"/>
        <v>-0.14797302695231951</v>
      </c>
      <c r="R27" s="239">
        <f t="shared" si="3"/>
        <v>948096.50020783767</v>
      </c>
    </row>
    <row r="28" spans="1:18" x14ac:dyDescent="0.25">
      <c r="A28" s="5">
        <v>3</v>
      </c>
      <c r="B28" s="5">
        <v>10</v>
      </c>
      <c r="C28" s="5" t="s">
        <v>0</v>
      </c>
      <c r="D28" s="5">
        <v>5</v>
      </c>
      <c r="E28" s="10">
        <f>VLOOKUP($A28,observed!$A$2:$N$138,10,FALSE)</f>
        <v>236.22543068088595</v>
      </c>
      <c r="F28" s="10">
        <f>VLOOKUP($A28,observed!$A$2:$N$138,11,FALSE)</f>
        <v>1911.8952346494304</v>
      </c>
      <c r="G28" s="10">
        <f>VLOOKUP($A28,observed!$A$2:$N$138,12,FALSE)</f>
        <v>4828.5376703340135</v>
      </c>
      <c r="H28" s="10">
        <f>VLOOKUP($A28,observed!$A$2:$N$138,13,FALSE)</f>
        <v>2363.4899555203206</v>
      </c>
      <c r="I28" s="10">
        <f>VLOOKUP($A28,observed!$A$2:$N$138,14,FALSE)</f>
        <v>1024.1417088153498</v>
      </c>
      <c r="J28" s="10">
        <f t="shared" si="0"/>
        <v>10364.290000000001</v>
      </c>
      <c r="K28" s="57">
        <f>IFERROR(VLOOKUP($A28,md[[route]:[passenger_mile_EV]],7,FALSE),"")</f>
        <v>361.25228923905303</v>
      </c>
      <c r="L28" s="57">
        <f>IFERROR(VLOOKUP($A28,md[[route]:[passenger_mile_EV]],8,FALSE),"")</f>
        <v>1191.0205680066949</v>
      </c>
      <c r="M28" s="57">
        <f>IFERROR(VLOOKUP($A28,md[[route]:[passenger_mile_EV]],9,FALSE),"")</f>
        <v>2309.6372441011031</v>
      </c>
      <c r="N28" s="57">
        <f>IFERROR(VLOOKUP($A28,md[[route]:[passenger_mile_EV]],10,FALSE),"")</f>
        <v>1569.0172967891151</v>
      </c>
      <c r="O28" s="57">
        <f>IFERROR(VLOOKUP($A28,md[[route]:[passenger_mile_EV]],11,FALSE),"")</f>
        <v>1022.019220671109</v>
      </c>
      <c r="P28" s="57">
        <f t="shared" si="1"/>
        <v>6452.9466188070746</v>
      </c>
      <c r="Q28" s="225">
        <f t="shared" si="2"/>
        <v>-0.37738652442115439</v>
      </c>
      <c r="R28" s="239">
        <f t="shared" si="3"/>
        <v>15298607.045601713</v>
      </c>
    </row>
    <row r="29" spans="1:18" x14ac:dyDescent="0.25">
      <c r="A29" s="5">
        <v>4</v>
      </c>
      <c r="B29" s="5">
        <v>10</v>
      </c>
      <c r="C29" s="5" t="s">
        <v>0</v>
      </c>
      <c r="D29" s="5">
        <v>5</v>
      </c>
      <c r="E29" s="10">
        <f>VLOOKUP($A29,observed!$A$2:$N$138,10,FALSE)</f>
        <v>170.03400000000002</v>
      </c>
      <c r="F29" s="10">
        <f>VLOOKUP($A29,observed!$A$2:$N$138,11,FALSE)</f>
        <v>1176.3778</v>
      </c>
      <c r="G29" s="10">
        <f>VLOOKUP($A29,observed!$A$2:$N$138,12,FALSE)</f>
        <v>2681.0321121978286</v>
      </c>
      <c r="H29" s="10">
        <f>VLOOKUP($A29,observed!$A$2:$N$138,13,FALSE)</f>
        <v>1731.101752281254</v>
      </c>
      <c r="I29" s="10">
        <f>VLOOKUP($A29,observed!$A$2:$N$138,14,FALSE)</f>
        <v>889.39433552091725</v>
      </c>
      <c r="J29" s="10">
        <f t="shared" si="0"/>
        <v>6647.9400000000005</v>
      </c>
      <c r="K29" s="57">
        <f>IFERROR(VLOOKUP($A29,md[[route]:[passenger_mile_EV]],7,FALSE),"")</f>
        <v>171.529204147173</v>
      </c>
      <c r="L29" s="57">
        <f>IFERROR(VLOOKUP($A29,md[[route]:[passenger_mile_EV]],8,FALSE),"")</f>
        <v>430.05863227514902</v>
      </c>
      <c r="M29" s="57">
        <f>IFERROR(VLOOKUP($A29,md[[route]:[passenger_mile_EV]],9,FALSE),"")</f>
        <v>1188.60338737799</v>
      </c>
      <c r="N29" s="57">
        <f>IFERROR(VLOOKUP($A29,md[[route]:[passenger_mile_EV]],10,FALSE),"")</f>
        <v>837.91632862449899</v>
      </c>
      <c r="O29" s="57">
        <f>IFERROR(VLOOKUP($A29,md[[route]:[passenger_mile_EV]],11,FALSE),"")</f>
        <v>686.77830833276005</v>
      </c>
      <c r="P29" s="57">
        <f t="shared" si="1"/>
        <v>3314.8858607575708</v>
      </c>
      <c r="Q29" s="225">
        <f t="shared" si="2"/>
        <v>-0.5013664592704552</v>
      </c>
      <c r="R29" s="239">
        <f t="shared" si="3"/>
        <v>11109249.895121094</v>
      </c>
    </row>
    <row r="30" spans="1:18" x14ac:dyDescent="0.25">
      <c r="A30" s="5">
        <v>5</v>
      </c>
      <c r="B30" s="5">
        <v>10</v>
      </c>
      <c r="C30" s="5" t="s">
        <v>0</v>
      </c>
      <c r="D30" s="5">
        <v>5</v>
      </c>
      <c r="E30" s="10">
        <f>VLOOKUP($A30,observed!$A$2:$N$138,10,FALSE)</f>
        <v>141.38297368421044</v>
      </c>
      <c r="F30" s="10">
        <f>VLOOKUP($A30,observed!$A$2:$N$138,11,FALSE)</f>
        <v>1049.7076929824561</v>
      </c>
      <c r="G30" s="10">
        <f>VLOOKUP($A30,observed!$A$2:$N$138,12,FALSE)</f>
        <v>2195.2325273132637</v>
      </c>
      <c r="H30" s="10">
        <f>VLOOKUP($A30,observed!$A$2:$N$138,13,FALSE)</f>
        <v>1252.4710917343568</v>
      </c>
      <c r="I30" s="10">
        <f>VLOOKUP($A30,observed!$A$2:$N$138,14,FALSE)</f>
        <v>407.00571428571334</v>
      </c>
      <c r="J30" s="10">
        <f t="shared" si="0"/>
        <v>5045.8</v>
      </c>
      <c r="K30" s="57">
        <f>IFERROR(VLOOKUP($A30,md[[route]:[passenger_mile_EV]],7,FALSE),"")</f>
        <v>109.716488577444</v>
      </c>
      <c r="L30" s="57">
        <f>IFERROR(VLOOKUP($A30,md[[route]:[passenger_mile_EV]],8,FALSE),"")</f>
        <v>684.98483457825103</v>
      </c>
      <c r="M30" s="57">
        <f>IFERROR(VLOOKUP($A30,md[[route]:[passenger_mile_EV]],9,FALSE),"")</f>
        <v>1384.2679113647221</v>
      </c>
      <c r="N30" s="57">
        <f>IFERROR(VLOOKUP($A30,md[[route]:[passenger_mile_EV]],10,FALSE),"")</f>
        <v>887.58965350292499</v>
      </c>
      <c r="O30" s="57">
        <f>IFERROR(VLOOKUP($A30,md[[route]:[passenger_mile_EV]],11,FALSE),"")</f>
        <v>519.41237684893099</v>
      </c>
      <c r="P30" s="57">
        <f t="shared" si="1"/>
        <v>3585.9712648722734</v>
      </c>
      <c r="Q30" s="225">
        <f t="shared" si="2"/>
        <v>-0.28931561598313982</v>
      </c>
      <c r="R30" s="239">
        <f t="shared" si="3"/>
        <v>2131099.9359046188</v>
      </c>
    </row>
    <row r="31" spans="1:18" x14ac:dyDescent="0.25">
      <c r="A31" s="5">
        <v>6</v>
      </c>
      <c r="B31" s="5">
        <v>10</v>
      </c>
      <c r="C31" s="5" t="s">
        <v>0</v>
      </c>
      <c r="D31" s="5">
        <v>5</v>
      </c>
      <c r="E31" s="10">
        <f>VLOOKUP($A31,observed!$A$2:$N$138,10,FALSE)</f>
        <v>43.552105263157877</v>
      </c>
      <c r="F31" s="10">
        <f>VLOOKUP($A31,observed!$A$2:$N$138,11,FALSE)</f>
        <v>604.96834928229669</v>
      </c>
      <c r="G31" s="10">
        <f>VLOOKUP($A31,observed!$A$2:$N$138,12,FALSE)</f>
        <v>1592.0614707419002</v>
      </c>
      <c r="H31" s="10">
        <f>VLOOKUP($A31,observed!$A$2:$N$138,13,FALSE)</f>
        <v>849.8480747126456</v>
      </c>
      <c r="I31" s="10">
        <f>VLOOKUP($A31,observed!$A$2:$N$138,14,FALSE)</f>
        <v>376.88999999999993</v>
      </c>
      <c r="J31" s="10">
        <f t="shared" si="0"/>
        <v>3467.32</v>
      </c>
      <c r="K31" s="57">
        <f>IFERROR(VLOOKUP($A31,md[[route]:[passenger_mile_EV]],7,FALSE),"")</f>
        <v>186.37382660758601</v>
      </c>
      <c r="L31" s="57">
        <f>IFERROR(VLOOKUP($A31,md[[route]:[passenger_mile_EV]],8,FALSE),"")</f>
        <v>958.16192622829999</v>
      </c>
      <c r="M31" s="57">
        <f>IFERROR(VLOOKUP($A31,md[[route]:[passenger_mile_EV]],9,FALSE),"")</f>
        <v>1863.7635817132179</v>
      </c>
      <c r="N31" s="57">
        <f>IFERROR(VLOOKUP($A31,md[[route]:[passenger_mile_EV]],10,FALSE),"")</f>
        <v>1360.7539479040529</v>
      </c>
      <c r="O31" s="57">
        <f>IFERROR(VLOOKUP($A31,md[[route]:[passenger_mile_EV]],11,FALSE),"")</f>
        <v>802.19360461246004</v>
      </c>
      <c r="P31" s="57">
        <f t="shared" si="1"/>
        <v>5171.2468870656166</v>
      </c>
      <c r="Q31" s="225">
        <f t="shared" si="2"/>
        <v>0.49142475660326035</v>
      </c>
      <c r="R31" s="239">
        <f t="shared" si="3"/>
        <v>2903366.8364651222</v>
      </c>
    </row>
    <row r="32" spans="1:18" x14ac:dyDescent="0.25">
      <c r="A32" s="5">
        <v>7</v>
      </c>
      <c r="B32" s="5">
        <v>10</v>
      </c>
      <c r="C32" s="5" t="s">
        <v>0</v>
      </c>
      <c r="D32" s="5">
        <v>5</v>
      </c>
      <c r="E32" s="10">
        <f>VLOOKUP($A32,observed!$A$2:$N$138,10,FALSE)</f>
        <v>519.88841016544598</v>
      </c>
      <c r="F32" s="10">
        <f>VLOOKUP($A32,observed!$A$2:$N$138,11,FALSE)</f>
        <v>3839.0230423799235</v>
      </c>
      <c r="G32" s="10">
        <f>VLOOKUP($A32,observed!$A$2:$N$138,12,FALSE)</f>
        <v>9609.7073553134269</v>
      </c>
      <c r="H32" s="10">
        <f>VLOOKUP($A32,observed!$A$2:$N$138,13,FALSE)</f>
        <v>5218.0221897108277</v>
      </c>
      <c r="I32" s="10">
        <f>VLOOKUP($A32,observed!$A$2:$N$138,14,FALSE)</f>
        <v>2859.1967317072731</v>
      </c>
      <c r="J32" s="10">
        <f t="shared" si="0"/>
        <v>22045.837729276896</v>
      </c>
      <c r="K32" s="57">
        <f>IFERROR(VLOOKUP($A32,md[[route]:[passenger_mile_EV]],7,FALSE),"")</f>
        <v>968.42394075814195</v>
      </c>
      <c r="L32" s="57">
        <f>IFERROR(VLOOKUP($A32,md[[route]:[passenger_mile_EV]],8,FALSE),"")</f>
        <v>4360.9730082230099</v>
      </c>
      <c r="M32" s="57">
        <f>IFERROR(VLOOKUP($A32,md[[route]:[passenger_mile_EV]],9,FALSE),"")</f>
        <v>7636.5099415612176</v>
      </c>
      <c r="N32" s="57">
        <f>IFERROR(VLOOKUP($A32,md[[route]:[passenger_mile_EV]],10,FALSE),"")</f>
        <v>6997.203013187429</v>
      </c>
      <c r="O32" s="57">
        <f>IFERROR(VLOOKUP($A32,md[[route]:[passenger_mile_EV]],11,FALSE),"")</f>
        <v>3354.1315547234221</v>
      </c>
      <c r="P32" s="57">
        <f t="shared" si="1"/>
        <v>23317.24145845322</v>
      </c>
      <c r="Q32" s="225">
        <f t="shared" si="2"/>
        <v>5.7670919326776149E-2</v>
      </c>
      <c r="R32" s="239">
        <f t="shared" si="3"/>
        <v>1616467.4425634618</v>
      </c>
    </row>
    <row r="33" spans="1:18" x14ac:dyDescent="0.25">
      <c r="A33" s="5">
        <v>8</v>
      </c>
      <c r="B33" s="5">
        <v>10</v>
      </c>
      <c r="C33" s="5" t="s">
        <v>0</v>
      </c>
      <c r="D33" s="5">
        <v>5</v>
      </c>
      <c r="E33" s="10">
        <f>VLOOKUP($A33,observed!$A$2:$N$138,10,FALSE)</f>
        <v>85.974736842105301</v>
      </c>
      <c r="F33" s="10">
        <f>VLOOKUP($A33,observed!$A$2:$N$138,11,FALSE)</f>
        <v>548.86359649122801</v>
      </c>
      <c r="G33" s="10">
        <f>VLOOKUP($A33,observed!$A$2:$N$138,12,FALSE)</f>
        <v>1595.4519333333308</v>
      </c>
      <c r="H33" s="10">
        <f>VLOOKUP($A33,observed!$A$2:$N$138,13,FALSE)</f>
        <v>967.93473333333679</v>
      </c>
      <c r="I33" s="10">
        <f>VLOOKUP($A33,observed!$A$2:$N$138,14,FALSE)</f>
        <v>484.76078680202943</v>
      </c>
      <c r="J33" s="10">
        <f t="shared" si="0"/>
        <v>3682.9857868020304</v>
      </c>
      <c r="K33" s="57">
        <f>IFERROR(VLOOKUP($A33,md[[route]:[passenger_mile_EV]],7,FALSE),"")</f>
        <v>44.443785119692997</v>
      </c>
      <c r="L33" s="57">
        <f>IFERROR(VLOOKUP($A33,md[[route]:[passenger_mile_EV]],8,FALSE),"")</f>
        <v>223.92655715434699</v>
      </c>
      <c r="M33" s="57">
        <f>IFERROR(VLOOKUP($A33,md[[route]:[passenger_mile_EV]],9,FALSE),"")</f>
        <v>501.14763259081798</v>
      </c>
      <c r="N33" s="57">
        <f>IFERROR(VLOOKUP($A33,md[[route]:[passenger_mile_EV]],10,FALSE),"")</f>
        <v>491.98246235087998</v>
      </c>
      <c r="O33" s="57">
        <f>IFERROR(VLOOKUP($A33,md[[route]:[passenger_mile_EV]],11,FALSE),"")</f>
        <v>262.45616521583497</v>
      </c>
      <c r="P33" s="57">
        <f t="shared" si="1"/>
        <v>1523.9566024315729</v>
      </c>
      <c r="Q33" s="225">
        <f t="shared" si="2"/>
        <v>-0.58621708291879182</v>
      </c>
      <c r="R33" s="239">
        <f t="shared" si="3"/>
        <v>4661407.0189633612</v>
      </c>
    </row>
    <row r="34" spans="1:18" x14ac:dyDescent="0.25">
      <c r="A34" s="5">
        <v>9</v>
      </c>
      <c r="B34" s="5">
        <v>10</v>
      </c>
      <c r="C34" s="5" t="s">
        <v>0</v>
      </c>
      <c r="D34" s="5">
        <v>5</v>
      </c>
      <c r="E34" s="10">
        <f>VLOOKUP($A34,observed!$A$2:$N$138,10,FALSE)</f>
        <v>16.981176470588245</v>
      </c>
      <c r="F34" s="10">
        <f>VLOOKUP($A34,observed!$A$2:$N$138,11,FALSE)</f>
        <v>460.33503042596351</v>
      </c>
      <c r="G34" s="10">
        <f>VLOOKUP($A34,observed!$A$2:$N$138,12,FALSE)</f>
        <v>1618.4797544934079</v>
      </c>
      <c r="H34" s="10">
        <f>VLOOKUP($A34,observed!$A$2:$N$138,13,FALSE)</f>
        <v>852.85597409391187</v>
      </c>
      <c r="I34" s="10">
        <f>VLOOKUP($A34,observed!$A$2:$N$138,14,FALSE)</f>
        <v>216.95806451612867</v>
      </c>
      <c r="J34" s="10">
        <f t="shared" si="0"/>
        <v>3165.61</v>
      </c>
      <c r="K34" s="57">
        <f>IFERROR(VLOOKUP($A34,md[[route]:[passenger_mile_EV]],7,FALSE),"")</f>
        <v>74.617430556634005</v>
      </c>
      <c r="L34" s="57">
        <f>IFERROR(VLOOKUP($A34,md[[route]:[passenger_mile_EV]],8,FALSE),"")</f>
        <v>332.85125719043202</v>
      </c>
      <c r="M34" s="57">
        <f>IFERROR(VLOOKUP($A34,md[[route]:[passenger_mile_EV]],9,FALSE),"")</f>
        <v>648.52603416872796</v>
      </c>
      <c r="N34" s="57">
        <f>IFERROR(VLOOKUP($A34,md[[route]:[passenger_mile_EV]],10,FALSE),"")</f>
        <v>636.55200532755396</v>
      </c>
      <c r="O34" s="57">
        <f>IFERROR(VLOOKUP($A34,md[[route]:[passenger_mile_EV]],11,FALSE),"")</f>
        <v>347.70744833037799</v>
      </c>
      <c r="P34" s="57">
        <f t="shared" si="1"/>
        <v>2040.2541755737259</v>
      </c>
      <c r="Q34" s="225">
        <f t="shared" si="2"/>
        <v>-0.35549414628658427</v>
      </c>
      <c r="R34" s="239">
        <f t="shared" si="3"/>
        <v>1266425.7315701393</v>
      </c>
    </row>
    <row r="35" spans="1:18" x14ac:dyDescent="0.25">
      <c r="A35" s="5">
        <v>11</v>
      </c>
      <c r="B35" s="5">
        <v>10</v>
      </c>
      <c r="C35" s="5" t="s">
        <v>0</v>
      </c>
      <c r="D35" s="5">
        <v>5</v>
      </c>
      <c r="E35" s="10">
        <f>VLOOKUP($A35,observed!$A$2:$N$138,10,FALSE)</f>
        <v>717.85002410314644</v>
      </c>
      <c r="F35" s="10">
        <f>VLOOKUP($A35,observed!$A$2:$N$138,11,FALSE)</f>
        <v>4983.7449738021742</v>
      </c>
      <c r="G35" s="10">
        <f>VLOOKUP($A35,observed!$A$2:$N$138,12,FALSE)</f>
        <v>9612.0413375160024</v>
      </c>
      <c r="H35" s="10">
        <f>VLOOKUP($A35,observed!$A$2:$N$138,13,FALSE)</f>
        <v>5919.8803035020028</v>
      </c>
      <c r="I35" s="10">
        <f>VLOOKUP($A35,observed!$A$2:$N$138,14,FALSE)</f>
        <v>2143.7533610766723</v>
      </c>
      <c r="J35" s="10">
        <f t="shared" si="0"/>
        <v>23377.27</v>
      </c>
      <c r="K35" s="57">
        <f>IFERROR(VLOOKUP($A35,md[[route]:[passenger_mile_EV]],7,FALSE),"")</f>
        <v>875.79062350402603</v>
      </c>
      <c r="L35" s="57">
        <f>IFERROR(VLOOKUP($A35,md[[route]:[passenger_mile_EV]],8,FALSE),"")</f>
        <v>4134.5817749230491</v>
      </c>
      <c r="M35" s="57">
        <f>IFERROR(VLOOKUP($A35,md[[route]:[passenger_mile_EV]],9,FALSE),"")</f>
        <v>6707.3728382044546</v>
      </c>
      <c r="N35" s="57">
        <f>IFERROR(VLOOKUP($A35,md[[route]:[passenger_mile_EV]],10,FALSE),"")</f>
        <v>5567.3302527412234</v>
      </c>
      <c r="O35" s="57">
        <f>IFERROR(VLOOKUP($A35,md[[route]:[passenger_mile_EV]],11,FALSE),"")</f>
        <v>3168.8757468302551</v>
      </c>
      <c r="P35" s="57">
        <f t="shared" si="1"/>
        <v>20453.951236203007</v>
      </c>
      <c r="Q35" s="225">
        <f t="shared" si="2"/>
        <v>-0.12504962143984277</v>
      </c>
      <c r="R35" s="239">
        <f t="shared" si="3"/>
        <v>8545792.5947675798</v>
      </c>
    </row>
    <row r="36" spans="1:18" x14ac:dyDescent="0.25">
      <c r="A36" s="5">
        <v>13</v>
      </c>
      <c r="B36" s="5">
        <v>10</v>
      </c>
      <c r="C36" s="5" t="s">
        <v>0</v>
      </c>
      <c r="D36" s="5">
        <v>5</v>
      </c>
      <c r="E36" s="10">
        <f>VLOOKUP($A36,observed!$A$2:$N$138,10,FALSE)</f>
        <v>489.97895905172413</v>
      </c>
      <c r="F36" s="10">
        <f>VLOOKUP($A36,observed!$A$2:$N$138,11,FALSE)</f>
        <v>3280.2269630490814</v>
      </c>
      <c r="G36" s="10">
        <f>VLOOKUP($A36,observed!$A$2:$N$138,12,FALSE)</f>
        <v>7430.8343115137213</v>
      </c>
      <c r="H36" s="10">
        <f>VLOOKUP($A36,observed!$A$2:$N$138,13,FALSE)</f>
        <v>4256.6920005470683</v>
      </c>
      <c r="I36" s="10">
        <f>VLOOKUP($A36,observed!$A$2:$N$138,14,FALSE)</f>
        <v>1426.4377658384058</v>
      </c>
      <c r="J36" s="10">
        <f t="shared" si="0"/>
        <v>16884.170000000002</v>
      </c>
      <c r="K36" s="57">
        <f>IFERROR(VLOOKUP($A36,md[[route]:[passenger_mile_EV]],7,FALSE),"")</f>
        <v>741.47443381819096</v>
      </c>
      <c r="L36" s="57">
        <f>IFERROR(VLOOKUP($A36,md[[route]:[passenger_mile_EV]],8,FALSE),"")</f>
        <v>2688.8488844059302</v>
      </c>
      <c r="M36" s="57">
        <f>IFERROR(VLOOKUP($A36,md[[route]:[passenger_mile_EV]],9,FALSE),"")</f>
        <v>5286.0679663808842</v>
      </c>
      <c r="N36" s="57">
        <f>IFERROR(VLOOKUP($A36,md[[route]:[passenger_mile_EV]],10,FALSE),"")</f>
        <v>4438.5234593648256</v>
      </c>
      <c r="O36" s="57">
        <f>IFERROR(VLOOKUP($A36,md[[route]:[passenger_mile_EV]],11,FALSE),"")</f>
        <v>2838.4295994033728</v>
      </c>
      <c r="P36" s="57">
        <f t="shared" si="1"/>
        <v>15993.344343373203</v>
      </c>
      <c r="Q36" s="225">
        <f t="shared" si="2"/>
        <v>-5.276099782380772E-2</v>
      </c>
      <c r="R36" s="239">
        <f t="shared" si="3"/>
        <v>793570.35050456796</v>
      </c>
    </row>
    <row r="37" spans="1:18" x14ac:dyDescent="0.25">
      <c r="A37" s="5">
        <v>14</v>
      </c>
      <c r="B37" s="5">
        <v>10</v>
      </c>
      <c r="C37" s="5" t="s">
        <v>0</v>
      </c>
      <c r="D37" s="5">
        <v>5</v>
      </c>
      <c r="E37" s="10">
        <f>VLOOKUP($A37,observed!$A$2:$N$138,10,FALSE)</f>
        <v>3.773863636363636</v>
      </c>
      <c r="F37" s="10">
        <f>VLOOKUP($A37,observed!$A$2:$N$138,11,FALSE)</f>
        <v>114.23672590264346</v>
      </c>
      <c r="G37" s="10">
        <f>VLOOKUP($A37,observed!$A$2:$N$138,12,FALSE)</f>
        <v>215.6494104609929</v>
      </c>
      <c r="H37" s="10">
        <f>VLOOKUP($A37,observed!$A$2:$N$138,13,FALSE)</f>
        <v>100.94999999999999</v>
      </c>
      <c r="I37" s="10">
        <f>VLOOKUP($A37,observed!$A$2:$N$138,14,FALSE)</f>
        <v>0</v>
      </c>
      <c r="J37" s="10">
        <f t="shared" si="0"/>
        <v>434.60999999999996</v>
      </c>
      <c r="K37" s="57">
        <f>IFERROR(VLOOKUP($A37,md[[route]:[passenger_mile_EV]],7,FALSE),"")</f>
        <v>30.661383940267001</v>
      </c>
      <c r="L37" s="57">
        <f>IFERROR(VLOOKUP($A37,md[[route]:[passenger_mile_EV]],8,FALSE),"")</f>
        <v>298.98324372672801</v>
      </c>
      <c r="M37" s="57">
        <f>IFERROR(VLOOKUP($A37,md[[route]:[passenger_mile_EV]],9,FALSE),"")</f>
        <v>444.86156466236099</v>
      </c>
      <c r="N37" s="57">
        <f>IFERROR(VLOOKUP($A37,md[[route]:[passenger_mile_EV]],10,FALSE),"")</f>
        <v>383.92816930590197</v>
      </c>
      <c r="O37" s="57">
        <f>IFERROR(VLOOKUP($A37,md[[route]:[passenger_mile_EV]],11,FALSE),"")</f>
        <v>296.81090757072201</v>
      </c>
      <c r="P37" s="57">
        <f t="shared" si="1"/>
        <v>1455.2452692059801</v>
      </c>
      <c r="Q37" s="225">
        <f t="shared" si="2"/>
        <v>2.3483934313660066</v>
      </c>
      <c r="R37" s="239">
        <f t="shared" si="3"/>
        <v>1041696.3527471636</v>
      </c>
    </row>
    <row r="38" spans="1:18" x14ac:dyDescent="0.25">
      <c r="A38" s="5">
        <v>18</v>
      </c>
      <c r="B38" s="5">
        <v>10</v>
      </c>
      <c r="C38" s="5" t="s">
        <v>0</v>
      </c>
      <c r="D38" s="5">
        <v>5</v>
      </c>
      <c r="E38" s="10">
        <f>VLOOKUP($A38,observed!$A$2:$N$138,10,FALSE)</f>
        <v>0</v>
      </c>
      <c r="F38" s="10">
        <f>VLOOKUP($A38,observed!$A$2:$N$138,11,FALSE)</f>
        <v>47.26</v>
      </c>
      <c r="G38" s="10">
        <f>VLOOKUP($A38,observed!$A$2:$N$138,12,FALSE)</f>
        <v>172.1799999999995</v>
      </c>
      <c r="H38" s="10">
        <f>VLOOKUP($A38,observed!$A$2:$N$138,13,FALSE)</f>
        <v>74.520000000000493</v>
      </c>
      <c r="I38" s="10">
        <f>VLOOKUP($A38,observed!$A$2:$N$138,14,FALSE)</f>
        <v>0</v>
      </c>
      <c r="J38" s="10">
        <f t="shared" si="0"/>
        <v>293.95999999999998</v>
      </c>
      <c r="K38" s="57">
        <f>IFERROR(VLOOKUP($A38,md[[route]:[passenger_mile_EV]],7,FALSE),"")</f>
        <v>45.791061789205997</v>
      </c>
      <c r="L38" s="57">
        <f>IFERROR(VLOOKUP($A38,md[[route]:[passenger_mile_EV]],8,FALSE),"")</f>
        <v>158.50823596190301</v>
      </c>
      <c r="M38" s="57">
        <f>IFERROR(VLOOKUP($A38,md[[route]:[passenger_mile_EV]],9,FALSE),"")</f>
        <v>233.01139311556301</v>
      </c>
      <c r="N38" s="57">
        <f>IFERROR(VLOOKUP($A38,md[[route]:[passenger_mile_EV]],10,FALSE),"")</f>
        <v>193.535326439312</v>
      </c>
      <c r="O38" s="57">
        <f>IFERROR(VLOOKUP($A38,md[[route]:[passenger_mile_EV]],11,FALSE),"")</f>
        <v>142.58405629677799</v>
      </c>
      <c r="P38" s="57">
        <f t="shared" si="1"/>
        <v>773.43007360276192</v>
      </c>
      <c r="Q38" s="225">
        <f t="shared" si="2"/>
        <v>1.6310725051121309</v>
      </c>
      <c r="R38" s="239">
        <f t="shared" si="3"/>
        <v>229891.55148063795</v>
      </c>
    </row>
    <row r="39" spans="1:18" x14ac:dyDescent="0.25">
      <c r="A39" s="5">
        <v>25</v>
      </c>
      <c r="B39" s="5">
        <v>10</v>
      </c>
      <c r="C39" s="5" t="s">
        <v>0</v>
      </c>
      <c r="D39" s="5">
        <v>5</v>
      </c>
      <c r="E39" s="10">
        <f>VLOOKUP($A39,observed!$A$2:$N$138,10,FALSE)</f>
        <v>0</v>
      </c>
      <c r="F39" s="10">
        <f>VLOOKUP($A39,observed!$A$2:$N$138,11,FALSE)</f>
        <v>169.81490566037732</v>
      </c>
      <c r="G39" s="10">
        <f>VLOOKUP($A39,observed!$A$2:$N$138,12,FALSE)</f>
        <v>857.1012638074086</v>
      </c>
      <c r="H39" s="10">
        <f>VLOOKUP($A39,observed!$A$2:$N$138,13,FALSE)</f>
        <v>342.25088935574365</v>
      </c>
      <c r="I39" s="10">
        <f>VLOOKUP($A39,observed!$A$2:$N$138,14,FALSE)</f>
        <v>4.9129411764702926</v>
      </c>
      <c r="J39" s="10">
        <f t="shared" si="0"/>
        <v>1374.08</v>
      </c>
      <c r="K39" s="57">
        <f>IFERROR(VLOOKUP($A39,md[[route]:[passenger_mile_EV]],7,FALSE),"")</f>
        <v>188.186421822059</v>
      </c>
      <c r="L39" s="57">
        <f>IFERROR(VLOOKUP($A39,md[[route]:[passenger_mile_EV]],8,FALSE),"")</f>
        <v>863.06263458454396</v>
      </c>
      <c r="M39" s="57">
        <f>IFERROR(VLOOKUP($A39,md[[route]:[passenger_mile_EV]],9,FALSE),"")</f>
        <v>1745.1414102243341</v>
      </c>
      <c r="N39" s="57">
        <f>IFERROR(VLOOKUP($A39,md[[route]:[passenger_mile_EV]],10,FALSE),"")</f>
        <v>1428.545839720821</v>
      </c>
      <c r="O39" s="57">
        <f>IFERROR(VLOOKUP($A39,md[[route]:[passenger_mile_EV]],11,FALSE),"")</f>
        <v>767.77049693655795</v>
      </c>
      <c r="P39" s="57">
        <f t="shared" si="1"/>
        <v>4992.7068032883162</v>
      </c>
      <c r="Q39" s="225">
        <f t="shared" si="2"/>
        <v>2.6334906288486235</v>
      </c>
      <c r="R39" s="239">
        <f t="shared" si="3"/>
        <v>13094459.941476619</v>
      </c>
    </row>
    <row r="40" spans="1:18" x14ac:dyDescent="0.25">
      <c r="A40" s="5">
        <v>27</v>
      </c>
      <c r="B40" s="5">
        <v>10</v>
      </c>
      <c r="C40" s="5" t="s">
        <v>0</v>
      </c>
      <c r="D40" s="5">
        <v>5</v>
      </c>
      <c r="E40" s="10">
        <f>VLOOKUP($A40,observed!$A$2:$N$138,10,FALSE)</f>
        <v>31.254936461388066</v>
      </c>
      <c r="F40" s="10">
        <f>VLOOKUP($A40,observed!$A$2:$N$138,11,FALSE)</f>
        <v>667.28942251297099</v>
      </c>
      <c r="G40" s="10">
        <f>VLOOKUP($A40,observed!$A$2:$N$138,12,FALSE)</f>
        <v>1450.5572296781208</v>
      </c>
      <c r="H40" s="10">
        <f>VLOOKUP($A40,observed!$A$2:$N$138,13,FALSE)</f>
        <v>818.17237466798463</v>
      </c>
      <c r="I40" s="10">
        <f>VLOOKUP($A40,observed!$A$2:$N$138,14,FALSE)</f>
        <v>171.88603667953544</v>
      </c>
      <c r="J40" s="10">
        <f t="shared" si="0"/>
        <v>3139.16</v>
      </c>
      <c r="K40" s="57">
        <f>IFERROR(VLOOKUP($A40,md[[route]:[passenger_mile_EV]],7,FALSE),"")</f>
        <v>283.00844891915699</v>
      </c>
      <c r="L40" s="57">
        <f>IFERROR(VLOOKUP($A40,md[[route]:[passenger_mile_EV]],8,FALSE),"")</f>
        <v>1153.110817793714</v>
      </c>
      <c r="M40" s="57">
        <f>IFERROR(VLOOKUP($A40,md[[route]:[passenger_mile_EV]],9,FALSE),"")</f>
        <v>1665.9643871302451</v>
      </c>
      <c r="N40" s="57">
        <f>IFERROR(VLOOKUP($A40,md[[route]:[passenger_mile_EV]],10,FALSE),"")</f>
        <v>1587.5923302759779</v>
      </c>
      <c r="O40" s="57">
        <f>IFERROR(VLOOKUP($A40,md[[route]:[passenger_mile_EV]],11,FALSE),"")</f>
        <v>801.64510787983795</v>
      </c>
      <c r="P40" s="57">
        <f t="shared" si="1"/>
        <v>5491.3210919989324</v>
      </c>
      <c r="Q40" s="225">
        <f t="shared" si="2"/>
        <v>0.74929633787348604</v>
      </c>
      <c r="R40" s="239">
        <f t="shared" si="3"/>
        <v>5532661.8027136112</v>
      </c>
    </row>
    <row r="41" spans="1:18" x14ac:dyDescent="0.25">
      <c r="A41" s="5">
        <v>28</v>
      </c>
      <c r="B41" s="5">
        <v>10</v>
      </c>
      <c r="C41" s="5" t="s">
        <v>0</v>
      </c>
      <c r="D41" s="5">
        <v>5</v>
      </c>
      <c r="E41" s="10">
        <f>VLOOKUP($A41,observed!$A$2:$N$138,10,FALSE)</f>
        <v>43.110588235294131</v>
      </c>
      <c r="F41" s="10">
        <f>VLOOKUP($A41,observed!$A$2:$N$138,11,FALSE)</f>
        <v>638.77256965944264</v>
      </c>
      <c r="G41" s="10">
        <f>VLOOKUP($A41,observed!$A$2:$N$138,12,FALSE)</f>
        <v>929.9769290617827</v>
      </c>
      <c r="H41" s="10">
        <f>VLOOKUP($A41,observed!$A$2:$N$138,13,FALSE)</f>
        <v>578.90167774936413</v>
      </c>
      <c r="I41" s="10">
        <f>VLOOKUP($A41,observed!$A$2:$N$138,14,FALSE)</f>
        <v>213.6382352941167</v>
      </c>
      <c r="J41" s="10">
        <f t="shared" si="0"/>
        <v>2404.4</v>
      </c>
      <c r="K41" s="57">
        <f>IFERROR(VLOOKUP($A41,md[[route]:[passenger_mile_EV]],7,FALSE),"")</f>
        <v>37.916953616881997</v>
      </c>
      <c r="L41" s="57">
        <f>IFERROR(VLOOKUP($A41,md[[route]:[passenger_mile_EV]],8,FALSE),"")</f>
        <v>415.33559891924301</v>
      </c>
      <c r="M41" s="57">
        <f>IFERROR(VLOOKUP($A41,md[[route]:[passenger_mile_EV]],9,FALSE),"")</f>
        <v>487.47887851194702</v>
      </c>
      <c r="N41" s="57">
        <f>IFERROR(VLOOKUP($A41,md[[route]:[passenger_mile_EV]],10,FALSE),"")</f>
        <v>452.77478896166502</v>
      </c>
      <c r="O41" s="57">
        <f>IFERROR(VLOOKUP($A41,md[[route]:[passenger_mile_EV]],11,FALSE),"")</f>
        <v>274.20634208098602</v>
      </c>
      <c r="P41" s="57">
        <f t="shared" si="1"/>
        <v>1667.7125620907232</v>
      </c>
      <c r="Q41" s="225">
        <f t="shared" si="2"/>
        <v>-0.30639138159593948</v>
      </c>
      <c r="R41" s="239">
        <f t="shared" si="3"/>
        <v>542708.38117333478</v>
      </c>
    </row>
    <row r="42" spans="1:18" x14ac:dyDescent="0.25">
      <c r="A42" s="5">
        <v>30</v>
      </c>
      <c r="B42" s="5">
        <v>10</v>
      </c>
      <c r="C42" s="5" t="s">
        <v>0</v>
      </c>
      <c r="D42" s="5">
        <v>5</v>
      </c>
      <c r="E42" s="10">
        <f>VLOOKUP($A42,observed!$A$2:$N$138,10,FALSE)</f>
        <v>456.65765890152443</v>
      </c>
      <c r="F42" s="10">
        <f>VLOOKUP($A42,observed!$A$2:$N$138,11,FALSE)</f>
        <v>6981.7290707888133</v>
      </c>
      <c r="G42" s="10">
        <f>VLOOKUP($A42,observed!$A$2:$N$138,12,FALSE)</f>
        <v>13435.971137122697</v>
      </c>
      <c r="H42" s="10">
        <f>VLOOKUP($A42,observed!$A$2:$N$138,13,FALSE)</f>
        <v>8116.3925194333215</v>
      </c>
      <c r="I42" s="10">
        <f>VLOOKUP($A42,observed!$A$2:$N$138,14,FALSE)</f>
        <v>3472.8097069155565</v>
      </c>
      <c r="J42" s="10">
        <f t="shared" si="0"/>
        <v>32463.560093161912</v>
      </c>
      <c r="K42" s="57">
        <f>IFERROR(VLOOKUP($A42,md[[route]:[passenger_mile_EV]],7,FALSE),"")</f>
        <v>3006.6506678584278</v>
      </c>
      <c r="L42" s="57">
        <f>IFERROR(VLOOKUP($A42,md[[route]:[passenger_mile_EV]],8,FALSE),"")</f>
        <v>10298.06502641221</v>
      </c>
      <c r="M42" s="57">
        <f>IFERROR(VLOOKUP($A42,md[[route]:[passenger_mile_EV]],9,FALSE),"")</f>
        <v>13630.49533465431</v>
      </c>
      <c r="N42" s="57">
        <f>IFERROR(VLOOKUP($A42,md[[route]:[passenger_mile_EV]],10,FALSE),"")</f>
        <v>13598.384727994689</v>
      </c>
      <c r="O42" s="57">
        <f>IFERROR(VLOOKUP($A42,md[[route]:[passenger_mile_EV]],11,FALSE),"")</f>
        <v>6855.2490888291231</v>
      </c>
      <c r="P42" s="57">
        <f t="shared" si="1"/>
        <v>47388.844845748754</v>
      </c>
      <c r="Q42" s="225">
        <f t="shared" si="2"/>
        <v>0.45975502100679</v>
      </c>
      <c r="R42" s="239">
        <f t="shared" si="3"/>
        <v>222764124.94580126</v>
      </c>
    </row>
    <row r="43" spans="1:18" x14ac:dyDescent="0.25">
      <c r="A43" s="5">
        <v>31</v>
      </c>
      <c r="B43" s="5">
        <v>10</v>
      </c>
      <c r="C43" s="5" t="s">
        <v>0</v>
      </c>
      <c r="D43" s="5">
        <v>5</v>
      </c>
      <c r="E43" s="10">
        <f>VLOOKUP($A43,observed!$A$2:$N$138,10,FALSE)</f>
        <v>28.017407407407415</v>
      </c>
      <c r="F43" s="10">
        <f>VLOOKUP($A43,observed!$A$2:$N$138,11,FALSE)</f>
        <v>627.29420549581835</v>
      </c>
      <c r="G43" s="10">
        <f>VLOOKUP($A43,observed!$A$2:$N$138,12,FALSE)</f>
        <v>241.11994959677222</v>
      </c>
      <c r="H43" s="10">
        <f>VLOOKUP($A43,observed!$A$2:$N$138,13,FALSE)</f>
        <v>502.67779233871215</v>
      </c>
      <c r="I43" s="10">
        <f>VLOOKUP($A43,observed!$A$2:$N$138,14,FALSE)</f>
        <v>0.95064516128986687</v>
      </c>
      <c r="J43" s="10">
        <f t="shared" si="0"/>
        <v>1400.0600000000002</v>
      </c>
      <c r="K43" s="57">
        <f>IFERROR(VLOOKUP($A43,md[[route]:[passenger_mile_EV]],7,FALSE),"")</f>
        <v>0</v>
      </c>
      <c r="L43" s="57">
        <f>IFERROR(VLOOKUP($A43,md[[route]:[passenger_mile_EV]],8,FALSE),"")</f>
        <v>1215.3949453217399</v>
      </c>
      <c r="M43" s="57">
        <f>IFERROR(VLOOKUP($A43,md[[route]:[passenger_mile_EV]],9,FALSE),"")</f>
        <v>0</v>
      </c>
      <c r="N43" s="57">
        <f>IFERROR(VLOOKUP($A43,md[[route]:[passenger_mile_EV]],10,FALSE),"")</f>
        <v>1816.1852171978389</v>
      </c>
      <c r="O43" s="57">
        <f>IFERROR(VLOOKUP($A43,md[[route]:[passenger_mile_EV]],11,FALSE),"")</f>
        <v>0</v>
      </c>
      <c r="P43" s="57">
        <f t="shared" si="1"/>
        <v>3031.5801625195791</v>
      </c>
      <c r="Q43" s="225">
        <f t="shared" si="2"/>
        <v>1.1653216023024577</v>
      </c>
      <c r="R43" s="239">
        <f t="shared" si="3"/>
        <v>2661858.0407079132</v>
      </c>
    </row>
    <row r="44" spans="1:18" x14ac:dyDescent="0.25">
      <c r="A44" s="5">
        <v>35</v>
      </c>
      <c r="B44" s="5">
        <v>10</v>
      </c>
      <c r="C44" s="5" t="s">
        <v>0</v>
      </c>
      <c r="D44" s="5">
        <v>5</v>
      </c>
      <c r="E44" s="10">
        <f>VLOOKUP($A44,observed!$A$2:$N$138,10,FALSE)</f>
        <v>59.133043478260838</v>
      </c>
      <c r="F44" s="10">
        <f>VLOOKUP($A44,observed!$A$2:$N$138,11,FALSE)</f>
        <v>553.53349498327771</v>
      </c>
      <c r="G44" s="10">
        <f>VLOOKUP($A44,observed!$A$2:$N$138,12,FALSE)</f>
        <v>1188.2537456293683</v>
      </c>
      <c r="H44" s="10">
        <f>VLOOKUP($A44,observed!$A$2:$N$138,13,FALSE)</f>
        <v>994.00247452978442</v>
      </c>
      <c r="I44" s="10">
        <f>VLOOKUP($A44,observed!$A$2:$N$138,14,FALSE)</f>
        <v>431.63724137930882</v>
      </c>
      <c r="J44" s="10">
        <f t="shared" si="0"/>
        <v>3226.56</v>
      </c>
      <c r="K44" s="57">
        <f>IFERROR(VLOOKUP($A44,md[[route]:[passenger_mile_EV]],7,FALSE),"")</f>
        <v>73.609257405009998</v>
      </c>
      <c r="L44" s="57">
        <f>IFERROR(VLOOKUP($A44,md[[route]:[passenger_mile_EV]],8,FALSE),"")</f>
        <v>345.333814274796</v>
      </c>
      <c r="M44" s="57">
        <f>IFERROR(VLOOKUP($A44,md[[route]:[passenger_mile_EV]],9,FALSE),"")</f>
        <v>584.41298435463398</v>
      </c>
      <c r="N44" s="57">
        <f>IFERROR(VLOOKUP($A44,md[[route]:[passenger_mile_EV]],10,FALSE),"")</f>
        <v>727.70112593448903</v>
      </c>
      <c r="O44" s="57">
        <f>IFERROR(VLOOKUP($A44,md[[route]:[passenger_mile_EV]],11,FALSE),"")</f>
        <v>295.39943436137901</v>
      </c>
      <c r="P44" s="57">
        <f t="shared" si="1"/>
        <v>2026.456616330308</v>
      </c>
      <c r="Q44" s="225">
        <f t="shared" si="2"/>
        <v>-0.37194516254763343</v>
      </c>
      <c r="R44" s="239">
        <f t="shared" si="3"/>
        <v>1440248.1314954439</v>
      </c>
    </row>
    <row r="45" spans="1:18" x14ac:dyDescent="0.25">
      <c r="A45" s="5">
        <v>41</v>
      </c>
      <c r="B45" s="5">
        <v>10</v>
      </c>
      <c r="C45" s="5" t="s">
        <v>0</v>
      </c>
      <c r="D45" s="5">
        <v>5</v>
      </c>
      <c r="E45" s="10">
        <f>VLOOKUP($A45,observed!$A$2:$N$138,10,FALSE)</f>
        <v>275.23673648648651</v>
      </c>
      <c r="F45" s="10">
        <f>VLOOKUP($A45,observed!$A$2:$N$138,11,FALSE)</f>
        <v>4170.9017109255228</v>
      </c>
      <c r="G45" s="10">
        <f>VLOOKUP($A45,observed!$A$2:$N$138,12,FALSE)</f>
        <v>8461.2951270217072</v>
      </c>
      <c r="H45" s="10">
        <f>VLOOKUP($A45,observed!$A$2:$N$138,13,FALSE)</f>
        <v>4942.3106255447983</v>
      </c>
      <c r="I45" s="10">
        <f>VLOOKUP($A45,observed!$A$2:$N$138,14,FALSE)</f>
        <v>2559.7958000214853</v>
      </c>
      <c r="J45" s="10">
        <f t="shared" si="0"/>
        <v>20409.54</v>
      </c>
      <c r="K45" s="57">
        <f>IFERROR(VLOOKUP($A45,md[[route]:[passenger_mile_EV]],7,FALSE),"")</f>
        <v>968.74965863806199</v>
      </c>
      <c r="L45" s="57">
        <f>IFERROR(VLOOKUP($A45,md[[route]:[passenger_mile_EV]],8,FALSE),"")</f>
        <v>4363.177485826307</v>
      </c>
      <c r="M45" s="57">
        <f>IFERROR(VLOOKUP($A45,md[[route]:[passenger_mile_EV]],9,FALSE),"")</f>
        <v>7868.238853593587</v>
      </c>
      <c r="N45" s="57">
        <f>IFERROR(VLOOKUP($A45,md[[route]:[passenger_mile_EV]],10,FALSE),"")</f>
        <v>6091.5987322559322</v>
      </c>
      <c r="O45" s="57">
        <f>IFERROR(VLOOKUP($A45,md[[route]:[passenger_mile_EV]],11,FALSE),"")</f>
        <v>3497.9991751762118</v>
      </c>
      <c r="P45" s="57">
        <f t="shared" si="1"/>
        <v>22789.763905490101</v>
      </c>
      <c r="Q45" s="225">
        <f t="shared" si="2"/>
        <v>0.11662310397442077</v>
      </c>
      <c r="R45" s="239">
        <f t="shared" si="3"/>
        <v>5665465.8402665453</v>
      </c>
    </row>
    <row r="46" spans="1:18" x14ac:dyDescent="0.25">
      <c r="A46" s="5">
        <v>44</v>
      </c>
      <c r="B46" s="5">
        <v>10</v>
      </c>
      <c r="C46" s="5" t="s">
        <v>0</v>
      </c>
      <c r="D46" s="5">
        <v>5</v>
      </c>
      <c r="E46" s="10">
        <f>VLOOKUP($A46,observed!$A$2:$N$138,10,FALSE)</f>
        <v>244.37649999999994</v>
      </c>
      <c r="F46" s="10">
        <f>VLOOKUP($A46,observed!$A$2:$N$138,11,FALSE)</f>
        <v>3026.317049072728</v>
      </c>
      <c r="G46" s="10">
        <f>VLOOKUP($A46,observed!$A$2:$N$138,12,FALSE)</f>
        <v>6656.1499846868519</v>
      </c>
      <c r="H46" s="10">
        <f>VLOOKUP($A46,observed!$A$2:$N$138,13,FALSE)</f>
        <v>3765.6379445012926</v>
      </c>
      <c r="I46" s="10">
        <f>VLOOKUP($A46,observed!$A$2:$N$138,14,FALSE)</f>
        <v>1541.6885217391266</v>
      </c>
      <c r="J46" s="10">
        <f t="shared" si="0"/>
        <v>15234.17</v>
      </c>
      <c r="K46" s="57">
        <f>IFERROR(VLOOKUP($A46,md[[route]:[passenger_mile_EV]],7,FALSE),"")</f>
        <v>480.64172296005898</v>
      </c>
      <c r="L46" s="57">
        <f>IFERROR(VLOOKUP($A46,md[[route]:[passenger_mile_EV]],8,FALSE),"")</f>
        <v>3315.7928517157311</v>
      </c>
      <c r="M46" s="57">
        <f>IFERROR(VLOOKUP($A46,md[[route]:[passenger_mile_EV]],9,FALSE),"")</f>
        <v>5968.209790259546</v>
      </c>
      <c r="N46" s="57">
        <f>IFERROR(VLOOKUP($A46,md[[route]:[passenger_mile_EV]],10,FALSE),"")</f>
        <v>3844.1449370862379</v>
      </c>
      <c r="O46" s="57">
        <f>IFERROR(VLOOKUP($A46,md[[route]:[passenger_mile_EV]],11,FALSE),"")</f>
        <v>2255.9508897575029</v>
      </c>
      <c r="P46" s="57">
        <f t="shared" si="1"/>
        <v>15864.740191779076</v>
      </c>
      <c r="Q46" s="225">
        <f t="shared" si="2"/>
        <v>4.1391831112497446E-2</v>
      </c>
      <c r="R46" s="239">
        <f t="shared" si="3"/>
        <v>397618.76676030026</v>
      </c>
    </row>
    <row r="47" spans="1:18" x14ac:dyDescent="0.25">
      <c r="A47" s="5">
        <v>83</v>
      </c>
      <c r="B47" s="5">
        <v>10</v>
      </c>
      <c r="C47" s="5" t="s">
        <v>0</v>
      </c>
      <c r="D47" s="5">
        <v>5</v>
      </c>
      <c r="E47" s="10">
        <f>VLOOKUP($A47,observed!$A$2:$N$138,10,FALSE)</f>
        <v>0</v>
      </c>
      <c r="F47" s="10">
        <f>VLOOKUP($A47,observed!$A$2:$N$138,11,FALSE)</f>
        <v>102.3</v>
      </c>
      <c r="G47" s="10">
        <f>VLOOKUP($A47,observed!$A$2:$N$138,12,FALSE)</f>
        <v>175.48890624999945</v>
      </c>
      <c r="H47" s="10">
        <f>VLOOKUP($A47,observed!$A$2:$N$138,13,FALSE)</f>
        <v>95.878359375000542</v>
      </c>
      <c r="I47" s="10">
        <f>VLOOKUP($A47,observed!$A$2:$N$138,14,FALSE)</f>
        <v>0</v>
      </c>
      <c r="J47" s="10">
        <f t="shared" si="0"/>
        <v>373.66726562500003</v>
      </c>
      <c r="K47" s="57">
        <f>IFERROR(VLOOKUP($A47,md[[route]:[passenger_mile_EV]],7,FALSE),"")</f>
        <v>5.323484847314</v>
      </c>
      <c r="L47" s="57">
        <f>IFERROR(VLOOKUP($A47,md[[route]:[passenger_mile_EV]],8,FALSE),"")</f>
        <v>53.126581698258001</v>
      </c>
      <c r="M47" s="57">
        <f>IFERROR(VLOOKUP($A47,md[[route]:[passenger_mile_EV]],9,FALSE),"")</f>
        <v>67.112883459440994</v>
      </c>
      <c r="N47" s="57">
        <f>IFERROR(VLOOKUP($A47,md[[route]:[passenger_mile_EV]],10,FALSE),"")</f>
        <v>55.092926012440998</v>
      </c>
      <c r="O47" s="57">
        <f>IFERROR(VLOOKUP($A47,md[[route]:[passenger_mile_EV]],11,FALSE),"")</f>
        <v>43.974544611498999</v>
      </c>
      <c r="P47" s="57">
        <f t="shared" si="1"/>
        <v>224.63042062895298</v>
      </c>
      <c r="Q47" s="225">
        <f t="shared" si="2"/>
        <v>-0.3988490796665487</v>
      </c>
      <c r="R47" s="239">
        <f t="shared" si="3"/>
        <v>22211.981166375754</v>
      </c>
    </row>
    <row r="48" spans="1:18" x14ac:dyDescent="0.25">
      <c r="A48" s="5">
        <v>84</v>
      </c>
      <c r="B48" s="5">
        <v>10</v>
      </c>
      <c r="C48" s="5" t="s">
        <v>0</v>
      </c>
      <c r="D48" s="5">
        <v>5</v>
      </c>
      <c r="E48" s="10">
        <f>VLOOKUP($A48,observed!$A$2:$N$138,10,FALSE)</f>
        <v>0</v>
      </c>
      <c r="F48" s="10">
        <f>VLOOKUP($A48,observed!$A$2:$N$138,11,FALSE)</f>
        <v>136.87</v>
      </c>
      <c r="G48" s="10">
        <f>VLOOKUP($A48,observed!$A$2:$N$138,12,FALSE)</f>
        <v>236.62639386189213</v>
      </c>
      <c r="H48" s="10">
        <f>VLOOKUP($A48,observed!$A$2:$N$138,13,FALSE)</f>
        <v>113.36856412130116</v>
      </c>
      <c r="I48" s="10">
        <f>VLOOKUP($A48,observed!$A$2:$N$138,14,FALSE)</f>
        <v>0</v>
      </c>
      <c r="J48" s="10">
        <f t="shared" si="0"/>
        <v>486.86495798319328</v>
      </c>
      <c r="K48" s="57">
        <f>IFERROR(VLOOKUP($A48,md[[route]:[passenger_mile_EV]],7,FALSE),"")</f>
        <v>4.8326349999999998</v>
      </c>
      <c r="L48" s="57">
        <f>IFERROR(VLOOKUP($A48,md[[route]:[passenger_mile_EV]],8,FALSE),"")</f>
        <v>68.335675499999994</v>
      </c>
      <c r="M48" s="57">
        <f>IFERROR(VLOOKUP($A48,md[[route]:[passenger_mile_EV]],9,FALSE),"")</f>
        <v>147.76228649999999</v>
      </c>
      <c r="N48" s="57">
        <f>IFERROR(VLOOKUP($A48,md[[route]:[passenger_mile_EV]],10,FALSE),"")</f>
        <v>95.978190999999995</v>
      </c>
      <c r="O48" s="57">
        <f>IFERROR(VLOOKUP($A48,md[[route]:[passenger_mile_EV]],11,FALSE),"")</f>
        <v>67.955481500000005</v>
      </c>
      <c r="P48" s="57">
        <f t="shared" si="1"/>
        <v>384.86426949999998</v>
      </c>
      <c r="Q48" s="225">
        <f t="shared" si="2"/>
        <v>-0.20950509337481293</v>
      </c>
      <c r="R48" s="239">
        <f t="shared" si="3"/>
        <v>10404.140451045443</v>
      </c>
    </row>
    <row r="49" spans="1:18" x14ac:dyDescent="0.25">
      <c r="A49" s="5">
        <v>88</v>
      </c>
      <c r="B49" s="5">
        <v>10</v>
      </c>
      <c r="C49" s="5" t="s">
        <v>0</v>
      </c>
      <c r="D49" s="5">
        <v>5</v>
      </c>
      <c r="E49" s="10">
        <f>VLOOKUP($A49,observed!$A$2:$N$138,10,FALSE)</f>
        <v>0.98333333333333339</v>
      </c>
      <c r="F49" s="10">
        <f>VLOOKUP($A49,observed!$A$2:$N$138,11,FALSE)</f>
        <v>153.67666666666668</v>
      </c>
      <c r="G49" s="10">
        <f>VLOOKUP($A49,observed!$A$2:$N$138,12,FALSE)</f>
        <v>215.1962530712525</v>
      </c>
      <c r="H49" s="10">
        <f>VLOOKUP($A49,observed!$A$2:$N$138,13,FALSE)</f>
        <v>117.31003071253143</v>
      </c>
      <c r="I49" s="10">
        <f>VLOOKUP($A49,observed!$A$2:$N$138,14,FALSE)</f>
        <v>74.876824324324232</v>
      </c>
      <c r="J49" s="10">
        <f t="shared" si="0"/>
        <v>562.04310810810819</v>
      </c>
      <c r="K49" s="57">
        <f>IFERROR(VLOOKUP($A49,md[[route]:[passenger_mile_EV]],7,FALSE),"")</f>
        <v>31.618311847217001</v>
      </c>
      <c r="L49" s="57">
        <f>IFERROR(VLOOKUP($A49,md[[route]:[passenger_mile_EV]],8,FALSE),"")</f>
        <v>158.52344100128201</v>
      </c>
      <c r="M49" s="57">
        <f>IFERROR(VLOOKUP($A49,md[[route]:[passenger_mile_EV]],9,FALSE),"")</f>
        <v>190.40453564976801</v>
      </c>
      <c r="N49" s="57">
        <f>IFERROR(VLOOKUP($A49,md[[route]:[passenger_mile_EV]],10,FALSE),"")</f>
        <v>163.305726927736</v>
      </c>
      <c r="O49" s="57">
        <f>IFERROR(VLOOKUP($A49,md[[route]:[passenger_mile_EV]],11,FALSE),"")</f>
        <v>104.61454196479799</v>
      </c>
      <c r="P49" s="57">
        <f t="shared" si="1"/>
        <v>648.46655739080109</v>
      </c>
      <c r="Q49" s="225">
        <f t="shared" si="2"/>
        <v>0.15376658486855677</v>
      </c>
      <c r="R49" s="239">
        <f t="shared" si="3"/>
        <v>7469.0125859181917</v>
      </c>
    </row>
    <row r="50" spans="1:18" x14ac:dyDescent="0.25">
      <c r="A50" s="5">
        <v>101</v>
      </c>
      <c r="B50" s="5">
        <v>10</v>
      </c>
      <c r="C50" s="5" t="s">
        <v>0</v>
      </c>
      <c r="D50" s="5">
        <v>5</v>
      </c>
      <c r="E50" s="10">
        <f>VLOOKUP($A50,observed!$A$2:$N$138,10,FALSE)</f>
        <v>273.92975030525037</v>
      </c>
      <c r="F50" s="10">
        <f>VLOOKUP($A50,observed!$A$2:$N$138,11,FALSE)</f>
        <v>3315.1969243855719</v>
      </c>
      <c r="G50" s="10">
        <f>VLOOKUP($A50,observed!$A$2:$N$138,12,FALSE)</f>
        <v>7581.4168539171797</v>
      </c>
      <c r="H50" s="10">
        <f>VLOOKUP($A50,observed!$A$2:$N$138,13,FALSE)</f>
        <v>3966.8243533963118</v>
      </c>
      <c r="I50" s="10">
        <f>VLOOKUP($A50,observed!$A$2:$N$138,14,FALSE)</f>
        <v>1648.8405008753537</v>
      </c>
      <c r="J50" s="10">
        <f t="shared" si="0"/>
        <v>16786.208382879668</v>
      </c>
      <c r="K50" s="57">
        <f>IFERROR(VLOOKUP($A50,md[[route]:[passenger_mile_EV]],7,FALSE),"")</f>
        <v>2401.4775043867289</v>
      </c>
      <c r="L50" s="57">
        <f>IFERROR(VLOOKUP($A50,md[[route]:[passenger_mile_EV]],8,FALSE),"")</f>
        <v>5013.5954661959531</v>
      </c>
      <c r="M50" s="57">
        <f>IFERROR(VLOOKUP($A50,md[[route]:[passenger_mile_EV]],9,FALSE),"")</f>
        <v>6410.9117584242567</v>
      </c>
      <c r="N50" s="57">
        <f>IFERROR(VLOOKUP($A50,md[[route]:[passenger_mile_EV]],10,FALSE),"")</f>
        <v>7943.8284000092763</v>
      </c>
      <c r="O50" s="57">
        <f>IFERROR(VLOOKUP($A50,md[[route]:[passenger_mile_EV]],11,FALSE),"")</f>
        <v>4428.1721735269721</v>
      </c>
      <c r="P50" s="57">
        <f t="shared" si="1"/>
        <v>26197.985302543184</v>
      </c>
      <c r="Q50" s="225">
        <f t="shared" si="2"/>
        <v>0.5606850996358792</v>
      </c>
      <c r="R50" s="239">
        <f t="shared" si="3"/>
        <v>88581544.785510868</v>
      </c>
    </row>
    <row r="51" spans="1:18" x14ac:dyDescent="0.25">
      <c r="A51" s="5">
        <v>105</v>
      </c>
      <c r="B51" s="5">
        <v>10</v>
      </c>
      <c r="C51" s="5" t="s">
        <v>0</v>
      </c>
      <c r="D51" s="5">
        <v>5</v>
      </c>
      <c r="E51" s="10">
        <f>VLOOKUP($A51,observed!$A$2:$N$138,10,FALSE)</f>
        <v>153.34312944523469</v>
      </c>
      <c r="F51" s="10">
        <f>VLOOKUP($A51,observed!$A$2:$N$138,11,FALSE)</f>
        <v>1102.8117502272012</v>
      </c>
      <c r="G51" s="10">
        <f>VLOOKUP($A51,observed!$A$2:$N$138,12,FALSE)</f>
        <v>1980.3370044603696</v>
      </c>
      <c r="H51" s="10">
        <f>VLOOKUP($A51,observed!$A$2:$N$138,13,FALSE)</f>
        <v>928.49322817857592</v>
      </c>
      <c r="I51" s="10">
        <f>VLOOKUP($A51,observed!$A$2:$N$138,14,FALSE)</f>
        <v>336.94248934836895</v>
      </c>
      <c r="J51" s="10">
        <f t="shared" si="0"/>
        <v>4501.9276016597505</v>
      </c>
      <c r="K51" s="57">
        <f>IFERROR(VLOOKUP($A51,md[[route]:[passenger_mile_EV]],7,FALSE),"")</f>
        <v>201.07464601224299</v>
      </c>
      <c r="L51" s="57">
        <f>IFERROR(VLOOKUP($A51,md[[route]:[passenger_mile_EV]],8,FALSE),"")</f>
        <v>827.48887959326498</v>
      </c>
      <c r="M51" s="57">
        <f>IFERROR(VLOOKUP($A51,md[[route]:[passenger_mile_EV]],9,FALSE),"")</f>
        <v>1653.428192887344</v>
      </c>
      <c r="N51" s="57">
        <f>IFERROR(VLOOKUP($A51,md[[route]:[passenger_mile_EV]],10,FALSE),"")</f>
        <v>1182.6535915507191</v>
      </c>
      <c r="O51" s="57">
        <f>IFERROR(VLOOKUP($A51,md[[route]:[passenger_mile_EV]],11,FALSE),"")</f>
        <v>710.28118785836602</v>
      </c>
      <c r="P51" s="57">
        <f t="shared" si="1"/>
        <v>4574.9264979019372</v>
      </c>
      <c r="Q51" s="225">
        <f t="shared" si="2"/>
        <v>1.6215031138056002E-2</v>
      </c>
      <c r="R51" s="239">
        <f t="shared" si="3"/>
        <v>5328.8388525775354</v>
      </c>
    </row>
    <row r="52" spans="1:18" x14ac:dyDescent="0.25">
      <c r="A52" s="5">
        <v>115</v>
      </c>
      <c r="B52" s="5">
        <v>10</v>
      </c>
      <c r="C52" s="5" t="s">
        <v>0</v>
      </c>
      <c r="D52" s="5">
        <v>5</v>
      </c>
      <c r="E52" s="10">
        <f>VLOOKUP($A52,observed!$A$2:$N$138,10,FALSE)</f>
        <v>2.7459999999999853</v>
      </c>
      <c r="F52" s="10">
        <f>VLOOKUP($A52,observed!$A$2:$N$138,11,FALSE)</f>
        <v>959.50944345898017</v>
      </c>
      <c r="G52" s="10">
        <f>VLOOKUP($A52,observed!$A$2:$N$138,12,FALSE)</f>
        <v>2444.4556084890692</v>
      </c>
      <c r="H52" s="10">
        <f>VLOOKUP($A52,observed!$A$2:$N$138,13,FALSE)</f>
        <v>978.19656709957098</v>
      </c>
      <c r="I52" s="10">
        <f>VLOOKUP($A52,observed!$A$2:$N$138,14,FALSE)</f>
        <v>335.12238095238001</v>
      </c>
      <c r="J52" s="10">
        <f t="shared" si="0"/>
        <v>4720.0300000000007</v>
      </c>
      <c r="K52" s="57">
        <f>IFERROR(VLOOKUP($A52,md[[route]:[passenger_mile_EV]],7,FALSE),"")</f>
        <v>191.41904890859999</v>
      </c>
      <c r="L52" s="57">
        <f>IFERROR(VLOOKUP($A52,md[[route]:[passenger_mile_EV]],8,FALSE),"")</f>
        <v>2199.1000829740969</v>
      </c>
      <c r="M52" s="57">
        <f>IFERROR(VLOOKUP($A52,md[[route]:[passenger_mile_EV]],9,FALSE),"")</f>
        <v>4071.5772489275628</v>
      </c>
      <c r="N52" s="57">
        <f>IFERROR(VLOOKUP($A52,md[[route]:[passenger_mile_EV]],10,FALSE),"")</f>
        <v>2956.7484288377918</v>
      </c>
      <c r="O52" s="57">
        <f>IFERROR(VLOOKUP($A52,md[[route]:[passenger_mile_EV]],11,FALSE),"")</f>
        <v>1920.080994687416</v>
      </c>
      <c r="P52" s="57">
        <f t="shared" si="1"/>
        <v>11338.925804335468</v>
      </c>
      <c r="Q52" s="225">
        <f t="shared" si="2"/>
        <v>1.4022995202012414</v>
      </c>
      <c r="R52" s="239">
        <f t="shared" si="3"/>
        <v>43809781.668649644</v>
      </c>
    </row>
    <row r="53" spans="1:18" x14ac:dyDescent="0.25">
      <c r="A53" s="5">
        <v>302</v>
      </c>
      <c r="B53" s="5">
        <v>10</v>
      </c>
      <c r="C53" s="5" t="s">
        <v>0</v>
      </c>
      <c r="D53" s="5">
        <v>5</v>
      </c>
      <c r="E53" s="10">
        <f>VLOOKUP($A53,observed!$A$2:$N$138,10,FALSE)</f>
        <v>260.98396217023395</v>
      </c>
      <c r="F53" s="10">
        <f>VLOOKUP($A53,observed!$A$2:$N$138,11,FALSE)</f>
        <v>1684.4299925467474</v>
      </c>
      <c r="G53" s="10">
        <f>VLOOKUP($A53,observed!$A$2:$N$138,12,FALSE)</f>
        <v>4298.2106762413077</v>
      </c>
      <c r="H53" s="10">
        <f>VLOOKUP($A53,observed!$A$2:$N$138,13,FALSE)</f>
        <v>2172.5140808179017</v>
      </c>
      <c r="I53" s="10">
        <f>VLOOKUP($A53,observed!$A$2:$N$138,14,FALSE)</f>
        <v>1213.4912882238095</v>
      </c>
      <c r="J53" s="10">
        <f t="shared" si="0"/>
        <v>9629.630000000001</v>
      </c>
      <c r="K53" s="57">
        <f>IFERROR(VLOOKUP($A53,md[[route]:[passenger_mile_EV]],7,FALSE),"")</f>
        <v>439.85716419124498</v>
      </c>
      <c r="L53" s="57">
        <f>IFERROR(VLOOKUP($A53,md[[route]:[passenger_mile_EV]],8,FALSE),"")</f>
        <v>2697.9594266237468</v>
      </c>
      <c r="M53" s="57">
        <f>IFERROR(VLOOKUP($A53,md[[route]:[passenger_mile_EV]],9,FALSE),"")</f>
        <v>5029.6856885434663</v>
      </c>
      <c r="N53" s="57">
        <f>IFERROR(VLOOKUP($A53,md[[route]:[passenger_mile_EV]],10,FALSE),"")</f>
        <v>3853.405061982648</v>
      </c>
      <c r="O53" s="57">
        <f>IFERROR(VLOOKUP($A53,md[[route]:[passenger_mile_EV]],11,FALSE),"")</f>
        <v>1992.0602827004591</v>
      </c>
      <c r="P53" s="57">
        <f t="shared" si="1"/>
        <v>14012.967624041565</v>
      </c>
      <c r="Q53" s="225">
        <f t="shared" si="2"/>
        <v>0.45519273575844177</v>
      </c>
      <c r="R53" s="239">
        <f t="shared" si="3"/>
        <v>19213648.726338342</v>
      </c>
    </row>
    <row r="54" spans="1:18" x14ac:dyDescent="0.25">
      <c r="A54" s="5">
        <v>303</v>
      </c>
      <c r="B54" s="5">
        <v>10</v>
      </c>
      <c r="C54" s="5" t="s">
        <v>0</v>
      </c>
      <c r="D54" s="5">
        <v>5</v>
      </c>
      <c r="E54" s="10">
        <f>VLOOKUP($A54,observed!$A$2:$N$138,10,FALSE)</f>
        <v>778.11098955104876</v>
      </c>
      <c r="F54" s="10">
        <f>VLOOKUP($A54,observed!$A$2:$N$138,11,FALSE)</f>
        <v>2964.7306383148557</v>
      </c>
      <c r="G54" s="10">
        <f>VLOOKUP($A54,observed!$A$2:$N$138,12,FALSE)</f>
        <v>6547.9821574266743</v>
      </c>
      <c r="H54" s="10">
        <f>VLOOKUP($A54,observed!$A$2:$N$138,13,FALSE)</f>
        <v>3364.6947635463066</v>
      </c>
      <c r="I54" s="10">
        <f>VLOOKUP($A54,observed!$A$2:$N$138,14,FALSE)</f>
        <v>1716.909887920295</v>
      </c>
      <c r="J54" s="10">
        <f t="shared" si="0"/>
        <v>15372.428436759181</v>
      </c>
      <c r="K54" s="57">
        <f>IFERROR(VLOOKUP($A54,md[[route]:[passenger_mile_EV]],7,FALSE),"")</f>
        <v>502.32856681926501</v>
      </c>
      <c r="L54" s="57">
        <f>IFERROR(VLOOKUP($A54,md[[route]:[passenger_mile_EV]],8,FALSE),"")</f>
        <v>2007.84284141332</v>
      </c>
      <c r="M54" s="57">
        <f>IFERROR(VLOOKUP($A54,md[[route]:[passenger_mile_EV]],9,FALSE),"")</f>
        <v>3405.0184624749049</v>
      </c>
      <c r="N54" s="57">
        <f>IFERROR(VLOOKUP($A54,md[[route]:[passenger_mile_EV]],10,FALSE),"")</f>
        <v>3100.5082486324131</v>
      </c>
      <c r="O54" s="57">
        <f>IFERROR(VLOOKUP($A54,md[[route]:[passenger_mile_EV]],11,FALSE),"")</f>
        <v>1479.369309435488</v>
      </c>
      <c r="P54" s="57">
        <f t="shared" si="1"/>
        <v>10495.067428775392</v>
      </c>
      <c r="Q54" s="225">
        <f t="shared" si="2"/>
        <v>-0.31727979922292848</v>
      </c>
      <c r="R54" s="239">
        <f t="shared" si="3"/>
        <v>23788650.402200643</v>
      </c>
    </row>
    <row r="55" spans="1:18" x14ac:dyDescent="0.25">
      <c r="A55" s="5">
        <v>304</v>
      </c>
      <c r="B55" s="5">
        <v>10</v>
      </c>
      <c r="C55" s="5" t="s">
        <v>0</v>
      </c>
      <c r="D55" s="5">
        <v>5</v>
      </c>
      <c r="E55" s="10">
        <f>VLOOKUP($A55,observed!$A$2:$N$138,10,FALSE)</f>
        <v>186.13452121831818</v>
      </c>
      <c r="F55" s="10">
        <f>VLOOKUP($A55,observed!$A$2:$N$138,11,FALSE)</f>
        <v>1308.0904765042492</v>
      </c>
      <c r="G55" s="10">
        <f>VLOOKUP($A55,observed!$A$2:$N$138,12,FALSE)</f>
        <v>1653.1963127242302</v>
      </c>
      <c r="H55" s="10">
        <f>VLOOKUP($A55,observed!$A$2:$N$138,13,FALSE)</f>
        <v>1129.4391305499028</v>
      </c>
      <c r="I55" s="10">
        <f>VLOOKUP($A55,observed!$A$2:$N$138,14,FALSE)</f>
        <v>229.9797641509424</v>
      </c>
      <c r="J55" s="10">
        <f t="shared" si="0"/>
        <v>4506.8402051476423</v>
      </c>
      <c r="K55" s="57">
        <f>IFERROR(VLOOKUP($A55,md[[route]:[passenger_mile_EV]],7,FALSE),"")</f>
        <v>329.339760732576</v>
      </c>
      <c r="L55" s="57">
        <f>IFERROR(VLOOKUP($A55,md[[route]:[passenger_mile_EV]],8,FALSE),"")</f>
        <v>2036.2690207273899</v>
      </c>
      <c r="M55" s="57">
        <f>IFERROR(VLOOKUP($A55,md[[route]:[passenger_mile_EV]],9,FALSE),"")</f>
        <v>2573.9405593787419</v>
      </c>
      <c r="N55" s="57">
        <f>IFERROR(VLOOKUP($A55,md[[route]:[passenger_mile_EV]],10,FALSE),"")</f>
        <v>2894.122177312141</v>
      </c>
      <c r="O55" s="57">
        <f>IFERROR(VLOOKUP($A55,md[[route]:[passenger_mile_EV]],11,FALSE),"")</f>
        <v>1251.46452237484</v>
      </c>
      <c r="P55" s="57">
        <f t="shared" si="1"/>
        <v>9085.1360405256892</v>
      </c>
      <c r="Q55" s="225">
        <f t="shared" si="2"/>
        <v>1.0158549287256267</v>
      </c>
      <c r="R55" s="239">
        <f t="shared" si="3"/>
        <v>20960792.756239969</v>
      </c>
    </row>
    <row r="56" spans="1:18" x14ac:dyDescent="0.25">
      <c r="A56" s="5">
        <v>305</v>
      </c>
      <c r="B56" s="5">
        <v>10</v>
      </c>
      <c r="C56" s="5" t="s">
        <v>0</v>
      </c>
      <c r="D56" s="5">
        <v>5</v>
      </c>
      <c r="E56" s="10">
        <f>VLOOKUP($A56,observed!$A$2:$N$138,10,FALSE)</f>
        <v>299.05059647557982</v>
      </c>
      <c r="F56" s="10">
        <f>VLOOKUP($A56,observed!$A$2:$N$138,11,FALSE)</f>
        <v>1431.2015941029681</v>
      </c>
      <c r="G56" s="10">
        <f>VLOOKUP($A56,observed!$A$2:$N$138,12,FALSE)</f>
        <v>3335.4183508888755</v>
      </c>
      <c r="H56" s="10">
        <f>VLOOKUP($A56,observed!$A$2:$N$138,13,FALSE)</f>
        <v>1761.8405996104584</v>
      </c>
      <c r="I56" s="10">
        <f>VLOOKUP($A56,observed!$A$2:$N$138,14,FALSE)</f>
        <v>1013.0837116932508</v>
      </c>
      <c r="J56" s="10">
        <f t="shared" si="0"/>
        <v>7840.5948527711325</v>
      </c>
      <c r="K56" s="57">
        <f>IFERROR(VLOOKUP($A56,md[[route]:[passenger_mile_EV]],7,FALSE),"")</f>
        <v>471.45722007926798</v>
      </c>
      <c r="L56" s="57">
        <f>IFERROR(VLOOKUP($A56,md[[route]:[passenger_mile_EV]],8,FALSE),"")</f>
        <v>2662.227078458413</v>
      </c>
      <c r="M56" s="57">
        <f>IFERROR(VLOOKUP($A56,md[[route]:[passenger_mile_EV]],9,FALSE),"")</f>
        <v>4694.0643166477312</v>
      </c>
      <c r="N56" s="57">
        <f>IFERROR(VLOOKUP($A56,md[[route]:[passenger_mile_EV]],10,FALSE),"")</f>
        <v>3798.8925366097951</v>
      </c>
      <c r="O56" s="57">
        <f>IFERROR(VLOOKUP($A56,md[[route]:[passenger_mile_EV]],11,FALSE),"")</f>
        <v>1808.5571800426751</v>
      </c>
      <c r="P56" s="57">
        <f t="shared" si="1"/>
        <v>13435.198331837883</v>
      </c>
      <c r="Q56" s="225">
        <f t="shared" si="2"/>
        <v>0.71354324309837636</v>
      </c>
      <c r="R56" s="239">
        <f t="shared" si="3"/>
        <v>31299588.087985784</v>
      </c>
    </row>
    <row r="57" spans="1:18" x14ac:dyDescent="0.25">
      <c r="A57" s="5">
        <v>306</v>
      </c>
      <c r="B57" s="5">
        <v>10</v>
      </c>
      <c r="C57" s="5" t="s">
        <v>0</v>
      </c>
      <c r="D57" s="5">
        <v>5</v>
      </c>
      <c r="E57" s="10">
        <f>VLOOKUP($A57,observed!$A$2:$N$138,10,FALSE)</f>
        <v>292.65073358668928</v>
      </c>
      <c r="F57" s="10">
        <f>VLOOKUP($A57,observed!$A$2:$N$138,11,FALSE)</f>
        <v>1986.7555808436503</v>
      </c>
      <c r="G57" s="10">
        <f>VLOOKUP($A57,observed!$A$2:$N$138,12,FALSE)</f>
        <v>2401.6503425012979</v>
      </c>
      <c r="H57" s="10">
        <f>VLOOKUP($A57,observed!$A$2:$N$138,13,FALSE)</f>
        <v>1710.3498701037834</v>
      </c>
      <c r="I57" s="10">
        <f>VLOOKUP($A57,observed!$A$2:$N$138,14,FALSE)</f>
        <v>609.2116279069736</v>
      </c>
      <c r="J57" s="10">
        <f t="shared" si="0"/>
        <v>7000.6181549423945</v>
      </c>
      <c r="K57" s="57">
        <f>IFERROR(VLOOKUP($A57,md[[route]:[passenger_mile_EV]],7,FALSE),"")</f>
        <v>178.98128932314</v>
      </c>
      <c r="L57" s="57">
        <f>IFERROR(VLOOKUP($A57,md[[route]:[passenger_mile_EV]],8,FALSE),"")</f>
        <v>845.132959601072</v>
      </c>
      <c r="M57" s="57">
        <f>IFERROR(VLOOKUP($A57,md[[route]:[passenger_mile_EV]],9,FALSE),"")</f>
        <v>1125.4197129700819</v>
      </c>
      <c r="N57" s="57">
        <f>IFERROR(VLOOKUP($A57,md[[route]:[passenger_mile_EV]],10,FALSE),"")</f>
        <v>1385.2321745712959</v>
      </c>
      <c r="O57" s="57">
        <f>IFERROR(VLOOKUP($A57,md[[route]:[passenger_mile_EV]],11,FALSE),"")</f>
        <v>588.07645829937405</v>
      </c>
      <c r="P57" s="57">
        <f t="shared" si="1"/>
        <v>4122.8425947649639</v>
      </c>
      <c r="Q57" s="225">
        <f t="shared" si="2"/>
        <v>-0.41107449320682321</v>
      </c>
      <c r="R57" s="239">
        <f t="shared" si="3"/>
        <v>8281592.1747545246</v>
      </c>
    </row>
    <row r="58" spans="1:18" x14ac:dyDescent="0.25">
      <c r="A58" s="5">
        <v>308</v>
      </c>
      <c r="B58" s="5">
        <v>10</v>
      </c>
      <c r="C58" s="5" t="s">
        <v>0</v>
      </c>
      <c r="D58" s="5">
        <v>5</v>
      </c>
      <c r="E58" s="10">
        <f>VLOOKUP($A58,observed!$A$2:$N$138,10,FALSE)</f>
        <v>39.509115329506081</v>
      </c>
      <c r="F58" s="10">
        <f>VLOOKUP($A58,observed!$A$2:$N$138,11,FALSE)</f>
        <v>668.92018608320848</v>
      </c>
      <c r="G58" s="10">
        <f>VLOOKUP($A58,observed!$A$2:$N$138,12,FALSE)</f>
        <v>1246.6350546470021</v>
      </c>
      <c r="H58" s="10">
        <f>VLOOKUP($A58,observed!$A$2:$N$138,13,FALSE)</f>
        <v>733.48992364330411</v>
      </c>
      <c r="I58" s="10">
        <f>VLOOKUP($A58,observed!$A$2:$N$138,14,FALSE)</f>
        <v>103.5402434177673</v>
      </c>
      <c r="J58" s="10">
        <f t="shared" si="0"/>
        <v>2792.0945231207884</v>
      </c>
      <c r="K58" s="57">
        <f>IFERROR(VLOOKUP($A58,md[[route]:[passenger_mile_EV]],7,FALSE),"")</f>
        <v>343.72730425217901</v>
      </c>
      <c r="L58" s="57">
        <f>IFERROR(VLOOKUP($A58,md[[route]:[passenger_mile_EV]],8,FALSE),"")</f>
        <v>879.24446999686904</v>
      </c>
      <c r="M58" s="57">
        <f>IFERROR(VLOOKUP($A58,md[[route]:[passenger_mile_EV]],9,FALSE),"")</f>
        <v>762.41113994262003</v>
      </c>
      <c r="N58" s="57">
        <f>IFERROR(VLOOKUP($A58,md[[route]:[passenger_mile_EV]],10,FALSE),"")</f>
        <v>1079.601869861106</v>
      </c>
      <c r="O58" s="57">
        <f>IFERROR(VLOOKUP($A58,md[[route]:[passenger_mile_EV]],11,FALSE),"")</f>
        <v>548.45412315905105</v>
      </c>
      <c r="P58" s="57">
        <f t="shared" si="1"/>
        <v>3613.4389072118252</v>
      </c>
      <c r="Q58" s="225">
        <f t="shared" si="2"/>
        <v>0.29416782895050453</v>
      </c>
      <c r="R58" s="239">
        <f t="shared" si="3"/>
        <v>674606.59727788449</v>
      </c>
    </row>
    <row r="59" spans="1:18" x14ac:dyDescent="0.25">
      <c r="A59" s="5">
        <v>309</v>
      </c>
      <c r="B59" s="5">
        <v>10</v>
      </c>
      <c r="C59" s="5" t="s">
        <v>0</v>
      </c>
      <c r="D59" s="5">
        <v>5</v>
      </c>
      <c r="E59" s="10">
        <f>VLOOKUP($A59,observed!$A$2:$N$138,10,FALSE)</f>
        <v>349.6552686969826</v>
      </c>
      <c r="F59" s="10">
        <f>VLOOKUP($A59,observed!$A$2:$N$138,11,FALSE)</f>
        <v>1718.4564242298907</v>
      </c>
      <c r="G59" s="10">
        <f>VLOOKUP($A59,observed!$A$2:$N$138,12,FALSE)</f>
        <v>3490.9697346486832</v>
      </c>
      <c r="H59" s="10">
        <f>VLOOKUP($A59,observed!$A$2:$N$138,13,FALSE)</f>
        <v>2408.1413570401696</v>
      </c>
      <c r="I59" s="10">
        <f>VLOOKUP($A59,observed!$A$2:$N$138,14,FALSE)</f>
        <v>831.44625130300551</v>
      </c>
      <c r="J59" s="10">
        <f t="shared" si="0"/>
        <v>8798.6690359187305</v>
      </c>
      <c r="K59" s="57">
        <f>IFERROR(VLOOKUP($A59,md[[route]:[passenger_mile_EV]],7,FALSE),"")</f>
        <v>898.54709066692999</v>
      </c>
      <c r="L59" s="57">
        <f>IFERROR(VLOOKUP($A59,md[[route]:[passenger_mile_EV]],8,FALSE),"")</f>
        <v>3122.791883461819</v>
      </c>
      <c r="M59" s="57">
        <f>IFERROR(VLOOKUP($A59,md[[route]:[passenger_mile_EV]],9,FALSE),"")</f>
        <v>4817.0232237033342</v>
      </c>
      <c r="N59" s="57">
        <f>IFERROR(VLOOKUP($A59,md[[route]:[passenger_mile_EV]],10,FALSE),"")</f>
        <v>4527.4475366748884</v>
      </c>
      <c r="O59" s="57">
        <f>IFERROR(VLOOKUP($A59,md[[route]:[passenger_mile_EV]],11,FALSE),"")</f>
        <v>2375.5814007659578</v>
      </c>
      <c r="P59" s="57">
        <f t="shared" si="1"/>
        <v>15741.39113527293</v>
      </c>
      <c r="Q59" s="225">
        <f t="shared" si="2"/>
        <v>0.78906503597441668</v>
      </c>
      <c r="R59" s="239">
        <f t="shared" si="3"/>
        <v>48201390.148861185</v>
      </c>
    </row>
    <row r="60" spans="1:18" x14ac:dyDescent="0.25">
      <c r="A60" s="5">
        <v>311</v>
      </c>
      <c r="B60" s="5">
        <v>10</v>
      </c>
      <c r="C60" s="5" t="s">
        <v>0</v>
      </c>
      <c r="D60" s="5">
        <v>5</v>
      </c>
      <c r="E60" s="10">
        <f>VLOOKUP($A60,observed!$A$2:$N$138,10,FALSE)</f>
        <v>38.20853570331974</v>
      </c>
      <c r="F60" s="10">
        <f>VLOOKUP($A60,observed!$A$2:$N$138,11,FALSE)</f>
        <v>655.55238461538454</v>
      </c>
      <c r="G60" s="10">
        <f>VLOOKUP($A60,observed!$A$2:$N$138,12,FALSE)</f>
        <v>955.53663672361188</v>
      </c>
      <c r="H60" s="10">
        <f>VLOOKUP($A60,observed!$A$2:$N$138,13,FALSE)</f>
        <v>216.70480000000089</v>
      </c>
      <c r="I60" s="10">
        <f>VLOOKUP($A60,observed!$A$2:$N$138,14,FALSE)</f>
        <v>0</v>
      </c>
      <c r="J60" s="10">
        <f t="shared" si="0"/>
        <v>1866.002357042317</v>
      </c>
      <c r="K60" s="57">
        <f>IFERROR(VLOOKUP($A60,md[[route]:[passenger_mile_EV]],7,FALSE),"")</f>
        <v>3.9887047843190002</v>
      </c>
      <c r="L60" s="57">
        <f>IFERROR(VLOOKUP($A60,md[[route]:[passenger_mile_EV]],8,FALSE),"")</f>
        <v>242.19482289487499</v>
      </c>
      <c r="M60" s="57">
        <f>IFERROR(VLOOKUP($A60,md[[route]:[passenger_mile_EV]],9,FALSE),"")</f>
        <v>94.148877843210002</v>
      </c>
      <c r="N60" s="57">
        <f>IFERROR(VLOOKUP($A60,md[[route]:[passenger_mile_EV]],10,FALSE),"")</f>
        <v>270.63275731273501</v>
      </c>
      <c r="O60" s="57">
        <f>IFERROR(VLOOKUP($A60,md[[route]:[passenger_mile_EV]],11,FALSE),"")</f>
        <v>60.296031379726003</v>
      </c>
      <c r="P60" s="57">
        <f t="shared" si="1"/>
        <v>671.26119421486487</v>
      </c>
      <c r="Q60" s="225">
        <f t="shared" si="2"/>
        <v>-0.64026776725039147</v>
      </c>
      <c r="R60" s="239">
        <f t="shared" si="3"/>
        <v>1427406.4461542927</v>
      </c>
    </row>
    <row r="61" spans="1:18" x14ac:dyDescent="0.25">
      <c r="A61" s="5">
        <v>313</v>
      </c>
      <c r="B61" s="5">
        <v>10</v>
      </c>
      <c r="C61" s="5" t="s">
        <v>0</v>
      </c>
      <c r="D61" s="5">
        <v>5</v>
      </c>
      <c r="E61" s="10">
        <f>VLOOKUP($A61,observed!$A$2:$N$138,10,FALSE)</f>
        <v>39.001395348837185</v>
      </c>
      <c r="F61" s="10">
        <f>VLOOKUP($A61,observed!$A$2:$N$138,11,FALSE)</f>
        <v>435.07852991640152</v>
      </c>
      <c r="G61" s="10">
        <f>VLOOKUP($A61,observed!$A$2:$N$138,12,FALSE)</f>
        <v>560.45471818202782</v>
      </c>
      <c r="H61" s="10">
        <f>VLOOKUP($A61,observed!$A$2:$N$138,13,FALSE)</f>
        <v>233.50708934276824</v>
      </c>
      <c r="I61" s="10">
        <f>VLOOKUP($A61,observed!$A$2:$N$138,14,FALSE)</f>
        <v>28.09</v>
      </c>
      <c r="J61" s="10">
        <f t="shared" si="0"/>
        <v>1296.1317327900347</v>
      </c>
      <c r="K61" s="57">
        <f>IFERROR(VLOOKUP($A61,md[[route]:[passenger_mile_EV]],7,FALSE),"")</f>
        <v>25.388323816145999</v>
      </c>
      <c r="L61" s="57">
        <f>IFERROR(VLOOKUP($A61,md[[route]:[passenger_mile_EV]],8,FALSE),"")</f>
        <v>278.17318408814498</v>
      </c>
      <c r="M61" s="57">
        <f>IFERROR(VLOOKUP($A61,md[[route]:[passenger_mile_EV]],9,FALSE),"")</f>
        <v>399.17657990723802</v>
      </c>
      <c r="N61" s="57">
        <f>IFERROR(VLOOKUP($A61,md[[route]:[passenger_mile_EV]],10,FALSE),"")</f>
        <v>361.94964132838999</v>
      </c>
      <c r="O61" s="57">
        <f>IFERROR(VLOOKUP($A61,md[[route]:[passenger_mile_EV]],11,FALSE),"")</f>
        <v>113.84639076658</v>
      </c>
      <c r="P61" s="57">
        <f t="shared" si="1"/>
        <v>1178.534119906499</v>
      </c>
      <c r="Q61" s="225">
        <f t="shared" si="2"/>
        <v>-9.0729676551006722E-2</v>
      </c>
      <c r="R61" s="239">
        <f t="shared" si="3"/>
        <v>13829.198555905923</v>
      </c>
    </row>
    <row r="62" spans="1:18" x14ac:dyDescent="0.25">
      <c r="A62" s="5">
        <v>315</v>
      </c>
      <c r="B62" s="5">
        <v>10</v>
      </c>
      <c r="C62" s="5" t="s">
        <v>0</v>
      </c>
      <c r="D62" s="5">
        <v>5</v>
      </c>
      <c r="E62" s="10">
        <f>VLOOKUP($A62,observed!$A$2:$N$138,10,FALSE)</f>
        <v>72.883742128659776</v>
      </c>
      <c r="F62" s="10">
        <f>VLOOKUP($A62,observed!$A$2:$N$138,11,FALSE)</f>
        <v>400.00461122001377</v>
      </c>
      <c r="G62" s="10">
        <f>VLOOKUP($A62,observed!$A$2:$N$138,12,FALSE)</f>
        <v>721.09699551619474</v>
      </c>
      <c r="H62" s="10">
        <f>VLOOKUP($A62,observed!$A$2:$N$138,13,FALSE)</f>
        <v>515.13494427518151</v>
      </c>
      <c r="I62" s="10">
        <f>VLOOKUP($A62,observed!$A$2:$N$138,14,FALSE)</f>
        <v>144.25152402652421</v>
      </c>
      <c r="J62" s="10">
        <f t="shared" si="0"/>
        <v>1853.3718171665741</v>
      </c>
      <c r="K62" s="57">
        <f>IFERROR(VLOOKUP($A62,md[[route]:[passenger_mile_EV]],7,FALSE),"")</f>
        <v>116.95817786283899</v>
      </c>
      <c r="L62" s="57">
        <f>IFERROR(VLOOKUP($A62,md[[route]:[passenger_mile_EV]],8,FALSE),"")</f>
        <v>455.33246216751098</v>
      </c>
      <c r="M62" s="57">
        <f>IFERROR(VLOOKUP($A62,md[[route]:[passenger_mile_EV]],9,FALSE),"")</f>
        <v>715.38974289657199</v>
      </c>
      <c r="N62" s="57">
        <f>IFERROR(VLOOKUP($A62,md[[route]:[passenger_mile_EV]],10,FALSE),"")</f>
        <v>613.19888171881996</v>
      </c>
      <c r="O62" s="57">
        <f>IFERROR(VLOOKUP($A62,md[[route]:[passenger_mile_EV]],11,FALSE),"")</f>
        <v>366.55506029274301</v>
      </c>
      <c r="P62" s="57">
        <f t="shared" si="1"/>
        <v>2267.4343249384847</v>
      </c>
      <c r="Q62" s="225">
        <f t="shared" si="2"/>
        <v>0.22341038313883899</v>
      </c>
      <c r="R62" s="239">
        <f t="shared" si="3"/>
        <v>171447.76034236347</v>
      </c>
    </row>
    <row r="63" spans="1:18" x14ac:dyDescent="0.25">
      <c r="A63" s="5">
        <v>316</v>
      </c>
      <c r="B63" s="5">
        <v>10</v>
      </c>
      <c r="C63" s="5" t="s">
        <v>0</v>
      </c>
      <c r="D63" s="5">
        <v>5</v>
      </c>
      <c r="E63" s="10">
        <f>VLOOKUP($A63,observed!$A$2:$N$138,10,FALSE)</f>
        <v>2.4818750000000027</v>
      </c>
      <c r="F63" s="10">
        <f>VLOOKUP($A63,observed!$A$2:$N$138,11,FALSE)</f>
        <v>59.440902777777772</v>
      </c>
      <c r="G63" s="10">
        <f>VLOOKUP($A63,observed!$A$2:$N$138,12,FALSE)</f>
        <v>102.66888888888862</v>
      </c>
      <c r="H63" s="10">
        <f>VLOOKUP($A63,observed!$A$2:$N$138,13,FALSE)</f>
        <v>58.518333333333615</v>
      </c>
      <c r="I63" s="10">
        <f>VLOOKUP($A63,observed!$A$2:$N$138,14,FALSE)</f>
        <v>0</v>
      </c>
      <c r="J63" s="10">
        <f t="shared" si="0"/>
        <v>223.11</v>
      </c>
      <c r="K63" s="57">
        <f>IFERROR(VLOOKUP($A63,md[[route]:[passenger_mile_EV]],7,FALSE),"")</f>
        <v>5.6575614999999999</v>
      </c>
      <c r="L63" s="57">
        <f>IFERROR(VLOOKUP($A63,md[[route]:[passenger_mile_EV]],8,FALSE),"")</f>
        <v>146.00736316628999</v>
      </c>
      <c r="M63" s="57">
        <f>IFERROR(VLOOKUP($A63,md[[route]:[passenger_mile_EV]],9,FALSE),"")</f>
        <v>237.281343611604</v>
      </c>
      <c r="N63" s="57">
        <f>IFERROR(VLOOKUP($A63,md[[route]:[passenger_mile_EV]],10,FALSE),"")</f>
        <v>168.11902000203801</v>
      </c>
      <c r="O63" s="57">
        <f>IFERROR(VLOOKUP($A63,md[[route]:[passenger_mile_EV]],11,FALSE),"")</f>
        <v>136.74760486440499</v>
      </c>
      <c r="P63" s="57">
        <f t="shared" si="1"/>
        <v>693.81289314433707</v>
      </c>
      <c r="Q63" s="225">
        <f t="shared" si="2"/>
        <v>2.1097346293054415</v>
      </c>
      <c r="R63" s="239">
        <f t="shared" si="3"/>
        <v>221561.2136144492</v>
      </c>
    </row>
    <row r="64" spans="1:18" x14ac:dyDescent="0.25">
      <c r="A64" s="5">
        <v>318</v>
      </c>
      <c r="B64" s="5">
        <v>10</v>
      </c>
      <c r="C64" s="5" t="s">
        <v>0</v>
      </c>
      <c r="D64" s="5">
        <v>5</v>
      </c>
      <c r="E64" s="10">
        <f>VLOOKUP($A64,observed!$A$2:$N$138,10,FALSE)</f>
        <v>110.00757344203078</v>
      </c>
      <c r="F64" s="10">
        <f>VLOOKUP($A64,observed!$A$2:$N$138,11,FALSE)</f>
        <v>509.72893348719805</v>
      </c>
      <c r="G64" s="10">
        <f>VLOOKUP($A64,observed!$A$2:$N$138,12,FALSE)</f>
        <v>1215.6289822436229</v>
      </c>
      <c r="H64" s="10">
        <f>VLOOKUP($A64,observed!$A$2:$N$138,13,FALSE)</f>
        <v>529.18855296271761</v>
      </c>
      <c r="I64" s="10">
        <f>VLOOKUP($A64,observed!$A$2:$N$138,14,FALSE)</f>
        <v>79.739999999999995</v>
      </c>
      <c r="J64" s="10">
        <f t="shared" si="0"/>
        <v>2444.2940421355693</v>
      </c>
      <c r="K64" s="57">
        <f>IFERROR(VLOOKUP($A64,md[[route]:[passenger_mile_EV]],7,FALSE),"")</f>
        <v>203.65081458095901</v>
      </c>
      <c r="L64" s="57">
        <f>IFERROR(VLOOKUP($A64,md[[route]:[passenger_mile_EV]],8,FALSE),"")</f>
        <v>828.60955714167596</v>
      </c>
      <c r="M64" s="57">
        <f>IFERROR(VLOOKUP($A64,md[[route]:[passenger_mile_EV]],9,FALSE),"")</f>
        <v>1413.2489408236211</v>
      </c>
      <c r="N64" s="57">
        <f>IFERROR(VLOOKUP($A64,md[[route]:[passenger_mile_EV]],10,FALSE),"")</f>
        <v>1054.4952436113131</v>
      </c>
      <c r="O64" s="57">
        <f>IFERROR(VLOOKUP($A64,md[[route]:[passenger_mile_EV]],11,FALSE),"")</f>
        <v>610.21472974680501</v>
      </c>
      <c r="P64" s="57">
        <f t="shared" si="1"/>
        <v>4110.2192859043744</v>
      </c>
      <c r="Q64" s="225">
        <f t="shared" si="2"/>
        <v>0.68155680742620195</v>
      </c>
      <c r="R64" s="239">
        <f t="shared" si="3"/>
        <v>2775306.9178261529</v>
      </c>
    </row>
    <row r="65" spans="1:18" x14ac:dyDescent="0.25">
      <c r="A65" s="5">
        <v>323</v>
      </c>
      <c r="B65" s="5">
        <v>10</v>
      </c>
      <c r="C65" s="5" t="s">
        <v>0</v>
      </c>
      <c r="D65" s="5">
        <v>5</v>
      </c>
      <c r="E65" s="10">
        <f>VLOOKUP($A65,observed!$A$2:$N$138,10,FALSE)</f>
        <v>8.6223529411764748</v>
      </c>
      <c r="F65" s="10">
        <f>VLOOKUP($A65,observed!$A$2:$N$138,11,FALSE)</f>
        <v>193.27773853919871</v>
      </c>
      <c r="G65" s="10">
        <f>VLOOKUP($A65,observed!$A$2:$N$138,12,FALSE)</f>
        <v>255.09205438009599</v>
      </c>
      <c r="H65" s="10">
        <f>VLOOKUP($A65,observed!$A$2:$N$138,13,FALSE)</f>
        <v>56.668189522343084</v>
      </c>
      <c r="I65" s="10">
        <f>VLOOKUP($A65,observed!$A$2:$N$138,14,FALSE)</f>
        <v>0</v>
      </c>
      <c r="J65" s="10">
        <f t="shared" si="0"/>
        <v>513.66033538281431</v>
      </c>
      <c r="K65" s="57">
        <f>IFERROR(VLOOKUP($A65,md[[route]:[passenger_mile_EV]],7,FALSE),"")</f>
        <v>14.24115671272</v>
      </c>
      <c r="L65" s="57">
        <f>IFERROR(VLOOKUP($A65,md[[route]:[passenger_mile_EV]],8,FALSE),"")</f>
        <v>45.822373576947001</v>
      </c>
      <c r="M65" s="57">
        <f>IFERROR(VLOOKUP($A65,md[[route]:[passenger_mile_EV]],9,FALSE),"")</f>
        <v>133.261225455849</v>
      </c>
      <c r="N65" s="57">
        <f>IFERROR(VLOOKUP($A65,md[[route]:[passenger_mile_EV]],10,FALSE),"")</f>
        <v>69.791786869283996</v>
      </c>
      <c r="O65" s="57">
        <f>IFERROR(VLOOKUP($A65,md[[route]:[passenger_mile_EV]],11,FALSE),"")</f>
        <v>78.175421714837995</v>
      </c>
      <c r="P65" s="57">
        <f t="shared" si="1"/>
        <v>341.29196432963795</v>
      </c>
      <c r="Q65" s="225">
        <f t="shared" si="2"/>
        <v>-0.33556877800330021</v>
      </c>
      <c r="R65" s="239">
        <f t="shared" si="3"/>
        <v>29710.855339525486</v>
      </c>
    </row>
    <row r="66" spans="1:18" x14ac:dyDescent="0.25">
      <c r="A66" s="5">
        <v>325</v>
      </c>
      <c r="B66" s="5">
        <v>10</v>
      </c>
      <c r="C66" s="5" t="s">
        <v>0</v>
      </c>
      <c r="D66" s="5">
        <v>5</v>
      </c>
      <c r="E66" s="10">
        <f>VLOOKUP($A66,observed!$A$2:$N$138,10,FALSE)</f>
        <v>28.155772946859905</v>
      </c>
      <c r="F66" s="10">
        <f>VLOOKUP($A66,observed!$A$2:$N$138,11,FALSE)</f>
        <v>363.71896210433528</v>
      </c>
      <c r="G66" s="10">
        <f>VLOOKUP($A66,observed!$A$2:$N$138,12,FALSE)</f>
        <v>1018.2952244846633</v>
      </c>
      <c r="H66" s="10">
        <f>VLOOKUP($A66,observed!$A$2:$N$138,13,FALSE)</f>
        <v>491.72892072684596</v>
      </c>
      <c r="I66" s="10">
        <f>VLOOKUP($A66,observed!$A$2:$N$138,14,FALSE)</f>
        <v>96.79582425414857</v>
      </c>
      <c r="J66" s="10">
        <f t="shared" si="0"/>
        <v>1998.6947045168529</v>
      </c>
      <c r="K66" s="57">
        <f>IFERROR(VLOOKUP($A66,md[[route]:[passenger_mile_EV]],7,FALSE),"")</f>
        <v>88.762233760822994</v>
      </c>
      <c r="L66" s="57">
        <f>IFERROR(VLOOKUP($A66,md[[route]:[passenger_mile_EV]],8,FALSE),"")</f>
        <v>862.32430647792501</v>
      </c>
      <c r="M66" s="57">
        <f>IFERROR(VLOOKUP($A66,md[[route]:[passenger_mile_EV]],9,FALSE),"")</f>
        <v>1498.8037400945309</v>
      </c>
      <c r="N66" s="57">
        <f>IFERROR(VLOOKUP($A66,md[[route]:[passenger_mile_EV]],10,FALSE),"")</f>
        <v>1057.9513514833729</v>
      </c>
      <c r="O66" s="57">
        <f>IFERROR(VLOOKUP($A66,md[[route]:[passenger_mile_EV]],11,FALSE),"")</f>
        <v>554.49306099956596</v>
      </c>
      <c r="P66" s="57">
        <f t="shared" si="1"/>
        <v>4062.3346928162177</v>
      </c>
      <c r="Q66" s="225">
        <f t="shared" si="2"/>
        <v>1.0324938489283739</v>
      </c>
      <c r="R66" s="239">
        <f t="shared" si="3"/>
        <v>4258610.0013082018</v>
      </c>
    </row>
    <row r="67" spans="1:18" x14ac:dyDescent="0.25">
      <c r="A67" s="5">
        <v>332</v>
      </c>
      <c r="B67" s="5">
        <v>10</v>
      </c>
      <c r="C67" s="5" t="s">
        <v>0</v>
      </c>
      <c r="D67" s="5">
        <v>5</v>
      </c>
      <c r="E67" s="10">
        <f>VLOOKUP($A67,observed!$A$2:$N$138,10,FALSE)</f>
        <v>235.73946605141725</v>
      </c>
      <c r="F67" s="10">
        <f>VLOOKUP($A67,observed!$A$2:$N$138,11,FALSE)</f>
        <v>1354.3891033068071</v>
      </c>
      <c r="G67" s="10">
        <f>VLOOKUP($A67,observed!$A$2:$N$138,12,FALSE)</f>
        <v>2550.2464921982182</v>
      </c>
      <c r="H67" s="10">
        <f>VLOOKUP($A67,observed!$A$2:$N$138,13,FALSE)</f>
        <v>1411.0018528869512</v>
      </c>
      <c r="I67" s="10">
        <f>VLOOKUP($A67,observed!$A$2:$N$138,14,FALSE)</f>
        <v>306.43277777777774</v>
      </c>
      <c r="J67" s="10">
        <f t="shared" si="0"/>
        <v>5857.8096922211716</v>
      </c>
      <c r="K67" s="57">
        <f>IFERROR(VLOOKUP($A67,md[[route]:[passenger_mile_EV]],7,FALSE),"")</f>
        <v>259.808062298761</v>
      </c>
      <c r="L67" s="57">
        <f>IFERROR(VLOOKUP($A67,md[[route]:[passenger_mile_EV]],8,FALSE),"")</f>
        <v>1152.0416176624581</v>
      </c>
      <c r="M67" s="57">
        <f>IFERROR(VLOOKUP($A67,md[[route]:[passenger_mile_EV]],9,FALSE),"")</f>
        <v>1777.361456775817</v>
      </c>
      <c r="N67" s="57">
        <f>IFERROR(VLOOKUP($A67,md[[route]:[passenger_mile_EV]],10,FALSE),"")</f>
        <v>1716.0326806432861</v>
      </c>
      <c r="O67" s="57">
        <f>IFERROR(VLOOKUP($A67,md[[route]:[passenger_mile_EV]],11,FALSE),"")</f>
        <v>749.83773543269604</v>
      </c>
      <c r="P67" s="57">
        <f t="shared" si="1"/>
        <v>5655.0815528130179</v>
      </c>
      <c r="Q67" s="225">
        <f t="shared" si="2"/>
        <v>-3.4608181224693002E-2</v>
      </c>
      <c r="R67" s="239">
        <f t="shared" si="3"/>
        <v>41098.69850789183</v>
      </c>
    </row>
    <row r="68" spans="1:18" x14ac:dyDescent="0.25">
      <c r="A68" s="5">
        <v>334</v>
      </c>
      <c r="B68" s="5">
        <v>10</v>
      </c>
      <c r="C68" s="5" t="s">
        <v>0</v>
      </c>
      <c r="D68" s="5">
        <v>5</v>
      </c>
      <c r="E68" s="10">
        <f>VLOOKUP($A68,observed!$A$2:$N$138,10,FALSE)</f>
        <v>15.450000000000001</v>
      </c>
      <c r="F68" s="10">
        <f>VLOOKUP($A68,observed!$A$2:$N$138,11,FALSE)</f>
        <v>69.417692307692306</v>
      </c>
      <c r="G68" s="10">
        <f>VLOOKUP($A68,observed!$A$2:$N$138,12,FALSE)</f>
        <v>203.80168269230748</v>
      </c>
      <c r="H68" s="10">
        <f>VLOOKUP($A68,observed!$A$2:$N$138,13,FALSE)</f>
        <v>101.18395833333379</v>
      </c>
      <c r="I68" s="10">
        <f>VLOOKUP($A68,observed!$A$2:$N$138,14,FALSE)</f>
        <v>14.436666666666458</v>
      </c>
      <c r="J68" s="10">
        <f t="shared" ref="J68:J131" si="7">SUM(E68:I68)</f>
        <v>404.29</v>
      </c>
      <c r="K68" s="57">
        <f>IFERROR(VLOOKUP($A68,md[[route]:[passenger_mile_EV]],7,FALSE),"")</f>
        <v>26.375529834230001</v>
      </c>
      <c r="L68" s="57">
        <f>IFERROR(VLOOKUP($A68,md[[route]:[passenger_mile_EV]],8,FALSE),"")</f>
        <v>95.096281131270004</v>
      </c>
      <c r="M68" s="57">
        <f>IFERROR(VLOOKUP($A68,md[[route]:[passenger_mile_EV]],9,FALSE),"")</f>
        <v>312.10365871887802</v>
      </c>
      <c r="N68" s="57">
        <f>IFERROR(VLOOKUP($A68,md[[route]:[passenger_mile_EV]],10,FALSE),"")</f>
        <v>196.62142233428</v>
      </c>
      <c r="O68" s="57">
        <f>IFERROR(VLOOKUP($A68,md[[route]:[passenger_mile_EV]],11,FALSE),"")</f>
        <v>136.29426874204</v>
      </c>
      <c r="P68" s="57">
        <f t="shared" ref="P68:P131" si="8">SUM(K68:O68)</f>
        <v>766.49116076069799</v>
      </c>
      <c r="Q68" s="225">
        <f t="shared" ref="Q68:Q131" si="9">P68/J68-1</f>
        <v>0.89589443409606462</v>
      </c>
      <c r="R68" s="239">
        <f t="shared" ref="R68:R131" si="10">POWER((P68-J68),2)</f>
        <v>131189.68085639697</v>
      </c>
    </row>
    <row r="69" spans="1:18" x14ac:dyDescent="0.25">
      <c r="A69" s="5">
        <v>335</v>
      </c>
      <c r="B69" s="5">
        <v>10</v>
      </c>
      <c r="C69" s="5" t="s">
        <v>0</v>
      </c>
      <c r="D69" s="5">
        <v>5</v>
      </c>
      <c r="E69" s="10">
        <f>VLOOKUP($A69,observed!$A$2:$N$138,10,FALSE)</f>
        <v>3.6907677870592566</v>
      </c>
      <c r="F69" s="10">
        <f>VLOOKUP($A69,observed!$A$2:$N$138,11,FALSE)</f>
        <v>79.71513369952865</v>
      </c>
      <c r="G69" s="10">
        <f>VLOOKUP($A69,observed!$A$2:$N$138,12,FALSE)</f>
        <v>14.546153846153631</v>
      </c>
      <c r="H69" s="10">
        <f>VLOOKUP($A69,observed!$A$2:$N$138,13,FALSE)</f>
        <v>59.743846153846363</v>
      </c>
      <c r="I69" s="10">
        <f>VLOOKUP($A69,observed!$A$2:$N$138,14,FALSE)</f>
        <v>0</v>
      </c>
      <c r="J69" s="10">
        <f t="shared" si="7"/>
        <v>157.6959014865879</v>
      </c>
      <c r="K69" s="57">
        <f>IFERROR(VLOOKUP($A69,md[[route]:[passenger_mile_EV]],7,FALSE),"")</f>
        <v>0</v>
      </c>
      <c r="L69" s="57">
        <f>IFERROR(VLOOKUP($A69,md[[route]:[passenger_mile_EV]],8,FALSE),"")</f>
        <v>109.87105957449801</v>
      </c>
      <c r="M69" s="57">
        <f>IFERROR(VLOOKUP($A69,md[[route]:[passenger_mile_EV]],9,FALSE),"")</f>
        <v>0</v>
      </c>
      <c r="N69" s="57">
        <f>IFERROR(VLOOKUP($A69,md[[route]:[passenger_mile_EV]],10,FALSE),"")</f>
        <v>235.840894201216</v>
      </c>
      <c r="O69" s="57">
        <f>IFERROR(VLOOKUP($A69,md[[route]:[passenger_mile_EV]],11,FALSE),"")</f>
        <v>0</v>
      </c>
      <c r="P69" s="57">
        <f t="shared" si="8"/>
        <v>345.71195377571399</v>
      </c>
      <c r="Q69" s="225">
        <f t="shared" si="9"/>
        <v>1.1922697452293454</v>
      </c>
      <c r="R69" s="239">
        <f t="shared" si="10"/>
        <v>35350.035918387395</v>
      </c>
    </row>
    <row r="70" spans="1:18" x14ac:dyDescent="0.25">
      <c r="A70" s="5">
        <v>347</v>
      </c>
      <c r="B70" s="5">
        <v>10</v>
      </c>
      <c r="C70" s="5" t="s">
        <v>0</v>
      </c>
      <c r="D70" s="5">
        <v>5</v>
      </c>
      <c r="E70" s="10">
        <f>VLOOKUP($A70,observed!$A$2:$N$138,10,FALSE)</f>
        <v>3.4613636363636364</v>
      </c>
      <c r="F70" s="10">
        <f>VLOOKUP($A70,observed!$A$2:$N$138,11,FALSE)</f>
        <v>132.24644835778048</v>
      </c>
      <c r="G70" s="10">
        <f>VLOOKUP($A70,observed!$A$2:$N$138,12,FALSE)</f>
        <v>331.4263405797098</v>
      </c>
      <c r="H70" s="10">
        <f>VLOOKUP($A70,observed!$A$2:$N$138,13,FALSE)</f>
        <v>129.53989130434843</v>
      </c>
      <c r="I70" s="10">
        <f>VLOOKUP($A70,observed!$A$2:$N$138,14,FALSE)</f>
        <v>5.3259420289853008</v>
      </c>
      <c r="J70" s="10">
        <f t="shared" si="7"/>
        <v>601.99998590718769</v>
      </c>
      <c r="K70" s="57">
        <f>IFERROR(VLOOKUP($A70,md[[route]:[passenger_mile_EV]],7,FALSE),"")</f>
        <v>55.351024500000001</v>
      </c>
      <c r="L70" s="57">
        <f>IFERROR(VLOOKUP($A70,md[[route]:[passenger_mile_EV]],8,FALSE),"")</f>
        <v>380.60746429465098</v>
      </c>
      <c r="M70" s="57">
        <f>IFERROR(VLOOKUP($A70,md[[route]:[passenger_mile_EV]],9,FALSE),"")</f>
        <v>921.19751551713</v>
      </c>
      <c r="N70" s="57">
        <f>IFERROR(VLOOKUP($A70,md[[route]:[passenger_mile_EV]],10,FALSE),"")</f>
        <v>585.92433179987597</v>
      </c>
      <c r="O70" s="57">
        <f>IFERROR(VLOOKUP($A70,md[[route]:[passenger_mile_EV]],11,FALSE),"")</f>
        <v>491.27928605864201</v>
      </c>
      <c r="P70" s="57">
        <f t="shared" si="8"/>
        <v>2434.3596221702992</v>
      </c>
      <c r="Q70" s="225">
        <f t="shared" si="9"/>
        <v>3.0437868424561927</v>
      </c>
      <c r="R70" s="239">
        <f t="shared" si="10"/>
        <v>3357541.8366062823</v>
      </c>
    </row>
    <row r="71" spans="1:18" x14ac:dyDescent="0.25">
      <c r="A71" s="5">
        <v>351</v>
      </c>
      <c r="B71" s="5">
        <v>10</v>
      </c>
      <c r="C71" s="5" t="s">
        <v>0</v>
      </c>
      <c r="D71" s="5">
        <v>5</v>
      </c>
      <c r="E71" s="10">
        <f>VLOOKUP($A71,observed!$A$2:$N$138,10,FALSE)</f>
        <v>75.181428571428569</v>
      </c>
      <c r="F71" s="10">
        <f>VLOOKUP($A71,observed!$A$2:$N$138,11,FALSE)</f>
        <v>350.89488527527982</v>
      </c>
      <c r="G71" s="10">
        <f>VLOOKUP($A71,observed!$A$2:$N$138,12,FALSE)</f>
        <v>696.57674548263958</v>
      </c>
      <c r="H71" s="10">
        <f>VLOOKUP($A71,observed!$A$2:$N$138,13,FALSE)</f>
        <v>429.23999522719919</v>
      </c>
      <c r="I71" s="10">
        <f>VLOOKUP($A71,observed!$A$2:$N$138,14,FALSE)</f>
        <v>298.40588235294058</v>
      </c>
      <c r="J71" s="10">
        <f t="shared" si="7"/>
        <v>1850.2989369094878</v>
      </c>
      <c r="K71" s="57">
        <f>IFERROR(VLOOKUP($A71,md[[route]:[passenger_mile_EV]],7,FALSE),"")</f>
        <v>63.927968901649002</v>
      </c>
      <c r="L71" s="57">
        <f>IFERROR(VLOOKUP($A71,md[[route]:[passenger_mile_EV]],8,FALSE),"")</f>
        <v>254.9284330646</v>
      </c>
      <c r="M71" s="57">
        <f>IFERROR(VLOOKUP($A71,md[[route]:[passenger_mile_EV]],9,FALSE),"")</f>
        <v>508.31121256441702</v>
      </c>
      <c r="N71" s="57">
        <f>IFERROR(VLOOKUP($A71,md[[route]:[passenger_mile_EV]],10,FALSE),"")</f>
        <v>424.85935673431698</v>
      </c>
      <c r="O71" s="57">
        <f>IFERROR(VLOOKUP($A71,md[[route]:[passenger_mile_EV]],11,FALSE),"")</f>
        <v>174.63626488134099</v>
      </c>
      <c r="P71" s="57">
        <f t="shared" si="8"/>
        <v>1426.6632361463239</v>
      </c>
      <c r="Q71" s="225">
        <f t="shared" si="9"/>
        <v>-0.22895527436812613</v>
      </c>
      <c r="R71" s="239">
        <f t="shared" si="10"/>
        <v>179467.20696109693</v>
      </c>
    </row>
    <row r="72" spans="1:18" x14ac:dyDescent="0.25">
      <c r="A72" s="5">
        <v>352</v>
      </c>
      <c r="B72" s="5">
        <v>10</v>
      </c>
      <c r="C72" s="5" t="s">
        <v>0</v>
      </c>
      <c r="D72" s="5">
        <v>5</v>
      </c>
      <c r="E72" s="10">
        <f>VLOOKUP($A72,observed!$A$2:$N$138,10,FALSE)</f>
        <v>89.635924109431116</v>
      </c>
      <c r="F72" s="10">
        <f>VLOOKUP($A72,observed!$A$2:$N$138,11,FALSE)</f>
        <v>451.10012938389872</v>
      </c>
      <c r="G72" s="10">
        <f>VLOOKUP($A72,observed!$A$2:$N$138,12,FALSE)</f>
        <v>768.27766399482539</v>
      </c>
      <c r="H72" s="10">
        <f>VLOOKUP($A72,observed!$A$2:$N$138,13,FALSE)</f>
        <v>432.00711542917531</v>
      </c>
      <c r="I72" s="10">
        <f>VLOOKUP($A72,observed!$A$2:$N$138,14,FALSE)</f>
        <v>161.5414285714279</v>
      </c>
      <c r="J72" s="10">
        <f t="shared" si="7"/>
        <v>1902.5622614887584</v>
      </c>
      <c r="K72" s="57">
        <f>IFERROR(VLOOKUP($A72,md[[route]:[passenger_mile_EV]],7,FALSE),"")</f>
        <v>49.612054163998003</v>
      </c>
      <c r="L72" s="57">
        <f>IFERROR(VLOOKUP($A72,md[[route]:[passenger_mile_EV]],8,FALSE),"")</f>
        <v>230.15163156626599</v>
      </c>
      <c r="M72" s="57">
        <f>IFERROR(VLOOKUP($A72,md[[route]:[passenger_mile_EV]],9,FALSE),"")</f>
        <v>490.939920604495</v>
      </c>
      <c r="N72" s="57">
        <f>IFERROR(VLOOKUP($A72,md[[route]:[passenger_mile_EV]],10,FALSE),"")</f>
        <v>437.14742748391097</v>
      </c>
      <c r="O72" s="57">
        <f>IFERROR(VLOOKUP($A72,md[[route]:[passenger_mile_EV]],11,FALSE),"")</f>
        <v>180.47367692640199</v>
      </c>
      <c r="P72" s="57">
        <f t="shared" si="8"/>
        <v>1388.324710745072</v>
      </c>
      <c r="Q72" s="225">
        <f t="shared" si="9"/>
        <v>-0.2702868448264576</v>
      </c>
      <c r="R72" s="239">
        <f t="shared" si="10"/>
        <v>264440.25859486539</v>
      </c>
    </row>
    <row r="73" spans="1:18" x14ac:dyDescent="0.25">
      <c r="A73" s="5">
        <v>353</v>
      </c>
      <c r="B73" s="5">
        <v>10</v>
      </c>
      <c r="C73" s="5" t="s">
        <v>0</v>
      </c>
      <c r="D73" s="5">
        <v>5</v>
      </c>
      <c r="E73" s="10">
        <f>VLOOKUP($A73,observed!$A$2:$N$138,10,FALSE)</f>
        <v>24.844615384615381</v>
      </c>
      <c r="F73" s="10">
        <f>VLOOKUP($A73,observed!$A$2:$N$138,11,FALSE)</f>
        <v>146.52502747252748</v>
      </c>
      <c r="G73" s="10">
        <f>VLOOKUP($A73,observed!$A$2:$N$138,12,FALSE)</f>
        <v>348.15218096419653</v>
      </c>
      <c r="H73" s="10">
        <f>VLOOKUP($A73,observed!$A$2:$N$138,13,FALSE)</f>
        <v>166.04150951199404</v>
      </c>
      <c r="I73" s="10">
        <f>VLOOKUP($A73,observed!$A$2:$N$138,14,FALSE)</f>
        <v>41.076666666666618</v>
      </c>
      <c r="J73" s="10">
        <f t="shared" si="7"/>
        <v>726.6400000000001</v>
      </c>
      <c r="K73" s="57">
        <f>IFERROR(VLOOKUP($A73,md[[route]:[passenger_mile_EV]],7,FALSE),"")</f>
        <v>55.023248546406002</v>
      </c>
      <c r="L73" s="57">
        <f>IFERROR(VLOOKUP($A73,md[[route]:[passenger_mile_EV]],8,FALSE),"")</f>
        <v>250.57763094925301</v>
      </c>
      <c r="M73" s="57">
        <f>IFERROR(VLOOKUP($A73,md[[route]:[passenger_mile_EV]],9,FALSE),"")</f>
        <v>493.37902033750998</v>
      </c>
      <c r="N73" s="57">
        <f>IFERROR(VLOOKUP($A73,md[[route]:[passenger_mile_EV]],10,FALSE),"")</f>
        <v>507.65496320772399</v>
      </c>
      <c r="O73" s="57">
        <f>IFERROR(VLOOKUP($A73,md[[route]:[passenger_mile_EV]],11,FALSE),"")</f>
        <v>303.91995654856601</v>
      </c>
      <c r="P73" s="57">
        <f t="shared" si="8"/>
        <v>1610.5548195894589</v>
      </c>
      <c r="Q73" s="225">
        <f t="shared" si="9"/>
        <v>1.2164411807627693</v>
      </c>
      <c r="R73" s="239">
        <f t="shared" si="10"/>
        <v>781305.40828986559</v>
      </c>
    </row>
    <row r="74" spans="1:18" x14ac:dyDescent="0.25">
      <c r="A74" s="5">
        <v>354</v>
      </c>
      <c r="B74" s="5">
        <v>10</v>
      </c>
      <c r="C74" s="5" t="s">
        <v>0</v>
      </c>
      <c r="D74" s="5">
        <v>5</v>
      </c>
      <c r="E74" s="10">
        <f>VLOOKUP($A74,observed!$A$2:$N$138,10,FALSE)</f>
        <v>24.200255719311283</v>
      </c>
      <c r="F74" s="10">
        <f>VLOOKUP($A74,observed!$A$2:$N$138,11,FALSE)</f>
        <v>465.88406467347704</v>
      </c>
      <c r="G74" s="10">
        <f>VLOOKUP($A74,observed!$A$2:$N$138,12,FALSE)</f>
        <v>851.39877670612884</v>
      </c>
      <c r="H74" s="10">
        <f>VLOOKUP($A74,observed!$A$2:$N$138,13,FALSE)</f>
        <v>386.55696641131487</v>
      </c>
      <c r="I74" s="10">
        <f>VLOOKUP($A74,observed!$A$2:$N$138,14,FALSE)</f>
        <v>73.596538461538302</v>
      </c>
      <c r="J74" s="10">
        <f t="shared" si="7"/>
        <v>1801.6366019717702</v>
      </c>
      <c r="K74" s="57">
        <f>IFERROR(VLOOKUP($A74,md[[route]:[passenger_mile_EV]],7,FALSE),"")</f>
        <v>74.808746347769002</v>
      </c>
      <c r="L74" s="57">
        <f>IFERROR(VLOOKUP($A74,md[[route]:[passenger_mile_EV]],8,FALSE),"")</f>
        <v>407.93345356749597</v>
      </c>
      <c r="M74" s="57">
        <f>IFERROR(VLOOKUP($A74,md[[route]:[passenger_mile_EV]],9,FALSE),"")</f>
        <v>607.69319424399703</v>
      </c>
      <c r="N74" s="57">
        <f>IFERROR(VLOOKUP($A74,md[[route]:[passenger_mile_EV]],10,FALSE),"")</f>
        <v>566.57543390017599</v>
      </c>
      <c r="O74" s="57">
        <f>IFERROR(VLOOKUP($A74,md[[route]:[passenger_mile_EV]],11,FALSE),"")</f>
        <v>323.45618537879699</v>
      </c>
      <c r="P74" s="57">
        <f t="shared" si="8"/>
        <v>1980.467013438235</v>
      </c>
      <c r="Q74" s="225">
        <f t="shared" si="9"/>
        <v>9.9259979104968643E-2</v>
      </c>
      <c r="R74" s="239">
        <f t="shared" si="10"/>
        <v>31980.316065265084</v>
      </c>
    </row>
    <row r="75" spans="1:18" x14ac:dyDescent="0.25">
      <c r="A75" s="5">
        <v>355</v>
      </c>
      <c r="B75" s="5">
        <v>10</v>
      </c>
      <c r="C75" s="5" t="s">
        <v>0</v>
      </c>
      <c r="D75" s="5">
        <v>5</v>
      </c>
      <c r="E75" s="10">
        <f>VLOOKUP($A75,observed!$A$2:$N$138,10,FALSE)</f>
        <v>0</v>
      </c>
      <c r="F75" s="10">
        <f>VLOOKUP($A75,observed!$A$2:$N$138,11,FALSE)</f>
        <v>177.17488888888892</v>
      </c>
      <c r="G75" s="10">
        <f>VLOOKUP($A75,observed!$A$2:$N$138,12,FALSE)</f>
        <v>368.97286621315089</v>
      </c>
      <c r="H75" s="10">
        <f>VLOOKUP($A75,observed!$A$2:$N$138,13,FALSE)</f>
        <v>231.70224489796021</v>
      </c>
      <c r="I75" s="10">
        <f>VLOOKUP($A75,observed!$A$2:$N$138,14,FALSE)</f>
        <v>82.3</v>
      </c>
      <c r="J75" s="10">
        <f t="shared" si="7"/>
        <v>860.15</v>
      </c>
      <c r="K75" s="57">
        <f>IFERROR(VLOOKUP($A75,md[[route]:[passenger_mile_EV]],7,FALSE),"")</f>
        <v>33.202492999042001</v>
      </c>
      <c r="L75" s="57">
        <f>IFERROR(VLOOKUP($A75,md[[route]:[passenger_mile_EV]],8,FALSE),"")</f>
        <v>174.251724020186</v>
      </c>
      <c r="M75" s="57">
        <f>IFERROR(VLOOKUP($A75,md[[route]:[passenger_mile_EV]],9,FALSE),"")</f>
        <v>413.53424495674102</v>
      </c>
      <c r="N75" s="57">
        <f>IFERROR(VLOOKUP($A75,md[[route]:[passenger_mile_EV]],10,FALSE),"")</f>
        <v>342.09474003471598</v>
      </c>
      <c r="O75" s="57">
        <f>IFERROR(VLOOKUP($A75,md[[route]:[passenger_mile_EV]],11,FALSE),"")</f>
        <v>180.13369327593</v>
      </c>
      <c r="P75" s="57">
        <f t="shared" si="8"/>
        <v>1143.216895286615</v>
      </c>
      <c r="Q75" s="225">
        <f t="shared" si="9"/>
        <v>0.32909015321352664</v>
      </c>
      <c r="R75" s="239">
        <f t="shared" si="10"/>
        <v>80126.867207203468</v>
      </c>
    </row>
    <row r="76" spans="1:18" x14ac:dyDescent="0.25">
      <c r="A76" s="5">
        <v>356</v>
      </c>
      <c r="B76" s="5">
        <v>10</v>
      </c>
      <c r="C76" s="5" t="s">
        <v>0</v>
      </c>
      <c r="D76" s="5">
        <v>5</v>
      </c>
      <c r="E76" s="10">
        <f>VLOOKUP($A76,observed!$A$2:$N$138,10,FALSE)</f>
        <v>31.47</v>
      </c>
      <c r="F76" s="10">
        <f>VLOOKUP($A76,observed!$A$2:$N$138,11,FALSE)</f>
        <v>174.52</v>
      </c>
      <c r="G76" s="10">
        <f>VLOOKUP($A76,observed!$A$2:$N$138,12,FALSE)</f>
        <v>320.08247632988986</v>
      </c>
      <c r="H76" s="10">
        <f>VLOOKUP($A76,observed!$A$2:$N$138,13,FALSE)</f>
        <v>233.26</v>
      </c>
      <c r="I76" s="10">
        <f>VLOOKUP($A76,observed!$A$2:$N$138,14,FALSE)</f>
        <v>80.001681363783746</v>
      </c>
      <c r="J76" s="10">
        <f t="shared" si="7"/>
        <v>839.33415769367366</v>
      </c>
      <c r="K76" s="57">
        <f>IFERROR(VLOOKUP($A76,md[[route]:[passenger_mile_EV]],7,FALSE),"")</f>
        <v>26.211208802811999</v>
      </c>
      <c r="L76" s="57">
        <f>IFERROR(VLOOKUP($A76,md[[route]:[passenger_mile_EV]],8,FALSE),"")</f>
        <v>126.542832780612</v>
      </c>
      <c r="M76" s="57">
        <f>IFERROR(VLOOKUP($A76,md[[route]:[passenger_mile_EV]],9,FALSE),"")</f>
        <v>271.114172107944</v>
      </c>
      <c r="N76" s="57">
        <f>IFERROR(VLOOKUP($A76,md[[route]:[passenger_mile_EV]],10,FALSE),"")</f>
        <v>222.65362118519201</v>
      </c>
      <c r="O76" s="57">
        <f>IFERROR(VLOOKUP($A76,md[[route]:[passenger_mile_EV]],11,FALSE),"")</f>
        <v>92.782289588658003</v>
      </c>
      <c r="P76" s="57">
        <f t="shared" si="8"/>
        <v>739.30412446521802</v>
      </c>
      <c r="Q76" s="225">
        <f t="shared" si="9"/>
        <v>-0.11917784152061517</v>
      </c>
      <c r="R76" s="239">
        <f t="shared" si="10"/>
        <v>10006.007547685938</v>
      </c>
    </row>
    <row r="77" spans="1:18" x14ac:dyDescent="0.25">
      <c r="A77" s="5">
        <v>357</v>
      </c>
      <c r="B77" s="5">
        <v>10</v>
      </c>
      <c r="C77" s="5" t="s">
        <v>0</v>
      </c>
      <c r="D77" s="5">
        <v>5</v>
      </c>
      <c r="E77" s="10">
        <f>VLOOKUP($A77,observed!$A$2:$N$138,10,FALSE)</f>
        <v>0</v>
      </c>
      <c r="F77" s="10">
        <f>VLOOKUP($A77,observed!$A$2:$N$138,11,FALSE)</f>
        <v>240.14906095234923</v>
      </c>
      <c r="G77" s="10">
        <f>VLOOKUP($A77,observed!$A$2:$N$138,12,FALSE)</f>
        <v>527.51317073170731</v>
      </c>
      <c r="H77" s="10">
        <f>VLOOKUP($A77,observed!$A$2:$N$138,13,FALSE)</f>
        <v>173.81</v>
      </c>
      <c r="I77" s="10">
        <f>VLOOKUP($A77,observed!$A$2:$N$138,14,FALSE)</f>
        <v>0</v>
      </c>
      <c r="J77" s="10">
        <f t="shared" si="7"/>
        <v>941.47223168405662</v>
      </c>
      <c r="K77" s="57">
        <f>IFERROR(VLOOKUP($A77,md[[route]:[passenger_mile_EV]],7,FALSE),"")</f>
        <v>54.634996201066002</v>
      </c>
      <c r="L77" s="57">
        <f>IFERROR(VLOOKUP($A77,md[[route]:[passenger_mile_EV]],8,FALSE),"")</f>
        <v>210.14435430625599</v>
      </c>
      <c r="M77" s="57">
        <f>IFERROR(VLOOKUP($A77,md[[route]:[passenger_mile_EV]],9,FALSE),"")</f>
        <v>427.72871453385301</v>
      </c>
      <c r="N77" s="57">
        <f>IFERROR(VLOOKUP($A77,md[[route]:[passenger_mile_EV]],10,FALSE),"")</f>
        <v>336.910477973377</v>
      </c>
      <c r="O77" s="57">
        <f>IFERROR(VLOOKUP($A77,md[[route]:[passenger_mile_EV]],11,FALSE),"")</f>
        <v>201.9570132819</v>
      </c>
      <c r="P77" s="57">
        <f t="shared" si="8"/>
        <v>1231.375556296452</v>
      </c>
      <c r="Q77" s="225">
        <f t="shared" si="9"/>
        <v>0.30792551798774914</v>
      </c>
      <c r="R77" s="239">
        <f t="shared" si="10"/>
        <v>84043.937621319899</v>
      </c>
    </row>
    <row r="78" spans="1:18" x14ac:dyDescent="0.25">
      <c r="A78" s="5">
        <v>358</v>
      </c>
      <c r="B78" s="5">
        <v>10</v>
      </c>
      <c r="C78" s="5" t="s">
        <v>0</v>
      </c>
      <c r="D78" s="5">
        <v>5</v>
      </c>
      <c r="E78" s="10">
        <f>VLOOKUP($A78,observed!$A$2:$N$138,10,FALSE)</f>
        <v>0</v>
      </c>
      <c r="F78" s="10">
        <f>VLOOKUP($A78,observed!$A$2:$N$138,11,FALSE)</f>
        <v>124.34670818997111</v>
      </c>
      <c r="G78" s="10">
        <f>VLOOKUP($A78,observed!$A$2:$N$138,12,FALSE)</f>
        <v>230.02</v>
      </c>
      <c r="H78" s="10">
        <f>VLOOKUP($A78,observed!$A$2:$N$138,13,FALSE)</f>
        <v>122.32</v>
      </c>
      <c r="I78" s="10">
        <f>VLOOKUP($A78,observed!$A$2:$N$138,14,FALSE)</f>
        <v>29.44</v>
      </c>
      <c r="J78" s="10">
        <f t="shared" si="7"/>
        <v>506.12670818997111</v>
      </c>
      <c r="K78" s="57">
        <f>IFERROR(VLOOKUP($A78,md[[route]:[passenger_mile_EV]],7,FALSE),"")</f>
        <v>28.723686777836001</v>
      </c>
      <c r="L78" s="57">
        <f>IFERROR(VLOOKUP($A78,md[[route]:[passenger_mile_EV]],8,FALSE),"")</f>
        <v>206.65807421893101</v>
      </c>
      <c r="M78" s="57">
        <f>IFERROR(VLOOKUP($A78,md[[route]:[passenger_mile_EV]],9,FALSE),"")</f>
        <v>416.77873445292602</v>
      </c>
      <c r="N78" s="57">
        <f>IFERROR(VLOOKUP($A78,md[[route]:[passenger_mile_EV]],10,FALSE),"")</f>
        <v>327.99872826580503</v>
      </c>
      <c r="O78" s="57">
        <f>IFERROR(VLOOKUP($A78,md[[route]:[passenger_mile_EV]],11,FALSE),"")</f>
        <v>241.044223387307</v>
      </c>
      <c r="P78" s="57">
        <f t="shared" si="8"/>
        <v>1221.2034471028051</v>
      </c>
      <c r="Q78" s="225">
        <f t="shared" si="9"/>
        <v>1.4128413445520738</v>
      </c>
      <c r="R78" s="239">
        <f t="shared" si="10"/>
        <v>511334.74253421318</v>
      </c>
    </row>
    <row r="79" spans="1:18" x14ac:dyDescent="0.25">
      <c r="A79" s="5">
        <v>359</v>
      </c>
      <c r="B79" s="5">
        <v>10</v>
      </c>
      <c r="C79" s="5" t="s">
        <v>0</v>
      </c>
      <c r="D79" s="5">
        <v>5</v>
      </c>
      <c r="E79" s="10">
        <f>VLOOKUP($A79,observed!$A$2:$N$138,10,FALSE)</f>
        <v>21.636365053974018</v>
      </c>
      <c r="F79" s="10">
        <f>VLOOKUP($A79,observed!$A$2:$N$138,11,FALSE)</f>
        <v>85.647238484993807</v>
      </c>
      <c r="G79" s="10">
        <f>VLOOKUP($A79,observed!$A$2:$N$138,12,FALSE)</f>
        <v>230.10487804877982</v>
      </c>
      <c r="H79" s="10">
        <f>VLOOKUP($A79,observed!$A$2:$N$138,13,FALSE)</f>
        <v>81.455121951220164</v>
      </c>
      <c r="I79" s="10">
        <f>VLOOKUP($A79,observed!$A$2:$N$138,14,FALSE)</f>
        <v>26.1</v>
      </c>
      <c r="J79" s="10">
        <f t="shared" si="7"/>
        <v>444.94360353896786</v>
      </c>
      <c r="K79" s="57">
        <f>IFERROR(VLOOKUP($A79,md[[route]:[passenger_mile_EV]],7,FALSE),"")</f>
        <v>29.928954149984001</v>
      </c>
      <c r="L79" s="57">
        <f>IFERROR(VLOOKUP($A79,md[[route]:[passenger_mile_EV]],8,FALSE),"")</f>
        <v>230.03018911801101</v>
      </c>
      <c r="M79" s="57">
        <f>IFERROR(VLOOKUP($A79,md[[route]:[passenger_mile_EV]],9,FALSE),"")</f>
        <v>490.251828679624</v>
      </c>
      <c r="N79" s="57">
        <f>IFERROR(VLOOKUP($A79,md[[route]:[passenger_mile_EV]],10,FALSE),"")</f>
        <v>368.95186110843099</v>
      </c>
      <c r="O79" s="57">
        <f>IFERROR(VLOOKUP($A79,md[[route]:[passenger_mile_EV]],11,FALSE),"")</f>
        <v>238.385280804291</v>
      </c>
      <c r="P79" s="57">
        <f t="shared" si="8"/>
        <v>1357.5481138603409</v>
      </c>
      <c r="Q79" s="225">
        <f t="shared" si="9"/>
        <v>2.051056590234694</v>
      </c>
      <c r="R79" s="239">
        <f t="shared" si="10"/>
        <v>832846.992258913</v>
      </c>
    </row>
    <row r="80" spans="1:18" x14ac:dyDescent="0.25">
      <c r="A80" s="5">
        <v>371</v>
      </c>
      <c r="B80" s="5">
        <v>10</v>
      </c>
      <c r="C80" s="5" t="s">
        <v>0</v>
      </c>
      <c r="D80" s="5">
        <v>5</v>
      </c>
      <c r="E80" s="10">
        <f>VLOOKUP($A80,observed!$A$2:$N$138,10,FALSE)</f>
        <v>43.198648648648643</v>
      </c>
      <c r="F80" s="10">
        <f>VLOOKUP($A80,observed!$A$2:$N$138,11,FALSE)</f>
        <v>82.343909490886219</v>
      </c>
      <c r="G80" s="10">
        <f>VLOOKUP($A80,observed!$A$2:$N$138,12,FALSE)</f>
        <v>7.9874418604651369</v>
      </c>
      <c r="H80" s="10">
        <f>VLOOKUP($A80,observed!$A$2:$N$138,13,FALSE)</f>
        <v>0</v>
      </c>
      <c r="I80" s="10">
        <f>VLOOKUP($A80,observed!$A$2:$N$138,14,FALSE)</f>
        <v>0</v>
      </c>
      <c r="J80" s="10">
        <f t="shared" si="7"/>
        <v>133.53</v>
      </c>
      <c r="K80" s="57">
        <f>IFERROR(VLOOKUP($A80,md[[route]:[passenger_mile_EV]],7,FALSE),"")</f>
        <v>81.641377617461004</v>
      </c>
      <c r="L80" s="57">
        <f>IFERROR(VLOOKUP($A80,md[[route]:[passenger_mile_EV]],8,FALSE),"")</f>
        <v>457.51362590964902</v>
      </c>
      <c r="M80" s="57">
        <f>IFERROR(VLOOKUP($A80,md[[route]:[passenger_mile_EV]],9,FALSE),"")</f>
        <v>184.02862565087301</v>
      </c>
      <c r="N80" s="57">
        <f>IFERROR(VLOOKUP($A80,md[[route]:[passenger_mile_EV]],10,FALSE),"")</f>
        <v>465.23889601574399</v>
      </c>
      <c r="O80" s="57">
        <f>IFERROR(VLOOKUP($A80,md[[route]:[passenger_mile_EV]],11,FALSE),"")</f>
        <v>148.90244885372701</v>
      </c>
      <c r="P80" s="57">
        <f t="shared" si="8"/>
        <v>1337.3249740474539</v>
      </c>
      <c r="Q80" s="225">
        <f t="shared" si="9"/>
        <v>9.0151649370737204</v>
      </c>
      <c r="R80" s="239">
        <f t="shared" si="10"/>
        <v>1449122.3395419102</v>
      </c>
    </row>
    <row r="81" spans="1:18" x14ac:dyDescent="0.25">
      <c r="A81" s="5">
        <v>388</v>
      </c>
      <c r="B81" s="5">
        <v>10</v>
      </c>
      <c r="C81" s="5" t="s">
        <v>0</v>
      </c>
      <c r="D81" s="5">
        <v>5</v>
      </c>
      <c r="E81" s="10">
        <f>VLOOKUP($A81,observed!$A$2:$N$138,10,FALSE)</f>
        <v>201.77581395348844</v>
      </c>
      <c r="F81" s="10">
        <f>VLOOKUP($A81,observed!$A$2:$N$138,11,FALSE)</f>
        <v>1008.8641860465116</v>
      </c>
      <c r="G81" s="10">
        <f>VLOOKUP($A81,observed!$A$2:$N$138,12,FALSE)</f>
        <v>3068.4282967741883</v>
      </c>
      <c r="H81" s="10">
        <f>VLOOKUP($A81,observed!$A$2:$N$138,13,FALSE)</f>
        <v>1955.1317032258116</v>
      </c>
      <c r="I81" s="10">
        <f>VLOOKUP($A81,observed!$A$2:$N$138,14,FALSE)</f>
        <v>1062.03</v>
      </c>
      <c r="J81" s="10">
        <f t="shared" si="7"/>
        <v>7296.2300000000005</v>
      </c>
      <c r="K81" s="57">
        <f>IFERROR(VLOOKUP($A81,md[[route]:[passenger_mile_EV]],7,FALSE),"")</f>
        <v>143.115913840806</v>
      </c>
      <c r="L81" s="57">
        <f>IFERROR(VLOOKUP($A81,md[[route]:[passenger_mile_EV]],8,FALSE),"")</f>
        <v>612.22606536394699</v>
      </c>
      <c r="M81" s="57">
        <f>IFERROR(VLOOKUP($A81,md[[route]:[passenger_mile_EV]],9,FALSE),"")</f>
        <v>840.60482003962102</v>
      </c>
      <c r="N81" s="57">
        <f>IFERROR(VLOOKUP($A81,md[[route]:[passenger_mile_EV]],10,FALSE),"")</f>
        <v>665.600540816077</v>
      </c>
      <c r="O81" s="57">
        <f>IFERROR(VLOOKUP($A81,md[[route]:[passenger_mile_EV]],11,FALSE),"")</f>
        <v>294.34258140455199</v>
      </c>
      <c r="P81" s="57">
        <f t="shared" si="8"/>
        <v>2555.8899214650028</v>
      </c>
      <c r="Q81" s="225">
        <f t="shared" si="9"/>
        <v>-0.6496971831391003</v>
      </c>
      <c r="R81" s="239">
        <f t="shared" si="10"/>
        <v>22470824.060165189</v>
      </c>
    </row>
    <row r="82" spans="1:18" x14ac:dyDescent="0.25">
      <c r="A82" s="5">
        <v>389</v>
      </c>
      <c r="B82" s="5">
        <v>10</v>
      </c>
      <c r="C82" s="5" t="s">
        <v>0</v>
      </c>
      <c r="D82" s="5">
        <v>5</v>
      </c>
      <c r="E82" s="10">
        <f>VLOOKUP($A82,observed!$A$2:$N$138,10,FALSE)</f>
        <v>0</v>
      </c>
      <c r="F82" s="10">
        <f>VLOOKUP($A82,observed!$A$2:$N$138,11,FALSE)</f>
        <v>431.68394739359553</v>
      </c>
      <c r="G82" s="10">
        <f>VLOOKUP($A82,observed!$A$2:$N$138,12,FALSE)</f>
        <v>1352.266677535385</v>
      </c>
      <c r="H82" s="10">
        <f>VLOOKUP($A82,observed!$A$2:$N$138,13,FALSE)</f>
        <v>631.22656090772966</v>
      </c>
      <c r="I82" s="10">
        <f>VLOOKUP($A82,observed!$A$2:$N$138,14,FALSE)</f>
        <v>362.02927923315337</v>
      </c>
      <c r="J82" s="10">
        <f t="shared" si="7"/>
        <v>2777.2064650698635</v>
      </c>
      <c r="K82" s="57">
        <f>IFERROR(VLOOKUP($A82,md[[route]:[passenger_mile_EV]],7,FALSE),"")</f>
        <v>68.323122215370006</v>
      </c>
      <c r="L82" s="57">
        <f>IFERROR(VLOOKUP($A82,md[[route]:[passenger_mile_EV]],8,FALSE),"")</f>
        <v>165.30364766093999</v>
      </c>
      <c r="M82" s="57">
        <f>IFERROR(VLOOKUP($A82,md[[route]:[passenger_mile_EV]],9,FALSE),"")</f>
        <v>99.496958996182002</v>
      </c>
      <c r="N82" s="57">
        <f>IFERROR(VLOOKUP($A82,md[[route]:[passenger_mile_EV]],10,FALSE),"")</f>
        <v>275.62669956223402</v>
      </c>
      <c r="O82" s="57">
        <f>IFERROR(VLOOKUP($A82,md[[route]:[passenger_mile_EV]],11,FALSE),"")</f>
        <v>34.603165961830001</v>
      </c>
      <c r="P82" s="57">
        <f t="shared" si="8"/>
        <v>643.35359439655599</v>
      </c>
      <c r="Q82" s="225">
        <f t="shared" si="9"/>
        <v>-0.76834506094944877</v>
      </c>
      <c r="R82" s="239">
        <f t="shared" si="10"/>
        <v>4553328.0736807166</v>
      </c>
    </row>
    <row r="83" spans="1:18" x14ac:dyDescent="0.25">
      <c r="A83" s="5">
        <v>392</v>
      </c>
      <c r="B83" s="5">
        <v>10</v>
      </c>
      <c r="C83" s="5" t="s">
        <v>0</v>
      </c>
      <c r="D83" s="5">
        <v>5</v>
      </c>
      <c r="E83" s="10">
        <f>VLOOKUP($A83,observed!$A$2:$N$138,10,FALSE)</f>
        <v>2.2439999999999958</v>
      </c>
      <c r="F83" s="10">
        <f>VLOOKUP($A83,observed!$A$2:$N$138,11,FALSE)</f>
        <v>55.95600000000001</v>
      </c>
      <c r="G83" s="10">
        <f>VLOOKUP($A83,observed!$A$2:$N$138,12,FALSE)</f>
        <v>77.06210526315769</v>
      </c>
      <c r="H83" s="10">
        <f>VLOOKUP($A83,observed!$A$2:$N$138,13,FALSE)</f>
        <v>31.527894736842299</v>
      </c>
      <c r="I83" s="10">
        <f>VLOOKUP($A83,observed!$A$2:$N$138,14,FALSE)</f>
        <v>0</v>
      </c>
      <c r="J83" s="10">
        <f t="shared" si="7"/>
        <v>166.79000000000002</v>
      </c>
      <c r="K83" s="57">
        <f>IFERROR(VLOOKUP($A83,md[[route]:[passenger_mile_EV]],7,FALSE),"")</f>
        <v>117.038512858332</v>
      </c>
      <c r="L83" s="57">
        <f>IFERROR(VLOOKUP($A83,md[[route]:[passenger_mile_EV]],8,FALSE),"")</f>
        <v>602.06372296047698</v>
      </c>
      <c r="M83" s="57">
        <f>IFERROR(VLOOKUP($A83,md[[route]:[passenger_mile_EV]],9,FALSE),"")</f>
        <v>730.05609392423196</v>
      </c>
      <c r="N83" s="57">
        <f>IFERROR(VLOOKUP($A83,md[[route]:[passenger_mile_EV]],10,FALSE),"")</f>
        <v>999.31413391267301</v>
      </c>
      <c r="O83" s="57">
        <f>IFERROR(VLOOKUP($A83,md[[route]:[passenger_mile_EV]],11,FALSE),"")</f>
        <v>401.204990952451</v>
      </c>
      <c r="P83" s="57">
        <f t="shared" si="8"/>
        <v>2849.6774546081651</v>
      </c>
      <c r="Q83" s="225">
        <f t="shared" si="9"/>
        <v>16.085421515727351</v>
      </c>
      <c r="R83" s="239">
        <f t="shared" si="10"/>
        <v>7197885.0940938797</v>
      </c>
    </row>
    <row r="84" spans="1:18" x14ac:dyDescent="0.25">
      <c r="A84" s="5">
        <v>395</v>
      </c>
      <c r="B84" s="5">
        <v>10</v>
      </c>
      <c r="C84" s="5" t="s">
        <v>0</v>
      </c>
      <c r="D84" s="5">
        <v>5</v>
      </c>
      <c r="E84" s="10">
        <f>VLOOKUP($A84,observed!$A$2:$N$138,10,FALSE)</f>
        <v>0</v>
      </c>
      <c r="F84" s="10">
        <f>VLOOKUP($A84,observed!$A$2:$N$138,11,FALSE)</f>
        <v>335.1222077922078</v>
      </c>
      <c r="G84" s="10">
        <f>VLOOKUP($A84,observed!$A$2:$N$138,12,FALSE)</f>
        <v>895.06766233766132</v>
      </c>
      <c r="H84" s="10">
        <f>VLOOKUP($A84,observed!$A$2:$N$138,13,FALSE)</f>
        <v>433.91661481685537</v>
      </c>
      <c r="I84" s="10">
        <f>VLOOKUP($A84,observed!$A$2:$N$138,14,FALSE)</f>
        <v>405.52034572328239</v>
      </c>
      <c r="J84" s="10">
        <f t="shared" si="7"/>
        <v>2069.6268306700067</v>
      </c>
      <c r="K84" s="57">
        <f>IFERROR(VLOOKUP($A84,md[[route]:[passenger_mile_EV]],7,FALSE),"")</f>
        <v>31.415021161902999</v>
      </c>
      <c r="L84" s="57">
        <f>IFERROR(VLOOKUP($A84,md[[route]:[passenger_mile_EV]],8,FALSE),"")</f>
        <v>95.081345307730999</v>
      </c>
      <c r="M84" s="57">
        <f>IFERROR(VLOOKUP($A84,md[[route]:[passenger_mile_EV]],9,FALSE),"")</f>
        <v>203.73264526253399</v>
      </c>
      <c r="N84" s="57">
        <f>IFERROR(VLOOKUP($A84,md[[route]:[passenger_mile_EV]],10,FALSE),"")</f>
        <v>137.250619895695</v>
      </c>
      <c r="O84" s="57">
        <f>IFERROR(VLOOKUP($A84,md[[route]:[passenger_mile_EV]],11,FALSE),"")</f>
        <v>88.050643204075996</v>
      </c>
      <c r="P84" s="57">
        <f t="shared" si="8"/>
        <v>555.53027483193898</v>
      </c>
      <c r="Q84" s="225">
        <f t="shared" si="9"/>
        <v>-0.73157949703807446</v>
      </c>
      <c r="R84" s="239">
        <f t="shared" si="10"/>
        <v>2292488.3804006986</v>
      </c>
    </row>
    <row r="85" spans="1:18" x14ac:dyDescent="0.25">
      <c r="A85" s="5">
        <v>444</v>
      </c>
      <c r="B85" s="5">
        <v>10</v>
      </c>
      <c r="C85" s="5" t="s">
        <v>0</v>
      </c>
      <c r="D85" s="5">
        <v>5</v>
      </c>
      <c r="E85" s="10">
        <f>VLOOKUP($A85,observed!$A$2:$N$138,10,FALSE)</f>
        <v>0</v>
      </c>
      <c r="F85" s="10">
        <f>VLOOKUP($A85,observed!$A$2:$N$138,11,FALSE)</f>
        <v>98.670769230769167</v>
      </c>
      <c r="G85" s="10">
        <f>VLOOKUP($A85,observed!$A$2:$N$138,12,FALSE)</f>
        <v>8.2192307692308493</v>
      </c>
      <c r="H85" s="10">
        <f>VLOOKUP($A85,observed!$A$2:$N$138,13,FALSE)</f>
        <v>80.11</v>
      </c>
      <c r="I85" s="10">
        <f>VLOOKUP($A85,observed!$A$2:$N$138,14,FALSE)</f>
        <v>0</v>
      </c>
      <c r="J85" s="10">
        <f t="shared" si="7"/>
        <v>187</v>
      </c>
      <c r="K85" s="57">
        <f>IFERROR(VLOOKUP($A85,md[[route]:[passenger_mile_EV]],7,FALSE),"")</f>
        <v>0</v>
      </c>
      <c r="L85" s="57">
        <f>IFERROR(VLOOKUP($A85,md[[route]:[passenger_mile_EV]],8,FALSE),"")</f>
        <v>80.833437323232005</v>
      </c>
      <c r="M85" s="57">
        <f>IFERROR(VLOOKUP($A85,md[[route]:[passenger_mile_EV]],9,FALSE),"")</f>
        <v>0</v>
      </c>
      <c r="N85" s="57">
        <f>IFERROR(VLOOKUP($A85,md[[route]:[passenger_mile_EV]],10,FALSE),"")</f>
        <v>119.957500578607</v>
      </c>
      <c r="O85" s="57">
        <f>IFERROR(VLOOKUP($A85,md[[route]:[passenger_mile_EV]],11,FALSE),"")</f>
        <v>0</v>
      </c>
      <c r="P85" s="57">
        <f t="shared" si="8"/>
        <v>200.79093790183902</v>
      </c>
      <c r="Q85" s="225">
        <f t="shared" si="9"/>
        <v>7.3748331025877079E-2</v>
      </c>
      <c r="R85" s="239">
        <f t="shared" si="10"/>
        <v>190.18996821237991</v>
      </c>
    </row>
    <row r="86" spans="1:18" x14ac:dyDescent="0.25">
      <c r="A86" s="5">
        <v>445</v>
      </c>
      <c r="B86" s="5">
        <v>10</v>
      </c>
      <c r="C86" s="5" t="s">
        <v>0</v>
      </c>
      <c r="D86" s="5">
        <v>5</v>
      </c>
      <c r="E86" s="10">
        <f>VLOOKUP($A86,observed!$A$2:$N$138,10,FALSE)</f>
        <v>0</v>
      </c>
      <c r="F86" s="10">
        <f>VLOOKUP($A86,observed!$A$2:$N$138,11,FALSE)</f>
        <v>235.96080000000001</v>
      </c>
      <c r="G86" s="10">
        <f>VLOOKUP($A86,observed!$A$2:$N$138,12,FALSE)</f>
        <v>4.9391999999999836</v>
      </c>
      <c r="H86" s="10">
        <f>VLOOKUP($A86,observed!$A$2:$N$138,13,FALSE)</f>
        <v>175.10999999999999</v>
      </c>
      <c r="I86" s="10">
        <f>VLOOKUP($A86,observed!$A$2:$N$138,14,FALSE)</f>
        <v>0</v>
      </c>
      <c r="J86" s="10">
        <f t="shared" si="7"/>
        <v>416.01</v>
      </c>
      <c r="K86" s="57">
        <f>IFERROR(VLOOKUP($A86,md[[route]:[passenger_mile_EV]],7,FALSE),"")</f>
        <v>0</v>
      </c>
      <c r="L86" s="57">
        <f>IFERROR(VLOOKUP($A86,md[[route]:[passenger_mile_EV]],8,FALSE),"")</f>
        <v>442.09614463398901</v>
      </c>
      <c r="M86" s="57">
        <f>IFERROR(VLOOKUP($A86,md[[route]:[passenger_mile_EV]],9,FALSE),"")</f>
        <v>0</v>
      </c>
      <c r="N86" s="57">
        <f>IFERROR(VLOOKUP($A86,md[[route]:[passenger_mile_EV]],10,FALSE),"")</f>
        <v>747.79410218699195</v>
      </c>
      <c r="O86" s="57">
        <f>IFERROR(VLOOKUP($A86,md[[route]:[passenger_mile_EV]],11,FALSE),"")</f>
        <v>0</v>
      </c>
      <c r="P86" s="57">
        <f t="shared" si="8"/>
        <v>1189.890246820981</v>
      </c>
      <c r="Q86" s="225">
        <f t="shared" si="9"/>
        <v>1.8602443374461695</v>
      </c>
      <c r="R86" s="239">
        <f t="shared" si="10"/>
        <v>598890.63641970255</v>
      </c>
    </row>
    <row r="87" spans="1:18" x14ac:dyDescent="0.25">
      <c r="A87" s="5">
        <v>446</v>
      </c>
      <c r="B87" s="5">
        <v>10</v>
      </c>
      <c r="C87" s="5" t="s">
        <v>0</v>
      </c>
      <c r="D87" s="5">
        <v>5</v>
      </c>
      <c r="E87" s="10">
        <f>VLOOKUP($A87,observed!$A$2:$N$138,10,FALSE)</f>
        <v>0</v>
      </c>
      <c r="F87" s="10">
        <f>VLOOKUP($A87,observed!$A$2:$N$138,11,FALSE)</f>
        <v>12.17</v>
      </c>
      <c r="G87" s="10">
        <f>VLOOKUP($A87,observed!$A$2:$N$138,12,FALSE)</f>
        <v>0</v>
      </c>
      <c r="H87" s="10">
        <f>VLOOKUP($A87,observed!$A$2:$N$138,13,FALSE)</f>
        <v>21.68</v>
      </c>
      <c r="I87" s="10">
        <f>VLOOKUP($A87,observed!$A$2:$N$138,14,FALSE)</f>
        <v>0</v>
      </c>
      <c r="J87" s="10">
        <f t="shared" si="7"/>
        <v>33.85</v>
      </c>
      <c r="K87" s="57">
        <f>IFERROR(VLOOKUP($A87,md[[route]:[passenger_mile_EV]],7,FALSE),"")</f>
        <v>0</v>
      </c>
      <c r="L87" s="57">
        <f>IFERROR(VLOOKUP($A87,md[[route]:[passenger_mile_EV]],8,FALSE),"")</f>
        <v>11.542362012164</v>
      </c>
      <c r="M87" s="57">
        <f>IFERROR(VLOOKUP($A87,md[[route]:[passenger_mile_EV]],9,FALSE),"")</f>
        <v>0</v>
      </c>
      <c r="N87" s="57">
        <f>IFERROR(VLOOKUP($A87,md[[route]:[passenger_mile_EV]],10,FALSE),"")</f>
        <v>21.242300107502999</v>
      </c>
      <c r="O87" s="57">
        <f>IFERROR(VLOOKUP($A87,md[[route]:[passenger_mile_EV]],11,FALSE),"")</f>
        <v>0</v>
      </c>
      <c r="P87" s="57">
        <f t="shared" si="8"/>
        <v>32.784662119666997</v>
      </c>
      <c r="Q87" s="225">
        <f t="shared" si="9"/>
        <v>-3.1472315519438854E-2</v>
      </c>
      <c r="R87" s="239">
        <f t="shared" si="10"/>
        <v>1.1349447992724184</v>
      </c>
    </row>
    <row r="88" spans="1:18" x14ac:dyDescent="0.25">
      <c r="A88" s="5">
        <v>701</v>
      </c>
      <c r="B88" s="5">
        <v>10</v>
      </c>
      <c r="C88" s="5" t="s">
        <v>0</v>
      </c>
      <c r="D88" s="5">
        <v>5</v>
      </c>
      <c r="E88" s="10">
        <f>VLOOKUP($A88,observed!$A$2:$N$138,10,FALSE)</f>
        <v>63.724285714285649</v>
      </c>
      <c r="F88" s="10">
        <f>VLOOKUP($A88,observed!$A$2:$N$138,11,FALSE)</f>
        <v>1224.2195818815328</v>
      </c>
      <c r="G88" s="10">
        <f>VLOOKUP($A88,observed!$A$2:$N$138,12,FALSE)</f>
        <v>2541.1266662308158</v>
      </c>
      <c r="H88" s="10">
        <f>VLOOKUP($A88,observed!$A$2:$N$138,13,FALSE)</f>
        <v>1119.6712308792489</v>
      </c>
      <c r="I88" s="10">
        <f>VLOOKUP($A88,observed!$A$2:$N$138,14,FALSE)</f>
        <v>244.77823529411685</v>
      </c>
      <c r="J88" s="10">
        <f t="shared" si="7"/>
        <v>5193.5199999999995</v>
      </c>
      <c r="K88" s="57">
        <f>IFERROR(VLOOKUP($A88,md[[route]:[passenger_mile_EV]],7,FALSE),"")</f>
        <v>76.873770191014003</v>
      </c>
      <c r="L88" s="57">
        <f>IFERROR(VLOOKUP($A88,md[[route]:[passenger_mile_EV]],8,FALSE),"")</f>
        <v>511.75879702790701</v>
      </c>
      <c r="M88" s="57">
        <f>IFERROR(VLOOKUP($A88,md[[route]:[passenger_mile_EV]],9,FALSE),"")</f>
        <v>1081.6563979199079</v>
      </c>
      <c r="N88" s="57">
        <f>IFERROR(VLOOKUP($A88,md[[route]:[passenger_mile_EV]],10,FALSE),"")</f>
        <v>896.22447714633097</v>
      </c>
      <c r="O88" s="57">
        <f>IFERROR(VLOOKUP($A88,md[[route]:[passenger_mile_EV]],11,FALSE),"")</f>
        <v>595.80539339341703</v>
      </c>
      <c r="P88" s="57">
        <f t="shared" si="8"/>
        <v>3162.3188356785772</v>
      </c>
      <c r="Q88" s="225">
        <f t="shared" si="9"/>
        <v>-0.39110298300987045</v>
      </c>
      <c r="R88" s="239">
        <f t="shared" si="10"/>
        <v>4125778.1699407017</v>
      </c>
    </row>
    <row r="89" spans="1:18" x14ac:dyDescent="0.25">
      <c r="A89" s="5">
        <v>704</v>
      </c>
      <c r="B89" s="5">
        <v>10</v>
      </c>
      <c r="C89" s="5" t="s">
        <v>0</v>
      </c>
      <c r="D89" s="5">
        <v>5</v>
      </c>
      <c r="E89" s="10">
        <f>VLOOKUP($A89,observed!$A$2:$N$138,10,FALSE)</f>
        <v>138.30529411764704</v>
      </c>
      <c r="F89" s="10">
        <f>VLOOKUP($A89,observed!$A$2:$N$138,11,FALSE)</f>
        <v>1340.8274009403538</v>
      </c>
      <c r="G89" s="10">
        <f>VLOOKUP($A89,observed!$A$2:$N$138,12,FALSE)</f>
        <v>3164.1946936782579</v>
      </c>
      <c r="H89" s="10">
        <f>VLOOKUP($A89,observed!$A$2:$N$138,13,FALSE)</f>
        <v>1498.6844961843774</v>
      </c>
      <c r="I89" s="10">
        <f>VLOOKUP($A89,observed!$A$2:$N$138,14,FALSE)</f>
        <v>439.17811507936341</v>
      </c>
      <c r="J89" s="10">
        <f t="shared" si="7"/>
        <v>6581.1899999999987</v>
      </c>
      <c r="K89" s="57">
        <f>IFERROR(VLOOKUP($A89,md[[route]:[passenger_mile_EV]],7,FALSE),"")</f>
        <v>246.00495133979501</v>
      </c>
      <c r="L89" s="57">
        <f>IFERROR(VLOOKUP($A89,md[[route]:[passenger_mile_EV]],8,FALSE),"")</f>
        <v>871.65748029874396</v>
      </c>
      <c r="M89" s="57">
        <f>IFERROR(VLOOKUP($A89,md[[route]:[passenger_mile_EV]],9,FALSE),"")</f>
        <v>1763.7797314172749</v>
      </c>
      <c r="N89" s="57">
        <f>IFERROR(VLOOKUP($A89,md[[route]:[passenger_mile_EV]],10,FALSE),"")</f>
        <v>1478.4988767804359</v>
      </c>
      <c r="O89" s="57">
        <f>IFERROR(VLOOKUP($A89,md[[route]:[passenger_mile_EV]],11,FALSE),"")</f>
        <v>938.31064597921898</v>
      </c>
      <c r="P89" s="57">
        <f t="shared" si="8"/>
        <v>5298.2516858154686</v>
      </c>
      <c r="Q89" s="225">
        <f t="shared" si="9"/>
        <v>-0.19494017255002971</v>
      </c>
      <c r="R89" s="239">
        <f t="shared" si="10"/>
        <v>1645930.7180026441</v>
      </c>
    </row>
    <row r="90" spans="1:18" x14ac:dyDescent="0.25">
      <c r="A90" s="5">
        <v>705</v>
      </c>
      <c r="B90" s="5">
        <v>10</v>
      </c>
      <c r="C90" s="5" t="s">
        <v>0</v>
      </c>
      <c r="D90" s="5">
        <v>5</v>
      </c>
      <c r="E90" s="10">
        <f>VLOOKUP($A90,observed!$A$2:$N$138,10,FALSE)</f>
        <v>0</v>
      </c>
      <c r="F90" s="10">
        <f>VLOOKUP($A90,observed!$A$2:$N$138,11,FALSE)</f>
        <v>614.70000000000005</v>
      </c>
      <c r="G90" s="10">
        <f>VLOOKUP($A90,observed!$A$2:$N$138,12,FALSE)</f>
        <v>1657.6435897435863</v>
      </c>
      <c r="H90" s="10">
        <f>VLOOKUP($A90,observed!$A$2:$N$138,13,FALSE)</f>
        <v>794.36641025641325</v>
      </c>
      <c r="I90" s="10">
        <f>VLOOKUP($A90,observed!$A$2:$N$138,14,FALSE)</f>
        <v>103.35</v>
      </c>
      <c r="J90" s="10">
        <f t="shared" si="7"/>
        <v>3170.06</v>
      </c>
      <c r="K90" s="57">
        <f>IFERROR(VLOOKUP($A90,md[[route]:[passenger_mile_EV]],7,FALSE),"")</f>
        <v>97.172579139931997</v>
      </c>
      <c r="L90" s="57">
        <f>IFERROR(VLOOKUP($A90,md[[route]:[passenger_mile_EV]],8,FALSE),"")</f>
        <v>565.26040410178598</v>
      </c>
      <c r="M90" s="57">
        <f>IFERROR(VLOOKUP($A90,md[[route]:[passenger_mile_EV]],9,FALSE),"")</f>
        <v>1259.031808012626</v>
      </c>
      <c r="N90" s="57">
        <f>IFERROR(VLOOKUP($A90,md[[route]:[passenger_mile_EV]],10,FALSE),"")</f>
        <v>792.12564337864706</v>
      </c>
      <c r="O90" s="57">
        <f>IFERROR(VLOOKUP($A90,md[[route]:[passenger_mile_EV]],11,FALSE),"")</f>
        <v>532.70169850741695</v>
      </c>
      <c r="P90" s="57">
        <f t="shared" si="8"/>
        <v>3246.2921331404077</v>
      </c>
      <c r="Q90" s="225">
        <f t="shared" si="9"/>
        <v>2.4047536368525524E-2</v>
      </c>
      <c r="R90" s="239">
        <f t="shared" si="10"/>
        <v>5811.3381231368567</v>
      </c>
    </row>
    <row r="91" spans="1:18" x14ac:dyDescent="0.25">
      <c r="A91" s="5">
        <v>707</v>
      </c>
      <c r="B91" s="5">
        <v>10</v>
      </c>
      <c r="C91" s="5" t="s">
        <v>0</v>
      </c>
      <c r="D91" s="5">
        <v>5</v>
      </c>
      <c r="E91" s="10">
        <f>VLOOKUP($A91,observed!$A$2:$N$138,10,FALSE)</f>
        <v>0</v>
      </c>
      <c r="F91" s="10">
        <f>VLOOKUP($A91,observed!$A$2:$N$138,11,FALSE)</f>
        <v>19.05</v>
      </c>
      <c r="G91" s="10">
        <f>VLOOKUP($A91,observed!$A$2:$N$138,12,FALSE)</f>
        <v>595.61</v>
      </c>
      <c r="H91" s="10">
        <f>VLOOKUP($A91,observed!$A$2:$N$138,13,FALSE)</f>
        <v>165.74</v>
      </c>
      <c r="I91" s="10">
        <f>VLOOKUP($A91,observed!$A$2:$N$138,14,FALSE)</f>
        <v>11.96</v>
      </c>
      <c r="J91" s="10">
        <f t="shared" si="7"/>
        <v>792.36</v>
      </c>
      <c r="K91" s="57">
        <f>IFERROR(VLOOKUP($A91,md[[route]:[passenger_mile_EV]],7,FALSE),"")</f>
        <v>55.380858525609</v>
      </c>
      <c r="L91" s="57">
        <f>IFERROR(VLOOKUP($A91,md[[route]:[passenger_mile_EV]],8,FALSE),"")</f>
        <v>0</v>
      </c>
      <c r="M91" s="57">
        <f>IFERROR(VLOOKUP($A91,md[[route]:[passenger_mile_EV]],9,FALSE),"")</f>
        <v>679.91610428642002</v>
      </c>
      <c r="N91" s="57">
        <f>IFERROR(VLOOKUP($A91,md[[route]:[passenger_mile_EV]],10,FALSE),"")</f>
        <v>373.43770550034799</v>
      </c>
      <c r="O91" s="57">
        <f>IFERROR(VLOOKUP($A91,md[[route]:[passenger_mile_EV]],11,FALSE),"")</f>
        <v>322.21010248599799</v>
      </c>
      <c r="P91" s="57">
        <f t="shared" si="8"/>
        <v>1430.944770798375</v>
      </c>
      <c r="Q91" s="225">
        <f t="shared" si="9"/>
        <v>0.80592757180874219</v>
      </c>
      <c r="R91" s="239">
        <f t="shared" si="10"/>
        <v>407790.50949561311</v>
      </c>
    </row>
    <row r="92" spans="1:18" x14ac:dyDescent="0.25">
      <c r="A92" s="1">
        <v>709</v>
      </c>
      <c r="B92" s="1">
        <v>10</v>
      </c>
      <c r="C92" s="1" t="s">
        <v>0</v>
      </c>
      <c r="D92" s="1">
        <v>5</v>
      </c>
      <c r="E92" s="226">
        <v>212.81785062968055</v>
      </c>
      <c r="F92" s="226">
        <v>4147.377437157842</v>
      </c>
      <c r="G92" s="226">
        <v>5298.1701291289874</v>
      </c>
      <c r="H92" s="226">
        <v>3053.1335537881264</v>
      </c>
      <c r="I92" s="226">
        <v>606.39541124084462</v>
      </c>
      <c r="J92" s="226">
        <f t="shared" si="7"/>
        <v>13317.89438194548</v>
      </c>
      <c r="K92" s="227">
        <f>VLOOKUP($A92,readme!$T$26:$AE$138,7,FALSE)</f>
        <v>512.30104885265803</v>
      </c>
      <c r="L92" s="227">
        <f>VLOOKUP($A92,readme!$T$26:$AE$138,8,FALSE)</f>
        <v>3450.9408779719288</v>
      </c>
      <c r="M92" s="227">
        <f>VLOOKUP($A92,readme!$T$26:$AE$138,9,FALSE)</f>
        <v>5897.5832433279802</v>
      </c>
      <c r="N92" s="227">
        <f>VLOOKUP($A92,readme!$T$26:$AE$138,10,FALSE)</f>
        <v>4846.5975261868216</v>
      </c>
      <c r="O92" s="227">
        <f>VLOOKUP($A92,readme!$T$26:$AE$138,11,FALSE)</f>
        <v>2558.4465087869071</v>
      </c>
      <c r="P92" s="227">
        <f t="shared" si="8"/>
        <v>17265.869205126295</v>
      </c>
      <c r="Q92" s="295">
        <f t="shared" si="9"/>
        <v>0.29644136752825756</v>
      </c>
      <c r="R92" s="296">
        <f t="shared" si="10"/>
        <v>15586505.20446959</v>
      </c>
    </row>
    <row r="93" spans="1:18" x14ac:dyDescent="0.25">
      <c r="A93" s="5">
        <v>712</v>
      </c>
      <c r="B93" s="5">
        <v>10</v>
      </c>
      <c r="C93" s="5" t="s">
        <v>0</v>
      </c>
      <c r="D93" s="5">
        <v>5</v>
      </c>
      <c r="E93" s="10">
        <f>VLOOKUP($A93,observed!$A$2:$N$138,10,FALSE)</f>
        <v>121.86307692307685</v>
      </c>
      <c r="F93" s="10">
        <f>VLOOKUP($A93,observed!$A$2:$N$138,11,FALSE)</f>
        <v>1875.0957488981608</v>
      </c>
      <c r="G93" s="10">
        <f>VLOOKUP($A93,observed!$A$2:$N$138,12,FALSE)</f>
        <v>3892.4503170358985</v>
      </c>
      <c r="H93" s="10">
        <f>VLOOKUP($A93,observed!$A$2:$N$138,13,FALSE)</f>
        <v>1843.2946071428682</v>
      </c>
      <c r="I93" s="10">
        <f>VLOOKUP($A93,observed!$A$2:$N$138,14,FALSE)</f>
        <v>573.90624999999648</v>
      </c>
      <c r="J93" s="10">
        <f t="shared" si="7"/>
        <v>8306.61</v>
      </c>
      <c r="K93" s="57">
        <f>IFERROR(VLOOKUP($A93,md[[route]:[passenger_mile_EV]],7,FALSE),"")</f>
        <v>208.195170141624</v>
      </c>
      <c r="L93" s="57">
        <f>IFERROR(VLOOKUP($A93,md[[route]:[passenger_mile_EV]],8,FALSE),"")</f>
        <v>1790.032809917363</v>
      </c>
      <c r="M93" s="57">
        <f>IFERROR(VLOOKUP($A93,md[[route]:[passenger_mile_EV]],9,FALSE),"")</f>
        <v>3875.3793070908482</v>
      </c>
      <c r="N93" s="57">
        <f>IFERROR(VLOOKUP($A93,md[[route]:[passenger_mile_EV]],10,FALSE),"")</f>
        <v>2791.6010017649892</v>
      </c>
      <c r="O93" s="57">
        <f>IFERROR(VLOOKUP($A93,md[[route]:[passenger_mile_EV]],11,FALSE),"")</f>
        <v>1480.3093257212529</v>
      </c>
      <c r="P93" s="57">
        <f t="shared" si="8"/>
        <v>10145.517614636077</v>
      </c>
      <c r="Q93" s="225">
        <f t="shared" si="9"/>
        <v>0.22137883139283976</v>
      </c>
      <c r="R93" s="239">
        <f t="shared" si="10"/>
        <v>3381581.2151665455</v>
      </c>
    </row>
    <row r="94" spans="1:18" x14ac:dyDescent="0.25">
      <c r="A94" s="5">
        <v>815</v>
      </c>
      <c r="B94" s="5">
        <v>10</v>
      </c>
      <c r="C94" s="5" t="s">
        <v>0</v>
      </c>
      <c r="D94" s="5">
        <v>5</v>
      </c>
      <c r="E94" s="10">
        <f>VLOOKUP($A94,observed!$A$2:$N$138,10,FALSE)</f>
        <v>63.689599999999949</v>
      </c>
      <c r="F94" s="10">
        <f>VLOOKUP($A94,observed!$A$2:$N$138,11,FALSE)</f>
        <v>316.00007032967045</v>
      </c>
      <c r="G94" s="10">
        <f>VLOOKUP($A94,observed!$A$2:$N$138,12,FALSE)</f>
        <v>839.67967032966885</v>
      </c>
      <c r="H94" s="10">
        <f>VLOOKUP($A94,observed!$A$2:$N$138,13,FALSE)</f>
        <v>378.06065934066066</v>
      </c>
      <c r="I94" s="10">
        <f>VLOOKUP($A94,observed!$A$2:$N$138,14,FALSE)</f>
        <v>134.85</v>
      </c>
      <c r="J94" s="10">
        <f t="shared" si="7"/>
        <v>1732.2799999999997</v>
      </c>
      <c r="K94" s="57">
        <f>IFERROR(VLOOKUP($A94,md[[route]:[passenger_mile_EV]],7,FALSE),"")</f>
        <v>16.856004285337001</v>
      </c>
      <c r="L94" s="57">
        <f>IFERROR(VLOOKUP($A94,md[[route]:[passenger_mile_EV]],8,FALSE),"")</f>
        <v>129.58107985550399</v>
      </c>
      <c r="M94" s="57">
        <f>IFERROR(VLOOKUP($A94,md[[route]:[passenger_mile_EV]],9,FALSE),"")</f>
        <v>207.655127899863</v>
      </c>
      <c r="N94" s="57">
        <f>IFERROR(VLOOKUP($A94,md[[route]:[passenger_mile_EV]],10,FALSE),"")</f>
        <v>213.83451600547801</v>
      </c>
      <c r="O94" s="57">
        <f>IFERROR(VLOOKUP($A94,md[[route]:[passenger_mile_EV]],11,FALSE),"")</f>
        <v>104.035443968801</v>
      </c>
      <c r="P94" s="57">
        <f t="shared" si="8"/>
        <v>671.96217201498303</v>
      </c>
      <c r="Q94" s="225">
        <f t="shared" si="9"/>
        <v>-0.61209378852438223</v>
      </c>
      <c r="R94" s="239">
        <f t="shared" si="10"/>
        <v>1124273.8963428636</v>
      </c>
    </row>
    <row r="95" spans="1:18" x14ac:dyDescent="0.25">
      <c r="A95" s="5">
        <v>816</v>
      </c>
      <c r="B95" s="5">
        <v>10</v>
      </c>
      <c r="C95" s="5" t="s">
        <v>0</v>
      </c>
      <c r="D95" s="5">
        <v>5</v>
      </c>
      <c r="E95" s="10">
        <f>VLOOKUP($A95,observed!$A$2:$N$138,10,FALSE)</f>
        <v>96.407312500000003</v>
      </c>
      <c r="F95" s="10">
        <f>VLOOKUP($A95,observed!$A$2:$N$138,11,FALSE)</f>
        <v>694.05541477272732</v>
      </c>
      <c r="G95" s="10">
        <f>VLOOKUP($A95,observed!$A$2:$N$138,12,FALSE)</f>
        <v>1891.3748663101587</v>
      </c>
      <c r="H95" s="10">
        <f>VLOOKUP($A95,observed!$A$2:$N$138,13,FALSE)</f>
        <v>756.21959391711448</v>
      </c>
      <c r="I95" s="10">
        <f>VLOOKUP($A95,observed!$A$2:$N$138,14,FALSE)</f>
        <v>36.172812499999289</v>
      </c>
      <c r="J95" s="10">
        <f t="shared" si="7"/>
        <v>3474.23</v>
      </c>
      <c r="K95" s="57">
        <f>IFERROR(VLOOKUP($A95,md[[route]:[passenger_mile_EV]],7,FALSE),"")</f>
        <v>104.16565003885199</v>
      </c>
      <c r="L95" s="57">
        <f>IFERROR(VLOOKUP($A95,md[[route]:[passenger_mile_EV]],8,FALSE),"")</f>
        <v>892.92617326530797</v>
      </c>
      <c r="M95" s="57">
        <f>IFERROR(VLOOKUP($A95,md[[route]:[passenger_mile_EV]],9,FALSE),"")</f>
        <v>1764.128533883689</v>
      </c>
      <c r="N95" s="57">
        <f>IFERROR(VLOOKUP($A95,md[[route]:[passenger_mile_EV]],10,FALSE),"")</f>
        <v>1419.3627351332259</v>
      </c>
      <c r="O95" s="57">
        <f>IFERROR(VLOOKUP($A95,md[[route]:[passenger_mile_EV]],11,FALSE),"")</f>
        <v>810.57822563754701</v>
      </c>
      <c r="P95" s="57">
        <f t="shared" si="8"/>
        <v>4991.161317958622</v>
      </c>
      <c r="Q95" s="225">
        <f t="shared" si="9"/>
        <v>0.43662374625704747</v>
      </c>
      <c r="R95" s="239">
        <f t="shared" si="10"/>
        <v>2301080.6234036819</v>
      </c>
    </row>
    <row r="96" spans="1:18" x14ac:dyDescent="0.25">
      <c r="A96" s="5">
        <v>832</v>
      </c>
      <c r="B96" s="5">
        <v>10</v>
      </c>
      <c r="C96" s="5" t="s">
        <v>0</v>
      </c>
      <c r="D96" s="5">
        <v>5</v>
      </c>
      <c r="E96" s="10">
        <f>VLOOKUP($A96,observed!$A$2:$N$138,10,FALSE)</f>
        <v>0</v>
      </c>
      <c r="F96" s="10">
        <f>VLOOKUP($A96,observed!$A$2:$N$138,11,FALSE)</f>
        <v>226.39999999999998</v>
      </c>
      <c r="G96" s="10">
        <f>VLOOKUP($A96,observed!$A$2:$N$138,12,FALSE)</f>
        <v>308.71999999999997</v>
      </c>
      <c r="H96" s="10">
        <f>VLOOKUP($A96,observed!$A$2:$N$138,13,FALSE)</f>
        <v>146.18</v>
      </c>
      <c r="I96" s="10">
        <f>VLOOKUP($A96,observed!$A$2:$N$138,14,FALSE)</f>
        <v>0</v>
      </c>
      <c r="J96" s="10">
        <f t="shared" si="7"/>
        <v>681.3</v>
      </c>
      <c r="K96" s="57">
        <f>IFERROR(VLOOKUP($A96,md[[route]:[passenger_mile_EV]],7,FALSE),"")</f>
        <v>25.487025691618999</v>
      </c>
      <c r="L96" s="57">
        <f>IFERROR(VLOOKUP($A96,md[[route]:[passenger_mile_EV]],8,FALSE),"")</f>
        <v>176.81834425356999</v>
      </c>
      <c r="M96" s="57">
        <f>IFERROR(VLOOKUP($A96,md[[route]:[passenger_mile_EV]],9,FALSE),"")</f>
        <v>249.42243992106401</v>
      </c>
      <c r="N96" s="57">
        <f>IFERROR(VLOOKUP($A96,md[[route]:[passenger_mile_EV]],10,FALSE),"")</f>
        <v>383.56794663692801</v>
      </c>
      <c r="O96" s="57">
        <f>IFERROR(VLOOKUP($A96,md[[route]:[passenger_mile_EV]],11,FALSE),"")</f>
        <v>179.80027373730701</v>
      </c>
      <c r="P96" s="57">
        <f t="shared" si="8"/>
        <v>1015.0960302404881</v>
      </c>
      <c r="Q96" s="225">
        <f t="shared" si="9"/>
        <v>0.48993986531702349</v>
      </c>
      <c r="R96" s="239">
        <f t="shared" si="10"/>
        <v>111419.78980430885</v>
      </c>
    </row>
    <row r="97" spans="1:18" x14ac:dyDescent="0.25">
      <c r="A97" s="5">
        <v>833</v>
      </c>
      <c r="B97" s="5">
        <v>10</v>
      </c>
      <c r="C97" s="5" t="s">
        <v>0</v>
      </c>
      <c r="D97" s="5">
        <v>5</v>
      </c>
      <c r="E97" s="10">
        <f>VLOOKUP($A97,observed!$A$2:$N$138,10,FALSE)</f>
        <v>39.177777777777706</v>
      </c>
      <c r="F97" s="10">
        <f>VLOOKUP($A97,observed!$A$2:$N$138,11,FALSE)</f>
        <v>393.10200716845867</v>
      </c>
      <c r="G97" s="10">
        <f>VLOOKUP($A97,observed!$A$2:$N$138,12,FALSE)</f>
        <v>772.47798545224464</v>
      </c>
      <c r="H97" s="10">
        <f>VLOOKUP($A97,observed!$A$2:$N$138,13,FALSE)</f>
        <v>378.29222960151913</v>
      </c>
      <c r="I97" s="10">
        <f>VLOOKUP($A97,observed!$A$2:$N$138,14,FALSE)</f>
        <v>0</v>
      </c>
      <c r="J97" s="10">
        <f t="shared" si="7"/>
        <v>1583.0500000000002</v>
      </c>
      <c r="K97" s="57">
        <f>IFERROR(VLOOKUP($A97,md[[route]:[passenger_mile_EV]],7,FALSE),"")</f>
        <v>48.751568675777001</v>
      </c>
      <c r="L97" s="57">
        <f>IFERROR(VLOOKUP($A97,md[[route]:[passenger_mile_EV]],8,FALSE),"")</f>
        <v>204.46381517457499</v>
      </c>
      <c r="M97" s="57">
        <f>IFERROR(VLOOKUP($A97,md[[route]:[passenger_mile_EV]],9,FALSE),"")</f>
        <v>440.16565728342499</v>
      </c>
      <c r="N97" s="57">
        <f>IFERROR(VLOOKUP($A97,md[[route]:[passenger_mile_EV]],10,FALSE),"")</f>
        <v>512.41754108248699</v>
      </c>
      <c r="O97" s="57">
        <f>IFERROR(VLOOKUP($A97,md[[route]:[passenger_mile_EV]],11,FALSE),"")</f>
        <v>269.60728058714699</v>
      </c>
      <c r="P97" s="57">
        <f t="shared" si="8"/>
        <v>1475.4058628034111</v>
      </c>
      <c r="Q97" s="225">
        <f t="shared" si="9"/>
        <v>-6.7997938913230249E-2</v>
      </c>
      <c r="R97" s="239">
        <f t="shared" si="10"/>
        <v>11587.260272798098</v>
      </c>
    </row>
    <row r="98" spans="1:18" x14ac:dyDescent="0.25">
      <c r="A98" s="5">
        <v>834</v>
      </c>
      <c r="B98" s="5">
        <v>10</v>
      </c>
      <c r="C98" s="5" t="s">
        <v>0</v>
      </c>
      <c r="D98" s="5">
        <v>5</v>
      </c>
      <c r="E98" s="10">
        <f>VLOOKUP($A98,observed!$A$2:$N$138,10,FALSE)</f>
        <v>0</v>
      </c>
      <c r="F98" s="10">
        <f>VLOOKUP($A98,observed!$A$2:$N$138,11,FALSE)</f>
        <v>155.78</v>
      </c>
      <c r="G98" s="10">
        <f>VLOOKUP($A98,observed!$A$2:$N$138,12,FALSE)</f>
        <v>283.52646153846058</v>
      </c>
      <c r="H98" s="10">
        <f>VLOOKUP($A98,observed!$A$2:$N$138,13,FALSE)</f>
        <v>9.1496588083828088E-13</v>
      </c>
      <c r="I98" s="10">
        <f>VLOOKUP($A98,observed!$A$2:$N$138,14,FALSE)</f>
        <v>0</v>
      </c>
      <c r="J98" s="10">
        <f t="shared" si="7"/>
        <v>439.30646153846146</v>
      </c>
      <c r="K98" s="57">
        <f>IFERROR(VLOOKUP($A98,md[[route]:[passenger_mile_EV]],7,FALSE),"")</f>
        <v>14.268744999999999</v>
      </c>
      <c r="L98" s="57">
        <f>IFERROR(VLOOKUP($A98,md[[route]:[passenger_mile_EV]],8,FALSE),"")</f>
        <v>132.96269649999999</v>
      </c>
      <c r="M98" s="57">
        <f>IFERROR(VLOOKUP($A98,md[[route]:[passenger_mile_EV]],9,FALSE),"")</f>
        <v>273.79078550000003</v>
      </c>
      <c r="N98" s="57">
        <f>IFERROR(VLOOKUP($A98,md[[route]:[passenger_mile_EV]],10,FALSE),"")</f>
        <v>0</v>
      </c>
      <c r="O98" s="57">
        <f>IFERROR(VLOOKUP($A98,md[[route]:[passenger_mile_EV]],11,FALSE),"")</f>
        <v>155.27157099999999</v>
      </c>
      <c r="P98" s="57">
        <f>SUM(K98:O98)</f>
        <v>576.29379800000004</v>
      </c>
      <c r="Q98" s="225">
        <f t="shared" si="9"/>
        <v>0.31182636372295947</v>
      </c>
      <c r="R98" s="239">
        <f t="shared" si="10"/>
        <v>18765.530350826775</v>
      </c>
    </row>
    <row r="99" spans="1:18" x14ac:dyDescent="0.25">
      <c r="A99" s="5">
        <v>848</v>
      </c>
      <c r="B99" s="5">
        <v>10</v>
      </c>
      <c r="C99" s="5" t="s">
        <v>0</v>
      </c>
      <c r="D99" s="5">
        <v>5</v>
      </c>
      <c r="E99" s="10">
        <f>VLOOKUP($A99,observed!$A$2:$N$138,10,FALSE)</f>
        <v>218.76283333333328</v>
      </c>
      <c r="F99" s="10">
        <f>VLOOKUP($A99,observed!$A$2:$N$138,11,FALSE)</f>
        <v>1089.9286140350875</v>
      </c>
      <c r="G99" s="10">
        <f>VLOOKUP($A99,observed!$A$2:$N$138,12,FALSE)</f>
        <v>2238.4058026315747</v>
      </c>
      <c r="H99" s="10">
        <f>VLOOKUP($A99,observed!$A$2:$N$138,13,FALSE)</f>
        <v>1245.6104166666732</v>
      </c>
      <c r="I99" s="10">
        <f>VLOOKUP($A99,observed!$A$2:$N$138,14,FALSE)</f>
        <v>426.73233333333161</v>
      </c>
      <c r="J99" s="10">
        <f t="shared" si="7"/>
        <v>5219.4400000000005</v>
      </c>
      <c r="K99" s="57">
        <f>IFERROR(VLOOKUP($A99,md[[route]:[passenger_mile_EV]],7,FALSE),"")</f>
        <v>173.261614230616</v>
      </c>
      <c r="L99" s="57">
        <f>IFERROR(VLOOKUP($A99,md[[route]:[passenger_mile_EV]],8,FALSE),"")</f>
        <v>680.03263478253098</v>
      </c>
      <c r="M99" s="57">
        <f>IFERROR(VLOOKUP($A99,md[[route]:[passenger_mile_EV]],9,FALSE),"")</f>
        <v>1304.9617747294351</v>
      </c>
      <c r="N99" s="57">
        <f>IFERROR(VLOOKUP($A99,md[[route]:[passenger_mile_EV]],10,FALSE),"")</f>
        <v>1060.538401568067</v>
      </c>
      <c r="O99" s="57">
        <f>IFERROR(VLOOKUP($A99,md[[route]:[passenger_mile_EV]],11,FALSE),"")</f>
        <v>514.58221153964098</v>
      </c>
      <c r="P99" s="57">
        <f t="shared" si="8"/>
        <v>3733.3766368502902</v>
      </c>
      <c r="Q99" s="225">
        <f t="shared" si="9"/>
        <v>-0.28471701239016256</v>
      </c>
      <c r="R99" s="239">
        <f t="shared" si="10"/>
        <v>2208384.3192958278</v>
      </c>
    </row>
    <row r="100" spans="1:18" x14ac:dyDescent="0.25">
      <c r="A100" s="5">
        <v>851</v>
      </c>
      <c r="B100" s="5">
        <v>10</v>
      </c>
      <c r="C100" s="5" t="s">
        <v>0</v>
      </c>
      <c r="D100" s="5">
        <v>5</v>
      </c>
      <c r="E100" s="10">
        <f>VLOOKUP($A100,observed!$A$2:$N$138,10,FALSE)</f>
        <v>61.336666666666702</v>
      </c>
      <c r="F100" s="10">
        <f>VLOOKUP($A100,observed!$A$2:$N$138,11,FALSE)</f>
        <v>369.13481481481489</v>
      </c>
      <c r="G100" s="10">
        <f>VLOOKUP($A100,observed!$A$2:$N$138,12,FALSE)</f>
        <v>393.08851851851847</v>
      </c>
      <c r="H100" s="10">
        <f>VLOOKUP($A100,observed!$A$2:$N$138,13,FALSE)</f>
        <v>317.89</v>
      </c>
      <c r="I100" s="10">
        <f>VLOOKUP($A100,observed!$A$2:$N$138,14,FALSE)</f>
        <v>0</v>
      </c>
      <c r="J100" s="10">
        <f t="shared" si="7"/>
        <v>1141.45</v>
      </c>
      <c r="K100" s="57">
        <f>IFERROR(VLOOKUP($A100,md[[route]:[passenger_mile_EV]],7,FALSE),"")</f>
        <v>13.899691227868001</v>
      </c>
      <c r="L100" s="57">
        <f>IFERROR(VLOOKUP($A100,md[[route]:[passenger_mile_EV]],8,FALSE),"")</f>
        <v>98.575571973142999</v>
      </c>
      <c r="M100" s="57">
        <f>IFERROR(VLOOKUP($A100,md[[route]:[passenger_mile_EV]],9,FALSE),"")</f>
        <v>180.30033563530799</v>
      </c>
      <c r="N100" s="57">
        <f>IFERROR(VLOOKUP($A100,md[[route]:[passenger_mile_EV]],10,FALSE),"")</f>
        <v>116.25273446047299</v>
      </c>
      <c r="O100" s="57">
        <f>IFERROR(VLOOKUP($A100,md[[route]:[passenger_mile_EV]],11,FALSE),"")</f>
        <v>145.57966438602099</v>
      </c>
      <c r="P100" s="57">
        <f t="shared" si="8"/>
        <v>554.60799768281299</v>
      </c>
      <c r="Q100" s="225">
        <f t="shared" si="9"/>
        <v>-0.51411976198448206</v>
      </c>
      <c r="R100" s="239">
        <f t="shared" si="10"/>
        <v>344383.5356836454</v>
      </c>
    </row>
    <row r="101" spans="1:18" x14ac:dyDescent="0.25">
      <c r="A101" s="5">
        <v>854</v>
      </c>
      <c r="B101" s="5">
        <v>10</v>
      </c>
      <c r="C101" s="5" t="s">
        <v>0</v>
      </c>
      <c r="D101" s="5">
        <v>5</v>
      </c>
      <c r="E101" s="10">
        <f>VLOOKUP($A101,observed!$A$2:$N$138,10,FALSE)</f>
        <v>19.5</v>
      </c>
      <c r="F101" s="10">
        <f>VLOOKUP($A101,observed!$A$2:$N$138,11,FALSE)</f>
        <v>420.08590909090913</v>
      </c>
      <c r="G101" s="10">
        <f>VLOOKUP($A101,observed!$A$2:$N$138,12,FALSE)</f>
        <v>1531.4995454545449</v>
      </c>
      <c r="H101" s="10">
        <f>VLOOKUP($A101,observed!$A$2:$N$138,13,FALSE)</f>
        <v>541.19412878788035</v>
      </c>
      <c r="I101" s="10">
        <f>VLOOKUP($A101,observed!$A$2:$N$138,14,FALSE)</f>
        <v>164.38041666666584</v>
      </c>
      <c r="J101" s="10">
        <f t="shared" si="7"/>
        <v>2676.6600000000003</v>
      </c>
      <c r="K101" s="57">
        <f>IFERROR(VLOOKUP($A101,md[[route]:[passenger_mile_EV]],7,FALSE),"")</f>
        <v>33.571769403251999</v>
      </c>
      <c r="L101" s="57">
        <f>IFERROR(VLOOKUP($A101,md[[route]:[passenger_mile_EV]],8,FALSE),"")</f>
        <v>651.56483453358999</v>
      </c>
      <c r="M101" s="57">
        <f>IFERROR(VLOOKUP($A101,md[[route]:[passenger_mile_EV]],9,FALSE),"")</f>
        <v>1089.922014924113</v>
      </c>
      <c r="N101" s="57">
        <f>IFERROR(VLOOKUP($A101,md[[route]:[passenger_mile_EV]],10,FALSE),"")</f>
        <v>765.54033224245995</v>
      </c>
      <c r="O101" s="57">
        <f>IFERROR(VLOOKUP($A101,md[[route]:[passenger_mile_EV]],11,FALSE),"")</f>
        <v>434.608832962159</v>
      </c>
      <c r="P101" s="57">
        <f t="shared" si="8"/>
        <v>2975.2077840655738</v>
      </c>
      <c r="Q101" s="225">
        <f t="shared" si="9"/>
        <v>0.1115374324963101</v>
      </c>
      <c r="R101" s="239">
        <f t="shared" si="10"/>
        <v>89130.779370464312</v>
      </c>
    </row>
    <row r="102" spans="1:18" x14ac:dyDescent="0.25">
      <c r="A102" s="5">
        <v>855</v>
      </c>
      <c r="B102" s="5">
        <v>10</v>
      </c>
      <c r="C102" s="5" t="s">
        <v>0</v>
      </c>
      <c r="D102" s="5">
        <v>5</v>
      </c>
      <c r="E102" s="10">
        <f>VLOOKUP($A102,observed!$A$2:$N$138,10,FALSE)</f>
        <v>41.269999999999996</v>
      </c>
      <c r="F102" s="10">
        <f>VLOOKUP($A102,observed!$A$2:$N$138,11,FALSE)</f>
        <v>492.42</v>
      </c>
      <c r="G102" s="10">
        <f>VLOOKUP($A102,observed!$A$2:$N$138,12,FALSE)</f>
        <v>1046.8399999999999</v>
      </c>
      <c r="H102" s="10">
        <f>VLOOKUP($A102,observed!$A$2:$N$138,13,FALSE)</f>
        <v>485.72</v>
      </c>
      <c r="I102" s="10">
        <f>VLOOKUP($A102,observed!$A$2:$N$138,14,FALSE)</f>
        <v>218.04999999999998</v>
      </c>
      <c r="J102" s="10">
        <f t="shared" si="7"/>
        <v>2284.3000000000002</v>
      </c>
      <c r="K102" s="57">
        <f>IFERROR(VLOOKUP($A102,md[[route]:[passenger_mile_EV]],7,FALSE),"")</f>
        <v>28.856757999999999</v>
      </c>
      <c r="L102" s="57">
        <f>IFERROR(VLOOKUP($A102,md[[route]:[passenger_mile_EV]],8,FALSE),"")</f>
        <v>180.10656881925101</v>
      </c>
      <c r="M102" s="57">
        <f>IFERROR(VLOOKUP($A102,md[[route]:[passenger_mile_EV]],9,FALSE),"")</f>
        <v>373.21395062401803</v>
      </c>
      <c r="N102" s="57">
        <f>IFERROR(VLOOKUP($A102,md[[route]:[passenger_mile_EV]],10,FALSE),"")</f>
        <v>342.51108355191201</v>
      </c>
      <c r="O102" s="57">
        <f>IFERROR(VLOOKUP($A102,md[[route]:[passenger_mile_EV]],11,FALSE),"")</f>
        <v>229.576729</v>
      </c>
      <c r="P102" s="57">
        <f t="shared" si="8"/>
        <v>1154.2650899951809</v>
      </c>
      <c r="Q102" s="225">
        <f t="shared" si="9"/>
        <v>-0.49469636650388271</v>
      </c>
      <c r="R102" s="239">
        <f t="shared" si="10"/>
        <v>1276978.8978295999</v>
      </c>
    </row>
    <row r="103" spans="1:18" x14ac:dyDescent="0.25">
      <c r="A103" s="5">
        <v>856</v>
      </c>
      <c r="B103" s="5">
        <v>10</v>
      </c>
      <c r="C103" s="5" t="s">
        <v>0</v>
      </c>
      <c r="D103" s="5">
        <v>5</v>
      </c>
      <c r="E103" s="10">
        <f>VLOOKUP($A103,observed!$A$2:$N$138,10,FALSE)</f>
        <v>314.21281067013666</v>
      </c>
      <c r="F103" s="10">
        <f>VLOOKUP($A103,observed!$A$2:$N$138,11,FALSE)</f>
        <v>1800.6497816299875</v>
      </c>
      <c r="G103" s="10">
        <f>VLOOKUP($A103,observed!$A$2:$N$138,12,FALSE)</f>
        <v>4042.0669737447911</v>
      </c>
      <c r="H103" s="10">
        <f>VLOOKUP($A103,observed!$A$2:$N$138,13,FALSE)</f>
        <v>2157.6570611882412</v>
      </c>
      <c r="I103" s="10">
        <f>VLOOKUP($A103,observed!$A$2:$N$138,14,FALSE)</f>
        <v>784.43337276684497</v>
      </c>
      <c r="J103" s="10">
        <f t="shared" si="7"/>
        <v>9099.0200000000023</v>
      </c>
      <c r="K103" s="57">
        <f>IFERROR(VLOOKUP($A103,md[[route]:[passenger_mile_EV]],7,FALSE),"")</f>
        <v>347.99458680113497</v>
      </c>
      <c r="L103" s="57">
        <f>IFERROR(VLOOKUP($A103,md[[route]:[passenger_mile_EV]],8,FALSE),"")</f>
        <v>2836.1671439530542</v>
      </c>
      <c r="M103" s="57">
        <f>IFERROR(VLOOKUP($A103,md[[route]:[passenger_mile_EV]],9,FALSE),"")</f>
        <v>5778.6217331643129</v>
      </c>
      <c r="N103" s="57">
        <f>IFERROR(VLOOKUP($A103,md[[route]:[passenger_mile_EV]],10,FALSE),"")</f>
        <v>4108.6677108091053</v>
      </c>
      <c r="O103" s="57">
        <f>IFERROR(VLOOKUP($A103,md[[route]:[passenger_mile_EV]],11,FALSE),"")</f>
        <v>2310.5984487732148</v>
      </c>
      <c r="P103" s="57">
        <f t="shared" si="8"/>
        <v>15382.049623500823</v>
      </c>
      <c r="Q103" s="225">
        <f t="shared" si="9"/>
        <v>0.6905171791578455</v>
      </c>
      <c r="R103" s="239">
        <f t="shared" si="10"/>
        <v>39476461.249788865</v>
      </c>
    </row>
    <row r="104" spans="1:18" x14ac:dyDescent="0.25">
      <c r="A104" s="5">
        <v>864</v>
      </c>
      <c r="B104" s="5">
        <v>10</v>
      </c>
      <c r="C104" s="5" t="s">
        <v>0</v>
      </c>
      <c r="D104" s="5">
        <v>5</v>
      </c>
      <c r="E104" s="10">
        <f>VLOOKUP($A104,observed!$A$2:$N$138,10,FALSE)</f>
        <v>368.40473684210536</v>
      </c>
      <c r="F104" s="10">
        <f>VLOOKUP($A104,observed!$A$2:$N$138,11,FALSE)</f>
        <v>1915.2748822055137</v>
      </c>
      <c r="G104" s="10">
        <f>VLOOKUP($A104,observed!$A$2:$N$138,12,FALSE)</f>
        <v>3295.9530910152048</v>
      </c>
      <c r="H104" s="10">
        <f>VLOOKUP($A104,observed!$A$2:$N$138,13,FALSE)</f>
        <v>1829.2904237399969</v>
      </c>
      <c r="I104" s="10">
        <f>VLOOKUP($A104,observed!$A$2:$N$138,14,FALSE)</f>
        <v>1248.8368661971797</v>
      </c>
      <c r="J104" s="10">
        <f t="shared" si="7"/>
        <v>8657.76</v>
      </c>
      <c r="K104" s="57">
        <f>IFERROR(VLOOKUP($A104,md[[route]:[passenger_mile_EV]],7,FALSE),"")</f>
        <v>245.43113363509801</v>
      </c>
      <c r="L104" s="57">
        <f>IFERROR(VLOOKUP($A104,md[[route]:[passenger_mile_EV]],8,FALSE),"")</f>
        <v>711.70943656153702</v>
      </c>
      <c r="M104" s="57">
        <f>IFERROR(VLOOKUP($A104,md[[route]:[passenger_mile_EV]],9,FALSE),"")</f>
        <v>1710.0751732753899</v>
      </c>
      <c r="N104" s="57">
        <f>IFERROR(VLOOKUP($A104,md[[route]:[passenger_mile_EV]],10,FALSE),"")</f>
        <v>1694.0676896503201</v>
      </c>
      <c r="O104" s="57">
        <f>IFERROR(VLOOKUP($A104,md[[route]:[passenger_mile_EV]],11,FALSE),"")</f>
        <v>1081.753417405464</v>
      </c>
      <c r="P104" s="57">
        <f t="shared" si="8"/>
        <v>5443.0368505278093</v>
      </c>
      <c r="Q104" s="225">
        <f t="shared" si="9"/>
        <v>-0.37131118782135231</v>
      </c>
      <c r="R104" s="239">
        <f t="shared" si="10"/>
        <v>10334444.927752402</v>
      </c>
    </row>
    <row r="105" spans="1:18" x14ac:dyDescent="0.25">
      <c r="A105" s="5">
        <v>871</v>
      </c>
      <c r="B105" s="5">
        <v>10</v>
      </c>
      <c r="C105" s="5" t="s">
        <v>0</v>
      </c>
      <c r="D105" s="5">
        <v>5</v>
      </c>
      <c r="E105" s="10">
        <f>VLOOKUP($A105,observed!$A$2:$N$138,10,FALSE)</f>
        <v>8.1300000000000008</v>
      </c>
      <c r="F105" s="10">
        <f>VLOOKUP($A105,observed!$A$2:$N$138,11,FALSE)</f>
        <v>91.07</v>
      </c>
      <c r="G105" s="10">
        <f>VLOOKUP($A105,observed!$A$2:$N$138,12,FALSE)</f>
        <v>266.01999999999947</v>
      </c>
      <c r="H105" s="10">
        <f>VLOOKUP($A105,observed!$A$2:$N$138,13,FALSE)</f>
        <v>135.58000000000055</v>
      </c>
      <c r="I105" s="10">
        <f>VLOOKUP($A105,observed!$A$2:$N$138,14,FALSE)</f>
        <v>71.410000000000011</v>
      </c>
      <c r="J105" s="10">
        <f t="shared" si="7"/>
        <v>572.21</v>
      </c>
      <c r="K105" s="57">
        <f>IFERROR(VLOOKUP($A105,md[[route]:[passenger_mile_EV]],7,FALSE),"")</f>
        <v>11.628245098441001</v>
      </c>
      <c r="L105" s="57">
        <f>IFERROR(VLOOKUP($A105,md[[route]:[passenger_mile_EV]],8,FALSE),"")</f>
        <v>54.955922246378996</v>
      </c>
      <c r="M105" s="57">
        <f>IFERROR(VLOOKUP($A105,md[[route]:[passenger_mile_EV]],9,FALSE),"")</f>
        <v>139.105757919898</v>
      </c>
      <c r="N105" s="57">
        <f>IFERROR(VLOOKUP($A105,md[[route]:[passenger_mile_EV]],10,FALSE),"")</f>
        <v>103.25679901899299</v>
      </c>
      <c r="O105" s="57">
        <f>IFERROR(VLOOKUP($A105,md[[route]:[passenger_mile_EV]],11,FALSE),"")</f>
        <v>57.934907339897997</v>
      </c>
      <c r="P105" s="57">
        <f t="shared" si="8"/>
        <v>366.881631623609</v>
      </c>
      <c r="Q105" s="225">
        <f t="shared" si="9"/>
        <v>-0.35883393924676432</v>
      </c>
      <c r="R105" s="239">
        <f t="shared" si="10"/>
        <v>42159.738860110941</v>
      </c>
    </row>
    <row r="106" spans="1:18" x14ac:dyDescent="0.25">
      <c r="A106" s="5">
        <v>872</v>
      </c>
      <c r="B106" s="5">
        <v>10</v>
      </c>
      <c r="C106" s="5" t="s">
        <v>0</v>
      </c>
      <c r="D106" s="5">
        <v>5</v>
      </c>
      <c r="E106" s="10">
        <f>VLOOKUP($A106,observed!$A$2:$N$138,10,FALSE)</f>
        <v>0</v>
      </c>
      <c r="F106" s="10">
        <f>VLOOKUP($A106,observed!$A$2:$N$138,11,FALSE)</f>
        <v>55.643333333333359</v>
      </c>
      <c r="G106" s="10">
        <f>VLOOKUP($A106,observed!$A$2:$N$138,12,FALSE)</f>
        <v>209.52666666666664</v>
      </c>
      <c r="H106" s="10">
        <f>VLOOKUP($A106,observed!$A$2:$N$138,13,FALSE)</f>
        <v>92.751739130435155</v>
      </c>
      <c r="I106" s="10">
        <f>VLOOKUP($A106,observed!$A$2:$N$138,14,FALSE)</f>
        <v>80.998260869564859</v>
      </c>
      <c r="J106" s="10">
        <f t="shared" si="7"/>
        <v>438.92000000000007</v>
      </c>
      <c r="K106" s="57">
        <f>IFERROR(VLOOKUP($A106,md[[route]:[passenger_mile_EV]],7,FALSE),"")</f>
        <v>10.960368793816</v>
      </c>
      <c r="L106" s="57">
        <f>IFERROR(VLOOKUP($A106,md[[route]:[passenger_mile_EV]],8,FALSE),"")</f>
        <v>49.883111807700999</v>
      </c>
      <c r="M106" s="57">
        <f>IFERROR(VLOOKUP($A106,md[[route]:[passenger_mile_EV]],9,FALSE),"")</f>
        <v>113.104601818584</v>
      </c>
      <c r="N106" s="57">
        <f>IFERROR(VLOOKUP($A106,md[[route]:[passenger_mile_EV]],10,FALSE),"")</f>
        <v>92.317459985810004</v>
      </c>
      <c r="O106" s="57">
        <f>IFERROR(VLOOKUP($A106,md[[route]:[passenger_mile_EV]],11,FALSE),"")</f>
        <v>52.855632148768997</v>
      </c>
      <c r="P106" s="57">
        <f t="shared" si="8"/>
        <v>319.12117455468001</v>
      </c>
      <c r="Q106" s="225">
        <f t="shared" si="9"/>
        <v>-0.27294000147024522</v>
      </c>
      <c r="R106" s="239">
        <f t="shared" si="10"/>
        <v>14351.758578078267</v>
      </c>
    </row>
    <row r="107" spans="1:18" x14ac:dyDescent="0.25">
      <c r="A107" s="5">
        <v>874</v>
      </c>
      <c r="B107" s="5">
        <v>10</v>
      </c>
      <c r="C107" s="5" t="s">
        <v>0</v>
      </c>
      <c r="D107" s="5">
        <v>5</v>
      </c>
      <c r="E107" s="10">
        <f>VLOOKUP($A107,observed!$A$2:$N$138,10,FALSE)</f>
        <v>42.915454545454509</v>
      </c>
      <c r="F107" s="10">
        <f>VLOOKUP($A107,observed!$A$2:$N$138,11,FALSE)</f>
        <v>422.35101604278083</v>
      </c>
      <c r="G107" s="10">
        <f>VLOOKUP($A107,observed!$A$2:$N$138,12,FALSE)</f>
        <v>1366.0763071895408</v>
      </c>
      <c r="H107" s="10">
        <f>VLOOKUP($A107,observed!$A$2:$N$138,13,FALSE)</f>
        <v>630.32222222222435</v>
      </c>
      <c r="I107" s="10">
        <f>VLOOKUP($A107,observed!$A$2:$N$138,14,FALSE)</f>
        <v>193.8749999999994</v>
      </c>
      <c r="J107" s="10">
        <f t="shared" si="7"/>
        <v>2655.54</v>
      </c>
      <c r="K107" s="57">
        <f>IFERROR(VLOOKUP($A107,md[[route]:[passenger_mile_EV]],7,FALSE),"")</f>
        <v>52.147992655983998</v>
      </c>
      <c r="L107" s="57">
        <f>IFERROR(VLOOKUP($A107,md[[route]:[passenger_mile_EV]],8,FALSE),"")</f>
        <v>234.272471626759</v>
      </c>
      <c r="M107" s="57">
        <f>IFERROR(VLOOKUP($A107,md[[route]:[passenger_mile_EV]],9,FALSE),"")</f>
        <v>501.93987340183901</v>
      </c>
      <c r="N107" s="57">
        <f>IFERROR(VLOOKUP($A107,md[[route]:[passenger_mile_EV]],10,FALSE),"")</f>
        <v>393.72458669907502</v>
      </c>
      <c r="O107" s="57">
        <f>IFERROR(VLOOKUP($A107,md[[route]:[passenger_mile_EV]],11,FALSE),"")</f>
        <v>307.63575920093501</v>
      </c>
      <c r="P107" s="57">
        <f t="shared" si="8"/>
        <v>1489.7206835845918</v>
      </c>
      <c r="Q107" s="225">
        <f t="shared" si="9"/>
        <v>-0.43901402969467906</v>
      </c>
      <c r="R107" s="239">
        <f t="shared" si="10"/>
        <v>1359134.6785272895</v>
      </c>
    </row>
    <row r="108" spans="1:18" x14ac:dyDescent="0.25">
      <c r="A108" s="5">
        <v>875</v>
      </c>
      <c r="B108" s="5">
        <v>10</v>
      </c>
      <c r="C108" s="5" t="s">
        <v>0</v>
      </c>
      <c r="D108" s="5">
        <v>5</v>
      </c>
      <c r="E108" s="10">
        <f>VLOOKUP($A108,observed!$A$2:$N$138,10,FALSE)</f>
        <v>0</v>
      </c>
      <c r="F108" s="10">
        <f>VLOOKUP($A108,observed!$A$2:$N$138,11,FALSE)</f>
        <v>349.75294117647076</v>
      </c>
      <c r="G108" s="10">
        <f>VLOOKUP($A108,observed!$A$2:$N$138,12,FALSE)</f>
        <v>1130.2081114551072</v>
      </c>
      <c r="H108" s="10">
        <f>VLOOKUP($A108,observed!$A$2:$N$138,13,FALSE)</f>
        <v>525.81894736842321</v>
      </c>
      <c r="I108" s="10">
        <f>VLOOKUP($A108,observed!$A$2:$N$138,14,FALSE)</f>
        <v>204.22999999999877</v>
      </c>
      <c r="J108" s="10">
        <f t="shared" si="7"/>
        <v>2210.0099999999998</v>
      </c>
      <c r="K108" s="57">
        <f>IFERROR(VLOOKUP($A108,md[[route]:[passenger_mile_EV]],7,FALSE),"")</f>
        <v>31.723057092015999</v>
      </c>
      <c r="L108" s="57">
        <f>IFERROR(VLOOKUP($A108,md[[route]:[passenger_mile_EV]],8,FALSE),"")</f>
        <v>215.77668277833101</v>
      </c>
      <c r="M108" s="57">
        <f>IFERROR(VLOOKUP($A108,md[[route]:[passenger_mile_EV]],9,FALSE),"")</f>
        <v>442.26925256054</v>
      </c>
      <c r="N108" s="57">
        <f>IFERROR(VLOOKUP($A108,md[[route]:[passenger_mile_EV]],10,FALSE),"")</f>
        <v>400.40156207394199</v>
      </c>
      <c r="O108" s="57">
        <f>IFERROR(VLOOKUP($A108,md[[route]:[passenger_mile_EV]],11,FALSE),"")</f>
        <v>259.24783451655202</v>
      </c>
      <c r="P108" s="57">
        <f t="shared" si="8"/>
        <v>1349.418389021381</v>
      </c>
      <c r="Q108" s="225">
        <f t="shared" si="9"/>
        <v>-0.38940620674957072</v>
      </c>
      <c r="R108" s="239">
        <f t="shared" si="10"/>
        <v>740617.92088677431</v>
      </c>
    </row>
    <row r="109" spans="1:18" x14ac:dyDescent="0.25">
      <c r="A109" s="5">
        <v>901</v>
      </c>
      <c r="B109" s="5">
        <v>10</v>
      </c>
      <c r="C109" s="5" t="s">
        <v>0</v>
      </c>
      <c r="D109" s="5">
        <v>5</v>
      </c>
      <c r="E109" s="10">
        <f>VLOOKUP($A109,observed!$A$2:$N$138,10,FALSE)</f>
        <v>928.20513250726651</v>
      </c>
      <c r="F109" s="10">
        <f>VLOOKUP($A109,observed!$A$2:$N$138,11,FALSE)</f>
        <v>3461.2013022753417</v>
      </c>
      <c r="G109" s="10">
        <f>VLOOKUP($A109,observed!$A$2:$N$138,12,FALSE)</f>
        <v>6382.5411942339333</v>
      </c>
      <c r="H109" s="10">
        <f>VLOOKUP($A109,observed!$A$2:$N$138,13,FALSE)</f>
        <v>3887.4129869254898</v>
      </c>
      <c r="I109" s="10">
        <f>VLOOKUP($A109,observed!$A$2:$N$138,14,FALSE)</f>
        <v>2578.0793840579677</v>
      </c>
      <c r="J109" s="10">
        <f t="shared" si="7"/>
        <v>17237.439999999999</v>
      </c>
      <c r="K109" s="57">
        <f>IFERROR(VLOOKUP($A109,md[[route]:[passenger_mile_EV]],7,FALSE),"")</f>
        <v>1990.680481287977</v>
      </c>
      <c r="L109" s="57">
        <f>IFERROR(VLOOKUP($A109,md[[route]:[passenger_mile_EV]],8,FALSE),"")</f>
        <v>7379.6167573083203</v>
      </c>
      <c r="M109" s="57">
        <f>IFERROR(VLOOKUP($A109,md[[route]:[passenger_mile_EV]],9,FALSE),"")</f>
        <v>9249.378626841255</v>
      </c>
      <c r="N109" s="57">
        <f>IFERROR(VLOOKUP($A109,md[[route]:[passenger_mile_EV]],10,FALSE),"")</f>
        <v>10352.297237844399</v>
      </c>
      <c r="O109" s="57">
        <f>IFERROR(VLOOKUP($A109,md[[route]:[passenger_mile_EV]],11,FALSE),"")</f>
        <v>4858.8393576640801</v>
      </c>
      <c r="P109" s="57">
        <f t="shared" si="8"/>
        <v>33830.812460946028</v>
      </c>
      <c r="Q109" s="225">
        <f t="shared" si="9"/>
        <v>0.96263554570435228</v>
      </c>
      <c r="R109" s="239">
        <f t="shared" si="10"/>
        <v>275340009.62768209</v>
      </c>
    </row>
    <row r="110" spans="1:18" x14ac:dyDescent="0.25">
      <c r="A110" s="5">
        <v>904</v>
      </c>
      <c r="B110" s="5">
        <v>10</v>
      </c>
      <c r="C110" s="5" t="s">
        <v>0</v>
      </c>
      <c r="D110" s="5">
        <v>5</v>
      </c>
      <c r="E110" s="10">
        <f>VLOOKUP($A110,observed!$A$2:$N$138,10,FALSE)</f>
        <v>0</v>
      </c>
      <c r="F110" s="10">
        <f>VLOOKUP($A110,observed!$A$2:$N$138,11,FALSE)</f>
        <v>0</v>
      </c>
      <c r="G110" s="10">
        <f>VLOOKUP($A110,observed!$A$2:$N$138,12,FALSE)</f>
        <v>80.105507878787762</v>
      </c>
      <c r="H110" s="10">
        <f>VLOOKUP($A110,observed!$A$2:$N$138,13,FALSE)</f>
        <v>62.954545454545567</v>
      </c>
      <c r="I110" s="10">
        <f>VLOOKUP($A110,observed!$A$2:$N$138,14,FALSE)</f>
        <v>0</v>
      </c>
      <c r="J110" s="10">
        <f t="shared" si="7"/>
        <v>143.06005333333331</v>
      </c>
      <c r="K110" s="57">
        <f>IFERROR(VLOOKUP($A110,md[[route]:[passenger_mile_EV]],7,FALSE),"")</f>
        <v>3.3076469263020001</v>
      </c>
      <c r="L110" s="57">
        <f>IFERROR(VLOOKUP($A110,md[[route]:[passenger_mile_EV]],8,FALSE),"")</f>
        <v>0</v>
      </c>
      <c r="M110" s="57">
        <f>IFERROR(VLOOKUP($A110,md[[route]:[passenger_mile_EV]],9,FALSE),"")</f>
        <v>15.619996052617999</v>
      </c>
      <c r="N110" s="57">
        <f>IFERROR(VLOOKUP($A110,md[[route]:[passenger_mile_EV]],10,FALSE),"")</f>
        <v>11.069148444836999</v>
      </c>
      <c r="O110" s="57">
        <f>IFERROR(VLOOKUP($A110,md[[route]:[passenger_mile_EV]],11,FALSE),"")</f>
        <v>10.011518353199</v>
      </c>
      <c r="P110" s="57">
        <f t="shared" si="8"/>
        <v>40.008309776955997</v>
      </c>
      <c r="Q110" s="225">
        <f t="shared" si="9"/>
        <v>-0.72033905451065583</v>
      </c>
      <c r="R110" s="239">
        <f t="shared" si="10"/>
        <v>10619.661850009354</v>
      </c>
    </row>
    <row r="111" spans="1:18" x14ac:dyDescent="0.25">
      <c r="A111" s="5">
        <v>905</v>
      </c>
      <c r="B111" s="5">
        <v>10</v>
      </c>
      <c r="C111" s="5" t="s">
        <v>0</v>
      </c>
      <c r="D111" s="5">
        <v>5</v>
      </c>
      <c r="E111" s="10">
        <f>VLOOKUP($A111,observed!$A$2:$N$138,10,FALSE)</f>
        <v>1310.7626666666667</v>
      </c>
      <c r="F111" s="10">
        <f>VLOOKUP($A111,observed!$A$2:$N$138,11,FALSE)</f>
        <v>2709.1666839826839</v>
      </c>
      <c r="G111" s="10">
        <f>VLOOKUP($A111,observed!$A$2:$N$138,12,FALSE)</f>
        <v>4274.8394094150535</v>
      </c>
      <c r="H111" s="10">
        <f>VLOOKUP($A111,observed!$A$2:$N$138,13,FALSE)</f>
        <v>3315.5390177133804</v>
      </c>
      <c r="I111" s="10">
        <f>VLOOKUP($A111,observed!$A$2:$N$138,14,FALSE)</f>
        <v>824.18222222221652</v>
      </c>
      <c r="J111" s="10">
        <f t="shared" si="7"/>
        <v>12434.49</v>
      </c>
      <c r="K111" s="57">
        <f>IFERROR(VLOOKUP($A111,md[[route]:[passenger_mile_EV]],7,FALSE),"")</f>
        <v>1227.4307039594501</v>
      </c>
      <c r="L111" s="57">
        <f>IFERROR(VLOOKUP($A111,md[[route]:[passenger_mile_EV]],8,FALSE),"")</f>
        <v>2289.3343811383611</v>
      </c>
      <c r="M111" s="57">
        <f>IFERROR(VLOOKUP($A111,md[[route]:[passenger_mile_EV]],9,FALSE),"")</f>
        <v>4292.2043101383742</v>
      </c>
      <c r="N111" s="57">
        <f>IFERROR(VLOOKUP($A111,md[[route]:[passenger_mile_EV]],10,FALSE),"")</f>
        <v>4446.1617873928326</v>
      </c>
      <c r="O111" s="57">
        <f>IFERROR(VLOOKUP($A111,md[[route]:[passenger_mile_EV]],11,FALSE),"")</f>
        <v>6113.5599252556303</v>
      </c>
      <c r="P111" s="57">
        <f t="shared" si="8"/>
        <v>18368.69110788465</v>
      </c>
      <c r="Q111" s="225">
        <f t="shared" si="9"/>
        <v>0.47723719331348935</v>
      </c>
      <c r="R111" s="239">
        <f t="shared" si="10"/>
        <v>35214742.78881941</v>
      </c>
    </row>
    <row r="112" spans="1:18" x14ac:dyDescent="0.25">
      <c r="A112" s="5">
        <v>906</v>
      </c>
      <c r="B112" s="5">
        <v>10</v>
      </c>
      <c r="C112" s="5" t="s">
        <v>0</v>
      </c>
      <c r="D112" s="5">
        <v>5</v>
      </c>
      <c r="E112" s="10">
        <f>VLOOKUP($A112,observed!$A$2:$N$138,10,FALSE)</f>
        <v>486.48642857142858</v>
      </c>
      <c r="F112" s="10">
        <f>VLOOKUP($A112,observed!$A$2:$N$138,11,FALSE)</f>
        <v>861.97204968944118</v>
      </c>
      <c r="G112" s="10">
        <f>VLOOKUP($A112,observed!$A$2:$N$138,12,FALSE)</f>
        <v>2099.6393539069604</v>
      </c>
      <c r="H112" s="10">
        <f>VLOOKUP($A112,observed!$A$2:$N$138,13,FALSE)</f>
        <v>1003.5960041493058</v>
      </c>
      <c r="I112" s="10">
        <f>VLOOKUP($A112,observed!$A$2:$N$138,14,FALSE)</f>
        <v>448.60333741167722</v>
      </c>
      <c r="J112" s="10">
        <f t="shared" si="7"/>
        <v>4900.2971737288126</v>
      </c>
      <c r="K112" s="57">
        <f>IFERROR(VLOOKUP($A112,md[[route]:[passenger_mile_EV]],7,FALSE),"")</f>
        <v>302.54714953318103</v>
      </c>
      <c r="L112" s="57">
        <f>IFERROR(VLOOKUP($A112,md[[route]:[passenger_mile_EV]],8,FALSE),"")</f>
        <v>622.39067455756799</v>
      </c>
      <c r="M112" s="57">
        <f>IFERROR(VLOOKUP($A112,md[[route]:[passenger_mile_EV]],9,FALSE),"")</f>
        <v>1647.2484349604449</v>
      </c>
      <c r="N112" s="57">
        <f>IFERROR(VLOOKUP($A112,md[[route]:[passenger_mile_EV]],10,FALSE),"")</f>
        <v>912.95661687265397</v>
      </c>
      <c r="O112" s="57">
        <f>IFERROR(VLOOKUP($A112,md[[route]:[passenger_mile_EV]],11,FALSE),"")</f>
        <v>769.93871743089005</v>
      </c>
      <c r="P112" s="57">
        <f t="shared" si="8"/>
        <v>4255.0815933547383</v>
      </c>
      <c r="Q112" s="225">
        <f t="shared" si="9"/>
        <v>-0.1316686636543527</v>
      </c>
      <c r="R112" s="239">
        <f t="shared" si="10"/>
        <v>416303.14515745355</v>
      </c>
    </row>
    <row r="113" spans="1:18" x14ac:dyDescent="0.25">
      <c r="A113" s="5">
        <v>907</v>
      </c>
      <c r="B113" s="5">
        <v>10</v>
      </c>
      <c r="C113" s="5" t="s">
        <v>0</v>
      </c>
      <c r="D113" s="5">
        <v>5</v>
      </c>
      <c r="E113" s="10">
        <f>VLOOKUP($A113,observed!$A$2:$N$138,10,FALSE)</f>
        <v>287.8986363636364</v>
      </c>
      <c r="F113" s="10">
        <f>VLOOKUP($A113,observed!$A$2:$N$138,11,FALSE)</f>
        <v>751.9560049019608</v>
      </c>
      <c r="G113" s="10">
        <f>VLOOKUP($A113,observed!$A$2:$N$138,12,FALSE)</f>
        <v>2405.17532843137</v>
      </c>
      <c r="H113" s="10">
        <f>VLOOKUP($A113,observed!$A$2:$N$138,13,FALSE)</f>
        <v>1147.8239345238137</v>
      </c>
      <c r="I113" s="10">
        <f>VLOOKUP($A113,observed!$A$2:$N$138,14,FALSE)</f>
        <v>442.65173984701585</v>
      </c>
      <c r="J113" s="10">
        <f t="shared" si="7"/>
        <v>5035.5056440677963</v>
      </c>
      <c r="K113" s="57">
        <f>IFERROR(VLOOKUP($A113,md[[route]:[passenger_mile_EV]],7,FALSE),"")</f>
        <v>142.45357383222401</v>
      </c>
      <c r="L113" s="57">
        <f>IFERROR(VLOOKUP($A113,md[[route]:[passenger_mile_EV]],8,FALSE),"")</f>
        <v>376.21319321771898</v>
      </c>
      <c r="M113" s="57">
        <f>IFERROR(VLOOKUP($A113,md[[route]:[passenger_mile_EV]],9,FALSE),"")</f>
        <v>1200.03043161764</v>
      </c>
      <c r="N113" s="57">
        <f>IFERROR(VLOOKUP($A113,md[[route]:[passenger_mile_EV]],10,FALSE),"")</f>
        <v>1063.1478835</v>
      </c>
      <c r="O113" s="57">
        <f>IFERROR(VLOOKUP($A113,md[[route]:[passenger_mile_EV]],11,FALSE),"")</f>
        <v>1116.8013907500001</v>
      </c>
      <c r="P113" s="57">
        <f t="shared" si="8"/>
        <v>3898.6464729175832</v>
      </c>
      <c r="Q113" s="225">
        <f t="shared" si="9"/>
        <v>-0.22576862216201043</v>
      </c>
      <c r="R113" s="239">
        <f t="shared" si="10"/>
        <v>1292448.7750283496</v>
      </c>
    </row>
    <row r="114" spans="1:18" x14ac:dyDescent="0.25">
      <c r="A114" s="5">
        <v>916</v>
      </c>
      <c r="B114" s="5">
        <v>10</v>
      </c>
      <c r="C114" s="5" t="s">
        <v>0</v>
      </c>
      <c r="D114" s="5">
        <v>5</v>
      </c>
      <c r="E114" s="10">
        <f>VLOOKUP($A114,observed!$A$2:$N$138,10,FALSE)</f>
        <v>9.43</v>
      </c>
      <c r="F114" s="10">
        <f>VLOOKUP($A114,observed!$A$2:$N$138,11,FALSE)</f>
        <v>168.24173913043481</v>
      </c>
      <c r="G114" s="10">
        <f>VLOOKUP($A114,observed!$A$2:$N$138,12,FALSE)</f>
        <v>429.23730848861135</v>
      </c>
      <c r="H114" s="10">
        <f>VLOOKUP($A114,observed!$A$2:$N$138,13,FALSE)</f>
        <v>276.97402930403103</v>
      </c>
      <c r="I114" s="10">
        <f>VLOOKUP($A114,observed!$A$2:$N$138,14,FALSE)</f>
        <v>84.056923076922786</v>
      </c>
      <c r="J114" s="10">
        <f t="shared" si="7"/>
        <v>967.93999999999994</v>
      </c>
      <c r="K114" s="57">
        <f>IFERROR(VLOOKUP($A114,md[[route]:[passenger_mile_EV]],7,FALSE),"")</f>
        <v>30.375577779501999</v>
      </c>
      <c r="L114" s="57">
        <f>IFERROR(VLOOKUP($A114,md[[route]:[passenger_mile_EV]],8,FALSE),"")</f>
        <v>130.24524713770199</v>
      </c>
      <c r="M114" s="57">
        <f>IFERROR(VLOOKUP($A114,md[[route]:[passenger_mile_EV]],9,FALSE),"")</f>
        <v>336.30888395524602</v>
      </c>
      <c r="N114" s="57">
        <f>IFERROR(VLOOKUP($A114,md[[route]:[passenger_mile_EV]],10,FALSE),"")</f>
        <v>368.38058308958301</v>
      </c>
      <c r="O114" s="57">
        <f>IFERROR(VLOOKUP($A114,md[[route]:[passenger_mile_EV]],11,FALSE),"")</f>
        <v>218.213070110263</v>
      </c>
      <c r="P114" s="57">
        <f t="shared" si="8"/>
        <v>1083.5233620722961</v>
      </c>
      <c r="Q114" s="225">
        <f t="shared" si="9"/>
        <v>0.119411701213191</v>
      </c>
      <c r="R114" s="239">
        <f t="shared" si="10"/>
        <v>13359.513587935509</v>
      </c>
    </row>
    <row r="115" spans="1:18" x14ac:dyDescent="0.25">
      <c r="A115" s="5">
        <v>917</v>
      </c>
      <c r="B115" s="5">
        <v>10</v>
      </c>
      <c r="C115" s="5" t="s">
        <v>0</v>
      </c>
      <c r="D115" s="5">
        <v>5</v>
      </c>
      <c r="E115" s="10">
        <f>VLOOKUP($A115,observed!$A$2:$N$138,10,FALSE)</f>
        <v>11.68</v>
      </c>
      <c r="F115" s="10">
        <f>VLOOKUP($A115,observed!$A$2:$N$138,11,FALSE)</f>
        <v>194.11199999999999</v>
      </c>
      <c r="G115" s="10">
        <f>VLOOKUP($A115,observed!$A$2:$N$138,12,FALSE)</f>
        <v>432.01762264150886</v>
      </c>
      <c r="H115" s="10">
        <f>VLOOKUP($A115,observed!$A$2:$N$138,13,FALSE)</f>
        <v>314.84679245283121</v>
      </c>
      <c r="I115" s="10">
        <f>VLOOKUP($A115,observed!$A$2:$N$138,14,FALSE)</f>
        <v>170.50358490565992</v>
      </c>
      <c r="J115" s="10">
        <f t="shared" si="7"/>
        <v>1123.1600000000001</v>
      </c>
      <c r="K115" s="57">
        <f>IFERROR(VLOOKUP($A115,md[[route]:[passenger_mile_EV]],7,FALSE),"")</f>
        <v>20.102796417581999</v>
      </c>
      <c r="L115" s="57">
        <f>IFERROR(VLOOKUP($A115,md[[route]:[passenger_mile_EV]],8,FALSE),"")</f>
        <v>172.32881251278101</v>
      </c>
      <c r="M115" s="57">
        <f>IFERROR(VLOOKUP($A115,md[[route]:[passenger_mile_EV]],9,FALSE),"")</f>
        <v>249.72916512950101</v>
      </c>
      <c r="N115" s="57">
        <f>IFERROR(VLOOKUP($A115,md[[route]:[passenger_mile_EV]],10,FALSE),"")</f>
        <v>292.565810325857</v>
      </c>
      <c r="O115" s="57">
        <f>IFERROR(VLOOKUP($A115,md[[route]:[passenger_mile_EV]],11,FALSE),"")</f>
        <v>151.72505863645199</v>
      </c>
      <c r="P115" s="57">
        <f t="shared" si="8"/>
        <v>886.45164302217302</v>
      </c>
      <c r="Q115" s="225">
        <f t="shared" si="9"/>
        <v>-0.21075212523400677</v>
      </c>
      <c r="R115" s="239">
        <f t="shared" si="10"/>
        <v>56030.846263142412</v>
      </c>
    </row>
    <row r="116" spans="1:18" x14ac:dyDescent="0.25">
      <c r="A116" s="5">
        <v>921</v>
      </c>
      <c r="B116" s="5">
        <v>10</v>
      </c>
      <c r="C116" s="5" t="s">
        <v>0</v>
      </c>
      <c r="D116" s="5">
        <v>5</v>
      </c>
      <c r="E116" s="10">
        <f>VLOOKUP($A116,observed!$A$2:$N$138,10,FALSE)</f>
        <v>1.4499999999999991</v>
      </c>
      <c r="F116" s="10">
        <f>VLOOKUP($A116,observed!$A$2:$N$138,11,FALSE)</f>
        <v>662.70530165066612</v>
      </c>
      <c r="G116" s="10">
        <f>VLOOKUP($A116,observed!$A$2:$N$138,12,FALSE)</f>
        <v>1587.6966016606657</v>
      </c>
      <c r="H116" s="10">
        <f>VLOOKUP($A116,observed!$A$2:$N$138,13,FALSE)</f>
        <v>931.88877564991174</v>
      </c>
      <c r="I116" s="10">
        <f>VLOOKUP($A116,observed!$A$2:$N$138,14,FALSE)</f>
        <v>89.507724039828091</v>
      </c>
      <c r="J116" s="10">
        <f t="shared" si="7"/>
        <v>3273.2484030010714</v>
      </c>
      <c r="K116" s="57">
        <f>IFERROR(VLOOKUP($A116,md[[route]:[passenger_mile_EV]],7,FALSE),"")</f>
        <v>1121.747614184254</v>
      </c>
      <c r="L116" s="57">
        <f>IFERROR(VLOOKUP($A116,md[[route]:[passenger_mile_EV]],8,FALSE),"")</f>
        <v>2242.8385837600181</v>
      </c>
      <c r="M116" s="57">
        <f>IFERROR(VLOOKUP($A116,md[[route]:[passenger_mile_EV]],9,FALSE),"")</f>
        <v>6495.7482496713583</v>
      </c>
      <c r="N116" s="57">
        <f>IFERROR(VLOOKUP($A116,md[[route]:[passenger_mile_EV]],10,FALSE),"")</f>
        <v>2969.184002965625</v>
      </c>
      <c r="O116" s="57">
        <f>IFERROR(VLOOKUP($A116,md[[route]:[passenger_mile_EV]],11,FALSE),"")</f>
        <v>2861.0890920292368</v>
      </c>
      <c r="P116" s="57">
        <f t="shared" si="8"/>
        <v>15690.607542610493</v>
      </c>
      <c r="Q116" s="225">
        <f t="shared" si="9"/>
        <v>3.7935890011355662</v>
      </c>
      <c r="R116" s="239">
        <f t="shared" si="10"/>
        <v>154190808.00204164</v>
      </c>
    </row>
    <row r="117" spans="1:18" x14ac:dyDescent="0.25">
      <c r="A117" s="5">
        <v>923</v>
      </c>
      <c r="B117" s="5">
        <v>10</v>
      </c>
      <c r="C117" s="5" t="s">
        <v>0</v>
      </c>
      <c r="D117" s="5">
        <v>5</v>
      </c>
      <c r="E117" s="10">
        <f>VLOOKUP($A117,observed!$A$2:$N$138,10,FALSE)</f>
        <v>55.114673202614341</v>
      </c>
      <c r="F117" s="10">
        <f>VLOOKUP($A117,observed!$A$2:$N$138,11,FALSE)</f>
        <v>1023.7602986547964</v>
      </c>
      <c r="G117" s="10">
        <f>VLOOKUP($A117,observed!$A$2:$N$138,12,FALSE)</f>
        <v>1609.7466948092544</v>
      </c>
      <c r="H117" s="10">
        <f>VLOOKUP($A117,observed!$A$2:$N$138,13,FALSE)</f>
        <v>1087.9541724282449</v>
      </c>
      <c r="I117" s="10">
        <f>VLOOKUP($A117,observed!$A$2:$N$138,14,FALSE)</f>
        <v>37.924160905090098</v>
      </c>
      <c r="J117" s="10">
        <f t="shared" si="7"/>
        <v>3814.5</v>
      </c>
      <c r="K117" s="57">
        <f>IFERROR(VLOOKUP($A117,md[[route]:[passenger_mile_EV]],7,FALSE),"")</f>
        <v>272.11382590335199</v>
      </c>
      <c r="L117" s="57">
        <f>IFERROR(VLOOKUP($A117,md[[route]:[passenger_mile_EV]],8,FALSE),"")</f>
        <v>1459.9822579852701</v>
      </c>
      <c r="M117" s="57">
        <f>IFERROR(VLOOKUP($A117,md[[route]:[passenger_mile_EV]],9,FALSE),"")</f>
        <v>2112.6531281722641</v>
      </c>
      <c r="N117" s="57">
        <f>IFERROR(VLOOKUP($A117,md[[route]:[passenger_mile_EV]],10,FALSE),"")</f>
        <v>1887.9818180127679</v>
      </c>
      <c r="O117" s="57">
        <f>IFERROR(VLOOKUP($A117,md[[route]:[passenger_mile_EV]],11,FALSE),"")</f>
        <v>843.252241650271</v>
      </c>
      <c r="P117" s="57">
        <f t="shared" si="8"/>
        <v>6575.9832717239251</v>
      </c>
      <c r="Q117" s="225">
        <f t="shared" si="9"/>
        <v>0.72394370735979163</v>
      </c>
      <c r="R117" s="239">
        <f t="shared" si="10"/>
        <v>7625789.8600110738</v>
      </c>
    </row>
    <row r="118" spans="1:18" x14ac:dyDescent="0.25">
      <c r="A118" s="5">
        <v>928</v>
      </c>
      <c r="B118" s="5">
        <v>10</v>
      </c>
      <c r="C118" s="5" t="s">
        <v>0</v>
      </c>
      <c r="D118" s="5">
        <v>5</v>
      </c>
      <c r="E118" s="10">
        <f>VLOOKUP($A118,observed!$A$2:$N$138,10,FALSE)</f>
        <v>86.693055555555532</v>
      </c>
      <c r="F118" s="10">
        <f>VLOOKUP($A118,observed!$A$2:$N$138,11,FALSE)</f>
        <v>850.70611111111111</v>
      </c>
      <c r="G118" s="10">
        <f>VLOOKUP($A118,observed!$A$2:$N$138,12,FALSE)</f>
        <v>2137.8036240310043</v>
      </c>
      <c r="H118" s="10">
        <f>VLOOKUP($A118,observed!$A$2:$N$138,13,FALSE)</f>
        <v>1047.3616829865416</v>
      </c>
      <c r="I118" s="10">
        <f>VLOOKUP($A118,observed!$A$2:$N$138,14,FALSE)</f>
        <v>228.42552631578781</v>
      </c>
      <c r="J118" s="10">
        <f t="shared" si="7"/>
        <v>4350.99</v>
      </c>
      <c r="K118" s="57">
        <f>IFERROR(VLOOKUP($A118,md[[route]:[passenger_mile_EV]],7,FALSE),"")</f>
        <v>167.268193017442</v>
      </c>
      <c r="L118" s="57">
        <f>IFERROR(VLOOKUP($A118,md[[route]:[passenger_mile_EV]],8,FALSE),"")</f>
        <v>660.55101007938902</v>
      </c>
      <c r="M118" s="57">
        <f>IFERROR(VLOOKUP($A118,md[[route]:[passenger_mile_EV]],9,FALSE),"")</f>
        <v>1191.0010079462979</v>
      </c>
      <c r="N118" s="57">
        <f>IFERROR(VLOOKUP($A118,md[[route]:[passenger_mile_EV]],10,FALSE),"")</f>
        <v>892.469822406768</v>
      </c>
      <c r="O118" s="57">
        <f>IFERROR(VLOOKUP($A118,md[[route]:[passenger_mile_EV]],11,FALSE),"")</f>
        <v>542.44506628923796</v>
      </c>
      <c r="P118" s="57">
        <f t="shared" si="8"/>
        <v>3453.735099739135</v>
      </c>
      <c r="Q118" s="225">
        <f t="shared" si="9"/>
        <v>-0.20621856181256792</v>
      </c>
      <c r="R118" s="239">
        <f t="shared" si="10"/>
        <v>805066.35604213446</v>
      </c>
    </row>
    <row r="119" spans="1:18" x14ac:dyDescent="0.25">
      <c r="A119" s="5">
        <v>929</v>
      </c>
      <c r="B119" s="5">
        <v>10</v>
      </c>
      <c r="C119" s="5" t="s">
        <v>0</v>
      </c>
      <c r="D119" s="5">
        <v>5</v>
      </c>
      <c r="E119" s="10">
        <f>VLOOKUP($A119,observed!$A$2:$N$138,10,FALSE)</f>
        <v>719.4951116813296</v>
      </c>
      <c r="F119" s="10">
        <f>VLOOKUP($A119,observed!$A$2:$N$138,11,FALSE)</f>
        <v>3786.0984409502494</v>
      </c>
      <c r="G119" s="10">
        <f>VLOOKUP($A119,observed!$A$2:$N$138,12,FALSE)</f>
        <v>10663.480097781043</v>
      </c>
      <c r="H119" s="10">
        <f>VLOOKUP($A119,observed!$A$2:$N$138,13,FALSE)</f>
        <v>5003.3880897754361</v>
      </c>
      <c r="I119" s="10">
        <f>VLOOKUP($A119,observed!$A$2:$N$138,14,FALSE)</f>
        <v>3092.8307979237379</v>
      </c>
      <c r="J119" s="10">
        <f t="shared" si="7"/>
        <v>23265.292538111797</v>
      </c>
      <c r="K119" s="57">
        <f>IFERROR(VLOOKUP($A119,md[[route]:[passenger_mile_EV]],7,FALSE),"")</f>
        <v>1970.892336039562</v>
      </c>
      <c r="L119" s="57">
        <f>IFERROR(VLOOKUP($A119,md[[route]:[passenger_mile_EV]],8,FALSE),"")</f>
        <v>4878.219394155185</v>
      </c>
      <c r="M119" s="57">
        <f>IFERROR(VLOOKUP($A119,md[[route]:[passenger_mile_EV]],9,FALSE),"")</f>
        <v>11690.531593894289</v>
      </c>
      <c r="N119" s="57">
        <f>IFERROR(VLOOKUP($A119,md[[route]:[passenger_mile_EV]],10,FALSE),"")</f>
        <v>8683.4443559046267</v>
      </c>
      <c r="O119" s="57">
        <f>IFERROR(VLOOKUP($A119,md[[route]:[passenger_mile_EV]],11,FALSE),"")</f>
        <v>5937.893040351174</v>
      </c>
      <c r="P119" s="57">
        <f t="shared" si="8"/>
        <v>33160.980720344836</v>
      </c>
      <c r="Q119" s="225">
        <f t="shared" si="9"/>
        <v>0.42534123162313664</v>
      </c>
      <c r="R119" s="239">
        <f t="shared" si="10"/>
        <v>97924644.599986643</v>
      </c>
    </row>
    <row r="120" spans="1:18" x14ac:dyDescent="0.25">
      <c r="A120" s="5">
        <v>932</v>
      </c>
      <c r="B120" s="5">
        <v>10</v>
      </c>
      <c r="C120" s="5" t="s">
        <v>0</v>
      </c>
      <c r="D120" s="5">
        <v>5</v>
      </c>
      <c r="E120" s="10">
        <f>VLOOKUP($A120,observed!$A$2:$N$138,10,FALSE)</f>
        <v>236.31586956521738</v>
      </c>
      <c r="F120" s="10">
        <f>VLOOKUP($A120,observed!$A$2:$N$138,11,FALSE)</f>
        <v>1427.8454798853322</v>
      </c>
      <c r="G120" s="10">
        <f>VLOOKUP($A120,observed!$A$2:$N$138,12,FALSE)</f>
        <v>5184.51686796799</v>
      </c>
      <c r="H120" s="10">
        <f>VLOOKUP($A120,observed!$A$2:$N$138,13,FALSE)</f>
        <v>2192.4405202262747</v>
      </c>
      <c r="I120" s="10">
        <f>VLOOKUP($A120,observed!$A$2:$N$138,14,FALSE)</f>
        <v>716.98126235518544</v>
      </c>
      <c r="J120" s="10">
        <f t="shared" si="7"/>
        <v>9758.1</v>
      </c>
      <c r="K120" s="57">
        <f>IFERROR(VLOOKUP($A120,md[[route]:[passenger_mile_EV]],7,FALSE),"")</f>
        <v>426.19061239243598</v>
      </c>
      <c r="L120" s="57">
        <f>IFERROR(VLOOKUP($A120,md[[route]:[passenger_mile_EV]],8,FALSE),"")</f>
        <v>1661.637227050282</v>
      </c>
      <c r="M120" s="57">
        <f>IFERROR(VLOOKUP($A120,md[[route]:[passenger_mile_EV]],9,FALSE),"")</f>
        <v>4119.8023967882491</v>
      </c>
      <c r="N120" s="57">
        <f>IFERROR(VLOOKUP($A120,md[[route]:[passenger_mile_EV]],10,FALSE),"")</f>
        <v>2888.7184864413271</v>
      </c>
      <c r="O120" s="57">
        <f>IFERROR(VLOOKUP($A120,md[[route]:[passenger_mile_EV]],11,FALSE),"")</f>
        <v>2160.3281114981819</v>
      </c>
      <c r="P120" s="57">
        <f t="shared" si="8"/>
        <v>11256.676834170476</v>
      </c>
      <c r="Q120" s="225">
        <f t="shared" si="9"/>
        <v>0.15357260472535383</v>
      </c>
      <c r="R120" s="239">
        <f t="shared" si="10"/>
        <v>2245732.5279124039</v>
      </c>
    </row>
    <row r="121" spans="1:18" x14ac:dyDescent="0.25">
      <c r="A121" s="5">
        <v>933</v>
      </c>
      <c r="B121" s="5">
        <v>10</v>
      </c>
      <c r="C121" s="5" t="s">
        <v>0</v>
      </c>
      <c r="D121" s="5">
        <v>5</v>
      </c>
      <c r="E121" s="10">
        <f>VLOOKUP($A121,observed!$A$2:$N$138,10,FALSE)</f>
        <v>292.95622807017543</v>
      </c>
      <c r="F121" s="10">
        <f>VLOOKUP($A121,observed!$A$2:$N$138,11,FALSE)</f>
        <v>1678.4134688995211</v>
      </c>
      <c r="G121" s="10">
        <f>VLOOKUP($A121,observed!$A$2:$N$138,12,FALSE)</f>
        <v>4236.368933167284</v>
      </c>
      <c r="H121" s="10">
        <f>VLOOKUP($A121,observed!$A$2:$N$138,13,FALSE)</f>
        <v>2112.2662966005714</v>
      </c>
      <c r="I121" s="10">
        <f>VLOOKUP($A121,observed!$A$2:$N$138,14,FALSE)</f>
        <v>805.32706771748178</v>
      </c>
      <c r="J121" s="10">
        <f t="shared" si="7"/>
        <v>9125.3319944550349</v>
      </c>
      <c r="K121" s="57">
        <f>IFERROR(VLOOKUP($A121,md[[route]:[passenger_mile_EV]],7,FALSE),"")</f>
        <v>270.84447005555398</v>
      </c>
      <c r="L121" s="57">
        <f>IFERROR(VLOOKUP($A121,md[[route]:[passenger_mile_EV]],8,FALSE),"")</f>
        <v>617.279711611263</v>
      </c>
      <c r="M121" s="57">
        <f>IFERROR(VLOOKUP($A121,md[[route]:[passenger_mile_EV]],9,FALSE),"")</f>
        <v>2185.0877476086011</v>
      </c>
      <c r="N121" s="57">
        <f>IFERROR(VLOOKUP($A121,md[[route]:[passenger_mile_EV]],10,FALSE),"")</f>
        <v>1549.817119608947</v>
      </c>
      <c r="O121" s="57">
        <f>IFERROR(VLOOKUP($A121,md[[route]:[passenger_mile_EV]],11,FALSE),"")</f>
        <v>1035.02434946945</v>
      </c>
      <c r="P121" s="57">
        <f t="shared" si="8"/>
        <v>5658.0533983538153</v>
      </c>
      <c r="Q121" s="225">
        <f t="shared" si="9"/>
        <v>-0.37996191242226529</v>
      </c>
      <c r="R121" s="239">
        <f t="shared" si="10"/>
        <v>12022020.862981644</v>
      </c>
    </row>
    <row r="122" spans="1:18" x14ac:dyDescent="0.25">
      <c r="A122" s="5">
        <v>934</v>
      </c>
      <c r="B122" s="5">
        <v>10</v>
      </c>
      <c r="C122" s="5" t="s">
        <v>0</v>
      </c>
      <c r="D122" s="5">
        <v>5</v>
      </c>
      <c r="E122" s="10">
        <f>VLOOKUP($A122,observed!$A$2:$N$138,10,FALSE)</f>
        <v>259.61142857142846</v>
      </c>
      <c r="F122" s="10">
        <f>VLOOKUP($A122,observed!$A$2:$N$138,11,FALSE)</f>
        <v>1800.6908652335569</v>
      </c>
      <c r="G122" s="10">
        <f>VLOOKUP($A122,observed!$A$2:$N$138,12,FALSE)</f>
        <v>3593.4308075648723</v>
      </c>
      <c r="H122" s="10">
        <f>VLOOKUP($A122,observed!$A$2:$N$138,13,FALSE)</f>
        <v>2030.3110134315541</v>
      </c>
      <c r="I122" s="10">
        <f>VLOOKUP($A122,observed!$A$2:$N$138,14,FALSE)</f>
        <v>810.72994515353446</v>
      </c>
      <c r="J122" s="10">
        <f t="shared" si="7"/>
        <v>8494.7740599549452</v>
      </c>
      <c r="K122" s="57">
        <f>IFERROR(VLOOKUP($A122,md[[route]:[passenger_mile_EV]],7,FALSE),"")</f>
        <v>175.39865825863399</v>
      </c>
      <c r="L122" s="57">
        <f>IFERROR(VLOOKUP($A122,md[[route]:[passenger_mile_EV]],8,FALSE),"")</f>
        <v>1055.9270266085091</v>
      </c>
      <c r="M122" s="57">
        <f>IFERROR(VLOOKUP($A122,md[[route]:[passenger_mile_EV]],9,FALSE),"")</f>
        <v>1959.73256261192</v>
      </c>
      <c r="N122" s="57">
        <f>IFERROR(VLOOKUP($A122,md[[route]:[passenger_mile_EV]],10,FALSE),"")</f>
        <v>1361.958148796492</v>
      </c>
      <c r="O122" s="57">
        <f>IFERROR(VLOOKUP($A122,md[[route]:[passenger_mile_EV]],11,FALSE),"")</f>
        <v>1177.6264870350431</v>
      </c>
      <c r="P122" s="57">
        <f t="shared" si="8"/>
        <v>5730.6428833105983</v>
      </c>
      <c r="Q122" s="225">
        <f t="shared" si="9"/>
        <v>-0.32539195947243449</v>
      </c>
      <c r="R122" s="239">
        <f t="shared" si="10"/>
        <v>7640421.161697261</v>
      </c>
    </row>
    <row r="123" spans="1:18" x14ac:dyDescent="0.25">
      <c r="A123" s="5">
        <v>936</v>
      </c>
      <c r="B123" s="5">
        <v>10</v>
      </c>
      <c r="C123" s="5" t="s">
        <v>0</v>
      </c>
      <c r="D123" s="5">
        <v>5</v>
      </c>
      <c r="E123" s="10">
        <f>VLOOKUP($A123,observed!$A$2:$N$138,10,FALSE)</f>
        <v>78.647821428571433</v>
      </c>
      <c r="F123" s="10">
        <f>VLOOKUP($A123,observed!$A$2:$N$138,11,FALSE)</f>
        <v>824.12818812418584</v>
      </c>
      <c r="G123" s="10">
        <f>VLOOKUP($A123,observed!$A$2:$N$138,12,FALSE)</f>
        <v>1924.4891279805133</v>
      </c>
      <c r="H123" s="10">
        <f>VLOOKUP($A123,observed!$A$2:$N$138,13,FALSE)</f>
        <v>1050.1205213814592</v>
      </c>
      <c r="I123" s="10">
        <f>VLOOKUP($A123,observed!$A$2:$N$138,14,FALSE)</f>
        <v>518.90434108526949</v>
      </c>
      <c r="J123" s="10">
        <f t="shared" si="7"/>
        <v>4396.2899999999991</v>
      </c>
      <c r="K123" s="57">
        <f>IFERROR(VLOOKUP($A123,md[[route]:[passenger_mile_EV]],7,FALSE),"")</f>
        <v>129.24125226921299</v>
      </c>
      <c r="L123" s="57">
        <f>IFERROR(VLOOKUP($A123,md[[route]:[passenger_mile_EV]],8,FALSE),"")</f>
        <v>761.29689870069296</v>
      </c>
      <c r="M123" s="57">
        <f>IFERROR(VLOOKUP($A123,md[[route]:[passenger_mile_EV]],9,FALSE),"")</f>
        <v>1441.498606344903</v>
      </c>
      <c r="N123" s="57">
        <f>IFERROR(VLOOKUP($A123,md[[route]:[passenger_mile_EV]],10,FALSE),"")</f>
        <v>1195.600631393811</v>
      </c>
      <c r="O123" s="57">
        <f>IFERROR(VLOOKUP($A123,md[[route]:[passenger_mile_EV]],11,FALSE),"")</f>
        <v>796.92226401755204</v>
      </c>
      <c r="P123" s="57">
        <f t="shared" si="8"/>
        <v>4324.5596527261714</v>
      </c>
      <c r="Q123" s="225">
        <f t="shared" si="9"/>
        <v>-1.6316109099678955E-2</v>
      </c>
      <c r="R123" s="239">
        <f t="shared" si="10"/>
        <v>5145.2427200239135</v>
      </c>
    </row>
    <row r="124" spans="1:18" x14ac:dyDescent="0.25">
      <c r="A124" s="5">
        <v>944</v>
      </c>
      <c r="B124" s="5">
        <v>10</v>
      </c>
      <c r="C124" s="5" t="s">
        <v>0</v>
      </c>
      <c r="D124" s="5">
        <v>5</v>
      </c>
      <c r="E124" s="10">
        <f>VLOOKUP($A124,observed!$A$2:$N$138,10,FALSE)</f>
        <v>11.74</v>
      </c>
      <c r="F124" s="10">
        <f>VLOOKUP($A124,observed!$A$2:$N$138,11,FALSE)</f>
        <v>200.44</v>
      </c>
      <c r="G124" s="10">
        <f>VLOOKUP($A124,observed!$A$2:$N$138,12,FALSE)</f>
        <v>304.77249999999924</v>
      </c>
      <c r="H124" s="10">
        <f>VLOOKUP($A124,observed!$A$2:$N$138,13,FALSE)</f>
        <v>225.90750000000108</v>
      </c>
      <c r="I124" s="10">
        <f>VLOOKUP($A124,observed!$A$2:$N$138,14,FALSE)</f>
        <v>4.9699999999996551</v>
      </c>
      <c r="J124" s="10">
        <f t="shared" si="7"/>
        <v>747.82999999999993</v>
      </c>
      <c r="K124" s="57">
        <f>IFERROR(VLOOKUP($A124,md[[route]:[passenger_mile_EV]],7,FALSE),"")</f>
        <v>57.502792039284998</v>
      </c>
      <c r="L124" s="57">
        <f>IFERROR(VLOOKUP($A124,md[[route]:[passenger_mile_EV]],8,FALSE),"")</f>
        <v>224.303279250157</v>
      </c>
      <c r="M124" s="57">
        <f>IFERROR(VLOOKUP($A124,md[[route]:[passenger_mile_EV]],9,FALSE),"")</f>
        <v>406.25963261222302</v>
      </c>
      <c r="N124" s="57">
        <f>IFERROR(VLOOKUP($A124,md[[route]:[passenger_mile_EV]],10,FALSE),"")</f>
        <v>415.92476772657801</v>
      </c>
      <c r="O124" s="57">
        <f>IFERROR(VLOOKUP($A124,md[[route]:[passenger_mile_EV]],11,FALSE),"")</f>
        <v>215.74624777332801</v>
      </c>
      <c r="P124" s="57">
        <f t="shared" si="8"/>
        <v>1319.736719401571</v>
      </c>
      <c r="Q124" s="225">
        <f t="shared" si="9"/>
        <v>0.76475498362137273</v>
      </c>
      <c r="R124" s="239">
        <f t="shared" si="10"/>
        <v>327077.29569666734</v>
      </c>
    </row>
    <row r="125" spans="1:18" x14ac:dyDescent="0.25">
      <c r="A125" s="5">
        <v>945</v>
      </c>
      <c r="B125" s="5">
        <v>10</v>
      </c>
      <c r="C125" s="5" t="s">
        <v>0</v>
      </c>
      <c r="D125" s="5">
        <v>5</v>
      </c>
      <c r="E125" s="10">
        <f>VLOOKUP($A125,observed!$A$2:$N$138,10,FALSE)</f>
        <v>38.848961038961008</v>
      </c>
      <c r="F125" s="10">
        <f>VLOOKUP($A125,observed!$A$2:$N$138,11,FALSE)</f>
        <v>747</v>
      </c>
      <c r="G125" s="10">
        <f>VLOOKUP($A125,observed!$A$2:$N$138,12,FALSE)</f>
        <v>1224</v>
      </c>
      <c r="H125" s="10">
        <f>VLOOKUP($A125,observed!$A$2:$N$138,13,FALSE)</f>
        <v>644</v>
      </c>
      <c r="I125" s="10">
        <f>VLOOKUP($A125,observed!$A$2:$N$138,14,FALSE)</f>
        <v>38.36442583731943</v>
      </c>
      <c r="J125" s="10">
        <f t="shared" si="7"/>
        <v>2692.2133868762803</v>
      </c>
      <c r="K125" s="57">
        <f>IFERROR(VLOOKUP($A125,md[[route]:[passenger_mile_EV]],7,FALSE),"")</f>
        <v>31.021593577905001</v>
      </c>
      <c r="L125" s="57">
        <f>IFERROR(VLOOKUP($A125,md[[route]:[passenger_mile_EV]],8,FALSE),"")</f>
        <v>505.88222376019598</v>
      </c>
      <c r="M125" s="57">
        <f>IFERROR(VLOOKUP($A125,md[[route]:[passenger_mile_EV]],9,FALSE),"")</f>
        <v>936.51089323795395</v>
      </c>
      <c r="N125" s="57">
        <f>IFERROR(VLOOKUP($A125,md[[route]:[passenger_mile_EV]],10,FALSE),"")</f>
        <v>937.17007799296198</v>
      </c>
      <c r="O125" s="57">
        <f>IFERROR(VLOOKUP($A125,md[[route]:[passenger_mile_EV]],11,FALSE),"")</f>
        <v>442.639785948937</v>
      </c>
      <c r="P125" s="57">
        <f t="shared" si="8"/>
        <v>2853.2245745179539</v>
      </c>
      <c r="Q125" s="225">
        <f t="shared" si="9"/>
        <v>5.9806250287051554E-2</v>
      </c>
      <c r="R125" s="239">
        <f t="shared" si="10"/>
        <v>25924.602545782222</v>
      </c>
    </row>
    <row r="126" spans="1:18" x14ac:dyDescent="0.25">
      <c r="A126" s="5">
        <v>955</v>
      </c>
      <c r="B126" s="5">
        <v>10</v>
      </c>
      <c r="C126" s="5" t="s">
        <v>0</v>
      </c>
      <c r="D126" s="5">
        <v>5</v>
      </c>
      <c r="E126" s="10">
        <f>VLOOKUP($A126,observed!$A$2:$N$138,10,FALSE)</f>
        <v>298.7849318181818</v>
      </c>
      <c r="F126" s="10">
        <f>VLOOKUP($A126,observed!$A$2:$N$138,11,FALSE)</f>
        <v>2228.9067707085756</v>
      </c>
      <c r="G126" s="10">
        <f>VLOOKUP($A126,observed!$A$2:$N$138,12,FALSE)</f>
        <v>5175.7888147146141</v>
      </c>
      <c r="H126" s="10">
        <f>VLOOKUP($A126,observed!$A$2:$N$138,13,FALSE)</f>
        <v>2814.3845371853381</v>
      </c>
      <c r="I126" s="10">
        <f>VLOOKUP($A126,observed!$A$2:$N$138,14,FALSE)</f>
        <v>1096.37494557329</v>
      </c>
      <c r="J126" s="10">
        <f t="shared" si="7"/>
        <v>11614.24</v>
      </c>
      <c r="K126" s="57">
        <f>IFERROR(VLOOKUP($A126,md[[route]:[passenger_mile_EV]],7,FALSE),"")</f>
        <v>429.03845727657102</v>
      </c>
      <c r="L126" s="57">
        <f>IFERROR(VLOOKUP($A126,md[[route]:[passenger_mile_EV]],8,FALSE),"")</f>
        <v>2559.152884429363</v>
      </c>
      <c r="M126" s="57">
        <f>IFERROR(VLOOKUP($A126,md[[route]:[passenger_mile_EV]],9,FALSE),"")</f>
        <v>4987.7263741565966</v>
      </c>
      <c r="N126" s="57">
        <f>IFERROR(VLOOKUP($A126,md[[route]:[passenger_mile_EV]],10,FALSE),"")</f>
        <v>3463.1804185362448</v>
      </c>
      <c r="O126" s="57">
        <f>IFERROR(VLOOKUP($A126,md[[route]:[passenger_mile_EV]],11,FALSE),"")</f>
        <v>2310.9086220717941</v>
      </c>
      <c r="P126" s="57">
        <f t="shared" si="8"/>
        <v>13750.00675647057</v>
      </c>
      <c r="Q126" s="225">
        <f t="shared" si="9"/>
        <v>0.18389208045214933</v>
      </c>
      <c r="R126" s="239">
        <f t="shared" si="10"/>
        <v>4561499.6380448183</v>
      </c>
    </row>
    <row r="127" spans="1:18" x14ac:dyDescent="0.25">
      <c r="A127" s="5">
        <v>961</v>
      </c>
      <c r="B127" s="5">
        <v>10</v>
      </c>
      <c r="C127" s="5" t="s">
        <v>0</v>
      </c>
      <c r="D127" s="5">
        <v>5</v>
      </c>
      <c r="E127" s="10">
        <f>VLOOKUP($A127,observed!$A$2:$N$138,10,FALSE)</f>
        <v>161.214305832148</v>
      </c>
      <c r="F127" s="10">
        <f>VLOOKUP($A127,observed!$A$2:$N$138,11,FALSE)</f>
        <v>1086.8412994310102</v>
      </c>
      <c r="G127" s="10">
        <f>VLOOKUP($A127,observed!$A$2:$N$138,12,FALSE)</f>
        <v>2674.2340091159235</v>
      </c>
      <c r="H127" s="10">
        <f>VLOOKUP($A127,observed!$A$2:$N$138,13,FALSE)</f>
        <v>1597.9488734257995</v>
      </c>
      <c r="I127" s="10">
        <f>VLOOKUP($A127,observed!$A$2:$N$138,14,FALSE)</f>
        <v>538.94151219511923</v>
      </c>
      <c r="J127" s="10">
        <f t="shared" si="7"/>
        <v>6059.18</v>
      </c>
      <c r="K127" s="57">
        <f>IFERROR(VLOOKUP($A127,md[[route]:[passenger_mile_EV]],7,FALSE),"")</f>
        <v>184.829749811743</v>
      </c>
      <c r="L127" s="57">
        <f>IFERROR(VLOOKUP($A127,md[[route]:[passenger_mile_EV]],8,FALSE),"")</f>
        <v>793.81746796942105</v>
      </c>
      <c r="M127" s="57">
        <f>IFERROR(VLOOKUP($A127,md[[route]:[passenger_mile_EV]],9,FALSE),"")</f>
        <v>2012.9020086057969</v>
      </c>
      <c r="N127" s="57">
        <f>IFERROR(VLOOKUP($A127,md[[route]:[passenger_mile_EV]],10,FALSE),"")</f>
        <v>1515.5611588806039</v>
      </c>
      <c r="O127" s="57">
        <f>IFERROR(VLOOKUP($A127,md[[route]:[passenger_mile_EV]],11,FALSE),"")</f>
        <v>955.585030497302</v>
      </c>
      <c r="P127" s="57">
        <f t="shared" si="8"/>
        <v>5462.695415764867</v>
      </c>
      <c r="Q127" s="225">
        <f t="shared" si="9"/>
        <v>-9.8443120064948264E-2</v>
      </c>
      <c r="R127" s="239">
        <f t="shared" si="10"/>
        <v>355793.85923015984</v>
      </c>
    </row>
    <row r="128" spans="1:18" x14ac:dyDescent="0.25">
      <c r="A128" s="5">
        <v>962</v>
      </c>
      <c r="B128" s="5">
        <v>10</v>
      </c>
      <c r="C128" s="5" t="s">
        <v>0</v>
      </c>
      <c r="D128" s="5">
        <v>5</v>
      </c>
      <c r="E128" s="10">
        <f>VLOOKUP($A128,observed!$A$2:$N$138,10,FALSE)</f>
        <v>102.67834453781514</v>
      </c>
      <c r="F128" s="10">
        <f>VLOOKUP($A128,observed!$A$2:$N$138,11,FALSE)</f>
        <v>883.86620674423602</v>
      </c>
      <c r="G128" s="10">
        <f>VLOOKUP($A128,observed!$A$2:$N$138,12,FALSE)</f>
        <v>1995.7826089966909</v>
      </c>
      <c r="H128" s="10">
        <f>VLOOKUP($A128,observed!$A$2:$N$138,13,FALSE)</f>
        <v>1081.3973262077459</v>
      </c>
      <c r="I128" s="10">
        <f>VLOOKUP($A128,observed!$A$2:$N$138,14,FALSE)</f>
        <v>363.035513513512</v>
      </c>
      <c r="J128" s="10">
        <f t="shared" si="7"/>
        <v>4426.76</v>
      </c>
      <c r="K128" s="57">
        <f>IFERROR(VLOOKUP($A128,md[[route]:[passenger_mile_EV]],7,FALSE),"")</f>
        <v>101.376899894773</v>
      </c>
      <c r="L128" s="57">
        <f>IFERROR(VLOOKUP($A128,md[[route]:[passenger_mile_EV]],8,FALSE),"")</f>
        <v>819.84597995019499</v>
      </c>
      <c r="M128" s="57">
        <f>IFERROR(VLOOKUP($A128,md[[route]:[passenger_mile_EV]],9,FALSE),"")</f>
        <v>1885.0374179396149</v>
      </c>
      <c r="N128" s="57">
        <f>IFERROR(VLOOKUP($A128,md[[route]:[passenger_mile_EV]],10,FALSE),"")</f>
        <v>1502.030286426063</v>
      </c>
      <c r="O128" s="57">
        <f>IFERROR(VLOOKUP($A128,md[[route]:[passenger_mile_EV]],11,FALSE),"")</f>
        <v>816.88837710209998</v>
      </c>
      <c r="P128" s="57">
        <f t="shared" si="8"/>
        <v>5125.1789613127457</v>
      </c>
      <c r="Q128" s="225">
        <f t="shared" si="9"/>
        <v>0.15777204124749145</v>
      </c>
      <c r="R128" s="239">
        <f t="shared" si="10"/>
        <v>487789.04552117432</v>
      </c>
    </row>
    <row r="129" spans="1:18" x14ac:dyDescent="0.25">
      <c r="A129" s="5">
        <v>963</v>
      </c>
      <c r="B129" s="5">
        <v>10</v>
      </c>
      <c r="C129" s="5" t="s">
        <v>0</v>
      </c>
      <c r="D129" s="5">
        <v>5</v>
      </c>
      <c r="E129" s="10">
        <f>VLOOKUP($A129,observed!$A$2:$N$138,10,FALSE)</f>
        <v>17.915263157894724</v>
      </c>
      <c r="F129" s="10">
        <f>VLOOKUP($A129,observed!$A$2:$N$138,11,FALSE)</f>
        <v>259.65935222672067</v>
      </c>
      <c r="G129" s="10">
        <f>VLOOKUP($A129,observed!$A$2:$N$138,12,FALSE)</f>
        <v>881.02855702917623</v>
      </c>
      <c r="H129" s="10">
        <f>VLOOKUP($A129,observed!$A$2:$N$138,13,FALSE)</f>
        <v>473.88182758620906</v>
      </c>
      <c r="I129" s="10">
        <f>VLOOKUP($A129,observed!$A$2:$N$138,14,FALSE)</f>
        <v>146.35499999999905</v>
      </c>
      <c r="J129" s="10">
        <f t="shared" si="7"/>
        <v>1778.8399999999997</v>
      </c>
      <c r="K129" s="57">
        <f>IFERROR(VLOOKUP($A129,md[[route]:[passenger_mile_EV]],7,FALSE),"")</f>
        <v>19.179220112871999</v>
      </c>
      <c r="L129" s="57">
        <f>IFERROR(VLOOKUP($A129,md[[route]:[passenger_mile_EV]],8,FALSE),"")</f>
        <v>115.02624079131201</v>
      </c>
      <c r="M129" s="57">
        <f>IFERROR(VLOOKUP($A129,md[[route]:[passenger_mile_EV]],9,FALSE),"")</f>
        <v>229.953441804536</v>
      </c>
      <c r="N129" s="57">
        <f>IFERROR(VLOOKUP($A129,md[[route]:[passenger_mile_EV]],10,FALSE),"")</f>
        <v>173.281147796124</v>
      </c>
      <c r="O129" s="57">
        <f>IFERROR(VLOOKUP($A129,md[[route]:[passenger_mile_EV]],11,FALSE),"")</f>
        <v>185.86479527427201</v>
      </c>
      <c r="P129" s="57">
        <f t="shared" si="8"/>
        <v>723.30484577911602</v>
      </c>
      <c r="Q129" s="225">
        <f t="shared" si="9"/>
        <v>-0.5933839773227968</v>
      </c>
      <c r="R129" s="239">
        <f t="shared" si="10"/>
        <v>1114154.4617961047</v>
      </c>
    </row>
    <row r="130" spans="1:18" x14ac:dyDescent="0.25">
      <c r="A130" s="5">
        <v>964</v>
      </c>
      <c r="B130" s="5">
        <v>10</v>
      </c>
      <c r="C130" s="5" t="s">
        <v>0</v>
      </c>
      <c r="D130" s="5">
        <v>5</v>
      </c>
      <c r="E130" s="10">
        <f>VLOOKUP($A130,observed!$A$2:$N$138,10,FALSE)</f>
        <v>16.968965517241344</v>
      </c>
      <c r="F130" s="10">
        <f>VLOOKUP($A130,observed!$A$2:$N$138,11,FALSE)</f>
        <v>318.8430344827587</v>
      </c>
      <c r="G130" s="10">
        <f>VLOOKUP($A130,observed!$A$2:$N$138,12,FALSE)</f>
        <v>572.1540306451609</v>
      </c>
      <c r="H130" s="10">
        <f>VLOOKUP($A130,observed!$A$2:$N$138,13,FALSE)</f>
        <v>325.44540483871043</v>
      </c>
      <c r="I130" s="10">
        <f>VLOOKUP($A130,observed!$A$2:$N$138,14,FALSE)</f>
        <v>69.264370967741669</v>
      </c>
      <c r="J130" s="10">
        <f t="shared" si="7"/>
        <v>1302.675806451613</v>
      </c>
      <c r="K130" s="57">
        <f>IFERROR(VLOOKUP($A130,md[[route]:[passenger_mile_EV]],7,FALSE),"")</f>
        <v>68.681825954426003</v>
      </c>
      <c r="L130" s="57">
        <f>IFERROR(VLOOKUP($A130,md[[route]:[passenger_mile_EV]],8,FALSE),"")</f>
        <v>430.79404161703201</v>
      </c>
      <c r="M130" s="57">
        <f>IFERROR(VLOOKUP($A130,md[[route]:[passenger_mile_EV]],9,FALSE),"")</f>
        <v>1150.624047784197</v>
      </c>
      <c r="N130" s="57">
        <f>IFERROR(VLOOKUP($A130,md[[route]:[passenger_mile_EV]],10,FALSE),"")</f>
        <v>835.91437498624305</v>
      </c>
      <c r="O130" s="57">
        <f>IFERROR(VLOOKUP($A130,md[[route]:[passenger_mile_EV]],11,FALSE),"")</f>
        <v>520.74608988486398</v>
      </c>
      <c r="P130" s="57">
        <f t="shared" si="8"/>
        <v>3006.7603802267622</v>
      </c>
      <c r="Q130" s="225">
        <f t="shared" si="9"/>
        <v>1.3081417228565426</v>
      </c>
      <c r="R130" s="239">
        <f t="shared" si="10"/>
        <v>2903904.234578432</v>
      </c>
    </row>
    <row r="131" spans="1:18" x14ac:dyDescent="0.25">
      <c r="A131" s="5">
        <v>965</v>
      </c>
      <c r="B131" s="5">
        <v>10</v>
      </c>
      <c r="C131" s="5" t="s">
        <v>0</v>
      </c>
      <c r="D131" s="5">
        <v>5</v>
      </c>
      <c r="E131" s="10">
        <f>VLOOKUP($A131,observed!$A$2:$N$138,10,FALSE)</f>
        <v>33.47</v>
      </c>
      <c r="F131" s="10">
        <f>VLOOKUP($A131,observed!$A$2:$N$138,11,FALSE)</f>
        <v>126.53916666666672</v>
      </c>
      <c r="G131" s="10">
        <f>VLOOKUP($A131,observed!$A$2:$N$138,12,FALSE)</f>
        <v>195.31261904761877</v>
      </c>
      <c r="H131" s="10">
        <f>VLOOKUP($A131,observed!$A$2:$N$138,13,FALSE)</f>
        <v>135.96206043956079</v>
      </c>
      <c r="I131" s="10">
        <f>VLOOKUP($A131,observed!$A$2:$N$138,14,FALSE)</f>
        <v>37.786153846153702</v>
      </c>
      <c r="J131" s="10">
        <f t="shared" si="7"/>
        <v>529.07000000000005</v>
      </c>
      <c r="K131" s="57">
        <f>IFERROR(VLOOKUP($A131,md[[route]:[passenger_mile_EV]],7,FALSE),"")</f>
        <v>14.201393773844</v>
      </c>
      <c r="L131" s="57">
        <f>IFERROR(VLOOKUP($A131,md[[route]:[passenger_mile_EV]],8,FALSE),"")</f>
        <v>50.481181398398</v>
      </c>
      <c r="M131" s="57">
        <f>IFERROR(VLOOKUP($A131,md[[route]:[passenger_mile_EV]],9,FALSE),"")</f>
        <v>98.270304748776994</v>
      </c>
      <c r="N131" s="57">
        <f>IFERROR(VLOOKUP($A131,md[[route]:[passenger_mile_EV]],10,FALSE),"")</f>
        <v>73.161998287143007</v>
      </c>
      <c r="O131" s="57">
        <f>IFERROR(VLOOKUP($A131,md[[route]:[passenger_mile_EV]],11,FALSE),"")</f>
        <v>41.953950940572</v>
      </c>
      <c r="P131" s="57">
        <f t="shared" si="8"/>
        <v>278.06882914873398</v>
      </c>
      <c r="Q131" s="225">
        <f t="shared" si="9"/>
        <v>-0.47441958691905806</v>
      </c>
      <c r="R131" s="239">
        <f t="shared" si="10"/>
        <v>63001.587768706457</v>
      </c>
    </row>
    <row r="132" spans="1:18" x14ac:dyDescent="0.25">
      <c r="A132" s="5">
        <v>967</v>
      </c>
      <c r="B132" s="5">
        <v>10</v>
      </c>
      <c r="C132" s="5" t="s">
        <v>0</v>
      </c>
      <c r="D132" s="5">
        <v>5</v>
      </c>
      <c r="E132" s="10">
        <f>VLOOKUP($A132,observed!$A$2:$N$138,10,FALSE)</f>
        <v>5.1100000000000003</v>
      </c>
      <c r="F132" s="10">
        <f>VLOOKUP($A132,observed!$A$2:$N$138,11,FALSE)</f>
        <v>165.71</v>
      </c>
      <c r="G132" s="10">
        <f>VLOOKUP($A132,observed!$A$2:$N$138,12,FALSE)</f>
        <v>282.86651162790645</v>
      </c>
      <c r="H132" s="10">
        <f>VLOOKUP($A132,observed!$A$2:$N$138,13,FALSE)</f>
        <v>134.96348837209356</v>
      </c>
      <c r="I132" s="10">
        <f>VLOOKUP($A132,observed!$A$2:$N$138,14,FALSE)</f>
        <v>63.97</v>
      </c>
      <c r="J132" s="10">
        <f>SUM(E132:I132)</f>
        <v>652.62000000000012</v>
      </c>
      <c r="K132" s="57">
        <f>IFERROR(VLOOKUP($A132,md[[route]:[passenger_mile_EV]],7,FALSE),"")</f>
        <v>5.0286068858749999</v>
      </c>
      <c r="L132" s="57">
        <f>IFERROR(VLOOKUP($A132,md[[route]:[passenger_mile_EV]],8,FALSE),"")</f>
        <v>77.614604771318</v>
      </c>
      <c r="M132" s="57">
        <f>IFERROR(VLOOKUP($A132,md[[route]:[passenger_mile_EV]],9,FALSE),"")</f>
        <v>102.20860931541201</v>
      </c>
      <c r="N132" s="57">
        <f>IFERROR(VLOOKUP($A132,md[[route]:[passenger_mile_EV]],10,FALSE),"")</f>
        <v>84.967182222426004</v>
      </c>
      <c r="O132" s="57">
        <f>IFERROR(VLOOKUP($A132,md[[route]:[passenger_mile_EV]],11,FALSE),"")</f>
        <v>55.727193462702999</v>
      </c>
      <c r="P132" s="57">
        <f>SUM(K132:O132)</f>
        <v>325.54619665773401</v>
      </c>
      <c r="Q132" s="225">
        <f t="shared" ref="Q132:Q138" si="11">P132/J132-1</f>
        <v>-0.50117036459542463</v>
      </c>
      <c r="R132" s="239">
        <f t="shared" ref="R132:R138" si="12">POWER((P132-J132),2)</f>
        <v>106977.27283277536</v>
      </c>
    </row>
    <row r="133" spans="1:18" x14ac:dyDescent="0.25">
      <c r="A133" s="5">
        <v>968</v>
      </c>
      <c r="B133" s="5">
        <v>10</v>
      </c>
      <c r="C133" s="5" t="s">
        <v>0</v>
      </c>
      <c r="D133" s="5">
        <v>5</v>
      </c>
      <c r="E133" s="10">
        <f>VLOOKUP($A133,observed!$A$2:$N$138,10,FALSE)</f>
        <v>39.983488372093014</v>
      </c>
      <c r="F133" s="10">
        <f>VLOOKUP($A133,observed!$A$2:$N$138,11,FALSE)</f>
        <v>99.473532904502704</v>
      </c>
      <c r="G133" s="10">
        <f>VLOOKUP($A133,observed!$A$2:$N$138,12,FALSE)</f>
        <v>308.70297872340427</v>
      </c>
      <c r="H133" s="10">
        <f>VLOOKUP($A133,observed!$A$2:$N$138,13,FALSE)</f>
        <v>134.18772727272744</v>
      </c>
      <c r="I133" s="10">
        <f>VLOOKUP($A133,observed!$A$2:$N$138,14,FALSE)</f>
        <v>39.822272727272562</v>
      </c>
      <c r="J133" s="10">
        <f>SUM(E133:I133)</f>
        <v>622.16999999999996</v>
      </c>
      <c r="K133" s="57">
        <f>IFERROR(VLOOKUP($A133,md[[route]:[passenger_mile_EV]],7,FALSE),"")</f>
        <v>9.6481238392739996</v>
      </c>
      <c r="L133" s="57">
        <f>IFERROR(VLOOKUP($A133,md[[route]:[passenger_mile_EV]],8,FALSE),"")</f>
        <v>136.42091937100901</v>
      </c>
      <c r="M133" s="57">
        <f>IFERROR(VLOOKUP($A133,md[[route]:[passenger_mile_EV]],9,FALSE),"")</f>
        <v>161.40230944359701</v>
      </c>
      <c r="N133" s="57">
        <f>IFERROR(VLOOKUP($A133,md[[route]:[passenger_mile_EV]],10,FALSE),"")</f>
        <v>188.163905248243</v>
      </c>
      <c r="O133" s="57">
        <f>IFERROR(VLOOKUP($A133,md[[route]:[passenger_mile_EV]],11,FALSE),"")</f>
        <v>77.673442981704994</v>
      </c>
      <c r="P133" s="57">
        <f>SUM(K133:O133)</f>
        <v>573.30870088382801</v>
      </c>
      <c r="Q133" s="225">
        <f t="shared" si="11"/>
        <v>-7.8533679084770935E-2</v>
      </c>
      <c r="R133" s="239">
        <f t="shared" si="12"/>
        <v>2387.4265513200257</v>
      </c>
    </row>
    <row r="134" spans="1:18" x14ac:dyDescent="0.25">
      <c r="A134" s="5">
        <v>972</v>
      </c>
      <c r="B134" s="5">
        <v>10</v>
      </c>
      <c r="C134" s="5" t="s">
        <v>0</v>
      </c>
      <c r="D134" s="5">
        <v>5</v>
      </c>
      <c r="E134" s="10">
        <f>VLOOKUP($A134,observed!$A$2:$N$138,10,FALSE)</f>
        <v>0</v>
      </c>
      <c r="F134" s="10">
        <f>VLOOKUP($A134,observed!$A$2:$N$138,11,FALSE)</f>
        <v>184.25904761904766</v>
      </c>
      <c r="G134" s="10">
        <f>VLOOKUP($A134,observed!$A$2:$N$138,12,FALSE)</f>
        <v>16.860952380952334</v>
      </c>
      <c r="H134" s="10">
        <f>VLOOKUP($A134,observed!$A$2:$N$138,13,FALSE)</f>
        <v>156.52999999999997</v>
      </c>
      <c r="I134" s="10">
        <f>VLOOKUP($A134,observed!$A$2:$N$138,14,FALSE)</f>
        <v>0</v>
      </c>
      <c r="J134" s="10">
        <f>SUM(E134:I134)</f>
        <v>357.65</v>
      </c>
      <c r="K134" s="57">
        <f>IFERROR(VLOOKUP($A134,md[[route]:[passenger_mile_EV]],7,FALSE),"")</f>
        <v>0</v>
      </c>
      <c r="L134" s="57">
        <f>IFERROR(VLOOKUP($A134,md[[route]:[passenger_mile_EV]],8,FALSE),"")</f>
        <v>194.35414502507501</v>
      </c>
      <c r="M134" s="57">
        <f>IFERROR(VLOOKUP($A134,md[[route]:[passenger_mile_EV]],9,FALSE),"")</f>
        <v>0</v>
      </c>
      <c r="N134" s="57">
        <f>IFERROR(VLOOKUP($A134,md[[route]:[passenger_mile_EV]],10,FALSE),"")</f>
        <v>231.55078636086299</v>
      </c>
      <c r="O134" s="57">
        <f>IFERROR(VLOOKUP($A134,md[[route]:[passenger_mile_EV]],11,FALSE),"")</f>
        <v>0</v>
      </c>
      <c r="P134" s="57">
        <f>SUM(K134:O134)</f>
        <v>425.90493138593797</v>
      </c>
      <c r="Q134" s="225">
        <f t="shared" si="11"/>
        <v>0.19084281108888024</v>
      </c>
      <c r="R134" s="239">
        <f t="shared" si="12"/>
        <v>4658.735658499103</v>
      </c>
    </row>
    <row r="135" spans="1:18" x14ac:dyDescent="0.25">
      <c r="A135" s="5">
        <v>973</v>
      </c>
      <c r="B135" s="5">
        <v>10</v>
      </c>
      <c r="C135" s="5" t="s">
        <v>0</v>
      </c>
      <c r="D135" s="5">
        <v>5</v>
      </c>
      <c r="E135" s="10">
        <f>VLOOKUP($A135,observed!$A$2:$N$138,10,FALSE)</f>
        <v>0</v>
      </c>
      <c r="F135" s="10">
        <f>VLOOKUP($A135,observed!$A$2:$N$138,11,FALSE)</f>
        <v>151.13999999999999</v>
      </c>
      <c r="G135" s="10">
        <f>VLOOKUP($A135,observed!$A$2:$N$138,12,FALSE)</f>
        <v>0</v>
      </c>
      <c r="H135" s="10">
        <f>VLOOKUP($A135,observed!$A$2:$N$138,13,FALSE)</f>
        <v>188.94</v>
      </c>
      <c r="I135" s="10">
        <f>VLOOKUP($A135,observed!$A$2:$N$138,14,FALSE)</f>
        <v>0</v>
      </c>
      <c r="J135" s="10">
        <f>SUM(E135:I135)</f>
        <v>340.08</v>
      </c>
      <c r="K135" s="57">
        <f>IFERROR(VLOOKUP($A135,md[[route]:[passenger_mile_EV]],7,FALSE),"")</f>
        <v>0</v>
      </c>
      <c r="L135" s="57">
        <f>IFERROR(VLOOKUP($A135,md[[route]:[passenger_mile_EV]],8,FALSE),"")</f>
        <v>246.421177066344</v>
      </c>
      <c r="M135" s="57">
        <f>IFERROR(VLOOKUP($A135,md[[route]:[passenger_mile_EV]],9,FALSE),"")</f>
        <v>0</v>
      </c>
      <c r="N135" s="57">
        <f>IFERROR(VLOOKUP($A135,md[[route]:[passenger_mile_EV]],10,FALSE),"")</f>
        <v>234.26407840934201</v>
      </c>
      <c r="O135" s="57">
        <f>IFERROR(VLOOKUP($A135,md[[route]:[passenger_mile_EV]],11,FALSE),"")</f>
        <v>0</v>
      </c>
      <c r="P135" s="57">
        <f>SUM(K135:O135)</f>
        <v>480.68525547568601</v>
      </c>
      <c r="Q135" s="225">
        <f t="shared" si="11"/>
        <v>0.41344758726089759</v>
      </c>
      <c r="R135" s="239">
        <f t="shared" si="12"/>
        <v>19769.837867382936</v>
      </c>
    </row>
    <row r="136" spans="1:18" x14ac:dyDescent="0.25">
      <c r="A136" s="5">
        <v>978</v>
      </c>
      <c r="B136" s="5">
        <v>10</v>
      </c>
      <c r="C136" s="5" t="s">
        <v>0</v>
      </c>
      <c r="D136" s="5">
        <v>5</v>
      </c>
      <c r="E136" s="10">
        <f>VLOOKUP($A136,observed!$A$2:$N$138,10,FALSE)</f>
        <v>0</v>
      </c>
      <c r="F136" s="10">
        <f>VLOOKUP($A136,observed!$A$2:$N$138,11,FALSE)</f>
        <v>142.72</v>
      </c>
      <c r="G136" s="10">
        <f>VLOOKUP($A136,observed!$A$2:$N$138,12,FALSE)</f>
        <v>0</v>
      </c>
      <c r="H136" s="10">
        <f>VLOOKUP($A136,observed!$A$2:$N$138,13,FALSE)</f>
        <v>138.08000000000001</v>
      </c>
      <c r="I136" s="10">
        <f>VLOOKUP($A136,observed!$A$2:$N$138,14,FALSE)</f>
        <v>0</v>
      </c>
      <c r="J136" s="10">
        <f>SUM(E136:I136)</f>
        <v>280.8</v>
      </c>
      <c r="K136" s="57">
        <f>IFERROR(VLOOKUP($A136,md[[route]:[passenger_mile_EV]],7,FALSE),"")</f>
        <v>0</v>
      </c>
      <c r="L136" s="57">
        <f>IFERROR(VLOOKUP($A136,md[[route]:[passenger_mile_EV]],8,FALSE),"")</f>
        <v>173.38914288051399</v>
      </c>
      <c r="M136" s="57">
        <f>IFERROR(VLOOKUP($A136,md[[route]:[passenger_mile_EV]],9,FALSE),"")</f>
        <v>0</v>
      </c>
      <c r="N136" s="57">
        <f>IFERROR(VLOOKUP($A136,md[[route]:[passenger_mile_EV]],10,FALSE),"")</f>
        <v>157.909987316491</v>
      </c>
      <c r="O136" s="57">
        <f>IFERROR(VLOOKUP($A136,md[[route]:[passenger_mile_EV]],11,FALSE),"")</f>
        <v>0</v>
      </c>
      <c r="P136" s="57">
        <f>SUM(K136:O136)</f>
        <v>331.29913019700496</v>
      </c>
      <c r="Q136" s="225">
        <f t="shared" si="11"/>
        <v>0.17984020725429106</v>
      </c>
      <c r="R136" s="239">
        <f t="shared" si="12"/>
        <v>2550.1621506540569</v>
      </c>
    </row>
    <row r="137" spans="1:18" x14ac:dyDescent="0.25">
      <c r="A137" s="5">
        <v>979</v>
      </c>
      <c r="B137" s="5">
        <v>10</v>
      </c>
      <c r="C137" s="5" t="s">
        <v>0</v>
      </c>
      <c r="D137" s="5">
        <v>5</v>
      </c>
      <c r="E137" s="10">
        <f>VLOOKUP($A137,observed!$A$2:$N$138,10,FALSE)</f>
        <v>0</v>
      </c>
      <c r="F137" s="10">
        <f>VLOOKUP($A137,observed!$A$2:$N$138,11,FALSE)</f>
        <v>92.37</v>
      </c>
      <c r="G137" s="10">
        <f>VLOOKUP($A137,observed!$A$2:$N$138,12,FALSE)</f>
        <v>0</v>
      </c>
      <c r="H137" s="10">
        <f>VLOOKUP($A137,observed!$A$2:$N$138,13,FALSE)</f>
        <v>117.88000000000001</v>
      </c>
      <c r="I137" s="10">
        <f>VLOOKUP($A137,observed!$A$2:$N$138,14,FALSE)</f>
        <v>0</v>
      </c>
      <c r="J137" s="10">
        <f t="shared" ref="J137:J138" si="13">SUM(E137:I137)</f>
        <v>210.25</v>
      </c>
      <c r="K137" s="57">
        <f>IFERROR(VLOOKUP($A137,md[[route]:[passenger_mile_EV]],7,FALSE),"")</f>
        <v>0</v>
      </c>
      <c r="L137" s="57">
        <f>IFERROR(VLOOKUP($A137,md[[route]:[passenger_mile_EV]],8,FALSE),"")</f>
        <v>298.91211883353202</v>
      </c>
      <c r="M137" s="57">
        <f>IFERROR(VLOOKUP($A137,md[[route]:[passenger_mile_EV]],9,FALSE),"")</f>
        <v>0</v>
      </c>
      <c r="N137" s="57">
        <f>IFERROR(VLOOKUP($A137,md[[route]:[passenger_mile_EV]],10,FALSE),"")</f>
        <v>385.063163496865</v>
      </c>
      <c r="O137" s="57">
        <f>IFERROR(VLOOKUP($A137,md[[route]:[passenger_mile_EV]],11,FALSE),"")</f>
        <v>0</v>
      </c>
      <c r="P137" s="57">
        <f t="shared" ref="P137:P138" si="14">SUM(K137:O137)</f>
        <v>683.97528233039702</v>
      </c>
      <c r="Q137" s="225">
        <f t="shared" si="11"/>
        <v>2.2531523535333986</v>
      </c>
      <c r="R137" s="239">
        <f t="shared" si="12"/>
        <v>224415.64311901436</v>
      </c>
    </row>
    <row r="138" spans="1:18" x14ac:dyDescent="0.25">
      <c r="A138" s="5">
        <v>992</v>
      </c>
      <c r="B138" s="5">
        <v>10</v>
      </c>
      <c r="C138" s="5" t="s">
        <v>0</v>
      </c>
      <c r="D138" s="5">
        <v>5</v>
      </c>
      <c r="E138" s="10">
        <f>VLOOKUP($A138,observed!$A$2:$N$138,10,FALSE)</f>
        <v>131.88575000000003</v>
      </c>
      <c r="F138" s="10">
        <f>VLOOKUP($A138,observed!$A$2:$N$138,11,FALSE)</f>
        <v>458.27616489361714</v>
      </c>
      <c r="G138" s="10">
        <f>VLOOKUP($A138,observed!$A$2:$N$138,12,FALSE)</f>
        <v>1344.9066851063819</v>
      </c>
      <c r="H138" s="10">
        <f>VLOOKUP($A138,observed!$A$2:$N$138,13,FALSE)</f>
        <v>540.24340000000166</v>
      </c>
      <c r="I138" s="10">
        <f>VLOOKUP($A138,observed!$A$2:$N$138,14,FALSE)</f>
        <v>492.28799999999956</v>
      </c>
      <c r="J138" s="10">
        <f t="shared" si="13"/>
        <v>2967.6000000000004</v>
      </c>
      <c r="K138" s="57">
        <f>IFERROR(VLOOKUP($A138,md[[route]:[passenger_mile_EV]],7,FALSE),"")</f>
        <v>191.80614926394401</v>
      </c>
      <c r="L138" s="57">
        <f>IFERROR(VLOOKUP($A138,md[[route]:[passenger_mile_EV]],8,FALSE),"")</f>
        <v>631.57253473983906</v>
      </c>
      <c r="M138" s="57">
        <f>IFERROR(VLOOKUP($A138,md[[route]:[passenger_mile_EV]],9,FALSE),"")</f>
        <v>655.84816698788097</v>
      </c>
      <c r="N138" s="57">
        <f>IFERROR(VLOOKUP($A138,md[[route]:[passenger_mile_EV]],10,FALSE),"")</f>
        <v>825.50379392364403</v>
      </c>
      <c r="O138" s="57">
        <f>IFERROR(VLOOKUP($A138,md[[route]:[passenger_mile_EV]],11,FALSE),"")</f>
        <v>319.37759568902402</v>
      </c>
      <c r="P138" s="57">
        <f t="shared" si="14"/>
        <v>2624.108240604332</v>
      </c>
      <c r="Q138" s="225">
        <f t="shared" si="11"/>
        <v>-0.11574732423361245</v>
      </c>
      <c r="R138" s="239">
        <f t="shared" si="12"/>
        <v>117986.58877273175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26"/>
  <sheetViews>
    <sheetView workbookViewId="0">
      <selection activeCell="P39" sqref="P39"/>
    </sheetView>
  </sheetViews>
  <sheetFormatPr defaultRowHeight="15" x14ac:dyDescent="0.25"/>
  <cols>
    <col min="1" max="1" width="15" bestFit="1" customWidth="1"/>
    <col min="11" max="12" width="9.140625" style="5"/>
  </cols>
  <sheetData>
    <row r="1" spans="1:15" x14ac:dyDescent="0.25">
      <c r="A1" t="s">
        <v>39</v>
      </c>
      <c r="B1" t="s">
        <v>40</v>
      </c>
      <c r="H1" t="s">
        <v>51</v>
      </c>
      <c r="I1">
        <v>0</v>
      </c>
      <c r="J1">
        <f>I1</f>
        <v>0</v>
      </c>
      <c r="K1" s="5">
        <f>J1</f>
        <v>0</v>
      </c>
      <c r="M1" s="2">
        <v>0</v>
      </c>
      <c r="N1">
        <f>M1</f>
        <v>0</v>
      </c>
      <c r="O1">
        <f>N1</f>
        <v>0</v>
      </c>
    </row>
    <row r="2" spans="1:15" x14ac:dyDescent="0.25">
      <c r="A2" t="s">
        <v>12</v>
      </c>
      <c r="B2">
        <v>1</v>
      </c>
      <c r="I2" s="2">
        <f>MAX(D11:D12)</f>
        <v>54526.682890000004</v>
      </c>
      <c r="J2" s="2">
        <f>ROUND(I2,-4)</f>
        <v>50000</v>
      </c>
      <c r="K2" s="5">
        <f>J2</f>
        <v>50000</v>
      </c>
      <c r="L2" s="2"/>
      <c r="M2" s="2">
        <f>MAX(F11:F12)</f>
        <v>438825.20776337932</v>
      </c>
      <c r="N2">
        <f>ROUND(M2,-4)</f>
        <v>440000</v>
      </c>
      <c r="O2">
        <f>N2</f>
        <v>440000</v>
      </c>
    </row>
    <row r="3" spans="1:15" x14ac:dyDescent="0.25">
      <c r="A3" t="s">
        <v>13</v>
      </c>
      <c r="B3">
        <v>2</v>
      </c>
      <c r="M3" s="2"/>
    </row>
    <row r="4" spans="1:15" x14ac:dyDescent="0.25">
      <c r="A4" t="s">
        <v>9</v>
      </c>
      <c r="B4">
        <v>3</v>
      </c>
      <c r="H4" t="s">
        <v>52</v>
      </c>
      <c r="I4">
        <v>0</v>
      </c>
      <c r="J4">
        <f>I4</f>
        <v>0</v>
      </c>
      <c r="K4" s="5">
        <f>J4</f>
        <v>0</v>
      </c>
      <c r="M4" s="2">
        <v>0</v>
      </c>
      <c r="N4">
        <f>M4</f>
        <v>0</v>
      </c>
      <c r="O4">
        <f>N4</f>
        <v>0</v>
      </c>
    </row>
    <row r="5" spans="1:15" x14ac:dyDescent="0.25">
      <c r="A5" t="s">
        <v>14</v>
      </c>
      <c r="B5">
        <v>4</v>
      </c>
      <c r="I5" s="2">
        <f>MAX(D13:D15)</f>
        <v>9475.174371000001</v>
      </c>
      <c r="J5" s="2">
        <f>ROUND(I5,-4)</f>
        <v>10000</v>
      </c>
      <c r="K5" s="2">
        <f>J5</f>
        <v>10000</v>
      </c>
      <c r="L5" s="2"/>
      <c r="M5" s="2">
        <f>MAX(F13:F15)</f>
        <v>106894.54603989831</v>
      </c>
      <c r="N5" s="2">
        <f>ROUND(M5,-4)</f>
        <v>110000</v>
      </c>
      <c r="O5">
        <f>N5</f>
        <v>110000</v>
      </c>
    </row>
    <row r="6" spans="1:15" x14ac:dyDescent="0.25">
      <c r="A6" t="s">
        <v>11</v>
      </c>
      <c r="B6">
        <v>5</v>
      </c>
    </row>
    <row r="7" spans="1:15" x14ac:dyDescent="0.25">
      <c r="A7" t="s">
        <v>10</v>
      </c>
      <c r="B7">
        <v>6</v>
      </c>
      <c r="H7" t="s">
        <v>89</v>
      </c>
      <c r="M7">
        <v>0</v>
      </c>
      <c r="N7">
        <f>M7</f>
        <v>0</v>
      </c>
    </row>
    <row r="8" spans="1:15" x14ac:dyDescent="0.25">
      <c r="A8" t="s">
        <v>0</v>
      </c>
      <c r="B8">
        <v>7</v>
      </c>
      <c r="M8" s="2">
        <f>MAX(pm!P26:P138)</f>
        <v>47388.844845748754</v>
      </c>
      <c r="N8" s="2">
        <f>M8</f>
        <v>47388.844845748754</v>
      </c>
    </row>
    <row r="10" spans="1:15" x14ac:dyDescent="0.25">
      <c r="C10" t="s">
        <v>48</v>
      </c>
      <c r="D10" t="s">
        <v>49</v>
      </c>
      <c r="E10" t="s">
        <v>48</v>
      </c>
      <c r="F10" t="s">
        <v>49</v>
      </c>
      <c r="H10" t="s">
        <v>57</v>
      </c>
      <c r="M10">
        <v>0</v>
      </c>
      <c r="N10">
        <f>M10</f>
        <v>0</v>
      </c>
    </row>
    <row r="11" spans="1:15" x14ac:dyDescent="0.25">
      <c r="A11" t="s">
        <v>12</v>
      </c>
      <c r="C11" s="2">
        <f>MIN(bd!$P2)</f>
        <v>5225.5496220000005</v>
      </c>
      <c r="D11" s="2">
        <f>MAX(bd!$P2)</f>
        <v>5225.5496220000005</v>
      </c>
      <c r="E11" s="2">
        <f>MIN(pm!$P2)</f>
        <v>134234.80495487805</v>
      </c>
      <c r="F11" s="2">
        <f>MAX(pm!$P2)</f>
        <v>134234.80495487805</v>
      </c>
      <c r="M11" s="2">
        <f>ROUND(MAX(pm!P2:P138),-4)</f>
        <v>440000</v>
      </c>
      <c r="N11" s="5">
        <f>M11</f>
        <v>440000</v>
      </c>
    </row>
    <row r="12" spans="1:15" x14ac:dyDescent="0.25">
      <c r="A12" t="s">
        <v>13</v>
      </c>
      <c r="C12" s="2">
        <f>MIN(bd!$P3:P6)</f>
        <v>15216.693564000001</v>
      </c>
      <c r="D12" s="2">
        <f>MAX(bd!$P3:P6)</f>
        <v>54526.682890000004</v>
      </c>
      <c r="E12" s="2">
        <f>MIN(pm!L3:$P6)</f>
        <v>12283.161513701019</v>
      </c>
      <c r="F12" s="2">
        <f>MAX(pm!L3:$P6)</f>
        <v>438825.20776337932</v>
      </c>
    </row>
    <row r="13" spans="1:15" x14ac:dyDescent="0.25">
      <c r="A13" t="s">
        <v>9</v>
      </c>
      <c r="C13" s="2">
        <f>MIN(bd!$P7:P16)</f>
        <v>170.48261400000001</v>
      </c>
      <c r="D13" s="2">
        <f>MAX(bd!$P7:P16)</f>
        <v>4100.025678</v>
      </c>
      <c r="E13" s="2">
        <f>MIN(pm!L7:$P16)</f>
        <v>0</v>
      </c>
      <c r="F13" s="2">
        <f>MAX(pm!L7:$P16)</f>
        <v>27654.54387550578</v>
      </c>
    </row>
    <row r="14" spans="1:15" x14ac:dyDescent="0.25">
      <c r="A14" t="s">
        <v>50</v>
      </c>
      <c r="C14" s="2">
        <f>MIN(bd!$P17:P25)</f>
        <v>0</v>
      </c>
      <c r="D14" s="2">
        <f>MAX(bd!$P17:P25)</f>
        <v>9475.174371000001</v>
      </c>
      <c r="E14" s="2">
        <f>MIN(pm!L17:$P25)</f>
        <v>0</v>
      </c>
      <c r="F14" s="2">
        <f>MAX(pm!L17:$P25)</f>
        <v>106894.54603989831</v>
      </c>
    </row>
    <row r="15" spans="1:15" x14ac:dyDescent="0.25">
      <c r="A15" t="s">
        <v>0</v>
      </c>
      <c r="C15" s="2">
        <f>MIN(bd!$P26:P138)</f>
        <v>21.402933000000001</v>
      </c>
      <c r="D15" s="2">
        <f>MAX(bd!$P26:P138)</f>
        <v>7746.0251339999995</v>
      </c>
      <c r="E15" s="2">
        <f>MIN(pm!L26:$P136)</f>
        <v>0</v>
      </c>
      <c r="F15" s="2">
        <f>MAX(pm!L26:$P136)</f>
        <v>47388.844845748754</v>
      </c>
    </row>
    <row r="16" spans="1:15" x14ac:dyDescent="0.25">
      <c r="D16" s="2">
        <f>MAX(D11:D15)</f>
        <v>54526.682890000004</v>
      </c>
      <c r="E16" s="2"/>
      <c r="F16" s="2">
        <f t="shared" ref="F16" si="0">MAX(F11:F15)</f>
        <v>438825.20776337932</v>
      </c>
    </row>
    <row r="20" spans="1:5" x14ac:dyDescent="0.25">
      <c r="A20" t="s">
        <v>53</v>
      </c>
    </row>
    <row r="21" spans="1:5" x14ac:dyDescent="0.25">
      <c r="A21">
        <v>0</v>
      </c>
      <c r="B21">
        <f>A21</f>
        <v>0</v>
      </c>
      <c r="D21">
        <v>0</v>
      </c>
      <c r="E21">
        <f>D21</f>
        <v>0</v>
      </c>
    </row>
    <row r="22" spans="1:5" x14ac:dyDescent="0.25">
      <c r="A22" s="128">
        <v>200000</v>
      </c>
      <c r="B22" s="128">
        <f>A22</f>
        <v>200000</v>
      </c>
      <c r="D22" s="2">
        <f>ROUND(D16,-4)</f>
        <v>50000</v>
      </c>
      <c r="E22" s="2">
        <f>D22</f>
        <v>50000</v>
      </c>
    </row>
    <row r="24" spans="1:5" x14ac:dyDescent="0.25">
      <c r="A24" t="s">
        <v>54</v>
      </c>
    </row>
    <row r="25" spans="1:5" x14ac:dyDescent="0.25">
      <c r="A25">
        <v>0</v>
      </c>
      <c r="B25">
        <f>A25</f>
        <v>0</v>
      </c>
    </row>
    <row r="26" spans="1:5" x14ac:dyDescent="0.25">
      <c r="A26" s="128">
        <v>900000</v>
      </c>
      <c r="B26" s="128">
        <f>A26</f>
        <v>900000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8F1CE0-4BB0-4D88-AA07-50900F42C1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readme</vt:lpstr>
      <vt:lpstr>observed</vt:lpstr>
      <vt:lpstr>sum_by_mode</vt:lpstr>
      <vt:lpstr>chart_by_mode</vt:lpstr>
      <vt:lpstr>sum_boarding_by_line</vt:lpstr>
      <vt:lpstr>chart_boarding_by_line</vt:lpstr>
      <vt:lpstr>sum_passenger_mile_line</vt:lpstr>
      <vt:lpstr>chart_passenger_mile_line</vt:lpstr>
      <vt:lpstr>abm2_mode</vt:lpstr>
      <vt:lpstr>bd</vt:lpstr>
      <vt:lpstr>pm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</dc:creator>
  <cp:lastModifiedBy>Ma, Yun</cp:lastModifiedBy>
  <dcterms:created xsi:type="dcterms:W3CDTF">2017-07-04T05:48:34Z</dcterms:created>
  <dcterms:modified xsi:type="dcterms:W3CDTF">2019-02-14T06:45:56Z</dcterms:modified>
</cp:coreProperties>
</file>