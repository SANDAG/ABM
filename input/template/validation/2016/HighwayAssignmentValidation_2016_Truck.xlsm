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ABM\release\ABM\version_14_1_1\template\validation\2016\"/>
    </mc:Choice>
  </mc:AlternateContent>
  <xr:revisionPtr revIDLastSave="0" documentId="13_ncr:1_{A1588865-128E-4125-9882-365D0A4A2076}" xr6:coauthVersionLast="41" xr6:coauthVersionMax="41" xr10:uidLastSave="{00000000-0000-0000-0000-000000000000}"/>
  <bookViews>
    <workbookView xWindow="-120" yWindow="-120" windowWidth="29040" windowHeight="17640" tabRatio="732" xr2:uid="{00000000-000D-0000-FFFF-FFFF00000000}"/>
  </bookViews>
  <sheets>
    <sheet name="readme" sheetId="3" r:id="rId1"/>
    <sheet name="Verified_Counts" sheetId="14" r:id="rId2"/>
    <sheet name="Estimated_Counts" sheetId="17" r:id="rId3"/>
    <sheet name="raw" sheetId="15" state="hidden" r:id="rId4"/>
    <sheet name="2016" sheetId="13" state="hidden" r:id="rId5"/>
    <sheet name="boarding" sheetId="4" state="hidden" r:id="rId6"/>
    <sheet name="pm" sheetId="7" state="hidden" r:id="rId7"/>
  </sheets>
  <externalReferences>
    <externalReference r:id="rId8"/>
    <externalReference r:id="rId9"/>
  </externalReferences>
  <definedNames>
    <definedName name="count_a">INDEX([1]!class[#Data],1114,10):INDEX([1]!class[#Data],1885,10)</definedName>
    <definedName name="count_c">INDEX([1]!class[#Data],1886,10):INDEX([1]!class[#Data],2661,10)</definedName>
    <definedName name="count_f">INDEX([1]!class[#Data],1,10):INDEX([1]!class[#Data],670,10)</definedName>
    <definedName name="count_r">INDEX([1]!class[#Data],671,10):INDEX([1]!class[#Data],1113,10)</definedName>
    <definedName name="ExternalData_1" localSheetId="0" hidden="1">readme!$J$2:$M$38</definedName>
    <definedName name="ExternalData_2" localSheetId="0" hidden="1">readme!#REF!</definedName>
    <definedName name="flow_a">INDEX([1]!class[#Data],1114,11):INDEX([1]!class[#Data],1885,11)</definedName>
    <definedName name="flow_c">INDEX([1]!class[#Data],1886,11):INDEX([1]!class[#Data],2661,11)</definedName>
    <definedName name="flow_f">INDEX([1]!class[#Data],1,11):INDEX([1]!class[#Data],670,11)</definedName>
    <definedName name="flow_r">INDEX([1]!class[#Data],671,11):INDEX([1]!class[#Data],1113,11)</definedName>
    <definedName name="socioeca8.sandag.org_abm2_tk" localSheetId="0" hidden="1">readme!$E$2:$H$37</definedName>
    <definedName name="sql2014a8.sandag.org_ws_Transit2015table" localSheetId="0" hidden="1">readme!#REF!</definedName>
    <definedName name="x2_a">INDEX([1]!class[#Data],1114,14):INDEX([1]!class[#Data],1885,14)</definedName>
    <definedName name="x2_c">INDEX([1]!class[#Data],1886,14):INDEX([1]!class[#Data],2661,14)</definedName>
    <definedName name="x2_f">INDEX([1]!class[#Data],1,14):INDEX([1]!class[#Data],670,14)</definedName>
    <definedName name="x2_r">INDEX([1]!class[#Data],671,14):INDEX([1]!class[#Data],1113,14)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3" l="1"/>
  <c r="H37" i="3" l="1"/>
  <c r="G37" i="3"/>
  <c r="F37" i="3"/>
  <c r="E37" i="3"/>
  <c r="H36" i="3"/>
  <c r="G36" i="3"/>
  <c r="F36" i="3"/>
  <c r="E36" i="3"/>
  <c r="H35" i="3"/>
  <c r="G35" i="3"/>
  <c r="F35" i="3"/>
  <c r="E35" i="3"/>
  <c r="H34" i="3"/>
  <c r="G34" i="3"/>
  <c r="F34" i="3"/>
  <c r="E34" i="3"/>
  <c r="H33" i="3"/>
  <c r="G33" i="3"/>
  <c r="F33" i="3"/>
  <c r="E33" i="3"/>
  <c r="H32" i="3"/>
  <c r="G32" i="3"/>
  <c r="F32" i="3"/>
  <c r="E32" i="3"/>
  <c r="H31" i="3"/>
  <c r="G31" i="3"/>
  <c r="F31" i="3"/>
  <c r="E31" i="3"/>
  <c r="H30" i="3"/>
  <c r="G30" i="3"/>
  <c r="F30" i="3"/>
  <c r="E30" i="3"/>
  <c r="H29" i="3"/>
  <c r="G29" i="3"/>
  <c r="F29" i="3"/>
  <c r="E29" i="3"/>
  <c r="H28" i="3"/>
  <c r="G28" i="3"/>
  <c r="F28" i="3"/>
  <c r="E28" i="3"/>
  <c r="H27" i="3"/>
  <c r="G27" i="3"/>
  <c r="F27" i="3"/>
  <c r="E27" i="3"/>
  <c r="H26" i="3"/>
  <c r="G26" i="3"/>
  <c r="F26" i="3"/>
  <c r="E26" i="3"/>
  <c r="H25" i="3"/>
  <c r="G25" i="3"/>
  <c r="F25" i="3"/>
  <c r="E25" i="3"/>
  <c r="H24" i="3"/>
  <c r="G24" i="3"/>
  <c r="F24" i="3"/>
  <c r="E24" i="3"/>
  <c r="H23" i="3"/>
  <c r="G23" i="3"/>
  <c r="F23" i="3"/>
  <c r="E23" i="3"/>
  <c r="H22" i="3"/>
  <c r="G22" i="3"/>
  <c r="F22" i="3"/>
  <c r="E22" i="3"/>
  <c r="H21" i="3"/>
  <c r="G21" i="3"/>
  <c r="F21" i="3"/>
  <c r="E21" i="3"/>
  <c r="H20" i="3"/>
  <c r="G20" i="3"/>
  <c r="F20" i="3"/>
  <c r="E20" i="3"/>
  <c r="H19" i="3"/>
  <c r="G19" i="3"/>
  <c r="F19" i="3"/>
  <c r="E19" i="3"/>
  <c r="H18" i="3"/>
  <c r="G18" i="3"/>
  <c r="F18" i="3"/>
  <c r="E18" i="3"/>
  <c r="H17" i="3"/>
  <c r="G17" i="3"/>
  <c r="F17" i="3"/>
  <c r="E17" i="3"/>
  <c r="H16" i="3"/>
  <c r="G16" i="3"/>
  <c r="F16" i="3"/>
  <c r="E16" i="3"/>
  <c r="H15" i="3"/>
  <c r="G15" i="3"/>
  <c r="F15" i="3"/>
  <c r="E15" i="3"/>
  <c r="H14" i="3"/>
  <c r="G14" i="3"/>
  <c r="F14" i="3"/>
  <c r="E14" i="3"/>
  <c r="H13" i="3"/>
  <c r="G13" i="3"/>
  <c r="F13" i="3"/>
  <c r="E13" i="3"/>
  <c r="H12" i="3"/>
  <c r="G12" i="3"/>
  <c r="F12" i="3"/>
  <c r="E12" i="3"/>
  <c r="H11" i="3"/>
  <c r="G11" i="3"/>
  <c r="F11" i="3"/>
  <c r="E11" i="3"/>
  <c r="H10" i="3"/>
  <c r="G10" i="3"/>
  <c r="F10" i="3"/>
  <c r="E10" i="3"/>
  <c r="H9" i="3"/>
  <c r="G9" i="3"/>
  <c r="F9" i="3"/>
  <c r="E9" i="3"/>
  <c r="H8" i="3"/>
  <c r="G8" i="3"/>
  <c r="F8" i="3"/>
  <c r="E8" i="3"/>
  <c r="H7" i="3"/>
  <c r="G7" i="3"/>
  <c r="F7" i="3"/>
  <c r="E7" i="3"/>
  <c r="H6" i="3"/>
  <c r="G6" i="3"/>
  <c r="F6" i="3"/>
  <c r="E6" i="3"/>
  <c r="H5" i="3"/>
  <c r="G5" i="3"/>
  <c r="F5" i="3"/>
  <c r="E5" i="3"/>
  <c r="H4" i="3"/>
  <c r="G4" i="3"/>
  <c r="F4" i="3"/>
  <c r="E4" i="3"/>
  <c r="H3" i="3"/>
  <c r="G3" i="3"/>
  <c r="F3" i="3"/>
  <c r="E3" i="3"/>
  <c r="J3" i="3"/>
  <c r="M3" i="3" l="1"/>
  <c r="W4" i="17"/>
  <c r="X4" i="17" s="1"/>
  <c r="W3" i="17"/>
  <c r="X3" i="17" s="1"/>
  <c r="M38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J4" i="3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E39" i="14" l="1"/>
  <c r="F39" i="14" s="1"/>
  <c r="E38" i="14"/>
  <c r="F38" i="14" s="1"/>
  <c r="E37" i="14"/>
  <c r="F37" i="14" s="1"/>
  <c r="E36" i="14"/>
  <c r="F36" i="14" s="1"/>
  <c r="E35" i="14"/>
  <c r="F35" i="14" s="1"/>
  <c r="E34" i="14"/>
  <c r="F34" i="14" s="1"/>
  <c r="E33" i="14"/>
  <c r="F33" i="14" s="1"/>
  <c r="E32" i="14"/>
  <c r="F32" i="14" s="1"/>
  <c r="E31" i="14"/>
  <c r="F31" i="14" s="1"/>
  <c r="E30" i="14"/>
  <c r="F30" i="14" s="1"/>
  <c r="E29" i="14"/>
  <c r="F29" i="14" s="1"/>
  <c r="E28" i="14"/>
  <c r="F28" i="14" s="1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4" i="17" l="1"/>
  <c r="D12" i="17"/>
  <c r="E11" i="17"/>
  <c r="F11" i="17" s="1"/>
  <c r="E10" i="17"/>
  <c r="F10" i="17" s="1"/>
  <c r="E9" i="17"/>
  <c r="E8" i="17"/>
  <c r="F8" i="17" s="1"/>
  <c r="E7" i="17"/>
  <c r="E6" i="17"/>
  <c r="F6" i="17" s="1"/>
  <c r="E5" i="17"/>
  <c r="F5" i="17" s="1"/>
  <c r="Z3" i="17"/>
  <c r="F4" i="14"/>
  <c r="J3" i="15"/>
  <c r="K3" i="15" s="1"/>
  <c r="J4" i="15"/>
  <c r="K4" i="15" s="1"/>
  <c r="J5" i="15"/>
  <c r="K5" i="15" s="1"/>
  <c r="J6" i="15"/>
  <c r="K6" i="15" s="1"/>
  <c r="J7" i="15"/>
  <c r="K7" i="15" s="1"/>
  <c r="J8" i="15"/>
  <c r="K8" i="15" s="1"/>
  <c r="J9" i="15"/>
  <c r="K9" i="15" s="1"/>
  <c r="J10" i="15"/>
  <c r="K10" i="15" s="1"/>
  <c r="J11" i="15"/>
  <c r="K11" i="15" s="1"/>
  <c r="J12" i="15"/>
  <c r="K12" i="15" s="1"/>
  <c r="J13" i="15"/>
  <c r="K13" i="15" s="1"/>
  <c r="J14" i="15"/>
  <c r="K14" i="15" s="1"/>
  <c r="J15" i="15"/>
  <c r="K15" i="15" s="1"/>
  <c r="J16" i="15"/>
  <c r="K16" i="15" s="1"/>
  <c r="J17" i="15"/>
  <c r="K17" i="15" s="1"/>
  <c r="J18" i="15"/>
  <c r="K18" i="15" s="1"/>
  <c r="J19" i="15"/>
  <c r="K19" i="15" s="1"/>
  <c r="J20" i="15"/>
  <c r="K20" i="15" s="1"/>
  <c r="J21" i="15"/>
  <c r="K21" i="15" s="1"/>
  <c r="J22" i="15"/>
  <c r="K22" i="15" s="1"/>
  <c r="J23" i="15"/>
  <c r="K23" i="15" s="1"/>
  <c r="J24" i="15"/>
  <c r="K24" i="15" s="1"/>
  <c r="J25" i="15"/>
  <c r="K25" i="15" s="1"/>
  <c r="J26" i="15"/>
  <c r="K26" i="15" s="1"/>
  <c r="J27" i="15"/>
  <c r="K27" i="15" s="1"/>
  <c r="J28" i="15"/>
  <c r="K28" i="15" s="1"/>
  <c r="J29" i="15"/>
  <c r="K29" i="15" s="1"/>
  <c r="J30" i="15"/>
  <c r="K30" i="15" s="1"/>
  <c r="J31" i="15"/>
  <c r="K31" i="15" s="1"/>
  <c r="J32" i="15"/>
  <c r="K32" i="15" s="1"/>
  <c r="J33" i="15"/>
  <c r="K33" i="15" s="1"/>
  <c r="J2" i="15"/>
  <c r="K2" i="15" s="1"/>
  <c r="F7" i="17" l="1"/>
  <c r="F9" i="17"/>
  <c r="Y4" i="17"/>
  <c r="Z4" i="17" s="1"/>
  <c r="X4" i="14"/>
  <c r="F4" i="17"/>
  <c r="E12" i="17"/>
  <c r="F12" i="17" s="1"/>
  <c r="Y3" i="14"/>
  <c r="Y4" i="14" l="1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U1" i="13" l="1"/>
  <c r="T1" i="13"/>
  <c r="E136" i="7"/>
  <c r="F136" i="7"/>
  <c r="G136" i="7"/>
  <c r="H136" i="7"/>
  <c r="I136" i="7"/>
  <c r="K136" i="7"/>
  <c r="L136" i="7"/>
  <c r="M136" i="7"/>
  <c r="N136" i="7"/>
  <c r="O136" i="7"/>
  <c r="E137" i="7"/>
  <c r="F137" i="7"/>
  <c r="G137" i="7"/>
  <c r="H137" i="7"/>
  <c r="I137" i="7"/>
  <c r="K137" i="7"/>
  <c r="L137" i="7"/>
  <c r="M137" i="7"/>
  <c r="N137" i="7"/>
  <c r="O137" i="7"/>
  <c r="I135" i="7"/>
  <c r="H135" i="7"/>
  <c r="G135" i="7"/>
  <c r="F135" i="7"/>
  <c r="E135" i="7"/>
  <c r="I134" i="7"/>
  <c r="H134" i="7"/>
  <c r="G134" i="7"/>
  <c r="F134" i="7"/>
  <c r="E134" i="7"/>
  <c r="I133" i="7"/>
  <c r="H133" i="7"/>
  <c r="G133" i="7"/>
  <c r="F133" i="7"/>
  <c r="E133" i="7"/>
  <c r="I132" i="7"/>
  <c r="H132" i="7"/>
  <c r="G132" i="7"/>
  <c r="F132" i="7"/>
  <c r="E132" i="7"/>
  <c r="I131" i="7"/>
  <c r="H131" i="7"/>
  <c r="G131" i="7"/>
  <c r="F131" i="7"/>
  <c r="E131" i="7"/>
  <c r="I130" i="7"/>
  <c r="H130" i="7"/>
  <c r="G130" i="7"/>
  <c r="F130" i="7"/>
  <c r="E130" i="7"/>
  <c r="I129" i="7"/>
  <c r="H129" i="7"/>
  <c r="G129" i="7"/>
  <c r="F129" i="7"/>
  <c r="E129" i="7"/>
  <c r="I128" i="7"/>
  <c r="H128" i="7"/>
  <c r="G128" i="7"/>
  <c r="F128" i="7"/>
  <c r="E128" i="7"/>
  <c r="I127" i="7"/>
  <c r="H127" i="7"/>
  <c r="G127" i="7"/>
  <c r="F127" i="7"/>
  <c r="E127" i="7"/>
  <c r="I126" i="7"/>
  <c r="H126" i="7"/>
  <c r="G126" i="7"/>
  <c r="F126" i="7"/>
  <c r="E126" i="7"/>
  <c r="I125" i="7"/>
  <c r="H125" i="7"/>
  <c r="G125" i="7"/>
  <c r="F125" i="7"/>
  <c r="E125" i="7"/>
  <c r="I124" i="7"/>
  <c r="H124" i="7"/>
  <c r="G124" i="7"/>
  <c r="F124" i="7"/>
  <c r="E124" i="7"/>
  <c r="I123" i="7"/>
  <c r="H123" i="7"/>
  <c r="G123" i="7"/>
  <c r="F123" i="7"/>
  <c r="E123" i="7"/>
  <c r="I122" i="7"/>
  <c r="H122" i="7"/>
  <c r="G122" i="7"/>
  <c r="F122" i="7"/>
  <c r="E122" i="7"/>
  <c r="I121" i="7"/>
  <c r="H121" i="7"/>
  <c r="G121" i="7"/>
  <c r="F121" i="7"/>
  <c r="E121" i="7"/>
  <c r="I120" i="7"/>
  <c r="H120" i="7"/>
  <c r="G120" i="7"/>
  <c r="F120" i="7"/>
  <c r="E120" i="7"/>
  <c r="I119" i="7"/>
  <c r="H119" i="7"/>
  <c r="G119" i="7"/>
  <c r="F119" i="7"/>
  <c r="E119" i="7"/>
  <c r="I118" i="7"/>
  <c r="H118" i="7"/>
  <c r="G118" i="7"/>
  <c r="F118" i="7"/>
  <c r="E118" i="7"/>
  <c r="I117" i="7"/>
  <c r="H117" i="7"/>
  <c r="G117" i="7"/>
  <c r="F117" i="7"/>
  <c r="E117" i="7"/>
  <c r="I116" i="7"/>
  <c r="H116" i="7"/>
  <c r="G116" i="7"/>
  <c r="F116" i="7"/>
  <c r="E116" i="7"/>
  <c r="I115" i="7"/>
  <c r="H115" i="7"/>
  <c r="G115" i="7"/>
  <c r="F115" i="7"/>
  <c r="E115" i="7"/>
  <c r="I114" i="7"/>
  <c r="H114" i="7"/>
  <c r="G114" i="7"/>
  <c r="F114" i="7"/>
  <c r="E114" i="7"/>
  <c r="I113" i="7"/>
  <c r="H113" i="7"/>
  <c r="G113" i="7"/>
  <c r="F113" i="7"/>
  <c r="E113" i="7"/>
  <c r="I112" i="7"/>
  <c r="H112" i="7"/>
  <c r="G112" i="7"/>
  <c r="F112" i="7"/>
  <c r="E112" i="7"/>
  <c r="I111" i="7"/>
  <c r="H111" i="7"/>
  <c r="G111" i="7"/>
  <c r="F111" i="7"/>
  <c r="E111" i="7"/>
  <c r="I110" i="7"/>
  <c r="H110" i="7"/>
  <c r="G110" i="7"/>
  <c r="F110" i="7"/>
  <c r="E110" i="7"/>
  <c r="I109" i="7"/>
  <c r="H109" i="7"/>
  <c r="G109" i="7"/>
  <c r="F109" i="7"/>
  <c r="E109" i="7"/>
  <c r="I108" i="7"/>
  <c r="H108" i="7"/>
  <c r="G108" i="7"/>
  <c r="F108" i="7"/>
  <c r="E108" i="7"/>
  <c r="I107" i="7"/>
  <c r="H107" i="7"/>
  <c r="G107" i="7"/>
  <c r="F107" i="7"/>
  <c r="E107" i="7"/>
  <c r="I106" i="7"/>
  <c r="H106" i="7"/>
  <c r="G106" i="7"/>
  <c r="F106" i="7"/>
  <c r="E106" i="7"/>
  <c r="I105" i="7"/>
  <c r="H105" i="7"/>
  <c r="G105" i="7"/>
  <c r="F105" i="7"/>
  <c r="E105" i="7"/>
  <c r="I104" i="7"/>
  <c r="H104" i="7"/>
  <c r="G104" i="7"/>
  <c r="F104" i="7"/>
  <c r="E104" i="7"/>
  <c r="I103" i="7"/>
  <c r="H103" i="7"/>
  <c r="G103" i="7"/>
  <c r="F103" i="7"/>
  <c r="E103" i="7"/>
  <c r="I102" i="7"/>
  <c r="H102" i="7"/>
  <c r="G102" i="7"/>
  <c r="F102" i="7"/>
  <c r="E102" i="7"/>
  <c r="I101" i="7"/>
  <c r="H101" i="7"/>
  <c r="G101" i="7"/>
  <c r="F101" i="7"/>
  <c r="E101" i="7"/>
  <c r="I100" i="7"/>
  <c r="H100" i="7"/>
  <c r="G100" i="7"/>
  <c r="F100" i="7"/>
  <c r="E100" i="7"/>
  <c r="I99" i="7"/>
  <c r="H99" i="7"/>
  <c r="G99" i="7"/>
  <c r="F99" i="7"/>
  <c r="E99" i="7"/>
  <c r="I98" i="7"/>
  <c r="H98" i="7"/>
  <c r="G98" i="7"/>
  <c r="F98" i="7"/>
  <c r="E98" i="7"/>
  <c r="I97" i="7"/>
  <c r="H97" i="7"/>
  <c r="G97" i="7"/>
  <c r="F97" i="7"/>
  <c r="E97" i="7"/>
  <c r="I96" i="7"/>
  <c r="H96" i="7"/>
  <c r="G96" i="7"/>
  <c r="F96" i="7"/>
  <c r="E96" i="7"/>
  <c r="I95" i="7"/>
  <c r="H95" i="7"/>
  <c r="G95" i="7"/>
  <c r="F95" i="7"/>
  <c r="E95" i="7"/>
  <c r="I94" i="7"/>
  <c r="H94" i="7"/>
  <c r="G94" i="7"/>
  <c r="F94" i="7"/>
  <c r="E94" i="7"/>
  <c r="I93" i="7"/>
  <c r="H93" i="7"/>
  <c r="G93" i="7"/>
  <c r="F93" i="7"/>
  <c r="E93" i="7"/>
  <c r="I92" i="7"/>
  <c r="H92" i="7"/>
  <c r="G92" i="7"/>
  <c r="F92" i="7"/>
  <c r="E92" i="7"/>
  <c r="I91" i="7"/>
  <c r="H91" i="7"/>
  <c r="G91" i="7"/>
  <c r="F91" i="7"/>
  <c r="E91" i="7"/>
  <c r="I90" i="7"/>
  <c r="H90" i="7"/>
  <c r="G90" i="7"/>
  <c r="F90" i="7"/>
  <c r="E90" i="7"/>
  <c r="I89" i="7"/>
  <c r="H89" i="7"/>
  <c r="G89" i="7"/>
  <c r="F89" i="7"/>
  <c r="E89" i="7"/>
  <c r="I88" i="7"/>
  <c r="H88" i="7"/>
  <c r="G88" i="7"/>
  <c r="F88" i="7"/>
  <c r="E88" i="7"/>
  <c r="I87" i="7"/>
  <c r="H87" i="7"/>
  <c r="G87" i="7"/>
  <c r="F87" i="7"/>
  <c r="E87" i="7"/>
  <c r="I86" i="7"/>
  <c r="H86" i="7"/>
  <c r="G86" i="7"/>
  <c r="F86" i="7"/>
  <c r="E86" i="7"/>
  <c r="I85" i="7"/>
  <c r="H85" i="7"/>
  <c r="G85" i="7"/>
  <c r="F85" i="7"/>
  <c r="E85" i="7"/>
  <c r="I84" i="7"/>
  <c r="H84" i="7"/>
  <c r="G84" i="7"/>
  <c r="F84" i="7"/>
  <c r="E84" i="7"/>
  <c r="I83" i="7"/>
  <c r="H83" i="7"/>
  <c r="G83" i="7"/>
  <c r="F83" i="7"/>
  <c r="E83" i="7"/>
  <c r="I82" i="7"/>
  <c r="H82" i="7"/>
  <c r="G82" i="7"/>
  <c r="F82" i="7"/>
  <c r="E82" i="7"/>
  <c r="I81" i="7"/>
  <c r="H81" i="7"/>
  <c r="G81" i="7"/>
  <c r="F81" i="7"/>
  <c r="E81" i="7"/>
  <c r="I80" i="7"/>
  <c r="H80" i="7"/>
  <c r="G80" i="7"/>
  <c r="F80" i="7"/>
  <c r="E80" i="7"/>
  <c r="I79" i="7"/>
  <c r="H79" i="7"/>
  <c r="G79" i="7"/>
  <c r="F79" i="7"/>
  <c r="E79" i="7"/>
  <c r="I78" i="7"/>
  <c r="H78" i="7"/>
  <c r="G78" i="7"/>
  <c r="F78" i="7"/>
  <c r="E78" i="7"/>
  <c r="I77" i="7"/>
  <c r="H77" i="7"/>
  <c r="G77" i="7"/>
  <c r="F77" i="7"/>
  <c r="E77" i="7"/>
  <c r="I76" i="7"/>
  <c r="H76" i="7"/>
  <c r="G76" i="7"/>
  <c r="F76" i="7"/>
  <c r="E76" i="7"/>
  <c r="I75" i="7"/>
  <c r="H75" i="7"/>
  <c r="G75" i="7"/>
  <c r="F75" i="7"/>
  <c r="E75" i="7"/>
  <c r="I74" i="7"/>
  <c r="H74" i="7"/>
  <c r="G74" i="7"/>
  <c r="F74" i="7"/>
  <c r="E74" i="7"/>
  <c r="I73" i="7"/>
  <c r="H73" i="7"/>
  <c r="G73" i="7"/>
  <c r="F73" i="7"/>
  <c r="E73" i="7"/>
  <c r="I72" i="7"/>
  <c r="H72" i="7"/>
  <c r="G72" i="7"/>
  <c r="F72" i="7"/>
  <c r="E72" i="7"/>
  <c r="I71" i="7"/>
  <c r="H71" i="7"/>
  <c r="G71" i="7"/>
  <c r="F71" i="7"/>
  <c r="E71" i="7"/>
  <c r="I70" i="7"/>
  <c r="H70" i="7"/>
  <c r="G70" i="7"/>
  <c r="F70" i="7"/>
  <c r="E70" i="7"/>
  <c r="I69" i="7"/>
  <c r="H69" i="7"/>
  <c r="G69" i="7"/>
  <c r="F69" i="7"/>
  <c r="E69" i="7"/>
  <c r="I68" i="7"/>
  <c r="H68" i="7"/>
  <c r="G68" i="7"/>
  <c r="F68" i="7"/>
  <c r="E68" i="7"/>
  <c r="I67" i="7"/>
  <c r="H67" i="7"/>
  <c r="G67" i="7"/>
  <c r="F67" i="7"/>
  <c r="E67" i="7"/>
  <c r="I66" i="7"/>
  <c r="H66" i="7"/>
  <c r="G66" i="7"/>
  <c r="F66" i="7"/>
  <c r="E66" i="7"/>
  <c r="I65" i="7"/>
  <c r="H65" i="7"/>
  <c r="G65" i="7"/>
  <c r="F65" i="7"/>
  <c r="E65" i="7"/>
  <c r="I64" i="7"/>
  <c r="H64" i="7"/>
  <c r="G64" i="7"/>
  <c r="F64" i="7"/>
  <c r="E64" i="7"/>
  <c r="I63" i="7"/>
  <c r="H63" i="7"/>
  <c r="G63" i="7"/>
  <c r="F63" i="7"/>
  <c r="E63" i="7"/>
  <c r="I62" i="7"/>
  <c r="H62" i="7"/>
  <c r="G62" i="7"/>
  <c r="F62" i="7"/>
  <c r="E62" i="7"/>
  <c r="I61" i="7"/>
  <c r="H61" i="7"/>
  <c r="G61" i="7"/>
  <c r="F61" i="7"/>
  <c r="E61" i="7"/>
  <c r="I60" i="7"/>
  <c r="H60" i="7"/>
  <c r="G60" i="7"/>
  <c r="F60" i="7"/>
  <c r="E60" i="7"/>
  <c r="I59" i="7"/>
  <c r="H59" i="7"/>
  <c r="G59" i="7"/>
  <c r="F59" i="7"/>
  <c r="E59" i="7"/>
  <c r="I58" i="7"/>
  <c r="H58" i="7"/>
  <c r="G58" i="7"/>
  <c r="F58" i="7"/>
  <c r="E58" i="7"/>
  <c r="I57" i="7"/>
  <c r="H57" i="7"/>
  <c r="G57" i="7"/>
  <c r="F57" i="7"/>
  <c r="E57" i="7"/>
  <c r="I56" i="7"/>
  <c r="H56" i="7"/>
  <c r="G56" i="7"/>
  <c r="F56" i="7"/>
  <c r="E56" i="7"/>
  <c r="I55" i="7"/>
  <c r="H55" i="7"/>
  <c r="G55" i="7"/>
  <c r="F55" i="7"/>
  <c r="E55" i="7"/>
  <c r="I54" i="7"/>
  <c r="H54" i="7"/>
  <c r="G54" i="7"/>
  <c r="F54" i="7"/>
  <c r="E54" i="7"/>
  <c r="I53" i="7"/>
  <c r="H53" i="7"/>
  <c r="G53" i="7"/>
  <c r="F53" i="7"/>
  <c r="E53" i="7"/>
  <c r="I52" i="7"/>
  <c r="H52" i="7"/>
  <c r="G52" i="7"/>
  <c r="F52" i="7"/>
  <c r="E52" i="7"/>
  <c r="I51" i="7"/>
  <c r="H51" i="7"/>
  <c r="G51" i="7"/>
  <c r="F51" i="7"/>
  <c r="E51" i="7"/>
  <c r="I50" i="7"/>
  <c r="H50" i="7"/>
  <c r="G50" i="7"/>
  <c r="F50" i="7"/>
  <c r="E50" i="7"/>
  <c r="I49" i="7"/>
  <c r="H49" i="7"/>
  <c r="G49" i="7"/>
  <c r="F49" i="7"/>
  <c r="E49" i="7"/>
  <c r="I48" i="7"/>
  <c r="H48" i="7"/>
  <c r="G48" i="7"/>
  <c r="F48" i="7"/>
  <c r="E48" i="7"/>
  <c r="I47" i="7"/>
  <c r="H47" i="7"/>
  <c r="G47" i="7"/>
  <c r="F47" i="7"/>
  <c r="E47" i="7"/>
  <c r="I46" i="7"/>
  <c r="H46" i="7"/>
  <c r="G46" i="7"/>
  <c r="F46" i="7"/>
  <c r="E46" i="7"/>
  <c r="I45" i="7"/>
  <c r="H45" i="7"/>
  <c r="G45" i="7"/>
  <c r="F45" i="7"/>
  <c r="E45" i="7"/>
  <c r="I44" i="7"/>
  <c r="H44" i="7"/>
  <c r="G44" i="7"/>
  <c r="F44" i="7"/>
  <c r="E44" i="7"/>
  <c r="I43" i="7"/>
  <c r="H43" i="7"/>
  <c r="G43" i="7"/>
  <c r="F43" i="7"/>
  <c r="E43" i="7"/>
  <c r="I42" i="7"/>
  <c r="H42" i="7"/>
  <c r="G42" i="7"/>
  <c r="F42" i="7"/>
  <c r="E42" i="7"/>
  <c r="I41" i="7"/>
  <c r="H41" i="7"/>
  <c r="G41" i="7"/>
  <c r="F41" i="7"/>
  <c r="E41" i="7"/>
  <c r="I40" i="7"/>
  <c r="H40" i="7"/>
  <c r="G40" i="7"/>
  <c r="F40" i="7"/>
  <c r="E40" i="7"/>
  <c r="I39" i="7"/>
  <c r="H39" i="7"/>
  <c r="G39" i="7"/>
  <c r="F39" i="7"/>
  <c r="E39" i="7"/>
  <c r="I38" i="7"/>
  <c r="H38" i="7"/>
  <c r="G38" i="7"/>
  <c r="F38" i="7"/>
  <c r="E38" i="7"/>
  <c r="I37" i="7"/>
  <c r="H37" i="7"/>
  <c r="G37" i="7"/>
  <c r="F37" i="7"/>
  <c r="E37" i="7"/>
  <c r="I36" i="7"/>
  <c r="H36" i="7"/>
  <c r="G36" i="7"/>
  <c r="F36" i="7"/>
  <c r="E36" i="7"/>
  <c r="I35" i="7"/>
  <c r="H35" i="7"/>
  <c r="G35" i="7"/>
  <c r="F35" i="7"/>
  <c r="E35" i="7"/>
  <c r="I34" i="7"/>
  <c r="H34" i="7"/>
  <c r="G34" i="7"/>
  <c r="F34" i="7"/>
  <c r="E34" i="7"/>
  <c r="I33" i="7"/>
  <c r="H33" i="7"/>
  <c r="G33" i="7"/>
  <c r="F33" i="7"/>
  <c r="E33" i="7"/>
  <c r="I32" i="7"/>
  <c r="H32" i="7"/>
  <c r="G32" i="7"/>
  <c r="F32" i="7"/>
  <c r="E32" i="7"/>
  <c r="I31" i="7"/>
  <c r="H31" i="7"/>
  <c r="G31" i="7"/>
  <c r="F31" i="7"/>
  <c r="E31" i="7"/>
  <c r="I30" i="7"/>
  <c r="H30" i="7"/>
  <c r="G30" i="7"/>
  <c r="F30" i="7"/>
  <c r="E30" i="7"/>
  <c r="I29" i="7"/>
  <c r="H29" i="7"/>
  <c r="G29" i="7"/>
  <c r="F29" i="7"/>
  <c r="E29" i="7"/>
  <c r="I28" i="7"/>
  <c r="H28" i="7"/>
  <c r="G28" i="7"/>
  <c r="F28" i="7"/>
  <c r="E28" i="7"/>
  <c r="I27" i="7"/>
  <c r="H27" i="7"/>
  <c r="G27" i="7"/>
  <c r="F27" i="7"/>
  <c r="E27" i="7"/>
  <c r="I26" i="7"/>
  <c r="H26" i="7"/>
  <c r="G26" i="7"/>
  <c r="F26" i="7"/>
  <c r="E26" i="7"/>
  <c r="I25" i="7"/>
  <c r="H25" i="7"/>
  <c r="G25" i="7"/>
  <c r="F25" i="7"/>
  <c r="E25" i="7"/>
  <c r="I24" i="7"/>
  <c r="H24" i="7"/>
  <c r="G24" i="7"/>
  <c r="F24" i="7"/>
  <c r="E24" i="7"/>
  <c r="I23" i="7"/>
  <c r="H23" i="7"/>
  <c r="G23" i="7"/>
  <c r="F23" i="7"/>
  <c r="E23" i="7"/>
  <c r="I22" i="7"/>
  <c r="H22" i="7"/>
  <c r="G22" i="7"/>
  <c r="F22" i="7"/>
  <c r="E22" i="7"/>
  <c r="I21" i="7"/>
  <c r="H21" i="7"/>
  <c r="G21" i="7"/>
  <c r="F21" i="7"/>
  <c r="E21" i="7"/>
  <c r="I20" i="7"/>
  <c r="H20" i="7"/>
  <c r="G20" i="7"/>
  <c r="F20" i="7"/>
  <c r="E20" i="7"/>
  <c r="I19" i="7"/>
  <c r="H19" i="7"/>
  <c r="G19" i="7"/>
  <c r="F19" i="7"/>
  <c r="E19" i="7"/>
  <c r="I18" i="7"/>
  <c r="H18" i="7"/>
  <c r="G18" i="7"/>
  <c r="F18" i="7"/>
  <c r="E18" i="7"/>
  <c r="I17" i="7"/>
  <c r="H17" i="7"/>
  <c r="G17" i="7"/>
  <c r="F17" i="7"/>
  <c r="E17" i="7"/>
  <c r="I16" i="7"/>
  <c r="H16" i="7"/>
  <c r="G16" i="7"/>
  <c r="F16" i="7"/>
  <c r="E16" i="7"/>
  <c r="I15" i="7"/>
  <c r="H15" i="7"/>
  <c r="G15" i="7"/>
  <c r="F15" i="7"/>
  <c r="E15" i="7"/>
  <c r="I14" i="7"/>
  <c r="H14" i="7"/>
  <c r="G14" i="7"/>
  <c r="F14" i="7"/>
  <c r="E14" i="7"/>
  <c r="I13" i="7"/>
  <c r="H13" i="7"/>
  <c r="G13" i="7"/>
  <c r="F13" i="7"/>
  <c r="E13" i="7"/>
  <c r="I12" i="7"/>
  <c r="H12" i="7"/>
  <c r="G12" i="7"/>
  <c r="F12" i="7"/>
  <c r="E12" i="7"/>
  <c r="I11" i="7"/>
  <c r="H11" i="7"/>
  <c r="G11" i="7"/>
  <c r="F11" i="7"/>
  <c r="E11" i="7"/>
  <c r="I10" i="7"/>
  <c r="H10" i="7"/>
  <c r="G10" i="7"/>
  <c r="F10" i="7"/>
  <c r="E10" i="7"/>
  <c r="I9" i="7"/>
  <c r="H9" i="7"/>
  <c r="G9" i="7"/>
  <c r="F9" i="7"/>
  <c r="E9" i="7"/>
  <c r="I8" i="7"/>
  <c r="H8" i="7"/>
  <c r="G8" i="7"/>
  <c r="F8" i="7"/>
  <c r="E8" i="7"/>
  <c r="I7" i="7"/>
  <c r="H7" i="7"/>
  <c r="G7" i="7"/>
  <c r="F7" i="7"/>
  <c r="E7" i="7"/>
  <c r="I6" i="7"/>
  <c r="H6" i="7"/>
  <c r="G6" i="7"/>
  <c r="F6" i="7"/>
  <c r="E6" i="7"/>
  <c r="I5" i="7"/>
  <c r="H5" i="7"/>
  <c r="G5" i="7"/>
  <c r="F5" i="7"/>
  <c r="E5" i="7"/>
  <c r="I4" i="7"/>
  <c r="H4" i="7"/>
  <c r="G4" i="7"/>
  <c r="F4" i="7"/>
  <c r="E4" i="7"/>
  <c r="I3" i="7"/>
  <c r="H3" i="7"/>
  <c r="G3" i="7"/>
  <c r="F3" i="7"/>
  <c r="E3" i="7"/>
  <c r="I2" i="7"/>
  <c r="H2" i="7"/>
  <c r="G2" i="7"/>
  <c r="F2" i="7"/>
  <c r="E2" i="7"/>
  <c r="E136" i="4"/>
  <c r="F136" i="4"/>
  <c r="G136" i="4"/>
  <c r="H136" i="4"/>
  <c r="I136" i="4"/>
  <c r="K136" i="4"/>
  <c r="L136" i="4"/>
  <c r="M136" i="4"/>
  <c r="N136" i="4"/>
  <c r="O136" i="4"/>
  <c r="E137" i="4"/>
  <c r="F137" i="4"/>
  <c r="G137" i="4"/>
  <c r="H137" i="4"/>
  <c r="I137" i="4"/>
  <c r="K137" i="4"/>
  <c r="L137" i="4"/>
  <c r="M137" i="4"/>
  <c r="N137" i="4"/>
  <c r="O137" i="4"/>
  <c r="E2" i="4"/>
  <c r="K2" i="4"/>
  <c r="I135" i="4"/>
  <c r="H135" i="4"/>
  <c r="G135" i="4"/>
  <c r="F135" i="4"/>
  <c r="E135" i="4"/>
  <c r="I134" i="4"/>
  <c r="H134" i="4"/>
  <c r="G134" i="4"/>
  <c r="F134" i="4"/>
  <c r="E134" i="4"/>
  <c r="I133" i="4"/>
  <c r="H133" i="4"/>
  <c r="G133" i="4"/>
  <c r="F133" i="4"/>
  <c r="E133" i="4"/>
  <c r="I132" i="4"/>
  <c r="H132" i="4"/>
  <c r="G132" i="4"/>
  <c r="F132" i="4"/>
  <c r="E132" i="4"/>
  <c r="I131" i="4"/>
  <c r="H131" i="4"/>
  <c r="G131" i="4"/>
  <c r="F131" i="4"/>
  <c r="E131" i="4"/>
  <c r="I130" i="4"/>
  <c r="H130" i="4"/>
  <c r="G130" i="4"/>
  <c r="F130" i="4"/>
  <c r="E130" i="4"/>
  <c r="I129" i="4"/>
  <c r="H129" i="4"/>
  <c r="G129" i="4"/>
  <c r="F129" i="4"/>
  <c r="E129" i="4"/>
  <c r="I128" i="4"/>
  <c r="H128" i="4"/>
  <c r="G128" i="4"/>
  <c r="F128" i="4"/>
  <c r="E128" i="4"/>
  <c r="I127" i="4"/>
  <c r="H127" i="4"/>
  <c r="G127" i="4"/>
  <c r="F127" i="4"/>
  <c r="E127" i="4"/>
  <c r="I126" i="4"/>
  <c r="H126" i="4"/>
  <c r="G126" i="4"/>
  <c r="F126" i="4"/>
  <c r="E126" i="4"/>
  <c r="I125" i="4"/>
  <c r="H125" i="4"/>
  <c r="G125" i="4"/>
  <c r="F125" i="4"/>
  <c r="E125" i="4"/>
  <c r="I124" i="4"/>
  <c r="H124" i="4"/>
  <c r="G124" i="4"/>
  <c r="F124" i="4"/>
  <c r="E124" i="4"/>
  <c r="I123" i="4"/>
  <c r="H123" i="4"/>
  <c r="G123" i="4"/>
  <c r="F123" i="4"/>
  <c r="E123" i="4"/>
  <c r="I122" i="4"/>
  <c r="H122" i="4"/>
  <c r="G122" i="4"/>
  <c r="F122" i="4"/>
  <c r="E122" i="4"/>
  <c r="I121" i="4"/>
  <c r="H121" i="4"/>
  <c r="G121" i="4"/>
  <c r="F121" i="4"/>
  <c r="E121" i="4"/>
  <c r="I120" i="4"/>
  <c r="H120" i="4"/>
  <c r="G120" i="4"/>
  <c r="F120" i="4"/>
  <c r="E120" i="4"/>
  <c r="I119" i="4"/>
  <c r="H119" i="4"/>
  <c r="G119" i="4"/>
  <c r="F119" i="4"/>
  <c r="E119" i="4"/>
  <c r="I118" i="4"/>
  <c r="H118" i="4"/>
  <c r="G118" i="4"/>
  <c r="F118" i="4"/>
  <c r="E118" i="4"/>
  <c r="I117" i="4"/>
  <c r="H117" i="4"/>
  <c r="G117" i="4"/>
  <c r="F117" i="4"/>
  <c r="E117" i="4"/>
  <c r="I116" i="4"/>
  <c r="H116" i="4"/>
  <c r="G116" i="4"/>
  <c r="F116" i="4"/>
  <c r="E116" i="4"/>
  <c r="I115" i="4"/>
  <c r="H115" i="4"/>
  <c r="G115" i="4"/>
  <c r="F115" i="4"/>
  <c r="E115" i="4"/>
  <c r="I114" i="4"/>
  <c r="H114" i="4"/>
  <c r="G114" i="4"/>
  <c r="F114" i="4"/>
  <c r="E114" i="4"/>
  <c r="I113" i="4"/>
  <c r="H113" i="4"/>
  <c r="G113" i="4"/>
  <c r="F113" i="4"/>
  <c r="E113" i="4"/>
  <c r="I112" i="4"/>
  <c r="H112" i="4"/>
  <c r="G112" i="4"/>
  <c r="F112" i="4"/>
  <c r="E112" i="4"/>
  <c r="I111" i="4"/>
  <c r="H111" i="4"/>
  <c r="G111" i="4"/>
  <c r="F111" i="4"/>
  <c r="E111" i="4"/>
  <c r="I110" i="4"/>
  <c r="H110" i="4"/>
  <c r="G110" i="4"/>
  <c r="F110" i="4"/>
  <c r="E110" i="4"/>
  <c r="I109" i="4"/>
  <c r="H109" i="4"/>
  <c r="G109" i="4"/>
  <c r="F109" i="4"/>
  <c r="E109" i="4"/>
  <c r="I108" i="4"/>
  <c r="H108" i="4"/>
  <c r="G108" i="4"/>
  <c r="F108" i="4"/>
  <c r="E108" i="4"/>
  <c r="I107" i="4"/>
  <c r="H107" i="4"/>
  <c r="G107" i="4"/>
  <c r="F107" i="4"/>
  <c r="E107" i="4"/>
  <c r="I106" i="4"/>
  <c r="H106" i="4"/>
  <c r="G106" i="4"/>
  <c r="F106" i="4"/>
  <c r="E106" i="4"/>
  <c r="I105" i="4"/>
  <c r="H105" i="4"/>
  <c r="G105" i="4"/>
  <c r="F105" i="4"/>
  <c r="E105" i="4"/>
  <c r="I104" i="4"/>
  <c r="H104" i="4"/>
  <c r="G104" i="4"/>
  <c r="F104" i="4"/>
  <c r="E104" i="4"/>
  <c r="I103" i="4"/>
  <c r="H103" i="4"/>
  <c r="G103" i="4"/>
  <c r="F103" i="4"/>
  <c r="E103" i="4"/>
  <c r="I102" i="4"/>
  <c r="H102" i="4"/>
  <c r="G102" i="4"/>
  <c r="F102" i="4"/>
  <c r="E102" i="4"/>
  <c r="I101" i="4"/>
  <c r="H101" i="4"/>
  <c r="G101" i="4"/>
  <c r="F101" i="4"/>
  <c r="E101" i="4"/>
  <c r="I100" i="4"/>
  <c r="H100" i="4"/>
  <c r="G100" i="4"/>
  <c r="F100" i="4"/>
  <c r="E100" i="4"/>
  <c r="I99" i="4"/>
  <c r="H99" i="4"/>
  <c r="G99" i="4"/>
  <c r="F99" i="4"/>
  <c r="E99" i="4"/>
  <c r="I98" i="4"/>
  <c r="H98" i="4"/>
  <c r="G98" i="4"/>
  <c r="F98" i="4"/>
  <c r="E98" i="4"/>
  <c r="I97" i="4"/>
  <c r="H97" i="4"/>
  <c r="G97" i="4"/>
  <c r="F97" i="4"/>
  <c r="E97" i="4"/>
  <c r="I96" i="4"/>
  <c r="H96" i="4"/>
  <c r="G96" i="4"/>
  <c r="F96" i="4"/>
  <c r="E96" i="4"/>
  <c r="I95" i="4"/>
  <c r="H95" i="4"/>
  <c r="G95" i="4"/>
  <c r="F95" i="4"/>
  <c r="E95" i="4"/>
  <c r="I94" i="4"/>
  <c r="H94" i="4"/>
  <c r="G94" i="4"/>
  <c r="F94" i="4"/>
  <c r="E94" i="4"/>
  <c r="I93" i="4"/>
  <c r="H93" i="4"/>
  <c r="G93" i="4"/>
  <c r="F93" i="4"/>
  <c r="E93" i="4"/>
  <c r="I92" i="4"/>
  <c r="H92" i="4"/>
  <c r="G92" i="4"/>
  <c r="F92" i="4"/>
  <c r="E92" i="4"/>
  <c r="I91" i="4"/>
  <c r="H91" i="4"/>
  <c r="G91" i="4"/>
  <c r="F91" i="4"/>
  <c r="E91" i="4"/>
  <c r="I90" i="4"/>
  <c r="H90" i="4"/>
  <c r="G90" i="4"/>
  <c r="F90" i="4"/>
  <c r="E90" i="4"/>
  <c r="I89" i="4"/>
  <c r="H89" i="4"/>
  <c r="G89" i="4"/>
  <c r="F89" i="4"/>
  <c r="E89" i="4"/>
  <c r="I88" i="4"/>
  <c r="H88" i="4"/>
  <c r="G88" i="4"/>
  <c r="F88" i="4"/>
  <c r="E88" i="4"/>
  <c r="I87" i="4"/>
  <c r="H87" i="4"/>
  <c r="G87" i="4"/>
  <c r="F87" i="4"/>
  <c r="E87" i="4"/>
  <c r="I86" i="4"/>
  <c r="H86" i="4"/>
  <c r="G86" i="4"/>
  <c r="F86" i="4"/>
  <c r="E86" i="4"/>
  <c r="I85" i="4"/>
  <c r="H85" i="4"/>
  <c r="G85" i="4"/>
  <c r="F85" i="4"/>
  <c r="E85" i="4"/>
  <c r="I84" i="4"/>
  <c r="H84" i="4"/>
  <c r="G84" i="4"/>
  <c r="F84" i="4"/>
  <c r="E84" i="4"/>
  <c r="I83" i="4"/>
  <c r="H83" i="4"/>
  <c r="G83" i="4"/>
  <c r="F83" i="4"/>
  <c r="E83" i="4"/>
  <c r="I82" i="4"/>
  <c r="H82" i="4"/>
  <c r="G82" i="4"/>
  <c r="F82" i="4"/>
  <c r="E82" i="4"/>
  <c r="I81" i="4"/>
  <c r="H81" i="4"/>
  <c r="G81" i="4"/>
  <c r="F81" i="4"/>
  <c r="E81" i="4"/>
  <c r="I80" i="4"/>
  <c r="H80" i="4"/>
  <c r="G80" i="4"/>
  <c r="F80" i="4"/>
  <c r="E80" i="4"/>
  <c r="I79" i="4"/>
  <c r="H79" i="4"/>
  <c r="G79" i="4"/>
  <c r="F79" i="4"/>
  <c r="E79" i="4"/>
  <c r="I78" i="4"/>
  <c r="H78" i="4"/>
  <c r="G78" i="4"/>
  <c r="F78" i="4"/>
  <c r="E78" i="4"/>
  <c r="I77" i="4"/>
  <c r="H77" i="4"/>
  <c r="G77" i="4"/>
  <c r="F77" i="4"/>
  <c r="E77" i="4"/>
  <c r="I76" i="4"/>
  <c r="H76" i="4"/>
  <c r="G76" i="4"/>
  <c r="F76" i="4"/>
  <c r="E76" i="4"/>
  <c r="I75" i="4"/>
  <c r="H75" i="4"/>
  <c r="G75" i="4"/>
  <c r="F75" i="4"/>
  <c r="E75" i="4"/>
  <c r="I74" i="4"/>
  <c r="H74" i="4"/>
  <c r="G74" i="4"/>
  <c r="F74" i="4"/>
  <c r="E74" i="4"/>
  <c r="I73" i="4"/>
  <c r="H73" i="4"/>
  <c r="G73" i="4"/>
  <c r="F73" i="4"/>
  <c r="E73" i="4"/>
  <c r="I72" i="4"/>
  <c r="H72" i="4"/>
  <c r="G72" i="4"/>
  <c r="F72" i="4"/>
  <c r="E72" i="4"/>
  <c r="I71" i="4"/>
  <c r="H71" i="4"/>
  <c r="G71" i="4"/>
  <c r="F71" i="4"/>
  <c r="E71" i="4"/>
  <c r="I70" i="4"/>
  <c r="H70" i="4"/>
  <c r="G70" i="4"/>
  <c r="F70" i="4"/>
  <c r="E70" i="4"/>
  <c r="I69" i="4"/>
  <c r="H69" i="4"/>
  <c r="G69" i="4"/>
  <c r="F69" i="4"/>
  <c r="E69" i="4"/>
  <c r="I68" i="4"/>
  <c r="H68" i="4"/>
  <c r="G68" i="4"/>
  <c r="F68" i="4"/>
  <c r="E68" i="4"/>
  <c r="I67" i="4"/>
  <c r="H67" i="4"/>
  <c r="G67" i="4"/>
  <c r="F67" i="4"/>
  <c r="E67" i="4"/>
  <c r="I66" i="4"/>
  <c r="H66" i="4"/>
  <c r="G66" i="4"/>
  <c r="F66" i="4"/>
  <c r="E66" i="4"/>
  <c r="I65" i="4"/>
  <c r="H65" i="4"/>
  <c r="G65" i="4"/>
  <c r="F65" i="4"/>
  <c r="E65" i="4"/>
  <c r="I64" i="4"/>
  <c r="H64" i="4"/>
  <c r="G64" i="4"/>
  <c r="F64" i="4"/>
  <c r="E64" i="4"/>
  <c r="I63" i="4"/>
  <c r="H63" i="4"/>
  <c r="G63" i="4"/>
  <c r="F63" i="4"/>
  <c r="E63" i="4"/>
  <c r="I62" i="4"/>
  <c r="H62" i="4"/>
  <c r="G62" i="4"/>
  <c r="F62" i="4"/>
  <c r="E62" i="4"/>
  <c r="I61" i="4"/>
  <c r="H61" i="4"/>
  <c r="G61" i="4"/>
  <c r="F61" i="4"/>
  <c r="E61" i="4"/>
  <c r="I60" i="4"/>
  <c r="H60" i="4"/>
  <c r="G60" i="4"/>
  <c r="F60" i="4"/>
  <c r="E60" i="4"/>
  <c r="I59" i="4"/>
  <c r="H59" i="4"/>
  <c r="G59" i="4"/>
  <c r="F59" i="4"/>
  <c r="E59" i="4"/>
  <c r="I58" i="4"/>
  <c r="H58" i="4"/>
  <c r="G58" i="4"/>
  <c r="F58" i="4"/>
  <c r="E58" i="4"/>
  <c r="I57" i="4"/>
  <c r="H57" i="4"/>
  <c r="G57" i="4"/>
  <c r="F57" i="4"/>
  <c r="E57" i="4"/>
  <c r="I56" i="4"/>
  <c r="H56" i="4"/>
  <c r="G56" i="4"/>
  <c r="F56" i="4"/>
  <c r="E56" i="4"/>
  <c r="I55" i="4"/>
  <c r="H55" i="4"/>
  <c r="G55" i="4"/>
  <c r="F55" i="4"/>
  <c r="E55" i="4"/>
  <c r="I54" i="4"/>
  <c r="H54" i="4"/>
  <c r="G54" i="4"/>
  <c r="F54" i="4"/>
  <c r="E54" i="4"/>
  <c r="I53" i="4"/>
  <c r="H53" i="4"/>
  <c r="G53" i="4"/>
  <c r="F53" i="4"/>
  <c r="E53" i="4"/>
  <c r="I52" i="4"/>
  <c r="H52" i="4"/>
  <c r="G52" i="4"/>
  <c r="F52" i="4"/>
  <c r="E52" i="4"/>
  <c r="I51" i="4"/>
  <c r="H51" i="4"/>
  <c r="G51" i="4"/>
  <c r="F51" i="4"/>
  <c r="E51" i="4"/>
  <c r="I50" i="4"/>
  <c r="H50" i="4"/>
  <c r="G50" i="4"/>
  <c r="F50" i="4"/>
  <c r="E50" i="4"/>
  <c r="I49" i="4"/>
  <c r="H49" i="4"/>
  <c r="G49" i="4"/>
  <c r="F49" i="4"/>
  <c r="E49" i="4"/>
  <c r="I48" i="4"/>
  <c r="H48" i="4"/>
  <c r="G48" i="4"/>
  <c r="F48" i="4"/>
  <c r="E48" i="4"/>
  <c r="I47" i="4"/>
  <c r="H47" i="4"/>
  <c r="G47" i="4"/>
  <c r="F47" i="4"/>
  <c r="E47" i="4"/>
  <c r="I46" i="4"/>
  <c r="H46" i="4"/>
  <c r="G46" i="4"/>
  <c r="F46" i="4"/>
  <c r="E46" i="4"/>
  <c r="I45" i="4"/>
  <c r="H45" i="4"/>
  <c r="G45" i="4"/>
  <c r="F45" i="4"/>
  <c r="E45" i="4"/>
  <c r="I44" i="4"/>
  <c r="H44" i="4"/>
  <c r="G44" i="4"/>
  <c r="F44" i="4"/>
  <c r="E44" i="4"/>
  <c r="I43" i="4"/>
  <c r="H43" i="4"/>
  <c r="G43" i="4"/>
  <c r="F43" i="4"/>
  <c r="E43" i="4"/>
  <c r="I42" i="4"/>
  <c r="H42" i="4"/>
  <c r="G42" i="4"/>
  <c r="F42" i="4"/>
  <c r="E42" i="4"/>
  <c r="I41" i="4"/>
  <c r="H41" i="4"/>
  <c r="G41" i="4"/>
  <c r="F41" i="4"/>
  <c r="E41" i="4"/>
  <c r="I40" i="4"/>
  <c r="H40" i="4"/>
  <c r="G40" i="4"/>
  <c r="F40" i="4"/>
  <c r="E40" i="4"/>
  <c r="I39" i="4"/>
  <c r="H39" i="4"/>
  <c r="G39" i="4"/>
  <c r="F39" i="4"/>
  <c r="E39" i="4"/>
  <c r="I38" i="4"/>
  <c r="H38" i="4"/>
  <c r="G38" i="4"/>
  <c r="F38" i="4"/>
  <c r="E38" i="4"/>
  <c r="I37" i="4"/>
  <c r="H37" i="4"/>
  <c r="G37" i="4"/>
  <c r="F37" i="4"/>
  <c r="E37" i="4"/>
  <c r="I36" i="4"/>
  <c r="H36" i="4"/>
  <c r="G36" i="4"/>
  <c r="F36" i="4"/>
  <c r="E36" i="4"/>
  <c r="I35" i="4"/>
  <c r="H35" i="4"/>
  <c r="G35" i="4"/>
  <c r="F35" i="4"/>
  <c r="E35" i="4"/>
  <c r="I34" i="4"/>
  <c r="H34" i="4"/>
  <c r="G34" i="4"/>
  <c r="F34" i="4"/>
  <c r="E34" i="4"/>
  <c r="I33" i="4"/>
  <c r="H33" i="4"/>
  <c r="G33" i="4"/>
  <c r="F33" i="4"/>
  <c r="E33" i="4"/>
  <c r="I32" i="4"/>
  <c r="H32" i="4"/>
  <c r="G32" i="4"/>
  <c r="F32" i="4"/>
  <c r="E32" i="4"/>
  <c r="I31" i="4"/>
  <c r="H31" i="4"/>
  <c r="G31" i="4"/>
  <c r="F31" i="4"/>
  <c r="E31" i="4"/>
  <c r="I30" i="4"/>
  <c r="H30" i="4"/>
  <c r="G30" i="4"/>
  <c r="F30" i="4"/>
  <c r="E30" i="4"/>
  <c r="I29" i="4"/>
  <c r="H29" i="4"/>
  <c r="G29" i="4"/>
  <c r="F29" i="4"/>
  <c r="E29" i="4"/>
  <c r="I28" i="4"/>
  <c r="H28" i="4"/>
  <c r="G28" i="4"/>
  <c r="F28" i="4"/>
  <c r="E28" i="4"/>
  <c r="I27" i="4"/>
  <c r="H27" i="4"/>
  <c r="G27" i="4"/>
  <c r="F27" i="4"/>
  <c r="E27" i="4"/>
  <c r="I26" i="4"/>
  <c r="H26" i="4"/>
  <c r="G26" i="4"/>
  <c r="F26" i="4"/>
  <c r="E26" i="4"/>
  <c r="I25" i="4"/>
  <c r="H25" i="4"/>
  <c r="G25" i="4"/>
  <c r="F25" i="4"/>
  <c r="E25" i="4"/>
  <c r="I24" i="4"/>
  <c r="H24" i="4"/>
  <c r="G24" i="4"/>
  <c r="F24" i="4"/>
  <c r="E24" i="4"/>
  <c r="I23" i="4"/>
  <c r="H23" i="4"/>
  <c r="G23" i="4"/>
  <c r="F23" i="4"/>
  <c r="E23" i="4"/>
  <c r="I22" i="4"/>
  <c r="H22" i="4"/>
  <c r="G22" i="4"/>
  <c r="F22" i="4"/>
  <c r="E22" i="4"/>
  <c r="I21" i="4"/>
  <c r="H21" i="4"/>
  <c r="G21" i="4"/>
  <c r="F21" i="4"/>
  <c r="E21" i="4"/>
  <c r="I20" i="4"/>
  <c r="H20" i="4"/>
  <c r="G20" i="4"/>
  <c r="F20" i="4"/>
  <c r="E20" i="4"/>
  <c r="I19" i="4"/>
  <c r="H19" i="4"/>
  <c r="G19" i="4"/>
  <c r="F19" i="4"/>
  <c r="E19" i="4"/>
  <c r="I18" i="4"/>
  <c r="H18" i="4"/>
  <c r="G18" i="4"/>
  <c r="F18" i="4"/>
  <c r="E18" i="4"/>
  <c r="I17" i="4"/>
  <c r="H17" i="4"/>
  <c r="G17" i="4"/>
  <c r="F17" i="4"/>
  <c r="E17" i="4"/>
  <c r="I16" i="4"/>
  <c r="H16" i="4"/>
  <c r="G16" i="4"/>
  <c r="F16" i="4"/>
  <c r="E16" i="4"/>
  <c r="I15" i="4"/>
  <c r="H15" i="4"/>
  <c r="G15" i="4"/>
  <c r="F15" i="4"/>
  <c r="E15" i="4"/>
  <c r="I14" i="4"/>
  <c r="H14" i="4"/>
  <c r="G14" i="4"/>
  <c r="F14" i="4"/>
  <c r="E14" i="4"/>
  <c r="I13" i="4"/>
  <c r="H13" i="4"/>
  <c r="G13" i="4"/>
  <c r="F13" i="4"/>
  <c r="E13" i="4"/>
  <c r="I12" i="4"/>
  <c r="H12" i="4"/>
  <c r="G12" i="4"/>
  <c r="F12" i="4"/>
  <c r="E12" i="4"/>
  <c r="I11" i="4"/>
  <c r="H11" i="4"/>
  <c r="G11" i="4"/>
  <c r="F11" i="4"/>
  <c r="E11" i="4"/>
  <c r="I10" i="4"/>
  <c r="H10" i="4"/>
  <c r="G10" i="4"/>
  <c r="F10" i="4"/>
  <c r="E10" i="4"/>
  <c r="I9" i="4"/>
  <c r="H9" i="4"/>
  <c r="G9" i="4"/>
  <c r="F9" i="4"/>
  <c r="E9" i="4"/>
  <c r="I8" i="4"/>
  <c r="H8" i="4"/>
  <c r="G8" i="4"/>
  <c r="F8" i="4"/>
  <c r="E8" i="4"/>
  <c r="I7" i="4"/>
  <c r="H7" i="4"/>
  <c r="G7" i="4"/>
  <c r="F7" i="4"/>
  <c r="E7" i="4"/>
  <c r="I6" i="4"/>
  <c r="H6" i="4"/>
  <c r="G6" i="4"/>
  <c r="F6" i="4"/>
  <c r="E6" i="4"/>
  <c r="I5" i="4"/>
  <c r="H5" i="4"/>
  <c r="G5" i="4"/>
  <c r="F5" i="4"/>
  <c r="E5" i="4"/>
  <c r="I4" i="4"/>
  <c r="H4" i="4"/>
  <c r="G4" i="4"/>
  <c r="F4" i="4"/>
  <c r="E4" i="4"/>
  <c r="I3" i="4"/>
  <c r="H3" i="4"/>
  <c r="G3" i="4"/>
  <c r="F3" i="4"/>
  <c r="E3" i="4"/>
  <c r="I2" i="4"/>
  <c r="H2" i="4"/>
  <c r="G2" i="4"/>
  <c r="F2" i="4"/>
  <c r="N3" i="13"/>
  <c r="R138" i="13"/>
  <c r="Q138" i="13"/>
  <c r="P138" i="13"/>
  <c r="O138" i="13"/>
  <c r="N138" i="13"/>
  <c r="Q137" i="13"/>
  <c r="O137" i="13"/>
  <c r="Q136" i="13"/>
  <c r="O136" i="13"/>
  <c r="Q135" i="13"/>
  <c r="O135" i="13"/>
  <c r="Q134" i="13"/>
  <c r="P134" i="13"/>
  <c r="O134" i="13"/>
  <c r="R133" i="13"/>
  <c r="Q133" i="13"/>
  <c r="P133" i="13"/>
  <c r="O133" i="13"/>
  <c r="N133" i="13"/>
  <c r="R132" i="13"/>
  <c r="Q132" i="13"/>
  <c r="P132" i="13"/>
  <c r="O132" i="13"/>
  <c r="N132" i="13"/>
  <c r="R131" i="13"/>
  <c r="Q131" i="13"/>
  <c r="P131" i="13"/>
  <c r="O131" i="13"/>
  <c r="N131" i="13"/>
  <c r="R130" i="13"/>
  <c r="Q130" i="13"/>
  <c r="P130" i="13"/>
  <c r="O130" i="13"/>
  <c r="N130" i="13"/>
  <c r="R129" i="13"/>
  <c r="Q129" i="13"/>
  <c r="P129" i="13"/>
  <c r="O129" i="13"/>
  <c r="N129" i="13"/>
  <c r="R128" i="13"/>
  <c r="Q128" i="13"/>
  <c r="P128" i="13"/>
  <c r="O128" i="13"/>
  <c r="N128" i="13"/>
  <c r="R127" i="13"/>
  <c r="Q127" i="13"/>
  <c r="P127" i="13"/>
  <c r="O127" i="13"/>
  <c r="N127" i="13"/>
  <c r="R126" i="13"/>
  <c r="Q126" i="13"/>
  <c r="P126" i="13"/>
  <c r="O126" i="13"/>
  <c r="N126" i="13"/>
  <c r="R125" i="13"/>
  <c r="Q125" i="13"/>
  <c r="P125" i="13"/>
  <c r="O125" i="13"/>
  <c r="N125" i="13"/>
  <c r="R124" i="13"/>
  <c r="Q124" i="13"/>
  <c r="P124" i="13"/>
  <c r="O124" i="13"/>
  <c r="N124" i="13"/>
  <c r="R123" i="13"/>
  <c r="Q123" i="13"/>
  <c r="P123" i="13"/>
  <c r="O123" i="13"/>
  <c r="N123" i="13"/>
  <c r="R122" i="13"/>
  <c r="Q122" i="13"/>
  <c r="P122" i="13"/>
  <c r="O122" i="13"/>
  <c r="N122" i="13"/>
  <c r="R121" i="13"/>
  <c r="Q121" i="13"/>
  <c r="P121" i="13"/>
  <c r="O121" i="13"/>
  <c r="N121" i="13"/>
  <c r="R120" i="13"/>
  <c r="Q120" i="13"/>
  <c r="P120" i="13"/>
  <c r="O120" i="13"/>
  <c r="N120" i="13"/>
  <c r="R119" i="13"/>
  <c r="Q119" i="13"/>
  <c r="P119" i="13"/>
  <c r="O119" i="13"/>
  <c r="N119" i="13"/>
  <c r="R118" i="13"/>
  <c r="Q118" i="13"/>
  <c r="P118" i="13"/>
  <c r="O118" i="13"/>
  <c r="N118" i="13"/>
  <c r="R117" i="13"/>
  <c r="Q117" i="13"/>
  <c r="P117" i="13"/>
  <c r="O117" i="13"/>
  <c r="N117" i="13"/>
  <c r="R116" i="13"/>
  <c r="Q116" i="13"/>
  <c r="P116" i="13"/>
  <c r="O116" i="13"/>
  <c r="N116" i="13"/>
  <c r="R115" i="13"/>
  <c r="Q115" i="13"/>
  <c r="P115" i="13"/>
  <c r="O115" i="13"/>
  <c r="N115" i="13"/>
  <c r="R114" i="13"/>
  <c r="Q114" i="13"/>
  <c r="P114" i="13"/>
  <c r="O114" i="13"/>
  <c r="N114" i="13"/>
  <c r="R113" i="13"/>
  <c r="Q113" i="13"/>
  <c r="P113" i="13"/>
  <c r="O113" i="13"/>
  <c r="N113" i="13"/>
  <c r="R112" i="13"/>
  <c r="Q112" i="13"/>
  <c r="P112" i="13"/>
  <c r="O112" i="13"/>
  <c r="N112" i="13"/>
  <c r="R111" i="13"/>
  <c r="Q111" i="13"/>
  <c r="P111" i="13"/>
  <c r="O111" i="13"/>
  <c r="N111" i="13"/>
  <c r="Q110" i="13"/>
  <c r="P110" i="13"/>
  <c r="R109" i="13"/>
  <c r="Q109" i="13"/>
  <c r="P109" i="13"/>
  <c r="O109" i="13"/>
  <c r="N109" i="13"/>
  <c r="R108" i="13"/>
  <c r="Q108" i="13"/>
  <c r="P108" i="13"/>
  <c r="O108" i="13"/>
  <c r="R107" i="13"/>
  <c r="Q107" i="13"/>
  <c r="P107" i="13"/>
  <c r="O107" i="13"/>
  <c r="N107" i="13"/>
  <c r="R106" i="13"/>
  <c r="Q106" i="13"/>
  <c r="P106" i="13"/>
  <c r="O106" i="13"/>
  <c r="R105" i="13"/>
  <c r="Q105" i="13"/>
  <c r="P105" i="13"/>
  <c r="O105" i="13"/>
  <c r="N105" i="13"/>
  <c r="R104" i="13"/>
  <c r="Q104" i="13"/>
  <c r="P104" i="13"/>
  <c r="O104" i="13"/>
  <c r="N104" i="13"/>
  <c r="R103" i="13"/>
  <c r="Q103" i="13"/>
  <c r="P103" i="13"/>
  <c r="O103" i="13"/>
  <c r="N103" i="13"/>
  <c r="R102" i="13"/>
  <c r="Q102" i="13"/>
  <c r="P102" i="13"/>
  <c r="O102" i="13"/>
  <c r="N102" i="13"/>
  <c r="R101" i="13"/>
  <c r="Q101" i="13"/>
  <c r="P101" i="13"/>
  <c r="O101" i="13"/>
  <c r="N101" i="13"/>
  <c r="Q100" i="13"/>
  <c r="P100" i="13"/>
  <c r="O100" i="13"/>
  <c r="N100" i="13"/>
  <c r="R99" i="13"/>
  <c r="Q99" i="13"/>
  <c r="P99" i="13"/>
  <c r="O99" i="13"/>
  <c r="N99" i="13"/>
  <c r="Q98" i="13"/>
  <c r="P98" i="13"/>
  <c r="O98" i="13"/>
  <c r="Q97" i="13"/>
  <c r="P97" i="13"/>
  <c r="O97" i="13"/>
  <c r="N97" i="13"/>
  <c r="Q96" i="13"/>
  <c r="P96" i="13"/>
  <c r="O96" i="13"/>
  <c r="R95" i="13"/>
  <c r="Q95" i="13"/>
  <c r="P95" i="13"/>
  <c r="O95" i="13"/>
  <c r="N95" i="13"/>
  <c r="R94" i="13"/>
  <c r="Q94" i="13"/>
  <c r="P94" i="13"/>
  <c r="O94" i="13"/>
  <c r="N94" i="13"/>
  <c r="R93" i="13"/>
  <c r="Q93" i="13"/>
  <c r="P93" i="13"/>
  <c r="O93" i="13"/>
  <c r="N93" i="13"/>
  <c r="R92" i="13"/>
  <c r="Q92" i="13"/>
  <c r="P92" i="13"/>
  <c r="O92" i="13"/>
  <c r="N92" i="13"/>
  <c r="R91" i="13"/>
  <c r="Q91" i="13"/>
  <c r="P91" i="13"/>
  <c r="O91" i="13"/>
  <c r="R90" i="13"/>
  <c r="Q90" i="13"/>
  <c r="P90" i="13"/>
  <c r="O90" i="13"/>
  <c r="R89" i="13"/>
  <c r="Q89" i="13"/>
  <c r="P89" i="13"/>
  <c r="O89" i="13"/>
  <c r="N89" i="13"/>
  <c r="R88" i="13"/>
  <c r="Q88" i="13"/>
  <c r="P88" i="13"/>
  <c r="O88" i="13"/>
  <c r="N88" i="13"/>
  <c r="Q87" i="13"/>
  <c r="O87" i="13"/>
  <c r="Q86" i="13"/>
  <c r="P86" i="13"/>
  <c r="O86" i="13"/>
  <c r="Q85" i="13"/>
  <c r="P85" i="13"/>
  <c r="O85" i="13"/>
  <c r="R84" i="13"/>
  <c r="Q84" i="13"/>
  <c r="P84" i="13"/>
  <c r="O84" i="13"/>
  <c r="Q83" i="13"/>
  <c r="P83" i="13"/>
  <c r="O83" i="13"/>
  <c r="N83" i="13"/>
  <c r="R82" i="13"/>
  <c r="Q82" i="13"/>
  <c r="P82" i="13"/>
  <c r="O82" i="13"/>
  <c r="R81" i="13"/>
  <c r="Q81" i="13"/>
  <c r="P81" i="13"/>
  <c r="O81" i="13"/>
  <c r="N81" i="13"/>
  <c r="P80" i="13"/>
  <c r="O80" i="13"/>
  <c r="N80" i="13"/>
  <c r="R79" i="13"/>
  <c r="Q79" i="13"/>
  <c r="P79" i="13"/>
  <c r="O79" i="13"/>
  <c r="N79" i="13"/>
  <c r="R78" i="13"/>
  <c r="Q78" i="13"/>
  <c r="P78" i="13"/>
  <c r="O78" i="13"/>
  <c r="Q77" i="13"/>
  <c r="P77" i="13"/>
  <c r="O77" i="13"/>
  <c r="R76" i="13"/>
  <c r="Q76" i="13"/>
  <c r="P76" i="13"/>
  <c r="O76" i="13"/>
  <c r="N76" i="13"/>
  <c r="R75" i="13"/>
  <c r="Q75" i="13"/>
  <c r="P75" i="13"/>
  <c r="O75" i="13"/>
  <c r="R74" i="13"/>
  <c r="Q74" i="13"/>
  <c r="P74" i="13"/>
  <c r="O74" i="13"/>
  <c r="N74" i="13"/>
  <c r="R73" i="13"/>
  <c r="Q73" i="13"/>
  <c r="P73" i="13"/>
  <c r="O73" i="13"/>
  <c r="N73" i="13"/>
  <c r="R72" i="13"/>
  <c r="Q72" i="13"/>
  <c r="P72" i="13"/>
  <c r="O72" i="13"/>
  <c r="N72" i="13"/>
  <c r="R71" i="13"/>
  <c r="Q71" i="13"/>
  <c r="P71" i="13"/>
  <c r="O71" i="13"/>
  <c r="N71" i="13"/>
  <c r="R70" i="13"/>
  <c r="Q70" i="13"/>
  <c r="P70" i="13"/>
  <c r="O70" i="13"/>
  <c r="N70" i="13"/>
  <c r="Q69" i="13"/>
  <c r="P69" i="13"/>
  <c r="O69" i="13"/>
  <c r="N69" i="13"/>
  <c r="R68" i="13"/>
  <c r="Q68" i="13"/>
  <c r="P68" i="13"/>
  <c r="O68" i="13"/>
  <c r="N68" i="13"/>
  <c r="R67" i="13"/>
  <c r="Q67" i="13"/>
  <c r="P67" i="13"/>
  <c r="O67" i="13"/>
  <c r="N67" i="13"/>
  <c r="R66" i="13"/>
  <c r="Q66" i="13"/>
  <c r="P66" i="13"/>
  <c r="O66" i="13"/>
  <c r="N66" i="13"/>
  <c r="Q65" i="13"/>
  <c r="P65" i="13"/>
  <c r="O65" i="13"/>
  <c r="N65" i="13"/>
  <c r="R64" i="13"/>
  <c r="Q64" i="13"/>
  <c r="P64" i="13"/>
  <c r="O64" i="13"/>
  <c r="N64" i="13"/>
  <c r="Q63" i="13"/>
  <c r="P63" i="13"/>
  <c r="O63" i="13"/>
  <c r="N63" i="13"/>
  <c r="R62" i="13"/>
  <c r="Q62" i="13"/>
  <c r="P62" i="13"/>
  <c r="O62" i="13"/>
  <c r="N62" i="13"/>
  <c r="R61" i="13"/>
  <c r="Q61" i="13"/>
  <c r="P61" i="13"/>
  <c r="O61" i="13"/>
  <c r="N61" i="13"/>
  <c r="Q60" i="13"/>
  <c r="P60" i="13"/>
  <c r="O60" i="13"/>
  <c r="N60" i="13"/>
  <c r="R59" i="13"/>
  <c r="Q59" i="13"/>
  <c r="P59" i="13"/>
  <c r="O59" i="13"/>
  <c r="N59" i="13"/>
  <c r="R58" i="13"/>
  <c r="Q58" i="13"/>
  <c r="P58" i="13"/>
  <c r="O58" i="13"/>
  <c r="N58" i="13"/>
  <c r="R57" i="13"/>
  <c r="Q57" i="13"/>
  <c r="P57" i="13"/>
  <c r="O57" i="13"/>
  <c r="N57" i="13"/>
  <c r="R56" i="13"/>
  <c r="Q56" i="13"/>
  <c r="P56" i="13"/>
  <c r="O56" i="13"/>
  <c r="N56" i="13"/>
  <c r="R55" i="13"/>
  <c r="Q55" i="13"/>
  <c r="P55" i="13"/>
  <c r="O55" i="13"/>
  <c r="N55" i="13"/>
  <c r="R54" i="13"/>
  <c r="Q54" i="13"/>
  <c r="P54" i="13"/>
  <c r="O54" i="13"/>
  <c r="N54" i="13"/>
  <c r="R53" i="13"/>
  <c r="Q53" i="13"/>
  <c r="P53" i="13"/>
  <c r="O53" i="13"/>
  <c r="N53" i="13"/>
  <c r="R52" i="13"/>
  <c r="Q52" i="13"/>
  <c r="P52" i="13"/>
  <c r="O52" i="13"/>
  <c r="N52" i="13"/>
  <c r="R51" i="13"/>
  <c r="Q51" i="13"/>
  <c r="P51" i="13"/>
  <c r="O51" i="13"/>
  <c r="N51" i="13"/>
  <c r="R50" i="13"/>
  <c r="Q50" i="13"/>
  <c r="P50" i="13"/>
  <c r="O50" i="13"/>
  <c r="N50" i="13"/>
  <c r="R49" i="13"/>
  <c r="Q49" i="13"/>
  <c r="P49" i="13"/>
  <c r="O49" i="13"/>
  <c r="N49" i="13"/>
  <c r="Q48" i="13"/>
  <c r="P48" i="13"/>
  <c r="O48" i="13"/>
  <c r="Q47" i="13"/>
  <c r="P47" i="13"/>
  <c r="O47" i="13"/>
  <c r="R46" i="13"/>
  <c r="Q46" i="13"/>
  <c r="P46" i="13"/>
  <c r="O46" i="13"/>
  <c r="N46" i="13"/>
  <c r="R45" i="13"/>
  <c r="Q45" i="13"/>
  <c r="P45" i="13"/>
  <c r="O45" i="13"/>
  <c r="N45" i="13"/>
  <c r="R44" i="13"/>
  <c r="Q44" i="13"/>
  <c r="P44" i="13"/>
  <c r="O44" i="13"/>
  <c r="N44" i="13"/>
  <c r="R43" i="13"/>
  <c r="Q43" i="13"/>
  <c r="P43" i="13"/>
  <c r="O43" i="13"/>
  <c r="N43" i="13"/>
  <c r="R42" i="13"/>
  <c r="Q42" i="13"/>
  <c r="P42" i="13"/>
  <c r="O42" i="13"/>
  <c r="N42" i="13"/>
  <c r="R41" i="13"/>
  <c r="Q41" i="13"/>
  <c r="P41" i="13"/>
  <c r="O41" i="13"/>
  <c r="N41" i="13"/>
  <c r="R40" i="13"/>
  <c r="Q40" i="13"/>
  <c r="P40" i="13"/>
  <c r="O40" i="13"/>
  <c r="N40" i="13"/>
  <c r="R39" i="13"/>
  <c r="Q39" i="13"/>
  <c r="P39" i="13"/>
  <c r="O39" i="13"/>
  <c r="Q38" i="13"/>
  <c r="P38" i="13"/>
  <c r="O38" i="13"/>
  <c r="Q37" i="13"/>
  <c r="P37" i="13"/>
  <c r="O37" i="13"/>
  <c r="N37" i="13"/>
  <c r="R36" i="13"/>
  <c r="Q36" i="13"/>
  <c r="P36" i="13"/>
  <c r="O36" i="13"/>
  <c r="N36" i="13"/>
  <c r="R35" i="13"/>
  <c r="Q35" i="13"/>
  <c r="P35" i="13"/>
  <c r="O35" i="13"/>
  <c r="N35" i="13"/>
  <c r="R34" i="13"/>
  <c r="Q34" i="13"/>
  <c r="P34" i="13"/>
  <c r="O34" i="13"/>
  <c r="N34" i="13"/>
  <c r="R33" i="13"/>
  <c r="Q33" i="13"/>
  <c r="P33" i="13"/>
  <c r="O33" i="13"/>
  <c r="N33" i="13"/>
  <c r="R32" i="13"/>
  <c r="Q32" i="13"/>
  <c r="P32" i="13"/>
  <c r="O32" i="13"/>
  <c r="N32" i="13"/>
  <c r="R31" i="13"/>
  <c r="Q31" i="13"/>
  <c r="P31" i="13"/>
  <c r="O31" i="13"/>
  <c r="N31" i="13"/>
  <c r="R30" i="13"/>
  <c r="Q30" i="13"/>
  <c r="P30" i="13"/>
  <c r="O30" i="13"/>
  <c r="N30" i="13"/>
  <c r="R29" i="13"/>
  <c r="Q29" i="13"/>
  <c r="P29" i="13"/>
  <c r="O29" i="13"/>
  <c r="N29" i="13"/>
  <c r="R28" i="13"/>
  <c r="Q28" i="13"/>
  <c r="P28" i="13"/>
  <c r="O28" i="13"/>
  <c r="N28" i="13"/>
  <c r="R27" i="13"/>
  <c r="Q27" i="13"/>
  <c r="P27" i="13"/>
  <c r="O27" i="13"/>
  <c r="N27" i="13"/>
  <c r="R26" i="13"/>
  <c r="Q26" i="13"/>
  <c r="P26" i="13"/>
  <c r="O26" i="13"/>
  <c r="N26" i="13"/>
  <c r="R25" i="13"/>
  <c r="Q25" i="13"/>
  <c r="P25" i="13"/>
  <c r="O25" i="13"/>
  <c r="N25" i="13"/>
  <c r="R24" i="13"/>
  <c r="Q24" i="13"/>
  <c r="P24" i="13"/>
  <c r="O24" i="13"/>
  <c r="R23" i="13"/>
  <c r="Q23" i="13"/>
  <c r="P23" i="13"/>
  <c r="O23" i="13"/>
  <c r="N23" i="13"/>
  <c r="Q22" i="13"/>
  <c r="O22" i="13"/>
  <c r="Q21" i="13"/>
  <c r="P21" i="13"/>
  <c r="O21" i="13"/>
  <c r="N21" i="13"/>
  <c r="R20" i="13"/>
  <c r="Q20" i="13"/>
  <c r="P20" i="13"/>
  <c r="O20" i="13"/>
  <c r="N20" i="13"/>
  <c r="R19" i="13"/>
  <c r="Q19" i="13"/>
  <c r="P19" i="13"/>
  <c r="O19" i="13"/>
  <c r="N19" i="13"/>
  <c r="R18" i="13"/>
  <c r="Q18" i="13"/>
  <c r="P18" i="13"/>
  <c r="O18" i="13"/>
  <c r="N18" i="13"/>
  <c r="Q17" i="13"/>
  <c r="O17" i="13"/>
  <c r="R16" i="13"/>
  <c r="Q16" i="13"/>
  <c r="P16" i="13"/>
  <c r="O16" i="13"/>
  <c r="N16" i="13"/>
  <c r="R15" i="13"/>
  <c r="Q15" i="13"/>
  <c r="P15" i="13"/>
  <c r="O15" i="13"/>
  <c r="N15" i="13"/>
  <c r="R14" i="13"/>
  <c r="Q14" i="13"/>
  <c r="P14" i="13"/>
  <c r="O14" i="13"/>
  <c r="N14" i="13"/>
  <c r="R13" i="13"/>
  <c r="Q13" i="13"/>
  <c r="P13" i="13"/>
  <c r="O13" i="13"/>
  <c r="N13" i="13"/>
  <c r="R12" i="13"/>
  <c r="Q12" i="13"/>
  <c r="P12" i="13"/>
  <c r="O12" i="13"/>
  <c r="N12" i="13"/>
  <c r="Q11" i="13"/>
  <c r="P11" i="13"/>
  <c r="O11" i="13"/>
  <c r="N11" i="13"/>
  <c r="Q10" i="13"/>
  <c r="P10" i="13"/>
  <c r="O10" i="13"/>
  <c r="N10" i="13"/>
  <c r="R9" i="13"/>
  <c r="Q9" i="13"/>
  <c r="P9" i="13"/>
  <c r="O9" i="13"/>
  <c r="N9" i="13"/>
  <c r="R8" i="13"/>
  <c r="Q8" i="13"/>
  <c r="P8" i="13"/>
  <c r="O8" i="13"/>
  <c r="N8" i="13"/>
  <c r="R7" i="13"/>
  <c r="Q7" i="13"/>
  <c r="P7" i="13"/>
  <c r="O7" i="13"/>
  <c r="N7" i="13"/>
  <c r="R6" i="13"/>
  <c r="Q6" i="13"/>
  <c r="P6" i="13"/>
  <c r="O6" i="13"/>
  <c r="N6" i="13"/>
  <c r="R5" i="13"/>
  <c r="Q5" i="13"/>
  <c r="P5" i="13"/>
  <c r="O5" i="13"/>
  <c r="N5" i="13"/>
  <c r="R4" i="13"/>
  <c r="Q4" i="13"/>
  <c r="P4" i="13"/>
  <c r="O4" i="13"/>
  <c r="N4" i="13"/>
  <c r="R3" i="13"/>
  <c r="Q3" i="13"/>
  <c r="P3" i="13"/>
  <c r="O3" i="13"/>
  <c r="V1" i="13" l="1"/>
  <c r="J137" i="4"/>
  <c r="J136" i="7"/>
  <c r="J136" i="4"/>
  <c r="J137" i="7"/>
  <c r="P136" i="7"/>
  <c r="P137" i="4"/>
  <c r="P136" i="4"/>
  <c r="P137" i="7"/>
  <c r="Q136" i="4" l="1"/>
  <c r="R137" i="4"/>
  <c r="R136" i="7"/>
  <c r="Q137" i="4"/>
  <c r="Q136" i="7"/>
  <c r="R137" i="7"/>
  <c r="Q137" i="7"/>
  <c r="R136" i="4"/>
  <c r="O135" i="7"/>
  <c r="N135" i="7"/>
  <c r="M135" i="7"/>
  <c r="L135" i="7"/>
  <c r="K135" i="7"/>
  <c r="O134" i="7"/>
  <c r="N134" i="7"/>
  <c r="M134" i="7"/>
  <c r="L134" i="7"/>
  <c r="K134" i="7"/>
  <c r="O133" i="7"/>
  <c r="N133" i="7"/>
  <c r="M133" i="7"/>
  <c r="L133" i="7"/>
  <c r="K133" i="7"/>
  <c r="O132" i="7"/>
  <c r="N132" i="7"/>
  <c r="M132" i="7"/>
  <c r="L132" i="7"/>
  <c r="K132" i="7"/>
  <c r="O131" i="7"/>
  <c r="N131" i="7"/>
  <c r="M131" i="7"/>
  <c r="L131" i="7"/>
  <c r="K131" i="7"/>
  <c r="O130" i="7"/>
  <c r="N130" i="7"/>
  <c r="M130" i="7"/>
  <c r="L130" i="7"/>
  <c r="K130" i="7"/>
  <c r="O129" i="7"/>
  <c r="N129" i="7"/>
  <c r="M129" i="7"/>
  <c r="L129" i="7"/>
  <c r="K129" i="7"/>
  <c r="O128" i="7"/>
  <c r="N128" i="7"/>
  <c r="M128" i="7"/>
  <c r="L128" i="7"/>
  <c r="K128" i="7"/>
  <c r="O127" i="7"/>
  <c r="N127" i="7"/>
  <c r="M127" i="7"/>
  <c r="L127" i="7"/>
  <c r="K127" i="7"/>
  <c r="O126" i="7"/>
  <c r="N126" i="7"/>
  <c r="M126" i="7"/>
  <c r="L126" i="7"/>
  <c r="K126" i="7"/>
  <c r="O125" i="7"/>
  <c r="N125" i="7"/>
  <c r="M125" i="7"/>
  <c r="L125" i="7"/>
  <c r="K125" i="7"/>
  <c r="O124" i="7"/>
  <c r="N124" i="7"/>
  <c r="M124" i="7"/>
  <c r="L124" i="7"/>
  <c r="K124" i="7"/>
  <c r="O123" i="7"/>
  <c r="N123" i="7"/>
  <c r="M123" i="7"/>
  <c r="L123" i="7"/>
  <c r="K123" i="7"/>
  <c r="O122" i="7"/>
  <c r="N122" i="7"/>
  <c r="M122" i="7"/>
  <c r="L122" i="7"/>
  <c r="K122" i="7"/>
  <c r="O121" i="7"/>
  <c r="N121" i="7"/>
  <c r="M121" i="7"/>
  <c r="L121" i="7"/>
  <c r="K121" i="7"/>
  <c r="O120" i="7"/>
  <c r="N120" i="7"/>
  <c r="M120" i="7"/>
  <c r="L120" i="7"/>
  <c r="K120" i="7"/>
  <c r="O119" i="7"/>
  <c r="N119" i="7"/>
  <c r="M119" i="7"/>
  <c r="L119" i="7"/>
  <c r="K119" i="7"/>
  <c r="O118" i="7"/>
  <c r="N118" i="7"/>
  <c r="M118" i="7"/>
  <c r="L118" i="7"/>
  <c r="K118" i="7"/>
  <c r="O117" i="7"/>
  <c r="N117" i="7"/>
  <c r="M117" i="7"/>
  <c r="L117" i="7"/>
  <c r="K117" i="7"/>
  <c r="O116" i="7"/>
  <c r="N116" i="7"/>
  <c r="M116" i="7"/>
  <c r="L116" i="7"/>
  <c r="K116" i="7"/>
  <c r="O115" i="7"/>
  <c r="N115" i="7"/>
  <c r="M115" i="7"/>
  <c r="L115" i="7"/>
  <c r="K115" i="7"/>
  <c r="O114" i="7"/>
  <c r="N114" i="7"/>
  <c r="M114" i="7"/>
  <c r="L114" i="7"/>
  <c r="K114" i="7"/>
  <c r="O113" i="7"/>
  <c r="N113" i="7"/>
  <c r="M113" i="7"/>
  <c r="L113" i="7"/>
  <c r="K113" i="7"/>
  <c r="O112" i="7"/>
  <c r="N112" i="7"/>
  <c r="M112" i="7"/>
  <c r="L112" i="7"/>
  <c r="K112" i="7"/>
  <c r="O111" i="7"/>
  <c r="N111" i="7"/>
  <c r="M111" i="7"/>
  <c r="L111" i="7"/>
  <c r="K111" i="7"/>
  <c r="O110" i="7"/>
  <c r="N110" i="7"/>
  <c r="M110" i="7"/>
  <c r="L110" i="7"/>
  <c r="K110" i="7"/>
  <c r="O109" i="7"/>
  <c r="N109" i="7"/>
  <c r="M109" i="7"/>
  <c r="L109" i="7"/>
  <c r="K109" i="7"/>
  <c r="O108" i="7"/>
  <c r="N108" i="7"/>
  <c r="M108" i="7"/>
  <c r="L108" i="7"/>
  <c r="K108" i="7"/>
  <c r="O107" i="7"/>
  <c r="N107" i="7"/>
  <c r="M107" i="7"/>
  <c r="L107" i="7"/>
  <c r="K107" i="7"/>
  <c r="O106" i="7"/>
  <c r="N106" i="7"/>
  <c r="M106" i="7"/>
  <c r="L106" i="7"/>
  <c r="K106" i="7"/>
  <c r="O105" i="7"/>
  <c r="N105" i="7"/>
  <c r="M105" i="7"/>
  <c r="L105" i="7"/>
  <c r="K105" i="7"/>
  <c r="O104" i="7"/>
  <c r="N104" i="7"/>
  <c r="M104" i="7"/>
  <c r="L104" i="7"/>
  <c r="K104" i="7"/>
  <c r="O103" i="7"/>
  <c r="N103" i="7"/>
  <c r="M103" i="7"/>
  <c r="L103" i="7"/>
  <c r="K103" i="7"/>
  <c r="O102" i="7"/>
  <c r="N102" i="7"/>
  <c r="M102" i="7"/>
  <c r="L102" i="7"/>
  <c r="K102" i="7"/>
  <c r="O101" i="7"/>
  <c r="N101" i="7"/>
  <c r="M101" i="7"/>
  <c r="L101" i="7"/>
  <c r="K101" i="7"/>
  <c r="O100" i="7"/>
  <c r="N100" i="7"/>
  <c r="M100" i="7"/>
  <c r="L100" i="7"/>
  <c r="K100" i="7"/>
  <c r="O99" i="7"/>
  <c r="N99" i="7"/>
  <c r="M99" i="7"/>
  <c r="L99" i="7"/>
  <c r="K99" i="7"/>
  <c r="O98" i="7"/>
  <c r="N98" i="7"/>
  <c r="M98" i="7"/>
  <c r="L98" i="7"/>
  <c r="K98" i="7"/>
  <c r="O97" i="7"/>
  <c r="N97" i="7"/>
  <c r="M97" i="7"/>
  <c r="L97" i="7"/>
  <c r="K97" i="7"/>
  <c r="O96" i="7"/>
  <c r="N96" i="7"/>
  <c r="M96" i="7"/>
  <c r="L96" i="7"/>
  <c r="K96" i="7"/>
  <c r="O95" i="7"/>
  <c r="N95" i="7"/>
  <c r="M95" i="7"/>
  <c r="L95" i="7"/>
  <c r="K95" i="7"/>
  <c r="O94" i="7"/>
  <c r="N94" i="7"/>
  <c r="M94" i="7"/>
  <c r="L94" i="7"/>
  <c r="K94" i="7"/>
  <c r="O93" i="7"/>
  <c r="N93" i="7"/>
  <c r="M93" i="7"/>
  <c r="L93" i="7"/>
  <c r="K93" i="7"/>
  <c r="O92" i="7"/>
  <c r="N92" i="7"/>
  <c r="M92" i="7"/>
  <c r="L92" i="7"/>
  <c r="K92" i="7"/>
  <c r="O91" i="7"/>
  <c r="N91" i="7"/>
  <c r="M91" i="7"/>
  <c r="L91" i="7"/>
  <c r="K91" i="7"/>
  <c r="O90" i="7"/>
  <c r="N90" i="7"/>
  <c r="M90" i="7"/>
  <c r="L90" i="7"/>
  <c r="K90" i="7"/>
  <c r="O89" i="7"/>
  <c r="N89" i="7"/>
  <c r="M89" i="7"/>
  <c r="L89" i="7"/>
  <c r="K89" i="7"/>
  <c r="O88" i="7"/>
  <c r="N88" i="7"/>
  <c r="M88" i="7"/>
  <c r="L88" i="7"/>
  <c r="K88" i="7"/>
  <c r="O87" i="7"/>
  <c r="N87" i="7"/>
  <c r="M87" i="7"/>
  <c r="L87" i="7"/>
  <c r="K87" i="7"/>
  <c r="O86" i="7"/>
  <c r="N86" i="7"/>
  <c r="M86" i="7"/>
  <c r="L86" i="7"/>
  <c r="K86" i="7"/>
  <c r="O85" i="7"/>
  <c r="N85" i="7"/>
  <c r="M85" i="7"/>
  <c r="L85" i="7"/>
  <c r="K85" i="7"/>
  <c r="O84" i="7"/>
  <c r="N84" i="7"/>
  <c r="M84" i="7"/>
  <c r="L84" i="7"/>
  <c r="K84" i="7"/>
  <c r="O83" i="7"/>
  <c r="N83" i="7"/>
  <c r="M83" i="7"/>
  <c r="L83" i="7"/>
  <c r="K83" i="7"/>
  <c r="O82" i="7"/>
  <c r="N82" i="7"/>
  <c r="M82" i="7"/>
  <c r="L82" i="7"/>
  <c r="K82" i="7"/>
  <c r="O81" i="7"/>
  <c r="N81" i="7"/>
  <c r="M81" i="7"/>
  <c r="L81" i="7"/>
  <c r="K81" i="7"/>
  <c r="O80" i="7"/>
  <c r="N80" i="7"/>
  <c r="M80" i="7"/>
  <c r="L80" i="7"/>
  <c r="K80" i="7"/>
  <c r="O79" i="7"/>
  <c r="N79" i="7"/>
  <c r="M79" i="7"/>
  <c r="L79" i="7"/>
  <c r="K79" i="7"/>
  <c r="O78" i="7"/>
  <c r="N78" i="7"/>
  <c r="M78" i="7"/>
  <c r="L78" i="7"/>
  <c r="K78" i="7"/>
  <c r="O77" i="7"/>
  <c r="N77" i="7"/>
  <c r="M77" i="7"/>
  <c r="L77" i="7"/>
  <c r="K77" i="7"/>
  <c r="O76" i="7"/>
  <c r="N76" i="7"/>
  <c r="M76" i="7"/>
  <c r="L76" i="7"/>
  <c r="K76" i="7"/>
  <c r="O75" i="7"/>
  <c r="N75" i="7"/>
  <c r="M75" i="7"/>
  <c r="L75" i="7"/>
  <c r="K75" i="7"/>
  <c r="O74" i="7"/>
  <c r="N74" i="7"/>
  <c r="M74" i="7"/>
  <c r="L74" i="7"/>
  <c r="K74" i="7"/>
  <c r="O73" i="7"/>
  <c r="N73" i="7"/>
  <c r="M73" i="7"/>
  <c r="L73" i="7"/>
  <c r="K73" i="7"/>
  <c r="O72" i="7"/>
  <c r="N72" i="7"/>
  <c r="M72" i="7"/>
  <c r="L72" i="7"/>
  <c r="K72" i="7"/>
  <c r="O71" i="7"/>
  <c r="N71" i="7"/>
  <c r="M71" i="7"/>
  <c r="L71" i="7"/>
  <c r="K71" i="7"/>
  <c r="O70" i="7"/>
  <c r="N70" i="7"/>
  <c r="M70" i="7"/>
  <c r="L70" i="7"/>
  <c r="K70" i="7"/>
  <c r="O69" i="7"/>
  <c r="N69" i="7"/>
  <c r="M69" i="7"/>
  <c r="L69" i="7"/>
  <c r="K69" i="7"/>
  <c r="O68" i="7"/>
  <c r="N68" i="7"/>
  <c r="M68" i="7"/>
  <c r="L68" i="7"/>
  <c r="K68" i="7"/>
  <c r="O67" i="7"/>
  <c r="N67" i="7"/>
  <c r="M67" i="7"/>
  <c r="L67" i="7"/>
  <c r="K67" i="7"/>
  <c r="O66" i="7"/>
  <c r="N66" i="7"/>
  <c r="M66" i="7"/>
  <c r="L66" i="7"/>
  <c r="K66" i="7"/>
  <c r="O65" i="7"/>
  <c r="N65" i="7"/>
  <c r="M65" i="7"/>
  <c r="L65" i="7"/>
  <c r="K65" i="7"/>
  <c r="O64" i="7"/>
  <c r="N64" i="7"/>
  <c r="M64" i="7"/>
  <c r="L64" i="7"/>
  <c r="K64" i="7"/>
  <c r="O63" i="7"/>
  <c r="N63" i="7"/>
  <c r="M63" i="7"/>
  <c r="L63" i="7"/>
  <c r="K63" i="7"/>
  <c r="O62" i="7"/>
  <c r="N62" i="7"/>
  <c r="M62" i="7"/>
  <c r="L62" i="7"/>
  <c r="K62" i="7"/>
  <c r="O61" i="7"/>
  <c r="N61" i="7"/>
  <c r="M61" i="7"/>
  <c r="L61" i="7"/>
  <c r="K61" i="7"/>
  <c r="O60" i="7"/>
  <c r="N60" i="7"/>
  <c r="M60" i="7"/>
  <c r="L60" i="7"/>
  <c r="K60" i="7"/>
  <c r="O59" i="7"/>
  <c r="N59" i="7"/>
  <c r="M59" i="7"/>
  <c r="L59" i="7"/>
  <c r="K59" i="7"/>
  <c r="O58" i="7"/>
  <c r="N58" i="7"/>
  <c r="M58" i="7"/>
  <c r="L58" i="7"/>
  <c r="K58" i="7"/>
  <c r="O57" i="7"/>
  <c r="N57" i="7"/>
  <c r="M57" i="7"/>
  <c r="L57" i="7"/>
  <c r="K57" i="7"/>
  <c r="O56" i="7"/>
  <c r="N56" i="7"/>
  <c r="M56" i="7"/>
  <c r="L56" i="7"/>
  <c r="K56" i="7"/>
  <c r="O55" i="7"/>
  <c r="N55" i="7"/>
  <c r="M55" i="7"/>
  <c r="L55" i="7"/>
  <c r="K55" i="7"/>
  <c r="O54" i="7"/>
  <c r="N54" i="7"/>
  <c r="M54" i="7"/>
  <c r="L54" i="7"/>
  <c r="K54" i="7"/>
  <c r="O53" i="7"/>
  <c r="N53" i="7"/>
  <c r="M53" i="7"/>
  <c r="L53" i="7"/>
  <c r="K53" i="7"/>
  <c r="O52" i="7"/>
  <c r="N52" i="7"/>
  <c r="M52" i="7"/>
  <c r="L52" i="7"/>
  <c r="K52" i="7"/>
  <c r="O51" i="7"/>
  <c r="N51" i="7"/>
  <c r="M51" i="7"/>
  <c r="L51" i="7"/>
  <c r="K51" i="7"/>
  <c r="O50" i="7"/>
  <c r="N50" i="7"/>
  <c r="M50" i="7"/>
  <c r="L50" i="7"/>
  <c r="K50" i="7"/>
  <c r="O49" i="7"/>
  <c r="N49" i="7"/>
  <c r="M49" i="7"/>
  <c r="L49" i="7"/>
  <c r="K49" i="7"/>
  <c r="O48" i="7"/>
  <c r="N48" i="7"/>
  <c r="M48" i="7"/>
  <c r="L48" i="7"/>
  <c r="K48" i="7"/>
  <c r="O47" i="7"/>
  <c r="N47" i="7"/>
  <c r="M47" i="7"/>
  <c r="L47" i="7"/>
  <c r="K47" i="7"/>
  <c r="O46" i="7"/>
  <c r="N46" i="7"/>
  <c r="M46" i="7"/>
  <c r="L46" i="7"/>
  <c r="K46" i="7"/>
  <c r="O45" i="7"/>
  <c r="N45" i="7"/>
  <c r="M45" i="7"/>
  <c r="L45" i="7"/>
  <c r="K45" i="7"/>
  <c r="O44" i="7"/>
  <c r="N44" i="7"/>
  <c r="M44" i="7"/>
  <c r="L44" i="7"/>
  <c r="K44" i="7"/>
  <c r="O43" i="7"/>
  <c r="N43" i="7"/>
  <c r="M43" i="7"/>
  <c r="L43" i="7"/>
  <c r="K43" i="7"/>
  <c r="O42" i="7"/>
  <c r="N42" i="7"/>
  <c r="M42" i="7"/>
  <c r="L42" i="7"/>
  <c r="K42" i="7"/>
  <c r="O41" i="7"/>
  <c r="N41" i="7"/>
  <c r="M41" i="7"/>
  <c r="L41" i="7"/>
  <c r="K41" i="7"/>
  <c r="O40" i="7"/>
  <c r="N40" i="7"/>
  <c r="M40" i="7"/>
  <c r="L40" i="7"/>
  <c r="K40" i="7"/>
  <c r="O39" i="7"/>
  <c r="N39" i="7"/>
  <c r="M39" i="7"/>
  <c r="L39" i="7"/>
  <c r="K39" i="7"/>
  <c r="O38" i="7"/>
  <c r="N38" i="7"/>
  <c r="M38" i="7"/>
  <c r="L38" i="7"/>
  <c r="K38" i="7"/>
  <c r="O37" i="7"/>
  <c r="N37" i="7"/>
  <c r="M37" i="7"/>
  <c r="L37" i="7"/>
  <c r="K37" i="7"/>
  <c r="O36" i="7"/>
  <c r="N36" i="7"/>
  <c r="M36" i="7"/>
  <c r="L36" i="7"/>
  <c r="K36" i="7"/>
  <c r="O35" i="7"/>
  <c r="N35" i="7"/>
  <c r="M35" i="7"/>
  <c r="L35" i="7"/>
  <c r="K35" i="7"/>
  <c r="O34" i="7"/>
  <c r="N34" i="7"/>
  <c r="M34" i="7"/>
  <c r="L34" i="7"/>
  <c r="K34" i="7"/>
  <c r="O33" i="7"/>
  <c r="N33" i="7"/>
  <c r="M33" i="7"/>
  <c r="L33" i="7"/>
  <c r="K33" i="7"/>
  <c r="O32" i="7"/>
  <c r="N32" i="7"/>
  <c r="M32" i="7"/>
  <c r="L32" i="7"/>
  <c r="K32" i="7"/>
  <c r="O31" i="7"/>
  <c r="N31" i="7"/>
  <c r="M31" i="7"/>
  <c r="L31" i="7"/>
  <c r="K31" i="7"/>
  <c r="O30" i="7"/>
  <c r="N30" i="7"/>
  <c r="M30" i="7"/>
  <c r="L30" i="7"/>
  <c r="K30" i="7"/>
  <c r="O29" i="7"/>
  <c r="N29" i="7"/>
  <c r="M29" i="7"/>
  <c r="L29" i="7"/>
  <c r="K29" i="7"/>
  <c r="O28" i="7"/>
  <c r="N28" i="7"/>
  <c r="M28" i="7"/>
  <c r="L28" i="7"/>
  <c r="K28" i="7"/>
  <c r="O27" i="7"/>
  <c r="N27" i="7"/>
  <c r="M27" i="7"/>
  <c r="L27" i="7"/>
  <c r="K27" i="7"/>
  <c r="O26" i="7"/>
  <c r="N26" i="7"/>
  <c r="M26" i="7"/>
  <c r="L26" i="7"/>
  <c r="K26" i="7"/>
  <c r="O25" i="7"/>
  <c r="N25" i="7"/>
  <c r="M25" i="7"/>
  <c r="L25" i="7"/>
  <c r="K25" i="7"/>
  <c r="O24" i="7"/>
  <c r="N24" i="7"/>
  <c r="M24" i="7"/>
  <c r="L24" i="7"/>
  <c r="K24" i="7"/>
  <c r="O23" i="7"/>
  <c r="N23" i="7"/>
  <c r="M23" i="7"/>
  <c r="L23" i="7"/>
  <c r="K23" i="7"/>
  <c r="O22" i="7"/>
  <c r="N22" i="7"/>
  <c r="M22" i="7"/>
  <c r="L22" i="7"/>
  <c r="K22" i="7"/>
  <c r="O21" i="7"/>
  <c r="N21" i="7"/>
  <c r="M21" i="7"/>
  <c r="L21" i="7"/>
  <c r="K21" i="7"/>
  <c r="O20" i="7"/>
  <c r="N20" i="7"/>
  <c r="M20" i="7"/>
  <c r="L20" i="7"/>
  <c r="K20" i="7"/>
  <c r="O19" i="7"/>
  <c r="N19" i="7"/>
  <c r="M19" i="7"/>
  <c r="L19" i="7"/>
  <c r="K19" i="7"/>
  <c r="O18" i="7"/>
  <c r="N18" i="7"/>
  <c r="M18" i="7"/>
  <c r="L18" i="7"/>
  <c r="K18" i="7"/>
  <c r="O17" i="7"/>
  <c r="N17" i="7"/>
  <c r="M17" i="7"/>
  <c r="L17" i="7"/>
  <c r="K17" i="7"/>
  <c r="O16" i="7"/>
  <c r="N16" i="7"/>
  <c r="M16" i="7"/>
  <c r="L16" i="7"/>
  <c r="K16" i="7"/>
  <c r="O15" i="7"/>
  <c r="N15" i="7"/>
  <c r="M15" i="7"/>
  <c r="L15" i="7"/>
  <c r="K15" i="7"/>
  <c r="O14" i="7"/>
  <c r="N14" i="7"/>
  <c r="M14" i="7"/>
  <c r="L14" i="7"/>
  <c r="K14" i="7"/>
  <c r="O13" i="7"/>
  <c r="N13" i="7"/>
  <c r="M13" i="7"/>
  <c r="L13" i="7"/>
  <c r="K13" i="7"/>
  <c r="O12" i="7"/>
  <c r="N12" i="7"/>
  <c r="M12" i="7"/>
  <c r="L12" i="7"/>
  <c r="K12" i="7"/>
  <c r="O11" i="7"/>
  <c r="N11" i="7"/>
  <c r="M11" i="7"/>
  <c r="L11" i="7"/>
  <c r="K11" i="7"/>
  <c r="O10" i="7"/>
  <c r="N10" i="7"/>
  <c r="M10" i="7"/>
  <c r="L10" i="7"/>
  <c r="K10" i="7"/>
  <c r="O9" i="7"/>
  <c r="N9" i="7"/>
  <c r="M9" i="7"/>
  <c r="L9" i="7"/>
  <c r="K9" i="7"/>
  <c r="O8" i="7"/>
  <c r="N8" i="7"/>
  <c r="M8" i="7"/>
  <c r="L8" i="7"/>
  <c r="K8" i="7"/>
  <c r="O7" i="7"/>
  <c r="N7" i="7"/>
  <c r="M7" i="7"/>
  <c r="L7" i="7"/>
  <c r="K7" i="7"/>
  <c r="O6" i="7"/>
  <c r="N6" i="7"/>
  <c r="M6" i="7"/>
  <c r="L6" i="7"/>
  <c r="K6" i="7"/>
  <c r="O5" i="7"/>
  <c r="N5" i="7"/>
  <c r="M5" i="7"/>
  <c r="L5" i="7"/>
  <c r="K5" i="7"/>
  <c r="O4" i="7"/>
  <c r="N4" i="7"/>
  <c r="M4" i="7"/>
  <c r="L4" i="7"/>
  <c r="K4" i="7"/>
  <c r="O3" i="7"/>
  <c r="N3" i="7"/>
  <c r="M3" i="7"/>
  <c r="L3" i="7"/>
  <c r="K3" i="7"/>
  <c r="O2" i="7"/>
  <c r="N2" i="7"/>
  <c r="M2" i="7"/>
  <c r="L2" i="7"/>
  <c r="K2" i="7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P2" i="4" l="1"/>
  <c r="P7" i="7"/>
  <c r="P20" i="7"/>
  <c r="P23" i="7"/>
  <c r="P34" i="7"/>
  <c r="P55" i="7"/>
  <c r="P74" i="7"/>
  <c r="P114" i="7"/>
  <c r="P41" i="7"/>
  <c r="P13" i="7"/>
  <c r="P93" i="7"/>
  <c r="P102" i="7"/>
  <c r="P30" i="7"/>
  <c r="J18" i="7"/>
  <c r="J56" i="7"/>
  <c r="J76" i="7"/>
  <c r="J115" i="7"/>
  <c r="J118" i="7"/>
  <c r="J95" i="7"/>
  <c r="J21" i="7"/>
  <c r="J29" i="7"/>
  <c r="J37" i="7"/>
  <c r="J60" i="7"/>
  <c r="J111" i="7"/>
  <c r="J25" i="7"/>
  <c r="J41" i="7"/>
  <c r="J3" i="7"/>
  <c r="J72" i="7"/>
  <c r="J91" i="7"/>
  <c r="J99" i="7"/>
  <c r="J107" i="7"/>
  <c r="J10" i="7"/>
  <c r="P134" i="7"/>
  <c r="P15" i="7"/>
  <c r="P92" i="7"/>
  <c r="P8" i="7"/>
  <c r="P16" i="7"/>
  <c r="P24" i="7"/>
  <c r="P32" i="7"/>
  <c r="P40" i="7"/>
  <c r="P48" i="7"/>
  <c r="P56" i="7"/>
  <c r="P64" i="7"/>
  <c r="P72" i="7"/>
  <c r="P80" i="7"/>
  <c r="P88" i="7"/>
  <c r="P96" i="7"/>
  <c r="P104" i="7"/>
  <c r="P112" i="7"/>
  <c r="P120" i="7"/>
  <c r="P128" i="7"/>
  <c r="P5" i="7"/>
  <c r="P61" i="7"/>
  <c r="P42" i="7"/>
  <c r="P103" i="7"/>
  <c r="P135" i="7"/>
  <c r="P52" i="7"/>
  <c r="P82" i="7"/>
  <c r="P122" i="7"/>
  <c r="P6" i="7"/>
  <c r="P9" i="7"/>
  <c r="P12" i="7"/>
  <c r="P17" i="7"/>
  <c r="P25" i="7"/>
  <c r="P38" i="7"/>
  <c r="P67" i="7"/>
  <c r="P70" i="7"/>
  <c r="P78" i="7"/>
  <c r="P83" i="7"/>
  <c r="P99" i="7"/>
  <c r="P105" i="7"/>
  <c r="P108" i="7"/>
  <c r="P115" i="7"/>
  <c r="P126" i="7"/>
  <c r="P3" i="7"/>
  <c r="P11" i="7"/>
  <c r="P22" i="7"/>
  <c r="P36" i="7"/>
  <c r="P54" i="7"/>
  <c r="P57" i="7"/>
  <c r="P62" i="7"/>
  <c r="P68" i="7"/>
  <c r="P73" i="7"/>
  <c r="P76" i="7"/>
  <c r="P86" i="7"/>
  <c r="P94" i="7"/>
  <c r="P110" i="7"/>
  <c r="P118" i="7"/>
  <c r="P124" i="7"/>
  <c r="P132" i="7"/>
  <c r="P45" i="7"/>
  <c r="P77" i="7"/>
  <c r="P10" i="7"/>
  <c r="P18" i="7"/>
  <c r="P26" i="7"/>
  <c r="P50" i="7"/>
  <c r="P58" i="7"/>
  <c r="P66" i="7"/>
  <c r="P90" i="7"/>
  <c r="P98" i="7"/>
  <c r="P106" i="7"/>
  <c r="P130" i="7"/>
  <c r="P4" i="7"/>
  <c r="P14" i="7"/>
  <c r="P19" i="7"/>
  <c r="P28" i="7"/>
  <c r="P35" i="7"/>
  <c r="P44" i="7"/>
  <c r="P46" i="7"/>
  <c r="P51" i="7"/>
  <c r="P60" i="7"/>
  <c r="P84" i="7"/>
  <c r="P89" i="7"/>
  <c r="P100" i="7"/>
  <c r="P116" i="7"/>
  <c r="P121" i="7"/>
  <c r="P131" i="7"/>
  <c r="P29" i="7"/>
  <c r="P109" i="7"/>
  <c r="P125" i="7"/>
  <c r="P39" i="7"/>
  <c r="P71" i="7"/>
  <c r="P87" i="7"/>
  <c r="P119" i="7"/>
  <c r="P2" i="7"/>
  <c r="J127" i="7"/>
  <c r="J131" i="7"/>
  <c r="J34" i="7"/>
  <c r="J11" i="7"/>
  <c r="J22" i="7"/>
  <c r="J53" i="7"/>
  <c r="J57" i="7"/>
  <c r="J88" i="7"/>
  <c r="J92" i="7"/>
  <c r="J123" i="7"/>
  <c r="J5" i="7"/>
  <c r="J24" i="7"/>
  <c r="J28" i="7"/>
  <c r="J59" i="7"/>
  <c r="J63" i="7"/>
  <c r="J67" i="7"/>
  <c r="J86" i="7"/>
  <c r="J98" i="7"/>
  <c r="J117" i="7"/>
  <c r="J121" i="7"/>
  <c r="J132" i="7"/>
  <c r="J2" i="7"/>
  <c r="J13" i="7"/>
  <c r="J40" i="7"/>
  <c r="J44" i="7"/>
  <c r="J75" i="7"/>
  <c r="J79" i="7"/>
  <c r="J83" i="7"/>
  <c r="J102" i="7"/>
  <c r="J114" i="7"/>
  <c r="J133" i="7"/>
  <c r="J73" i="7"/>
  <c r="J108" i="7"/>
  <c r="J134" i="7"/>
  <c r="J8" i="7"/>
  <c r="J27" i="7"/>
  <c r="J31" i="7"/>
  <c r="J35" i="7"/>
  <c r="J54" i="7"/>
  <c r="J66" i="7"/>
  <c r="J85" i="7"/>
  <c r="J89" i="7"/>
  <c r="J120" i="7"/>
  <c r="J126" i="7"/>
  <c r="J130" i="7"/>
  <c r="J19" i="7"/>
  <c r="J38" i="7"/>
  <c r="J50" i="7"/>
  <c r="J69" i="7"/>
  <c r="J104" i="7"/>
  <c r="J16" i="7"/>
  <c r="J43" i="7"/>
  <c r="J47" i="7"/>
  <c r="J51" i="7"/>
  <c r="J70" i="7"/>
  <c r="J82" i="7"/>
  <c r="J101" i="7"/>
  <c r="J105" i="7"/>
  <c r="J6" i="7"/>
  <c r="J14" i="7"/>
  <c r="J32" i="7"/>
  <c r="P33" i="7"/>
  <c r="J48" i="7"/>
  <c r="P49" i="7"/>
  <c r="J64" i="7"/>
  <c r="P65" i="7"/>
  <c r="J80" i="7"/>
  <c r="P81" i="7"/>
  <c r="J96" i="7"/>
  <c r="P97" i="7"/>
  <c r="J112" i="7"/>
  <c r="P113" i="7"/>
  <c r="J124" i="7"/>
  <c r="P129" i="7"/>
  <c r="P27" i="7"/>
  <c r="J42" i="7"/>
  <c r="P43" i="7"/>
  <c r="J45" i="7"/>
  <c r="J58" i="7"/>
  <c r="P59" i="7"/>
  <c r="J61" i="7"/>
  <c r="J74" i="7"/>
  <c r="P75" i="7"/>
  <c r="J77" i="7"/>
  <c r="J90" i="7"/>
  <c r="P91" i="7"/>
  <c r="J93" i="7"/>
  <c r="J106" i="7"/>
  <c r="P107" i="7"/>
  <c r="J109" i="7"/>
  <c r="P123" i="7"/>
  <c r="J125" i="7"/>
  <c r="J9" i="7"/>
  <c r="J17" i="7"/>
  <c r="J26" i="7"/>
  <c r="J4" i="7"/>
  <c r="J12" i="7"/>
  <c r="J20" i="7"/>
  <c r="P21" i="7"/>
  <c r="J23" i="7"/>
  <c r="J36" i="7"/>
  <c r="P37" i="7"/>
  <c r="J39" i="7"/>
  <c r="J52" i="7"/>
  <c r="P53" i="7"/>
  <c r="J55" i="7"/>
  <c r="J68" i="7"/>
  <c r="P69" i="7"/>
  <c r="J71" i="7"/>
  <c r="J84" i="7"/>
  <c r="P85" i="7"/>
  <c r="J87" i="7"/>
  <c r="J100" i="7"/>
  <c r="P101" i="7"/>
  <c r="J103" i="7"/>
  <c r="J116" i="7"/>
  <c r="P117" i="7"/>
  <c r="J119" i="7"/>
  <c r="J128" i="7"/>
  <c r="P133" i="7"/>
  <c r="J135" i="7"/>
  <c r="J7" i="7"/>
  <c r="J15" i="7"/>
  <c r="J30" i="7"/>
  <c r="P31" i="7"/>
  <c r="J33" i="7"/>
  <c r="J46" i="7"/>
  <c r="P47" i="7"/>
  <c r="J49" i="7"/>
  <c r="J62" i="7"/>
  <c r="P63" i="7"/>
  <c r="J65" i="7"/>
  <c r="J78" i="7"/>
  <c r="P79" i="7"/>
  <c r="J81" i="7"/>
  <c r="J94" i="7"/>
  <c r="P95" i="7"/>
  <c r="J97" i="7"/>
  <c r="J110" i="7"/>
  <c r="P111" i="7"/>
  <c r="J113" i="7"/>
  <c r="J122" i="7"/>
  <c r="P127" i="7"/>
  <c r="J129" i="7"/>
  <c r="P10" i="4"/>
  <c r="P16" i="4"/>
  <c r="P72" i="4"/>
  <c r="P80" i="4"/>
  <c r="P110" i="4"/>
  <c r="S1" i="7" l="1"/>
  <c r="T1" i="7"/>
  <c r="Q63" i="7"/>
  <c r="R63" i="7"/>
  <c r="R123" i="7"/>
  <c r="Q123" i="7"/>
  <c r="R75" i="7"/>
  <c r="Q75" i="7"/>
  <c r="Q109" i="7"/>
  <c r="R109" i="7"/>
  <c r="R60" i="7"/>
  <c r="Q60" i="7"/>
  <c r="R26" i="7"/>
  <c r="Q26" i="7"/>
  <c r="Q54" i="7"/>
  <c r="R54" i="7"/>
  <c r="R105" i="7"/>
  <c r="Q105" i="7"/>
  <c r="Q103" i="7"/>
  <c r="R103" i="7"/>
  <c r="R32" i="7"/>
  <c r="Q32" i="7"/>
  <c r="R7" i="7"/>
  <c r="Q7" i="7"/>
  <c r="Q129" i="7"/>
  <c r="R129" i="7"/>
  <c r="Q94" i="7"/>
  <c r="R94" i="7"/>
  <c r="Q24" i="7"/>
  <c r="R24" i="7"/>
  <c r="R91" i="7"/>
  <c r="Q91" i="7"/>
  <c r="R33" i="7"/>
  <c r="Q33" i="7"/>
  <c r="R100" i="7"/>
  <c r="Q100" i="7"/>
  <c r="R28" i="7"/>
  <c r="Q28" i="7"/>
  <c r="R66" i="7"/>
  <c r="Q66" i="7"/>
  <c r="R68" i="7"/>
  <c r="Q68" i="7"/>
  <c r="R126" i="7"/>
  <c r="Q126" i="7"/>
  <c r="R67" i="7"/>
  <c r="Q67" i="7"/>
  <c r="R82" i="7"/>
  <c r="Q82" i="7"/>
  <c r="R120" i="7"/>
  <c r="Q120" i="7"/>
  <c r="Q15" i="7"/>
  <c r="R15" i="7"/>
  <c r="Q93" i="7"/>
  <c r="R93" i="7"/>
  <c r="R34" i="7"/>
  <c r="Q34" i="7"/>
  <c r="Q117" i="7"/>
  <c r="R117" i="7"/>
  <c r="Q38" i="7"/>
  <c r="R38" i="7"/>
  <c r="Q69" i="7"/>
  <c r="R69" i="7"/>
  <c r="R81" i="7"/>
  <c r="Q81" i="7"/>
  <c r="R125" i="7"/>
  <c r="Q125" i="7"/>
  <c r="Q14" i="7"/>
  <c r="R14" i="7"/>
  <c r="Q118" i="7"/>
  <c r="R118" i="7"/>
  <c r="R108" i="7"/>
  <c r="Q108" i="7"/>
  <c r="Q25" i="7"/>
  <c r="R25" i="7"/>
  <c r="Q104" i="7"/>
  <c r="R104" i="7"/>
  <c r="R41" i="7"/>
  <c r="Q41" i="7"/>
  <c r="Q79" i="7"/>
  <c r="R79" i="7"/>
  <c r="R97" i="7"/>
  <c r="Q97" i="7"/>
  <c r="R71" i="7"/>
  <c r="Q71" i="7"/>
  <c r="R132" i="7"/>
  <c r="Q132" i="7"/>
  <c r="R56" i="7"/>
  <c r="Q56" i="7"/>
  <c r="R62" i="7"/>
  <c r="Q62" i="7"/>
  <c r="R111" i="7"/>
  <c r="Q111" i="7"/>
  <c r="R84" i="7"/>
  <c r="Q84" i="7"/>
  <c r="R50" i="7"/>
  <c r="Q50" i="7"/>
  <c r="R57" i="7"/>
  <c r="Q57" i="7"/>
  <c r="R135" i="7"/>
  <c r="Q135" i="7"/>
  <c r="Q40" i="7"/>
  <c r="R40" i="7"/>
  <c r="R20" i="7"/>
  <c r="Q20" i="7"/>
  <c r="R21" i="7"/>
  <c r="Q21" i="7"/>
  <c r="R27" i="7"/>
  <c r="Q27" i="7"/>
  <c r="R4" i="7"/>
  <c r="Q4" i="7"/>
  <c r="R110" i="7"/>
  <c r="Q110" i="7"/>
  <c r="R17" i="7"/>
  <c r="Q17" i="7"/>
  <c r="R96" i="7"/>
  <c r="Q96" i="7"/>
  <c r="Q102" i="7"/>
  <c r="R102" i="7"/>
  <c r="Q29" i="7"/>
  <c r="R29" i="7"/>
  <c r="R130" i="7"/>
  <c r="Q130" i="7"/>
  <c r="R36" i="7"/>
  <c r="Q36" i="7"/>
  <c r="R42" i="7"/>
  <c r="Q42" i="7"/>
  <c r="Q95" i="7"/>
  <c r="R95" i="7"/>
  <c r="R131" i="7"/>
  <c r="Q131" i="7"/>
  <c r="R106" i="7"/>
  <c r="Q106" i="7"/>
  <c r="R86" i="7"/>
  <c r="Q86" i="7"/>
  <c r="R83" i="7"/>
  <c r="Q83" i="7"/>
  <c r="R61" i="7"/>
  <c r="Q61" i="7"/>
  <c r="R16" i="7"/>
  <c r="Q16" i="7"/>
  <c r="R114" i="7"/>
  <c r="Q114" i="7"/>
  <c r="R47" i="7"/>
  <c r="Q47" i="7"/>
  <c r="R44" i="7"/>
  <c r="Q44" i="7"/>
  <c r="R11" i="7"/>
  <c r="Q11" i="7"/>
  <c r="R72" i="7"/>
  <c r="Q72" i="7"/>
  <c r="R74" i="7"/>
  <c r="Q74" i="7"/>
  <c r="R37" i="7"/>
  <c r="Q37" i="7"/>
  <c r="Q31" i="7"/>
  <c r="R31" i="7"/>
  <c r="R43" i="7"/>
  <c r="Q43" i="7"/>
  <c r="Q39" i="7"/>
  <c r="R39" i="7"/>
  <c r="Q89" i="7"/>
  <c r="R89" i="7"/>
  <c r="R19" i="7"/>
  <c r="Q19" i="7"/>
  <c r="R58" i="7"/>
  <c r="Q58" i="7"/>
  <c r="R124" i="7"/>
  <c r="Q124" i="7"/>
  <c r="R115" i="7"/>
  <c r="Q115" i="7"/>
  <c r="R52" i="7"/>
  <c r="Q52" i="7"/>
  <c r="R112" i="7"/>
  <c r="Q112" i="7"/>
  <c r="R48" i="7"/>
  <c r="Q48" i="7"/>
  <c r="Q134" i="7"/>
  <c r="R134" i="7"/>
  <c r="Q13" i="7"/>
  <c r="R13" i="7"/>
  <c r="R23" i="7"/>
  <c r="Q23" i="7"/>
  <c r="R101" i="7"/>
  <c r="Q101" i="7"/>
  <c r="Q65" i="7"/>
  <c r="R65" i="7"/>
  <c r="R51" i="7"/>
  <c r="Q51" i="7"/>
  <c r="R18" i="7"/>
  <c r="Q18" i="7"/>
  <c r="R99" i="7"/>
  <c r="Q99" i="7"/>
  <c r="R12" i="7"/>
  <c r="Q12" i="7"/>
  <c r="Q88" i="7"/>
  <c r="R88" i="7"/>
  <c r="Q53" i="7"/>
  <c r="R53" i="7"/>
  <c r="R107" i="7"/>
  <c r="Q107" i="7"/>
  <c r="R2" i="7"/>
  <c r="Q2" i="7"/>
  <c r="R46" i="7"/>
  <c r="Q46" i="7"/>
  <c r="R10" i="7"/>
  <c r="Q10" i="7"/>
  <c r="R22" i="7"/>
  <c r="Q22" i="7"/>
  <c r="R9" i="7"/>
  <c r="Q9" i="7"/>
  <c r="R80" i="7"/>
  <c r="Q80" i="7"/>
  <c r="Q30" i="7"/>
  <c r="R30" i="7"/>
  <c r="Q133" i="7"/>
  <c r="R133" i="7"/>
  <c r="R59" i="7"/>
  <c r="Q59" i="7"/>
  <c r="Q113" i="7"/>
  <c r="R113" i="7"/>
  <c r="Q49" i="7"/>
  <c r="R49" i="7"/>
  <c r="R119" i="7"/>
  <c r="Q119" i="7"/>
  <c r="R121" i="7"/>
  <c r="Q121" i="7"/>
  <c r="R98" i="7"/>
  <c r="Q98" i="7"/>
  <c r="Q77" i="7"/>
  <c r="R77" i="7"/>
  <c r="R76" i="7"/>
  <c r="Q76" i="7"/>
  <c r="Q78" i="7"/>
  <c r="R78" i="7"/>
  <c r="Q6" i="7"/>
  <c r="R6" i="7"/>
  <c r="R5" i="7"/>
  <c r="Q5" i="7"/>
  <c r="R8" i="7"/>
  <c r="Q8" i="7"/>
  <c r="Q127" i="7"/>
  <c r="R127" i="7"/>
  <c r="R85" i="7"/>
  <c r="Q85" i="7"/>
  <c r="R87" i="7"/>
  <c r="Q87" i="7"/>
  <c r="R116" i="7"/>
  <c r="Q116" i="7"/>
  <c r="R35" i="7"/>
  <c r="Q35" i="7"/>
  <c r="R90" i="7"/>
  <c r="Q90" i="7"/>
  <c r="R45" i="7"/>
  <c r="Q45" i="7"/>
  <c r="R73" i="7"/>
  <c r="Q73" i="7"/>
  <c r="R3" i="7"/>
  <c r="Q3" i="7"/>
  <c r="Q70" i="7"/>
  <c r="R70" i="7"/>
  <c r="R122" i="7"/>
  <c r="Q122" i="7"/>
  <c r="Q128" i="7"/>
  <c r="R128" i="7"/>
  <c r="Q64" i="7"/>
  <c r="R64" i="7"/>
  <c r="R92" i="7"/>
  <c r="Q92" i="7"/>
  <c r="Q55" i="7"/>
  <c r="R55" i="7"/>
  <c r="J105" i="4"/>
  <c r="J89" i="4"/>
  <c r="J41" i="4"/>
  <c r="J81" i="4"/>
  <c r="J9" i="4"/>
  <c r="J97" i="4"/>
  <c r="J73" i="4"/>
  <c r="J133" i="4"/>
  <c r="J129" i="4"/>
  <c r="J120" i="4"/>
  <c r="J117" i="4"/>
  <c r="J104" i="4"/>
  <c r="J101" i="4"/>
  <c r="J88" i="4"/>
  <c r="J85" i="4"/>
  <c r="J72" i="4"/>
  <c r="R72" i="4" s="1"/>
  <c r="J69" i="4"/>
  <c r="J65" i="4"/>
  <c r="J48" i="4"/>
  <c r="J45" i="4"/>
  <c r="J40" i="4"/>
  <c r="J37" i="4"/>
  <c r="J32" i="4"/>
  <c r="J29" i="4"/>
  <c r="J24" i="4"/>
  <c r="J21" i="4"/>
  <c r="J16" i="4"/>
  <c r="R16" i="4" s="1"/>
  <c r="J13" i="4"/>
  <c r="J8" i="4"/>
  <c r="J5" i="4"/>
  <c r="J121" i="4"/>
  <c r="J57" i="4"/>
  <c r="J33" i="4"/>
  <c r="J17" i="4"/>
  <c r="J128" i="4"/>
  <c r="J125" i="4"/>
  <c r="J112" i="4"/>
  <c r="J109" i="4"/>
  <c r="J96" i="4"/>
  <c r="J93" i="4"/>
  <c r="J80" i="4"/>
  <c r="Q80" i="4" s="1"/>
  <c r="J77" i="4"/>
  <c r="J64" i="4"/>
  <c r="J61" i="4"/>
  <c r="J56" i="4"/>
  <c r="J53" i="4"/>
  <c r="J113" i="4"/>
  <c r="J49" i="4"/>
  <c r="J25" i="4"/>
  <c r="J123" i="4"/>
  <c r="J118" i="4"/>
  <c r="J99" i="4"/>
  <c r="J94" i="4"/>
  <c r="J75" i="4"/>
  <c r="J70" i="4"/>
  <c r="J43" i="4"/>
  <c r="J38" i="4"/>
  <c r="J19" i="4"/>
  <c r="J6" i="4"/>
  <c r="J131" i="4"/>
  <c r="J126" i="4"/>
  <c r="J107" i="4"/>
  <c r="J102" i="4"/>
  <c r="J83" i="4"/>
  <c r="J78" i="4"/>
  <c r="J59" i="4"/>
  <c r="J54" i="4"/>
  <c r="J27" i="4"/>
  <c r="J22" i="4"/>
  <c r="J11" i="4"/>
  <c r="J3" i="4"/>
  <c r="J132" i="4"/>
  <c r="J116" i="4"/>
  <c r="J100" i="4"/>
  <c r="J84" i="4"/>
  <c r="J68" i="4"/>
  <c r="J52" i="4"/>
  <c r="J36" i="4"/>
  <c r="J28" i="4"/>
  <c r="J4" i="4"/>
  <c r="J135" i="4"/>
  <c r="J130" i="4"/>
  <c r="J127" i="4"/>
  <c r="J122" i="4"/>
  <c r="J119" i="4"/>
  <c r="J114" i="4"/>
  <c r="J111" i="4"/>
  <c r="J106" i="4"/>
  <c r="J103" i="4"/>
  <c r="J98" i="4"/>
  <c r="J95" i="4"/>
  <c r="J90" i="4"/>
  <c r="J87" i="4"/>
  <c r="J82" i="4"/>
  <c r="J79" i="4"/>
  <c r="J74" i="4"/>
  <c r="J71" i="4"/>
  <c r="J66" i="4"/>
  <c r="J63" i="4"/>
  <c r="J58" i="4"/>
  <c r="J55" i="4"/>
  <c r="J50" i="4"/>
  <c r="J47" i="4"/>
  <c r="J42" i="4"/>
  <c r="J39" i="4"/>
  <c r="J34" i="4"/>
  <c r="J31" i="4"/>
  <c r="J26" i="4"/>
  <c r="J23" i="4"/>
  <c r="J18" i="4"/>
  <c r="J15" i="4"/>
  <c r="J10" i="4"/>
  <c r="R10" i="4" s="1"/>
  <c r="J7" i="4"/>
  <c r="J134" i="4"/>
  <c r="J115" i="4"/>
  <c r="J110" i="4"/>
  <c r="Q110" i="4" s="1"/>
  <c r="J91" i="4"/>
  <c r="J86" i="4"/>
  <c r="J67" i="4"/>
  <c r="J62" i="4"/>
  <c r="J51" i="4"/>
  <c r="J46" i="4"/>
  <c r="J35" i="4"/>
  <c r="J30" i="4"/>
  <c r="J14" i="4"/>
  <c r="J124" i="4"/>
  <c r="J108" i="4"/>
  <c r="J92" i="4"/>
  <c r="J76" i="4"/>
  <c r="J60" i="4"/>
  <c r="J44" i="4"/>
  <c r="J20" i="4"/>
  <c r="J12" i="4"/>
  <c r="J2" i="4"/>
  <c r="Q2" i="4" s="1"/>
  <c r="P8" i="4"/>
  <c r="P128" i="4"/>
  <c r="P120" i="4"/>
  <c r="P112" i="4"/>
  <c r="P104" i="4"/>
  <c r="P96" i="4"/>
  <c r="P88" i="4"/>
  <c r="P64" i="4"/>
  <c r="P56" i="4"/>
  <c r="P48" i="4"/>
  <c r="P40" i="4"/>
  <c r="P32" i="4"/>
  <c r="P24" i="4"/>
  <c r="P79" i="4"/>
  <c r="P23" i="4"/>
  <c r="P22" i="4"/>
  <c r="P14" i="4"/>
  <c r="P59" i="4"/>
  <c r="P11" i="4"/>
  <c r="P122" i="4"/>
  <c r="P74" i="4"/>
  <c r="P18" i="4"/>
  <c r="P68" i="4"/>
  <c r="P19" i="4"/>
  <c r="P121" i="4"/>
  <c r="P49" i="4"/>
  <c r="P17" i="4"/>
  <c r="P119" i="4"/>
  <c r="P95" i="4"/>
  <c r="P71" i="4"/>
  <c r="P47" i="4"/>
  <c r="P15" i="4"/>
  <c r="P134" i="4"/>
  <c r="P126" i="4"/>
  <c r="P118" i="4"/>
  <c r="P102" i="4"/>
  <c r="P94" i="4"/>
  <c r="P86" i="4"/>
  <c r="P78" i="4"/>
  <c r="P70" i="4"/>
  <c r="P62" i="4"/>
  <c r="P54" i="4"/>
  <c r="P46" i="4"/>
  <c r="P38" i="4"/>
  <c r="P30" i="4"/>
  <c r="P6" i="4"/>
  <c r="P133" i="4"/>
  <c r="P125" i="4"/>
  <c r="P117" i="4"/>
  <c r="P109" i="4"/>
  <c r="P101" i="4"/>
  <c r="P93" i="4"/>
  <c r="P85" i="4"/>
  <c r="P77" i="4"/>
  <c r="P69" i="4"/>
  <c r="P61" i="4"/>
  <c r="P53" i="4"/>
  <c r="P45" i="4"/>
  <c r="P37" i="4"/>
  <c r="P29" i="4"/>
  <c r="P21" i="4"/>
  <c r="P13" i="4"/>
  <c r="P5" i="4"/>
  <c r="P127" i="4"/>
  <c r="P103" i="4"/>
  <c r="P87" i="4"/>
  <c r="P63" i="4"/>
  <c r="P39" i="4"/>
  <c r="P31" i="4"/>
  <c r="P124" i="4"/>
  <c r="P108" i="4"/>
  <c r="P92" i="4"/>
  <c r="P52" i="4"/>
  <c r="P36" i="4"/>
  <c r="P28" i="4"/>
  <c r="P12" i="4"/>
  <c r="P123" i="4"/>
  <c r="P107" i="4"/>
  <c r="P91" i="4"/>
  <c r="P75" i="4"/>
  <c r="P43" i="4"/>
  <c r="P27" i="4"/>
  <c r="P130" i="4"/>
  <c r="P114" i="4"/>
  <c r="P106" i="4"/>
  <c r="P98" i="4"/>
  <c r="P90" i="4"/>
  <c r="P82" i="4"/>
  <c r="P66" i="4"/>
  <c r="P58" i="4"/>
  <c r="P50" i="4"/>
  <c r="P42" i="4"/>
  <c r="P34" i="4"/>
  <c r="P26" i="4"/>
  <c r="P135" i="4"/>
  <c r="P111" i="4"/>
  <c r="P55" i="4"/>
  <c r="P7" i="4"/>
  <c r="P132" i="4"/>
  <c r="P116" i="4"/>
  <c r="P100" i="4"/>
  <c r="P84" i="4"/>
  <c r="P76" i="4"/>
  <c r="P60" i="4"/>
  <c r="P44" i="4"/>
  <c r="P20" i="4"/>
  <c r="P4" i="4"/>
  <c r="P131" i="4"/>
  <c r="P115" i="4"/>
  <c r="P99" i="4"/>
  <c r="P83" i="4"/>
  <c r="P67" i="4"/>
  <c r="P51" i="4"/>
  <c r="P35" i="4"/>
  <c r="P3" i="4"/>
  <c r="P129" i="4"/>
  <c r="P113" i="4"/>
  <c r="P105" i="4"/>
  <c r="P97" i="4"/>
  <c r="P89" i="4"/>
  <c r="P81" i="4"/>
  <c r="P73" i="4"/>
  <c r="P65" i="4"/>
  <c r="P57" i="4"/>
  <c r="P41" i="4"/>
  <c r="P33" i="4"/>
  <c r="P25" i="4"/>
  <c r="P9" i="4"/>
  <c r="Q10" i="4" l="1"/>
  <c r="R80" i="4"/>
  <c r="Q72" i="4"/>
  <c r="R110" i="4"/>
  <c r="Q16" i="4"/>
  <c r="R2" i="4"/>
  <c r="S1" i="4"/>
  <c r="U1" i="7"/>
  <c r="R53" i="4"/>
  <c r="Q53" i="4"/>
  <c r="Q9" i="4"/>
  <c r="R9" i="4"/>
  <c r="Q89" i="4"/>
  <c r="R89" i="4"/>
  <c r="R67" i="4"/>
  <c r="Q67" i="4"/>
  <c r="R60" i="4"/>
  <c r="Q60" i="4"/>
  <c r="R111" i="4"/>
  <c r="Q111" i="4"/>
  <c r="Q82" i="4"/>
  <c r="R82" i="4"/>
  <c r="R75" i="4"/>
  <c r="Q75" i="4"/>
  <c r="R92" i="4"/>
  <c r="Q92" i="4"/>
  <c r="R127" i="4"/>
  <c r="Q127" i="4"/>
  <c r="R61" i="4"/>
  <c r="Q61" i="4"/>
  <c r="R125" i="4"/>
  <c r="Q125" i="4"/>
  <c r="R70" i="4"/>
  <c r="Q70" i="4"/>
  <c r="R15" i="4"/>
  <c r="Q15" i="4"/>
  <c r="R19" i="4"/>
  <c r="Q19" i="4"/>
  <c r="R22" i="4"/>
  <c r="Q22" i="4"/>
  <c r="Q64" i="4"/>
  <c r="R64" i="4"/>
  <c r="Q73" i="4"/>
  <c r="R73" i="4"/>
  <c r="R35" i="4"/>
  <c r="Q35" i="4"/>
  <c r="R20" i="4"/>
  <c r="Q20" i="4"/>
  <c r="R7" i="4"/>
  <c r="Q7" i="4"/>
  <c r="R58" i="4"/>
  <c r="Q58" i="4"/>
  <c r="Q27" i="4"/>
  <c r="R27" i="4"/>
  <c r="R36" i="4"/>
  <c r="Q36" i="4"/>
  <c r="R87" i="4"/>
  <c r="Q87" i="4"/>
  <c r="R45" i="4"/>
  <c r="Q45" i="4"/>
  <c r="R109" i="4"/>
  <c r="Q109" i="4"/>
  <c r="R54" i="4"/>
  <c r="Q54" i="4"/>
  <c r="R126" i="4"/>
  <c r="Q126" i="4"/>
  <c r="Q49" i="4"/>
  <c r="R49" i="4"/>
  <c r="R59" i="4"/>
  <c r="Q59" i="4"/>
  <c r="Q48" i="4"/>
  <c r="R48" i="4"/>
  <c r="Q128" i="4"/>
  <c r="R128" i="4"/>
  <c r="Q51" i="4"/>
  <c r="R51" i="4"/>
  <c r="R55" i="4"/>
  <c r="Q55" i="4"/>
  <c r="R103" i="4"/>
  <c r="Q103" i="4"/>
  <c r="R62" i="4"/>
  <c r="Q62" i="4"/>
  <c r="Q121" i="4"/>
  <c r="R121" i="4"/>
  <c r="R56" i="4"/>
  <c r="Q56" i="4"/>
  <c r="Q33" i="4"/>
  <c r="R33" i="4"/>
  <c r="Q105" i="4"/>
  <c r="R105" i="4"/>
  <c r="R99" i="4"/>
  <c r="Q99" i="4"/>
  <c r="Q84" i="4"/>
  <c r="R84" i="4"/>
  <c r="R26" i="4"/>
  <c r="Q26" i="4"/>
  <c r="R98" i="4"/>
  <c r="Q98" i="4"/>
  <c r="R107" i="4"/>
  <c r="Q107" i="4"/>
  <c r="R124" i="4"/>
  <c r="Q124" i="4"/>
  <c r="R13" i="4"/>
  <c r="Q13" i="4"/>
  <c r="R77" i="4"/>
  <c r="Q77" i="4"/>
  <c r="R6" i="4"/>
  <c r="Q6" i="4"/>
  <c r="R86" i="4"/>
  <c r="Q86" i="4"/>
  <c r="R71" i="4"/>
  <c r="Q71" i="4"/>
  <c r="Q18" i="4"/>
  <c r="R18" i="4"/>
  <c r="R79" i="4"/>
  <c r="Q79" i="4"/>
  <c r="Q96" i="4"/>
  <c r="R96" i="4"/>
  <c r="T1" i="4"/>
  <c r="Q41" i="4"/>
  <c r="R41" i="4"/>
  <c r="Q113" i="4"/>
  <c r="R113" i="4"/>
  <c r="Q115" i="4"/>
  <c r="R115" i="4"/>
  <c r="R100" i="4"/>
  <c r="Q100" i="4"/>
  <c r="R34" i="4"/>
  <c r="Q34" i="4"/>
  <c r="Q106" i="4"/>
  <c r="R106" i="4"/>
  <c r="R123" i="4"/>
  <c r="Q123" i="4"/>
  <c r="R31" i="4"/>
  <c r="Q31" i="4"/>
  <c r="R21" i="4"/>
  <c r="Q21" i="4"/>
  <c r="R85" i="4"/>
  <c r="Q85" i="4"/>
  <c r="R30" i="4"/>
  <c r="Q30" i="4"/>
  <c r="R94" i="4"/>
  <c r="Q94" i="4"/>
  <c r="R95" i="4"/>
  <c r="Q95" i="4"/>
  <c r="Q74" i="4"/>
  <c r="R74" i="4"/>
  <c r="R24" i="4"/>
  <c r="Q24" i="4"/>
  <c r="Q104" i="4"/>
  <c r="R104" i="4"/>
  <c r="Q81" i="4"/>
  <c r="R81" i="4"/>
  <c r="R44" i="4"/>
  <c r="Q44" i="4"/>
  <c r="R66" i="4"/>
  <c r="Q66" i="4"/>
  <c r="Q52" i="4"/>
  <c r="R52" i="4"/>
  <c r="R117" i="4"/>
  <c r="Q117" i="4"/>
  <c r="R134" i="4"/>
  <c r="Q134" i="4"/>
  <c r="R14" i="4"/>
  <c r="Q14" i="4"/>
  <c r="Q8" i="4"/>
  <c r="R8" i="4"/>
  <c r="Q97" i="4"/>
  <c r="R97" i="4"/>
  <c r="R76" i="4"/>
  <c r="Q76" i="4"/>
  <c r="R90" i="4"/>
  <c r="Q90" i="4"/>
  <c r="R108" i="4"/>
  <c r="Q108" i="4"/>
  <c r="R133" i="4"/>
  <c r="Q133" i="4"/>
  <c r="R47" i="4"/>
  <c r="Q47" i="4"/>
  <c r="R68" i="4"/>
  <c r="Q68" i="4"/>
  <c r="R88" i="4"/>
  <c r="Q88" i="4"/>
  <c r="R57" i="4"/>
  <c r="Q57" i="4"/>
  <c r="Q129" i="4"/>
  <c r="R129" i="4"/>
  <c r="Q131" i="4"/>
  <c r="R131" i="4"/>
  <c r="Q116" i="4"/>
  <c r="R116" i="4"/>
  <c r="Q42" i="4"/>
  <c r="R42" i="4"/>
  <c r="Q114" i="4"/>
  <c r="R114" i="4"/>
  <c r="R12" i="4"/>
  <c r="Q12" i="4"/>
  <c r="R39" i="4"/>
  <c r="Q39" i="4"/>
  <c r="Q29" i="4"/>
  <c r="R29" i="4"/>
  <c r="R93" i="4"/>
  <c r="Q93" i="4"/>
  <c r="R38" i="4"/>
  <c r="Q38" i="4"/>
  <c r="R102" i="4"/>
  <c r="Q102" i="4"/>
  <c r="R119" i="4"/>
  <c r="Q119" i="4"/>
  <c r="Q122" i="4"/>
  <c r="R122" i="4"/>
  <c r="Q32" i="4"/>
  <c r="R32" i="4"/>
  <c r="Q112" i="4"/>
  <c r="R112" i="4"/>
  <c r="Q43" i="4"/>
  <c r="R43" i="4"/>
  <c r="R25" i="4"/>
  <c r="Q25" i="4"/>
  <c r="Q83" i="4"/>
  <c r="R83" i="4"/>
  <c r="R135" i="4"/>
  <c r="Q135" i="4"/>
  <c r="R91" i="4"/>
  <c r="Q91" i="4"/>
  <c r="R5" i="4"/>
  <c r="Q5" i="4"/>
  <c r="Q69" i="4"/>
  <c r="R69" i="4"/>
  <c r="R78" i="4"/>
  <c r="Q78" i="4"/>
  <c r="R23" i="4"/>
  <c r="Q23" i="4"/>
  <c r="Q65" i="4"/>
  <c r="R65" i="4"/>
  <c r="R3" i="4"/>
  <c r="Q3" i="4"/>
  <c r="R4" i="4"/>
  <c r="Q4" i="4"/>
  <c r="R132" i="4"/>
  <c r="Q132" i="4"/>
  <c r="Q50" i="4"/>
  <c r="R50" i="4"/>
  <c r="Q130" i="4"/>
  <c r="R130" i="4"/>
  <c r="Q28" i="4"/>
  <c r="R28" i="4"/>
  <c r="R63" i="4"/>
  <c r="Q63" i="4"/>
  <c r="Q37" i="4"/>
  <c r="R37" i="4"/>
  <c r="R101" i="4"/>
  <c r="Q101" i="4"/>
  <c r="R46" i="4"/>
  <c r="Q46" i="4"/>
  <c r="R118" i="4"/>
  <c r="Q118" i="4"/>
  <c r="Q17" i="4"/>
  <c r="R17" i="4"/>
  <c r="R11" i="4"/>
  <c r="Q11" i="4"/>
  <c r="Q40" i="4"/>
  <c r="R40" i="4"/>
  <c r="Q120" i="4"/>
  <c r="R120" i="4"/>
  <c r="U1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tk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TruckFlow2016]('13')"/>
  </connection>
  <connection id="2" xr16:uid="{00000000-0015-0000-FFFF-FFFF01000000}" keepAlive="1" name="mytruck1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Truck2016]('873')"/>
  </connection>
</connections>
</file>

<file path=xl/sharedStrings.xml><?xml version="1.0" encoding="utf-8"?>
<sst xmlns="http://schemas.openxmlformats.org/spreadsheetml/2006/main" count="758" uniqueCount="108">
  <si>
    <t>Local</t>
  </si>
  <si>
    <t>Weekday Boardings</t>
  </si>
  <si>
    <t>Route</t>
  </si>
  <si>
    <t>Mode</t>
  </si>
  <si>
    <t>Mode Desc</t>
  </si>
  <si>
    <t xml:space="preserve">AM Early </t>
  </si>
  <si>
    <t xml:space="preserve">AM Peak </t>
  </si>
  <si>
    <t xml:space="preserve">Midday </t>
  </si>
  <si>
    <t xml:space="preserve">PM Peak </t>
  </si>
  <si>
    <t xml:space="preserve">Evening </t>
  </si>
  <si>
    <t>Express</t>
  </si>
  <si>
    <t>Arterial Rapid</t>
  </si>
  <si>
    <t>Freeway Rapid</t>
  </si>
  <si>
    <t>Commuter Rail</t>
  </si>
  <si>
    <t>LRT</t>
  </si>
  <si>
    <t>Limited Express</t>
  </si>
  <si>
    <t>Steps to update the validation result:</t>
  </si>
  <si>
    <t>Input Scenario_id in cell $c$2</t>
  </si>
  <si>
    <t>All the rest will be updated automatically.</t>
  </si>
  <si>
    <t>scenario_id</t>
  </si>
  <si>
    <t>mymode</t>
  </si>
  <si>
    <t>EA</t>
  </si>
  <si>
    <t>AM</t>
  </si>
  <si>
    <t>MD</t>
  </si>
  <si>
    <t>PM</t>
  </si>
  <si>
    <t>EV</t>
  </si>
  <si>
    <t>Day</t>
  </si>
  <si>
    <t>Gap_Day</t>
  </si>
  <si>
    <t>x2</t>
  </si>
  <si>
    <t>Weekday Passenger Miles</t>
  </si>
  <si>
    <t>Weekday Ave Trip Length</t>
  </si>
  <si>
    <t>Gap</t>
  </si>
  <si>
    <t>Hwycovid</t>
  </si>
  <si>
    <t>mode_category_abbr</t>
  </si>
  <si>
    <t>flow</t>
  </si>
  <si>
    <t>TRUCK</t>
  </si>
  <si>
    <t>RTE</t>
  </si>
  <si>
    <t>DIST</t>
  </si>
  <si>
    <t>CNTY</t>
  </si>
  <si>
    <t>LEG</t>
  </si>
  <si>
    <t>DESCRIPTION</t>
  </si>
  <si>
    <t>HWYCOV_ID</t>
  </si>
  <si>
    <t>TRUCK AADT TOTAL</t>
  </si>
  <si>
    <t>REMARK</t>
  </si>
  <si>
    <t>SD</t>
  </si>
  <si>
    <t>R42.712</t>
  </si>
  <si>
    <t>B</t>
  </si>
  <si>
    <t>LEUCADIA BLVD</t>
  </si>
  <si>
    <t>COUNT</t>
  </si>
  <si>
    <t>R51.98</t>
  </si>
  <si>
    <t>CAMERON RD</t>
  </si>
  <si>
    <t>R18.727</t>
  </si>
  <si>
    <t>GREENFIELD DR</t>
  </si>
  <si>
    <t>O</t>
  </si>
  <si>
    <t>SANYO AVE</t>
  </si>
  <si>
    <t>ESTIMATE</t>
  </si>
  <si>
    <t>R9.995</t>
  </si>
  <si>
    <t>X</t>
  </si>
  <si>
    <t>CLAIREMONT MESA BLVD INTERCHANGE</t>
  </si>
  <si>
    <t>R46.491</t>
  </si>
  <si>
    <t>A</t>
  </si>
  <si>
    <t>JCT. RTE. 76</t>
  </si>
  <si>
    <t>VERIFIED</t>
  </si>
  <si>
    <t>R31.517</t>
  </si>
  <si>
    <t>JCT. RTE. 78</t>
  </si>
  <si>
    <t>POWAY RD</t>
  </si>
  <si>
    <t>OLIVE HILL RD</t>
  </si>
  <si>
    <t>R9.49</t>
  </si>
  <si>
    <t>VISTA WAY</t>
  </si>
  <si>
    <t>SAN MARCOS,RANCHO SANTA FE</t>
  </si>
  <si>
    <t>R10.837</t>
  </si>
  <si>
    <t>SAN DIEGO, KEARNEY VILLA RD INTERCHANGE</t>
  </si>
  <si>
    <t>NAPLE ST UNDERCROSSING</t>
  </si>
  <si>
    <t>SAN DIEGO, JCT. RTE. 905</t>
  </si>
  <si>
    <t>JCT. RTE. 805</t>
  </si>
  <si>
    <t>R11.736</t>
  </si>
  <si>
    <t>MEXICAN BORDER POE-TRUCK ENTRANCE</t>
  </si>
  <si>
    <t>SANDAG</t>
  </si>
  <si>
    <t>SBX 3+ AXLES ONLY</t>
  </si>
  <si>
    <t>SR-905</t>
  </si>
  <si>
    <t>Flow</t>
  </si>
  <si>
    <t>TruckCount</t>
  </si>
  <si>
    <t>TruckFlow</t>
  </si>
  <si>
    <t>brief</t>
  </si>
  <si>
    <t>5_LEUCADIA BLVD</t>
  </si>
  <si>
    <t>8_CAMERON RD</t>
  </si>
  <si>
    <t>8_GREENFIELD DR</t>
  </si>
  <si>
    <t>11_SANYO AVE</t>
  </si>
  <si>
    <t>15_JCT. RTE. 76</t>
  </si>
  <si>
    <t>15_JCT. RTE. 78</t>
  </si>
  <si>
    <t>67_POWAY RD</t>
  </si>
  <si>
    <t>76_OLIVE HILL RD</t>
  </si>
  <si>
    <t>76_VISTA WAY</t>
  </si>
  <si>
    <t>905_JCT. RTE. 805</t>
  </si>
  <si>
    <t>125_SR-905</t>
  </si>
  <si>
    <t>15_CLAIREMONT MESA INTER</t>
  </si>
  <si>
    <t>78_RANCHO SANTA FE</t>
  </si>
  <si>
    <t>163_KEARNEY VILLA INTER</t>
  </si>
  <si>
    <t>805_NAPLE UNDERCROSS</t>
  </si>
  <si>
    <t>805_JCT. RTE. 905</t>
  </si>
  <si>
    <t>805_JCT. RTE. 906</t>
  </si>
  <si>
    <t>905_POE</t>
  </si>
  <si>
    <t>PORT</t>
  </si>
  <si>
    <t>SR-54</t>
  </si>
  <si>
    <t>10th AVE</t>
  </si>
  <si>
    <t>NATIONAL CITY</t>
  </si>
  <si>
    <t>hwycov_id</t>
  </si>
  <si>
    <t>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</si>
</sst>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">
    <xf numFmtId="0" fontId="0" fillId="0" borderId="0" xfId="0"/>
    <xf numFmtId="0" fontId="0" fillId="2" borderId="0" xfId="0" applyFill="1"/>
    <xf numFmtId="1" fontId="0" fillId="0" borderId="0" xfId="0" applyNumberFormat="1"/>
    <xf numFmtId="2" fontId="0" fillId="0" borderId="0" xfId="0" applyNumberFormat="1"/>
    <xf numFmtId="164" fontId="0" fillId="0" borderId="0" xfId="1" applyNumberFormat="1" applyFont="1"/>
    <xf numFmtId="0" fontId="0" fillId="0" borderId="0" xfId="0"/>
    <xf numFmtId="0" fontId="0" fillId="0" borderId="0" xfId="0" applyFont="1"/>
    <xf numFmtId="1" fontId="2" fillId="0" borderId="0" xfId="0" applyNumberFormat="1" applyFont="1"/>
    <xf numFmtId="0" fontId="0" fillId="3" borderId="0" xfId="0" applyFill="1"/>
    <xf numFmtId="1" fontId="2" fillId="3" borderId="0" xfId="0" applyNumberFormat="1" applyFont="1" applyFill="1"/>
    <xf numFmtId="0" fontId="0" fillId="0" borderId="0" xfId="0" applyFill="1"/>
    <xf numFmtId="1" fontId="2" fillId="0" borderId="0" xfId="0" applyNumberFormat="1" applyFont="1" applyFill="1"/>
    <xf numFmtId="0" fontId="0" fillId="4" borderId="0" xfId="0" applyFill="1"/>
    <xf numFmtId="1" fontId="2" fillId="4" borderId="0" xfId="0" applyNumberFormat="1" applyFont="1" applyFill="1"/>
    <xf numFmtId="0" fontId="0" fillId="5" borderId="0" xfId="0" applyFill="1"/>
    <xf numFmtId="1" fontId="2" fillId="5" borderId="0" xfId="0" applyNumberFormat="1" applyFont="1" applyFill="1"/>
    <xf numFmtId="0" fontId="0" fillId="6" borderId="0" xfId="0" applyFill="1"/>
    <xf numFmtId="1" fontId="2" fillId="6" borderId="0" xfId="0" applyNumberFormat="1" applyFont="1" applyFill="1"/>
    <xf numFmtId="0" fontId="0" fillId="7" borderId="0" xfId="0" applyFill="1"/>
    <xf numFmtId="1" fontId="2" fillId="7" borderId="0" xfId="0" applyNumberFormat="1" applyFont="1" applyFill="1"/>
    <xf numFmtId="1" fontId="3" fillId="0" borderId="0" xfId="0" applyNumberFormat="1" applyFont="1"/>
    <xf numFmtId="1" fontId="3" fillId="7" borderId="0" xfId="0" applyNumberFormat="1" applyFont="1" applyFill="1"/>
    <xf numFmtId="1" fontId="3" fillId="0" borderId="0" xfId="0" applyNumberFormat="1" applyFont="1" applyFill="1"/>
    <xf numFmtId="1" fontId="3" fillId="6" borderId="0" xfId="0" applyNumberFormat="1" applyFont="1" applyFill="1"/>
    <xf numFmtId="1" fontId="3" fillId="5" borderId="0" xfId="0" applyNumberFormat="1" applyFont="1" applyFill="1"/>
    <xf numFmtId="1" fontId="3" fillId="4" borderId="0" xfId="0" applyNumberFormat="1" applyFont="1" applyFill="1"/>
    <xf numFmtId="1" fontId="3" fillId="3" borderId="0" xfId="0" applyNumberFormat="1" applyFont="1" applyFill="1"/>
    <xf numFmtId="0" fontId="3" fillId="0" borderId="0" xfId="0" applyFont="1"/>
    <xf numFmtId="9" fontId="0" fillId="0" borderId="0" xfId="0" applyNumberFormat="1"/>
    <xf numFmtId="1" fontId="2" fillId="2" borderId="0" xfId="0" applyNumberFormat="1" applyFont="1" applyFill="1"/>
    <xf numFmtId="1" fontId="3" fillId="2" borderId="0" xfId="0" applyNumberFormat="1" applyFont="1" applyFill="1"/>
    <xf numFmtId="1" fontId="4" fillId="0" borderId="0" xfId="0" applyNumberFormat="1" applyFont="1"/>
    <xf numFmtId="0" fontId="4" fillId="0" borderId="0" xfId="0" applyFont="1"/>
    <xf numFmtId="3" fontId="4" fillId="0" borderId="0" xfId="0" applyNumberFormat="1" applyFont="1"/>
    <xf numFmtId="164" fontId="0" fillId="0" borderId="1" xfId="1" applyNumberFormat="1" applyFont="1" applyBorder="1"/>
    <xf numFmtId="0" fontId="0" fillId="0" borderId="1" xfId="0" applyBorder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0" fontId="2" fillId="0" borderId="0" xfId="0" applyFont="1"/>
    <xf numFmtId="164" fontId="2" fillId="0" borderId="0" xfId="1" applyNumberFormat="1" applyFont="1"/>
    <xf numFmtId="164" fontId="2" fillId="0" borderId="1" xfId="1" applyNumberFormat="1" applyFont="1" applyBorder="1"/>
    <xf numFmtId="164" fontId="2" fillId="0" borderId="0" xfId="0" applyNumberFormat="1" applyFont="1"/>
    <xf numFmtId="0" fontId="7" fillId="0" borderId="0" xfId="0" applyFont="1"/>
    <xf numFmtId="0" fontId="8" fillId="0" borderId="0" xfId="0" applyFont="1"/>
    <xf numFmtId="43" fontId="8" fillId="0" borderId="0" xfId="1" applyFont="1"/>
    <xf numFmtId="43" fontId="8" fillId="0" borderId="1" xfId="1" applyFont="1" applyBorder="1"/>
    <xf numFmtId="0" fontId="0" fillId="8" borderId="0" xfId="0" applyFill="1"/>
    <xf numFmtId="1" fontId="0" fillId="8" borderId="0" xfId="0" applyNumberFormat="1" applyFill="1"/>
    <xf numFmtId="9" fontId="0" fillId="8" borderId="0" xfId="0" applyNumberFormat="1" applyFill="1"/>
    <xf numFmtId="1" fontId="8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9" fontId="9" fillId="0" borderId="0" xfId="0" applyNumberFormat="1" applyFont="1" applyAlignment="1">
      <alignment vertical="center"/>
    </xf>
    <xf numFmtId="1" fontId="10" fillId="0" borderId="0" xfId="0" applyNumberFormat="1" applyFont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vertical="center"/>
    </xf>
    <xf numFmtId="1" fontId="11" fillId="0" borderId="0" xfId="0" applyNumberFormat="1" applyFont="1" applyAlignment="1">
      <alignment horizontal="right" vertical="center"/>
    </xf>
    <xf numFmtId="9" fontId="2" fillId="0" borderId="0" xfId="0" applyNumberFormat="1" applyFont="1"/>
    <xf numFmtId="9" fontId="3" fillId="0" borderId="0" xfId="0" applyNumberFormat="1" applyFont="1"/>
    <xf numFmtId="0" fontId="2" fillId="0" borderId="0" xfId="0" applyFont="1" applyFill="1"/>
  </cellXfs>
  <cellStyles count="2">
    <cellStyle name="Comma" xfId="1" builtinId="3"/>
    <cellStyle name="Normal" xfId="0" builtinId="0"/>
  </cellStyles>
  <dxfs count="18">
    <dxf>
      <font>
        <color rgb="FF9C5700"/>
      </font>
      <fill>
        <patternFill>
          <bgColor rgb="FFFFEB9C"/>
        </patternFill>
      </fill>
    </dxf>
    <dxf>
      <numFmt numFmtId="13" formatCode="0%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3" formatCode="0%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none">
          <fgColor indexed="64"/>
          <bgColor auto="1"/>
        </patternFill>
      </fill>
    </dxf>
    <dxf>
      <numFmt numFmtId="1" formatCode="0"/>
    </dxf>
  </dxfs>
  <tableStyles count="0" defaultTableStyle="TableStyleMedium2" defaultPivotStyle="PivotStyleLight16"/>
  <colors>
    <mruColors>
      <color rgb="FFFFCCFF"/>
      <color rgb="FFFFDDFF"/>
      <color rgb="FFFF99FF"/>
      <color rgb="FFCC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Truck</a:t>
            </a:r>
            <a:r>
              <a:rPr lang="en-US" baseline="0"/>
              <a:t> Assignment Validation</a:t>
            </a:r>
            <a:r>
              <a:rPr lang="en-US"/>
              <a:t> - 2016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Truck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ABFD0AE-1DAC-4EED-9403-9047A7B4AA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A5-48DB-A505-67483EA7337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91404C-F67B-45E6-BAF3-6F78E21C51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A5-48DB-A505-67483EA73375}"/>
                </c:ext>
              </c:extLst>
            </c:dLbl>
            <c:dLbl>
              <c:idx val="2"/>
              <c:layout>
                <c:manualLayout>
                  <c:x val="-6.4087526305178721E-2"/>
                  <c:y val="-2.8154851684263484E-2"/>
                </c:manualLayout>
              </c:layout>
              <c:tx>
                <c:rich>
                  <a:bodyPr/>
                  <a:lstStyle/>
                  <a:p>
                    <a:fld id="{F254EAB4-5ABE-4530-9D16-2C72BFA1E9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CA5-48DB-A505-67483EA7337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999735-318B-429F-9449-26F6E61E18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A5-48DB-A505-67483EA73375}"/>
                </c:ext>
              </c:extLst>
            </c:dLbl>
            <c:dLbl>
              <c:idx val="4"/>
              <c:layout>
                <c:manualLayout>
                  <c:x val="-0.14380615658723031"/>
                  <c:y val="-3.3155713439905268E-2"/>
                </c:manualLayout>
              </c:layout>
              <c:tx>
                <c:rich>
                  <a:bodyPr/>
                  <a:lstStyle/>
                  <a:p>
                    <a:fld id="{B87E1CDE-4454-427C-AE3B-65B6FB499E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DCA5-48DB-A505-67483EA73375}"/>
                </c:ext>
              </c:extLst>
            </c:dLbl>
            <c:dLbl>
              <c:idx val="5"/>
              <c:layout>
                <c:manualLayout>
                  <c:x val="-0.13911682539416845"/>
                  <c:y val="4.7365304914150381E-3"/>
                </c:manualLayout>
              </c:layout>
              <c:tx>
                <c:rich>
                  <a:bodyPr/>
                  <a:lstStyle/>
                  <a:p>
                    <a:fld id="{752FD32E-8B92-4B8C-9FD3-7F39A9EB3B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DCA5-48DB-A505-67483EA73375}"/>
                </c:ext>
              </c:extLst>
            </c:dLbl>
            <c:dLbl>
              <c:idx val="6"/>
              <c:layout>
                <c:manualLayout>
                  <c:x val="-1.1462677165215334E-16"/>
                  <c:y val="4.7365304914149513E-3"/>
                </c:manualLayout>
              </c:layout>
              <c:tx>
                <c:rich>
                  <a:bodyPr/>
                  <a:lstStyle/>
                  <a:p>
                    <a:fld id="{6ECC3E25-A94F-4366-B1B1-92BE6BB7CF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DCA5-48DB-A505-67483EA73375}"/>
                </c:ext>
              </c:extLst>
            </c:dLbl>
            <c:dLbl>
              <c:idx val="7"/>
              <c:layout>
                <c:manualLayout>
                  <c:x val="-1.1462677165215334E-16"/>
                  <c:y val="-9.4730609828300762E-3"/>
                </c:manualLayout>
              </c:layout>
              <c:tx>
                <c:rich>
                  <a:bodyPr/>
                  <a:lstStyle/>
                  <a:p>
                    <a:fld id="{EE8A1DB1-A2D1-4AEF-8845-BAFCD817FF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DCA5-48DB-A505-67483EA7337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7E05C6-9B7E-4C50-9987-8464FF1A10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A5-48DB-A505-67483EA7337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CA5-48DB-A505-67483EA7337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CA5-48DB-A505-67483EA7337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CA5-48DB-A505-67483EA7337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CA5-48DB-A505-67483EA73375}"/>
                </c:ext>
              </c:extLst>
            </c:dLbl>
            <c:dLbl>
              <c:idx val="13"/>
              <c:layout>
                <c:manualLayout>
                  <c:x val="6.2524415907491433E-3"/>
                  <c:y val="-2.9504482454790842E-3"/>
                </c:manualLayout>
              </c:layout>
              <c:tx>
                <c:rich>
                  <a:bodyPr/>
                  <a:lstStyle/>
                  <a:p>
                    <a:fld id="{EDEDC66E-CB0F-4321-AF4D-C7755E9D5E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DCA5-48DB-A505-67483EA73375}"/>
                </c:ext>
              </c:extLst>
            </c:dLbl>
            <c:dLbl>
              <c:idx val="14"/>
              <c:layout>
                <c:manualLayout>
                  <c:x val="-0.16568970215485229"/>
                  <c:y val="3.3470860547404062E-3"/>
                </c:manualLayout>
              </c:layout>
              <c:tx>
                <c:rich>
                  <a:bodyPr/>
                  <a:lstStyle/>
                  <a:p>
                    <a:fld id="{188E0080-06F5-41B5-AFC4-B077A11974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DCA5-48DB-A505-67483EA73375}"/>
                </c:ext>
              </c:extLst>
            </c:dLbl>
            <c:dLbl>
              <c:idx val="15"/>
              <c:layout>
                <c:manualLayout>
                  <c:x val="-6.5650636702866E-2"/>
                  <c:y val="5.6838365896980374E-2"/>
                </c:manualLayout>
              </c:layout>
              <c:tx>
                <c:rich>
                  <a:bodyPr/>
                  <a:lstStyle/>
                  <a:p>
                    <a:fld id="{0631C72A-C300-4E3D-B99D-8EA411DD49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DCA5-48DB-A505-67483EA73375}"/>
                </c:ext>
              </c:extLst>
            </c:dLbl>
            <c:dLbl>
              <c:idx val="16"/>
              <c:layout>
                <c:manualLayout>
                  <c:x val="-0.15943726056410315"/>
                  <c:y val="-1.1841326228537596E-2"/>
                </c:manualLayout>
              </c:layout>
              <c:tx>
                <c:rich>
                  <a:bodyPr/>
                  <a:lstStyle/>
                  <a:p>
                    <a:fld id="{D05AA810-CF20-4F92-A8CC-A45CF06FD5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DCA5-48DB-A505-67483EA7337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3A0F23E-8536-42D3-9419-89711794E8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A5-48DB-A505-67483EA7337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288654F-4A6F-4E5D-B11C-F6A75B0A71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A5-48DB-A505-67483EA73375}"/>
                </c:ext>
              </c:extLst>
            </c:dLbl>
            <c:dLbl>
              <c:idx val="19"/>
              <c:layout>
                <c:manualLayout>
                  <c:x val="-6.2524415907492005E-3"/>
                  <c:y val="4.2628774422735348E-2"/>
                </c:manualLayout>
              </c:layout>
              <c:tx>
                <c:rich>
                  <a:bodyPr/>
                  <a:lstStyle/>
                  <a:p>
                    <a:fld id="{E53005BD-326B-4A5D-832F-D4EFCF22AE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DCA5-48DB-A505-67483EA73375}"/>
                </c:ext>
              </c:extLst>
            </c:dLbl>
            <c:dLbl>
              <c:idx val="20"/>
              <c:layout>
                <c:manualLayout>
                  <c:x val="0"/>
                  <c:y val="1.6577856719952547E-2"/>
                </c:manualLayout>
              </c:layout>
              <c:tx>
                <c:rich>
                  <a:bodyPr/>
                  <a:lstStyle/>
                  <a:p>
                    <a:fld id="{11232A8F-8603-4910-B391-7FB9018CF6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DCA5-48DB-A505-67483EA73375}"/>
                </c:ext>
              </c:extLst>
            </c:dLbl>
            <c:dLbl>
              <c:idx val="21"/>
              <c:layout>
                <c:manualLayout>
                  <c:x val="1.7194214374560146E-2"/>
                  <c:y val="-1.4209591474245116E-2"/>
                </c:manualLayout>
              </c:layout>
              <c:tx>
                <c:rich>
                  <a:bodyPr/>
                  <a:lstStyle/>
                  <a:p>
                    <a:fld id="{EE2F103B-26B9-434D-B730-B93EFE6A59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DCA5-48DB-A505-67483EA7337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CA5-48DB-A505-67483EA73375}"/>
                </c:ext>
              </c:extLst>
            </c:dLbl>
            <c:dLbl>
              <c:idx val="23"/>
              <c:layout>
                <c:manualLayout>
                  <c:x val="-2.3446655965309302E-2"/>
                  <c:y val="4.2628774422735174E-2"/>
                </c:manualLayout>
              </c:layout>
              <c:tx>
                <c:rich>
                  <a:bodyPr/>
                  <a:lstStyle/>
                  <a:p>
                    <a:fld id="{18BB6790-8173-40C0-9811-0A07BF76AD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DCA5-48DB-A505-67483EA73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5400" cap="rnd">
                <a:solidFill>
                  <a:schemeClr val="bg1">
                    <a:lumMod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7756062714450753E-2"/>
                  <c:y val="1.60752895398564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Verified_Counts!$D$4:$D$27</c:f>
              <c:numCache>
                <c:formatCode>0</c:formatCode>
                <c:ptCount val="24"/>
                <c:pt idx="0">
                  <c:v>5087</c:v>
                </c:pt>
                <c:pt idx="1">
                  <c:v>5087</c:v>
                </c:pt>
                <c:pt idx="2">
                  <c:v>1025</c:v>
                </c:pt>
                <c:pt idx="3">
                  <c:v>1025</c:v>
                </c:pt>
                <c:pt idx="4">
                  <c:v>5519.5</c:v>
                </c:pt>
                <c:pt idx="5">
                  <c:v>5519.5</c:v>
                </c:pt>
                <c:pt idx="6">
                  <c:v>833</c:v>
                </c:pt>
                <c:pt idx="7">
                  <c:v>833</c:v>
                </c:pt>
                <c:pt idx="8">
                  <c:v>4403</c:v>
                </c:pt>
                <c:pt idx="9">
                  <c:v>4403</c:v>
                </c:pt>
                <c:pt idx="10">
                  <c:v>5999</c:v>
                </c:pt>
                <c:pt idx="11">
                  <c:v>5999</c:v>
                </c:pt>
                <c:pt idx="12">
                  <c:v>3838</c:v>
                </c:pt>
                <c:pt idx="13">
                  <c:v>3838</c:v>
                </c:pt>
                <c:pt idx="14">
                  <c:v>1757</c:v>
                </c:pt>
                <c:pt idx="15">
                  <c:v>1077.5</c:v>
                </c:pt>
                <c:pt idx="16">
                  <c:v>1077.5</c:v>
                </c:pt>
                <c:pt idx="17">
                  <c:v>922.5</c:v>
                </c:pt>
                <c:pt idx="18">
                  <c:v>922.5</c:v>
                </c:pt>
                <c:pt idx="19">
                  <c:v>2248.5</c:v>
                </c:pt>
                <c:pt idx="20">
                  <c:v>2248.5</c:v>
                </c:pt>
                <c:pt idx="21">
                  <c:v>2255</c:v>
                </c:pt>
                <c:pt idx="22">
                  <c:v>2255</c:v>
                </c:pt>
                <c:pt idx="23">
                  <c:v>4949.5</c:v>
                </c:pt>
              </c:numCache>
            </c:numRef>
          </c:xVal>
          <c:yVal>
            <c:numRef>
              <c:f>Verified_Counts!$E$4:$E$27</c:f>
              <c:numCache>
                <c:formatCode>0</c:formatCode>
                <c:ptCount val="24"/>
                <c:pt idx="0">
                  <c:v>7012.2067489999999</c:v>
                </c:pt>
                <c:pt idx="1">
                  <c:v>7672.7985209999997</c:v>
                </c:pt>
                <c:pt idx="2">
                  <c:v>1056.8010469999999</c:v>
                </c:pt>
                <c:pt idx="3">
                  <c:v>912.77690600000005</c:v>
                </c:pt>
                <c:pt idx="4">
                  <c:v>2200.0946840000001</c:v>
                </c:pt>
                <c:pt idx="5">
                  <c:v>2312.3183549999999</c:v>
                </c:pt>
                <c:pt idx="6">
                  <c:v>1513.497181</c:v>
                </c:pt>
                <c:pt idx="7">
                  <c:v>256.22863000000001</c:v>
                </c:pt>
                <c:pt idx="8">
                  <c:v>4749.2903029999998</c:v>
                </c:pt>
                <c:pt idx="9">
                  <c:v>4234.7333570000001</c:v>
                </c:pt>
                <c:pt idx="10">
                  <c:v>1918.852067</c:v>
                </c:pt>
                <c:pt idx="11">
                  <c:v>2210.2437100000002</c:v>
                </c:pt>
                <c:pt idx="12">
                  <c:v>2236.3294099999998</c:v>
                </c:pt>
                <c:pt idx="13">
                  <c:v>1941.519239</c:v>
                </c:pt>
                <c:pt idx="14">
                  <c:v>883.93336099999999</c:v>
                </c:pt>
                <c:pt idx="15">
                  <c:v>703.45868199999995</c:v>
                </c:pt>
                <c:pt idx="16">
                  <c:v>713.17683099999999</c:v>
                </c:pt>
                <c:pt idx="17">
                  <c:v>596.60029799999995</c:v>
                </c:pt>
                <c:pt idx="18">
                  <c:v>627.91090799999995</c:v>
                </c:pt>
                <c:pt idx="19">
                  <c:v>5164.333705</c:v>
                </c:pt>
                <c:pt idx="20">
                  <c:v>5340.6374040000001</c:v>
                </c:pt>
                <c:pt idx="21">
                  <c:v>2335.9041350000002</c:v>
                </c:pt>
                <c:pt idx="22">
                  <c:v>3016.312246</c:v>
                </c:pt>
                <c:pt idx="23">
                  <c:v>6006.1468130000003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Verified_Counts!$C$4:$C$27</c15:f>
                <c15:dlblRangeCache>
                  <c:ptCount val="24"/>
                  <c:pt idx="0">
                    <c:v>LEUCADIA BLVD</c:v>
                  </c:pt>
                  <c:pt idx="1">
                    <c:v>LEUCADIA BLVD</c:v>
                  </c:pt>
                  <c:pt idx="2">
                    <c:v>CAMERON RD</c:v>
                  </c:pt>
                  <c:pt idx="3">
                    <c:v>CAMERON RD</c:v>
                  </c:pt>
                  <c:pt idx="4">
                    <c:v>GREENFIELD DR</c:v>
                  </c:pt>
                  <c:pt idx="5">
                    <c:v>GREENFIELD DR</c:v>
                  </c:pt>
                  <c:pt idx="6">
                    <c:v>SANYO AVE</c:v>
                  </c:pt>
                  <c:pt idx="7">
                    <c:v>SANYO AVE</c:v>
                  </c:pt>
                  <c:pt idx="8">
                    <c:v>CLAIREMONT MESA BLVD INTERCHANGE</c:v>
                  </c:pt>
                  <c:pt idx="9">
                    <c:v>CLAIREMONT MESA BLVD INTERCHANGE</c:v>
                  </c:pt>
                  <c:pt idx="10">
                    <c:v>JCT. RTE. 76</c:v>
                  </c:pt>
                  <c:pt idx="11">
                    <c:v>JCT. RTE. 76</c:v>
                  </c:pt>
                  <c:pt idx="12">
                    <c:v>JCT. RTE. 78</c:v>
                  </c:pt>
                  <c:pt idx="13">
                    <c:v>JCT. RTE. 78</c:v>
                  </c:pt>
                  <c:pt idx="14">
                    <c:v>POWAY RD</c:v>
                  </c:pt>
                  <c:pt idx="15">
                    <c:v>OLIVE HILL RD</c:v>
                  </c:pt>
                  <c:pt idx="16">
                    <c:v>OLIVE HILL RD</c:v>
                  </c:pt>
                  <c:pt idx="17">
                    <c:v>VISTA WAY</c:v>
                  </c:pt>
                  <c:pt idx="18">
                    <c:v>VISTA WAY</c:v>
                  </c:pt>
                  <c:pt idx="19">
                    <c:v>SAN MARCOS,RANCHO SANTA FE</c:v>
                  </c:pt>
                  <c:pt idx="20">
                    <c:v>SAN MARCOS,RANCHO SANTA FE</c:v>
                  </c:pt>
                  <c:pt idx="21">
                    <c:v>SAN DIEGO, KEARNEY VILLA RD INTERCHANGE</c:v>
                  </c:pt>
                  <c:pt idx="22">
                    <c:v>SAN DIEGO, KEARNEY VILLA RD INTERCHANGE</c:v>
                  </c:pt>
                  <c:pt idx="23">
                    <c:v>NAPLE ST UNDERCROSSING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CA5-48DB-A505-67483EA73375}"/>
            </c:ext>
          </c:extLst>
        </c:ser>
        <c:ser>
          <c:idx val="1"/>
          <c:order val="1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DCA5-48DB-A505-67483EA73375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CA5-48DB-A505-67483EA73375}"/>
              </c:ext>
            </c:extLst>
          </c:dPt>
          <c:xVal>
            <c:numRef>
              <c:f>Verified_Counts!$X$3:$X$4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8000</c:v>
                </c:pt>
              </c:numCache>
            </c:numRef>
          </c:xVal>
          <c:yVal>
            <c:numRef>
              <c:f>Verified_Counts!$Y$3:$Y$4</c:f>
              <c:numCache>
                <c:formatCode>General</c:formatCode>
                <c:ptCount val="2"/>
                <c:pt idx="0">
                  <c:v>0</c:v>
                </c:pt>
                <c:pt idx="1">
                  <c:v>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A5-48DB-A505-67483EA7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029000"/>
        <c:axId val="407027688"/>
      </c:scatterChart>
      <c:valAx>
        <c:axId val="407029000"/>
        <c:scaling>
          <c:orientation val="minMax"/>
          <c:max val="1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Truck</a:t>
                </a:r>
                <a:r>
                  <a:rPr lang="en-US" b="1" baseline="0"/>
                  <a:t> Counts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7688"/>
        <c:crosses val="autoZero"/>
        <c:crossBetween val="midCat"/>
      </c:valAx>
      <c:valAx>
        <c:axId val="407027688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Modeled Truck</a:t>
                </a:r>
                <a:r>
                  <a:rPr lang="en-US" b="1" baseline="0"/>
                  <a:t> Flow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90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Truck</a:t>
            </a:r>
            <a:r>
              <a:rPr lang="en-US" baseline="0"/>
              <a:t> Assignment Validation</a:t>
            </a:r>
            <a:r>
              <a:rPr lang="en-US"/>
              <a:t> - 2016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Truck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CC4F727-890A-4DEB-BFDD-0DAD506779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159-4284-BD5C-15B501F355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C6835A-F998-4664-89C3-AA3E8E6C28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59-4284-BD5C-15B501F355F8}"/>
                </c:ext>
              </c:extLst>
            </c:dLbl>
            <c:dLbl>
              <c:idx val="2"/>
              <c:layout>
                <c:manualLayout>
                  <c:x val="-6.4087526305178721E-2"/>
                  <c:y val="-2.8154851684263484E-2"/>
                </c:manualLayout>
              </c:layout>
              <c:tx>
                <c:rich>
                  <a:bodyPr/>
                  <a:lstStyle/>
                  <a:p>
                    <a:fld id="{6875F9DB-8238-418E-9240-8BBFB76D35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4159-4284-BD5C-15B501F355F8}"/>
                </c:ext>
              </c:extLst>
            </c:dLbl>
            <c:dLbl>
              <c:idx val="3"/>
              <c:layout>
                <c:manualLayout>
                  <c:x val="-0.18444702692709974"/>
                  <c:y val="2.479732951835956E-2"/>
                </c:manualLayout>
              </c:layout>
              <c:tx>
                <c:rich>
                  <a:bodyPr/>
                  <a:lstStyle/>
                  <a:p>
                    <a:fld id="{CCC536CC-755B-4A2F-9091-52C2454516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159-4284-BD5C-15B501F355F8}"/>
                </c:ext>
              </c:extLst>
            </c:dLbl>
            <c:dLbl>
              <c:idx val="4"/>
              <c:layout>
                <c:manualLayout>
                  <c:x val="1.2504883181498172E-2"/>
                  <c:y val="1.1790371697099394E-3"/>
                </c:manualLayout>
              </c:layout>
              <c:tx>
                <c:rich>
                  <a:bodyPr/>
                  <a:lstStyle/>
                  <a:p>
                    <a:fld id="{30B3BA31-1C7F-40F6-83B6-21F142956F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4159-4284-BD5C-15B501F355F8}"/>
                </c:ext>
              </c:extLst>
            </c:dLbl>
            <c:dLbl>
              <c:idx val="5"/>
              <c:layout>
                <c:manualLayout>
                  <c:x val="1.2504883181498172E-2"/>
                  <c:y val="2.8290884240329025E-3"/>
                </c:manualLayout>
              </c:layout>
              <c:tx>
                <c:rich>
                  <a:bodyPr/>
                  <a:lstStyle/>
                  <a:p>
                    <a:fld id="{CAD80A79-5245-4174-8FA4-F38C99DA37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159-4284-BD5C-15B501F355F8}"/>
                </c:ext>
              </c:extLst>
            </c:dLbl>
            <c:dLbl>
              <c:idx val="6"/>
              <c:layout>
                <c:manualLayout>
                  <c:x val="-1.1462677165215334E-16"/>
                  <c:y val="4.7365304914149513E-3"/>
                </c:manualLayout>
              </c:layout>
              <c:tx>
                <c:rich>
                  <a:bodyPr/>
                  <a:lstStyle/>
                  <a:p>
                    <a:fld id="{F8D8D28C-EA2E-401A-9BFC-ADBF4156EE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4159-4284-BD5C-15B501F355F8}"/>
                </c:ext>
              </c:extLst>
            </c:dLbl>
            <c:dLbl>
              <c:idx val="7"/>
              <c:layout>
                <c:manualLayout>
                  <c:x val="-5.9398195112116976E-2"/>
                  <c:y val="2.8676737296249987E-2"/>
                </c:manualLayout>
              </c:layout>
              <c:tx>
                <c:rich>
                  <a:bodyPr/>
                  <a:lstStyle/>
                  <a:p>
                    <a:fld id="{0491358A-CB65-452E-A9D0-797EE621B7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4159-4284-BD5C-15B501F355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5400" cap="rnd">
                <a:solidFill>
                  <a:schemeClr val="bg1">
                    <a:lumMod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38617294696526422"/>
                  <c:y val="8.757272293752980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Estimated_Counts!$D$4:$D$11</c:f>
              <c:numCache>
                <c:formatCode>0</c:formatCode>
                <c:ptCount val="8"/>
                <c:pt idx="0">
                  <c:v>833</c:v>
                </c:pt>
                <c:pt idx="1">
                  <c:v>833</c:v>
                </c:pt>
                <c:pt idx="2">
                  <c:v>4403</c:v>
                </c:pt>
                <c:pt idx="3">
                  <c:v>4403</c:v>
                </c:pt>
                <c:pt idx="4">
                  <c:v>3838</c:v>
                </c:pt>
                <c:pt idx="5">
                  <c:v>3838</c:v>
                </c:pt>
                <c:pt idx="6">
                  <c:v>4949.5</c:v>
                </c:pt>
                <c:pt idx="7">
                  <c:v>4949.5</c:v>
                </c:pt>
              </c:numCache>
            </c:numRef>
          </c:xVal>
          <c:yVal>
            <c:numRef>
              <c:f>Estimated_Counts!$E$4:$E$11</c:f>
              <c:numCache>
                <c:formatCode>0</c:formatCode>
                <c:ptCount val="8"/>
                <c:pt idx="0">
                  <c:v>1513.497181</c:v>
                </c:pt>
                <c:pt idx="1">
                  <c:v>256.22863000000001</c:v>
                </c:pt>
                <c:pt idx="2">
                  <c:v>4749.2903029999998</c:v>
                </c:pt>
                <c:pt idx="3">
                  <c:v>4234.7333570000001</c:v>
                </c:pt>
                <c:pt idx="4">
                  <c:v>2236.3294099999998</c:v>
                </c:pt>
                <c:pt idx="5">
                  <c:v>1941.519239</c:v>
                </c:pt>
                <c:pt idx="6">
                  <c:v>6006.1468130000003</c:v>
                </c:pt>
                <c:pt idx="7">
                  <c:v>5409.1260560000001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Estimated_Counts!$C$4:$C$11</c15:f>
                <c15:dlblRangeCache>
                  <c:ptCount val="8"/>
                  <c:pt idx="0">
                    <c:v>11_SANYO AVE</c:v>
                  </c:pt>
                  <c:pt idx="1">
                    <c:v>11_SANYO AVE</c:v>
                  </c:pt>
                  <c:pt idx="2">
                    <c:v>15_CLAIREMONT MESA INTER</c:v>
                  </c:pt>
                  <c:pt idx="3">
                    <c:v>15_CLAIREMONT MESA INTER</c:v>
                  </c:pt>
                  <c:pt idx="4">
                    <c:v>15_JCT. RTE. 78</c:v>
                  </c:pt>
                  <c:pt idx="5">
                    <c:v>15_JCT. RTE. 78</c:v>
                  </c:pt>
                  <c:pt idx="6">
                    <c:v>805_NAPLE UNDERCROSS</c:v>
                  </c:pt>
                  <c:pt idx="7">
                    <c:v>805_NAPLE UNDERCROSS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4159-4284-BD5C-15B501F355F8}"/>
            </c:ext>
          </c:extLst>
        </c:ser>
        <c:ser>
          <c:idx val="1"/>
          <c:order val="1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Estimated_Counts!$Y$3:$Y$4</c:f>
            </c:numRef>
          </c:xVal>
          <c:yVal>
            <c:numRef>
              <c:f>Estimated_Counts!$Z$3:$Z$4</c:f>
            </c:numRef>
          </c:yVal>
          <c:smooth val="0"/>
          <c:extLst>
            <c:ext xmlns:c16="http://schemas.microsoft.com/office/drawing/2014/chart" uri="{C3380CC4-5D6E-409C-BE32-E72D297353CC}">
              <c16:uniqueId val="{0000001D-4159-4284-BD5C-15B501F355F8}"/>
            </c:ext>
          </c:extLst>
        </c:ser>
        <c:ser>
          <c:idx val="2"/>
          <c:order val="2"/>
          <c:tx>
            <c:v>45degree</c:v>
          </c:tx>
          <c:spPr>
            <a:ln w="2540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Estimated_Counts!$W$3:$W$4</c:f>
              <c:numCache>
                <c:formatCode>0</c:formatCode>
                <c:ptCount val="2"/>
                <c:pt idx="0">
                  <c:v>833</c:v>
                </c:pt>
                <c:pt idx="1">
                  <c:v>4949.5</c:v>
                </c:pt>
              </c:numCache>
            </c:numRef>
          </c:xVal>
          <c:yVal>
            <c:numRef>
              <c:f>Estimated_Counts!$X$3:$X$4</c:f>
              <c:numCache>
                <c:formatCode>0</c:formatCode>
                <c:ptCount val="2"/>
                <c:pt idx="0">
                  <c:v>833</c:v>
                </c:pt>
                <c:pt idx="1">
                  <c:v>4949.5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FF-4D05-B8C2-DF2E4FEE7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029000"/>
        <c:axId val="407027688"/>
      </c:scatterChart>
      <c:valAx>
        <c:axId val="407029000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Truck</a:t>
                </a:r>
                <a:r>
                  <a:rPr lang="en-US" b="1" baseline="0"/>
                  <a:t> Counts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7688"/>
        <c:crosses val="autoZero"/>
        <c:crossBetween val="midCat"/>
      </c:valAx>
      <c:valAx>
        <c:axId val="407027688"/>
        <c:scaling>
          <c:orientation val="minMax"/>
          <c:max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Modeled Truck</a:t>
                </a:r>
                <a:r>
                  <a:rPr lang="en-US" b="1" baseline="0"/>
                  <a:t> Flow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90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590549</xdr:colOff>
      <xdr:row>2</xdr:row>
      <xdr:rowOff>0</xdr:rowOff>
    </xdr:from>
    <xdr:to>
      <xdr:col>20</xdr:col>
      <xdr:colOff>180975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8A446C-ACB2-45B4-BEC3-6DD2BB1CD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304799</xdr:colOff>
      <xdr:row>2</xdr:row>
      <xdr:rowOff>28574</xdr:rowOff>
    </xdr:from>
    <xdr:to>
      <xdr:col>20</xdr:col>
      <xdr:colOff>504825</xdr:colOff>
      <xdr:row>33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CCA49F-06BF-471F-97B5-C0EEB0D50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%20Maintenance-2015%20Calibration/working/template/highway_assignment_validation_2015_AllClas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flow"/>
      <sheetName val="count_n_flow"/>
      <sheetName val="class"/>
      <sheetName val="volume"/>
      <sheetName val="msa"/>
      <sheetName val="jur"/>
      <sheetName val="chart_all"/>
      <sheetName val="sum_byclass"/>
      <sheetName val="chart_byclass"/>
      <sheetName val="sum_byvolume"/>
      <sheetName val="chart_byvolume"/>
      <sheetName val="Chart_RMSE"/>
      <sheetName val="sum_bymsa"/>
      <sheetName val="chart_bymsa"/>
      <sheetName val="ref"/>
      <sheetName val="ref0"/>
      <sheetName val="highway_assignment_validation_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/>
      <sheetData sheetId="14" refreshError="1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low_raw"/>
      <sheetName val="transit_general"/>
      <sheetName val="transit_hub"/>
      <sheetName val="truck_flow"/>
      <sheetName val="hwy_speed"/>
      <sheetName val="flow_freeway"/>
    </sheetNames>
    <sheetDataSet>
      <sheetData sheetId="0">
        <row r="3">
          <cell r="B3">
            <v>376</v>
          </cell>
        </row>
      </sheetData>
      <sheetData sheetId="1"/>
      <sheetData sheetId="2"/>
      <sheetData sheetId="3"/>
      <sheetData sheetId="4">
        <row r="2">
          <cell r="A2">
            <v>376</v>
          </cell>
          <cell r="B2">
            <v>17717</v>
          </cell>
          <cell r="C2" t="str">
            <v xml:space="preserve">TRUCK     </v>
          </cell>
          <cell r="D2">
            <v>775.41289800000004</v>
          </cell>
        </row>
        <row r="3">
          <cell r="A3">
            <v>376</v>
          </cell>
          <cell r="B3">
            <v>51053</v>
          </cell>
          <cell r="C3" t="str">
            <v xml:space="preserve">TRUCK     </v>
          </cell>
          <cell r="D3">
            <v>627.91090799999995</v>
          </cell>
        </row>
        <row r="4">
          <cell r="A4">
            <v>376</v>
          </cell>
          <cell r="B4">
            <v>29146</v>
          </cell>
          <cell r="C4" t="str">
            <v xml:space="preserve">TRUCK     </v>
          </cell>
          <cell r="D4">
            <v>256.22863000000001</v>
          </cell>
        </row>
        <row r="5">
          <cell r="A5">
            <v>376</v>
          </cell>
          <cell r="B5">
            <v>15196</v>
          </cell>
          <cell r="C5" t="str">
            <v xml:space="preserve">TRUCK     </v>
          </cell>
          <cell r="D5">
            <v>4749.2903029999998</v>
          </cell>
        </row>
        <row r="6">
          <cell r="A6">
            <v>376</v>
          </cell>
          <cell r="B6">
            <v>14025</v>
          </cell>
          <cell r="C6" t="str">
            <v xml:space="preserve">TRUCK     </v>
          </cell>
          <cell r="D6">
            <v>197.34400299999999</v>
          </cell>
        </row>
        <row r="7">
          <cell r="A7">
            <v>376</v>
          </cell>
          <cell r="B7">
            <v>16163</v>
          </cell>
          <cell r="C7" t="str">
            <v xml:space="preserve">TRUCK     </v>
          </cell>
          <cell r="D7">
            <v>3016.312246</v>
          </cell>
        </row>
        <row r="8">
          <cell r="A8">
            <v>376</v>
          </cell>
          <cell r="B8">
            <v>27194</v>
          </cell>
          <cell r="C8" t="str">
            <v xml:space="preserve">TRUCK     </v>
          </cell>
          <cell r="D8">
            <v>2210.2437100000002</v>
          </cell>
        </row>
        <row r="9">
          <cell r="A9">
            <v>376</v>
          </cell>
          <cell r="B9">
            <v>28199</v>
          </cell>
          <cell r="C9" t="str">
            <v xml:space="preserve">TRUCK     </v>
          </cell>
          <cell r="D9">
            <v>2312.3183549999999</v>
          </cell>
        </row>
        <row r="10">
          <cell r="A10">
            <v>376</v>
          </cell>
          <cell r="B10">
            <v>28269</v>
          </cell>
          <cell r="C10" t="str">
            <v xml:space="preserve">TRUCK     </v>
          </cell>
          <cell r="D10">
            <v>1056.8010469999999</v>
          </cell>
        </row>
        <row r="11">
          <cell r="A11">
            <v>376</v>
          </cell>
          <cell r="B11">
            <v>843</v>
          </cell>
          <cell r="C11" t="str">
            <v xml:space="preserve">TRUCK     </v>
          </cell>
          <cell r="D11">
            <v>6006.1468130000003</v>
          </cell>
        </row>
        <row r="12">
          <cell r="A12">
            <v>376</v>
          </cell>
          <cell r="B12">
            <v>28569</v>
          </cell>
          <cell r="C12" t="str">
            <v xml:space="preserve">TRUCK     </v>
          </cell>
          <cell r="D12">
            <v>2236.3294099999998</v>
          </cell>
        </row>
        <row r="13">
          <cell r="A13">
            <v>376</v>
          </cell>
          <cell r="B13">
            <v>30981</v>
          </cell>
          <cell r="C13" t="str">
            <v xml:space="preserve">TRUCK     </v>
          </cell>
          <cell r="D13">
            <v>1513.497181</v>
          </cell>
        </row>
        <row r="14">
          <cell r="A14">
            <v>376</v>
          </cell>
          <cell r="B14">
            <v>702</v>
          </cell>
          <cell r="C14" t="str">
            <v xml:space="preserve">TRUCK     </v>
          </cell>
          <cell r="D14">
            <v>5409.1260560000001</v>
          </cell>
        </row>
        <row r="15">
          <cell r="A15">
            <v>376</v>
          </cell>
          <cell r="B15">
            <v>13728</v>
          </cell>
          <cell r="C15" t="str">
            <v xml:space="preserve">TRUCK     </v>
          </cell>
          <cell r="D15">
            <v>883.93336099999999</v>
          </cell>
        </row>
        <row r="16">
          <cell r="A16">
            <v>376</v>
          </cell>
          <cell r="B16">
            <v>688</v>
          </cell>
          <cell r="C16" t="str">
            <v xml:space="preserve">TRUCK     </v>
          </cell>
          <cell r="D16">
            <v>4463.2353739999999</v>
          </cell>
        </row>
        <row r="17">
          <cell r="A17">
            <v>376</v>
          </cell>
          <cell r="B17">
            <v>13992</v>
          </cell>
          <cell r="C17" t="str">
            <v xml:space="preserve">TRUCK     </v>
          </cell>
          <cell r="D17">
            <v>1957.194575</v>
          </cell>
        </row>
        <row r="18">
          <cell r="A18">
            <v>376</v>
          </cell>
          <cell r="B18">
            <v>16272</v>
          </cell>
          <cell r="C18" t="str">
            <v xml:space="preserve">TRUCK     </v>
          </cell>
          <cell r="D18">
            <v>7672.7985209999997</v>
          </cell>
        </row>
        <row r="19">
          <cell r="A19">
            <v>376</v>
          </cell>
          <cell r="B19">
            <v>13994</v>
          </cell>
          <cell r="C19" t="str">
            <v xml:space="preserve">TRUCK     </v>
          </cell>
          <cell r="D19">
            <v>2305.6011400000002</v>
          </cell>
        </row>
        <row r="20">
          <cell r="A20">
            <v>376</v>
          </cell>
          <cell r="B20">
            <v>558</v>
          </cell>
          <cell r="C20" t="str">
            <v xml:space="preserve">TRUCK     </v>
          </cell>
          <cell r="D20">
            <v>1941.519239</v>
          </cell>
        </row>
        <row r="21">
          <cell r="A21">
            <v>376</v>
          </cell>
          <cell r="B21">
            <v>28197</v>
          </cell>
          <cell r="C21" t="str">
            <v xml:space="preserve">TRUCK     </v>
          </cell>
          <cell r="D21">
            <v>2200.0946840000001</v>
          </cell>
        </row>
        <row r="22">
          <cell r="A22">
            <v>376</v>
          </cell>
          <cell r="B22">
            <v>14022</v>
          </cell>
          <cell r="C22" t="str">
            <v xml:space="preserve">TRUCK     </v>
          </cell>
          <cell r="D22">
            <v>197.590507</v>
          </cell>
        </row>
        <row r="23">
          <cell r="A23">
            <v>376</v>
          </cell>
          <cell r="B23">
            <v>15230</v>
          </cell>
          <cell r="C23" t="str">
            <v xml:space="preserve">TRUCK     </v>
          </cell>
          <cell r="D23">
            <v>4234.7333570000001</v>
          </cell>
        </row>
        <row r="24">
          <cell r="A24">
            <v>376</v>
          </cell>
          <cell r="B24">
            <v>28270</v>
          </cell>
          <cell r="C24" t="str">
            <v xml:space="preserve">TRUCK     </v>
          </cell>
          <cell r="D24">
            <v>912.77690600000005</v>
          </cell>
        </row>
        <row r="25">
          <cell r="A25">
            <v>376</v>
          </cell>
          <cell r="B25">
            <v>40310</v>
          </cell>
          <cell r="C25" t="str">
            <v xml:space="preserve">TRUCK     </v>
          </cell>
          <cell r="D25">
            <v>3362.3245940000002</v>
          </cell>
        </row>
        <row r="26">
          <cell r="A26">
            <v>376</v>
          </cell>
          <cell r="B26">
            <v>854</v>
          </cell>
          <cell r="C26" t="str">
            <v xml:space="preserve">TRUCK     </v>
          </cell>
          <cell r="D26">
            <v>5292.9423379999998</v>
          </cell>
        </row>
        <row r="27">
          <cell r="A27">
            <v>376</v>
          </cell>
          <cell r="B27">
            <v>15317</v>
          </cell>
          <cell r="C27" t="str">
            <v xml:space="preserve">TRUCK     </v>
          </cell>
          <cell r="D27">
            <v>2335.9041350000002</v>
          </cell>
        </row>
        <row r="28">
          <cell r="A28">
            <v>376</v>
          </cell>
          <cell r="B28">
            <v>47403</v>
          </cell>
          <cell r="C28" t="str">
            <v xml:space="preserve">TRUCK     </v>
          </cell>
          <cell r="D28">
            <v>0</v>
          </cell>
        </row>
        <row r="29">
          <cell r="A29">
            <v>376</v>
          </cell>
          <cell r="B29">
            <v>29182</v>
          </cell>
          <cell r="C29" t="str">
            <v xml:space="preserve">TRUCK     </v>
          </cell>
          <cell r="D29">
            <v>5340.6374040000001</v>
          </cell>
        </row>
        <row r="30">
          <cell r="A30">
            <v>376</v>
          </cell>
          <cell r="B30">
            <v>51182</v>
          </cell>
          <cell r="C30" t="str">
            <v xml:space="preserve">TRUCK     </v>
          </cell>
          <cell r="D30">
            <v>713.17683099999999</v>
          </cell>
        </row>
        <row r="31">
          <cell r="A31">
            <v>376</v>
          </cell>
          <cell r="B31">
            <v>51054</v>
          </cell>
          <cell r="C31" t="str">
            <v xml:space="preserve">TRUCK     </v>
          </cell>
          <cell r="D31">
            <v>596.60029799999995</v>
          </cell>
        </row>
        <row r="32">
          <cell r="A32">
            <v>376</v>
          </cell>
          <cell r="B32">
            <v>12866</v>
          </cell>
          <cell r="C32" t="str">
            <v xml:space="preserve">TRUCK     </v>
          </cell>
          <cell r="D32">
            <v>17.446124000000001</v>
          </cell>
        </row>
        <row r="33">
          <cell r="A33">
            <v>376</v>
          </cell>
          <cell r="B33">
            <v>16275</v>
          </cell>
          <cell r="C33" t="str">
            <v xml:space="preserve">TRUCK     </v>
          </cell>
          <cell r="D33">
            <v>7012.2067489999999</v>
          </cell>
        </row>
        <row r="34">
          <cell r="A34">
            <v>376</v>
          </cell>
          <cell r="B34">
            <v>51183</v>
          </cell>
          <cell r="C34" t="str">
            <v xml:space="preserve">TRUCK     </v>
          </cell>
          <cell r="D34">
            <v>703.45868199999995</v>
          </cell>
        </row>
        <row r="35">
          <cell r="A35">
            <v>376</v>
          </cell>
          <cell r="B35">
            <v>27193</v>
          </cell>
          <cell r="C35" t="str">
            <v xml:space="preserve">TRUCK     </v>
          </cell>
          <cell r="D35">
            <v>1918.852067</v>
          </cell>
        </row>
        <row r="36">
          <cell r="A36">
            <v>376</v>
          </cell>
          <cell r="B36">
            <v>29183</v>
          </cell>
          <cell r="C36" t="str">
            <v xml:space="preserve">TRUCK     </v>
          </cell>
          <cell r="D36">
            <v>5164.333705</v>
          </cell>
        </row>
      </sheetData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000-000000000000}" autoFormatId="16" applyNumberFormats="0" applyBorderFormats="0" applyFontFormats="0" applyPatternFormats="0" applyAlignmentFormats="0" applyWidthHeightFormats="0">
  <queryTableRefresh nextId="7">
    <queryTableFields count="4">
      <queryTableField id="1" name="scenario_id" tableColumnId="1"/>
      <queryTableField id="4" name="Hwycovid" tableColumnId="4"/>
      <queryTableField id="5" name="mode_category_abbr" tableColumnId="5"/>
      <queryTableField id="6" name="flow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_abm2-tk" connectionId="1" xr16:uid="{00000000-0016-0000-0000-000001000000}" autoFormatId="16" applyNumberFormats="0" applyBorderFormats="0" applyFontFormats="0" applyPatternFormats="0" applyAlignmentFormats="0" applyWidthHeightFormats="0">
  <queryTableRefresh nextId="5">
    <queryTableFields count="4">
      <queryTableField id="1" name="scenario_id" tableColumnId="1"/>
      <queryTableField id="2" name="hwycov_id" tableColumnId="2"/>
      <queryTableField id="3" name="mode" tableColumnId="3"/>
      <queryTableField id="4" name="flow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flow" displayName="flow" ref="J2:M38" tableType="queryTable" totalsRowShown="0">
  <autoFilter ref="J2:M38" xr:uid="{00000000-0009-0000-0100-000003000000}"/>
  <tableColumns count="4">
    <tableColumn id="1" xr3:uid="{00000000-0010-0000-0000-000001000000}" uniqueName="1" name="scenario_id" queryTableFieldId="1"/>
    <tableColumn id="4" xr3:uid="{00000000-0010-0000-0000-000004000000}" uniqueName="4" name="Hwycovid" queryTableFieldId="4"/>
    <tableColumn id="5" xr3:uid="{00000000-0010-0000-0000-000005000000}" uniqueName="5" name="mode_category_abbr" queryTableFieldId="5"/>
    <tableColumn id="6" xr3:uid="{00000000-0010-0000-0000-000006000000}" uniqueName="6" name="flow" queryTableFieldId="6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socioeca8.sandag.org_abm2_tk" displayName="Table_socioeca8.sandag.org_abm2_tk" ref="E2:H37" tableType="queryTable" totalsRowShown="0" headerRowDxfId="16" dataDxfId="15">
  <autoFilter ref="E2:H37" xr:uid="{00000000-0009-0000-0100-000004000000}"/>
  <tableColumns count="4">
    <tableColumn id="1" xr3:uid="{00000000-0010-0000-0100-000001000000}" uniqueName="1" name="scenario_id" queryTableFieldId="1" dataDxfId="14"/>
    <tableColumn id="2" xr3:uid="{00000000-0010-0000-0100-000002000000}" uniqueName="2" name="hwycov_id" queryTableFieldId="2" dataDxfId="13"/>
    <tableColumn id="3" xr3:uid="{00000000-0010-0000-0100-000003000000}" uniqueName="3" name="mode" queryTableFieldId="3" dataDxfId="12"/>
    <tableColumn id="4" xr3:uid="{00000000-0010-0000-0100-000004000000}" uniqueName="4" name="flow" queryTableFieldId="4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3:F39" totalsRowShown="0">
  <autoFilter ref="A3:F39" xr:uid="{00000000-0009-0000-0100-000002000000}"/>
  <tableColumns count="6">
    <tableColumn id="1" xr3:uid="{00000000-0010-0000-0200-000001000000}" name="HWYCOV_ID"/>
    <tableColumn id="6" xr3:uid="{00000000-0010-0000-0200-000006000000}" name="Route"/>
    <tableColumn id="2" xr3:uid="{00000000-0010-0000-0200-000002000000}" name="DESCRIPTION"/>
    <tableColumn id="3" xr3:uid="{00000000-0010-0000-0200-000003000000}" name="TruckCount" dataDxfId="8"/>
    <tableColumn id="4" xr3:uid="{00000000-0010-0000-0200-000004000000}" name="TruckFlow" dataDxfId="7">
      <calculatedColumnFormula>VLOOKUP(A4,#REF!,2,FALSE)</calculatedColumnFormula>
    </tableColumn>
    <tableColumn id="5" xr3:uid="{00000000-0010-0000-0200-000005000000}" name="Gap" dataDxfId="6">
      <calculatedColumnFormula>E4/D4-1</calculatedColumnFormula>
    </tableColumn>
  </tableColumns>
  <tableStyleInfo name="TableStyleLight9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e22" displayName="Table22" ref="A3:F12" totalsRowShown="0">
  <autoFilter ref="A3:F12" xr:uid="{00000000-0009-0000-0100-000001000000}"/>
  <tableColumns count="6">
    <tableColumn id="1" xr3:uid="{00000000-0010-0000-0300-000001000000}" name="HWYCOV_ID"/>
    <tableColumn id="6" xr3:uid="{00000000-0010-0000-0300-000006000000}" name="Route"/>
    <tableColumn id="2" xr3:uid="{00000000-0010-0000-0300-000002000000}" name="DESCRIPTION"/>
    <tableColumn id="3" xr3:uid="{00000000-0010-0000-0300-000003000000}" name="TruckCount" dataDxfId="3"/>
    <tableColumn id="4" xr3:uid="{00000000-0010-0000-0300-000004000000}" name="TruckFlow" dataDxfId="2">
      <calculatedColumnFormula>VLOOKUP(A4,#REF!,2,FALSE)</calculatedColumnFormula>
    </tableColumn>
    <tableColumn id="5" xr3:uid="{00000000-0010-0000-0300-000005000000}" name="Gap" dataDxfId="1">
      <calculatedColumnFormula>E4/D4-1</calculatedColumnFormula>
    </tableColumn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4.9989318521683403E-2"/>
  </sheetPr>
  <dimension ref="A1:U138"/>
  <sheetViews>
    <sheetView tabSelected="1" workbookViewId="0"/>
  </sheetViews>
  <sheetFormatPr defaultRowHeight="15" x14ac:dyDescent="0.25"/>
  <cols>
    <col min="2" max="2" width="104.85546875" bestFit="1" customWidth="1"/>
    <col min="3" max="3" width="11.140625" bestFit="1" customWidth="1"/>
    <col min="4" max="4" width="11.140625" style="5" customWidth="1"/>
    <col min="5" max="5" width="13.42578125" style="5" customWidth="1"/>
    <col min="6" max="6" width="12.7109375" style="5" customWidth="1"/>
    <col min="7" max="7" width="8.42578125" style="5" customWidth="1"/>
    <col min="8" max="8" width="7.28515625" style="2" customWidth="1"/>
    <col min="9" max="9" width="9.140625" customWidth="1"/>
    <col min="10" max="10" width="13.42578125" style="3" hidden="1" customWidth="1"/>
    <col min="11" max="11" width="11.85546875" style="3" hidden="1" customWidth="1"/>
    <col min="12" max="12" width="22.28515625" style="3" hidden="1" customWidth="1"/>
    <col min="13" max="13" width="7.28515625" style="2" hidden="1" customWidth="1"/>
    <col min="14" max="14" width="8.5703125" style="3" customWidth="1"/>
  </cols>
  <sheetData>
    <row r="1" spans="1:21" x14ac:dyDescent="0.25">
      <c r="A1" s="5" t="s">
        <v>16</v>
      </c>
      <c r="B1" s="5"/>
      <c r="C1" t="s">
        <v>19</v>
      </c>
      <c r="J1"/>
      <c r="K1" s="5"/>
      <c r="L1" s="5"/>
      <c r="N1"/>
    </row>
    <row r="2" spans="1:21" x14ac:dyDescent="0.25">
      <c r="A2" s="5">
        <v>1</v>
      </c>
      <c r="B2" s="5" t="s">
        <v>17</v>
      </c>
      <c r="C2" s="1">
        <f>[2]Settings!$B$3</f>
        <v>376</v>
      </c>
      <c r="D2" s="10"/>
      <c r="E2" s="62" t="s">
        <v>19</v>
      </c>
      <c r="F2" s="62" t="s">
        <v>106</v>
      </c>
      <c r="G2" s="62" t="s">
        <v>107</v>
      </c>
      <c r="H2" s="11" t="s">
        <v>34</v>
      </c>
      <c r="J2" t="s">
        <v>19</v>
      </c>
      <c r="K2" s="5" t="s">
        <v>32</v>
      </c>
      <c r="L2" s="5" t="s">
        <v>33</v>
      </c>
      <c r="M2" s="2" t="s">
        <v>34</v>
      </c>
      <c r="N2"/>
    </row>
    <row r="3" spans="1:21" x14ac:dyDescent="0.25">
      <c r="A3" s="5">
        <v>2</v>
      </c>
      <c r="B3" s="5" t="s">
        <v>18</v>
      </c>
      <c r="E3" s="39">
        <f>[2]truck_flow!A2</f>
        <v>376</v>
      </c>
      <c r="F3" s="39">
        <f>[2]truck_flow!B2</f>
        <v>17717</v>
      </c>
      <c r="G3" s="39" t="str">
        <f>[2]truck_flow!C2</f>
        <v xml:space="preserve">TRUCK     </v>
      </c>
      <c r="H3" s="7">
        <f>[2]truck_flow!D2</f>
        <v>775.41289800000004</v>
      </c>
      <c r="J3" s="5">
        <f>C2</f>
        <v>376</v>
      </c>
      <c r="K3" s="5">
        <v>16275</v>
      </c>
      <c r="L3" s="5" t="s">
        <v>35</v>
      </c>
      <c r="M3" s="2">
        <f>IFERROR(VLOOKUP(flow[[#This Row],[Hwycovid]],Table_socioeca8.sandag.org_abm2_tk[[hwycov_id]:[flow]],3,FALSE),VLOOKUP(flow[[#This Row],[Hwycovid]],Table2[[HWYCOV_ID]:[TruckCount]],4,FALSE))</f>
        <v>7012.2067489999999</v>
      </c>
      <c r="N3"/>
    </row>
    <row r="4" spans="1:21" x14ac:dyDescent="0.25">
      <c r="A4" s="5"/>
      <c r="B4" s="5"/>
      <c r="E4" s="39">
        <f>[2]truck_flow!A3</f>
        <v>376</v>
      </c>
      <c r="F4" s="39">
        <f>[2]truck_flow!B3</f>
        <v>51053</v>
      </c>
      <c r="G4" s="39" t="str">
        <f>[2]truck_flow!C3</f>
        <v xml:space="preserve">TRUCK     </v>
      </c>
      <c r="H4" s="7">
        <f>[2]truck_flow!D3</f>
        <v>627.91090799999995</v>
      </c>
      <c r="J4" s="5">
        <f>J3</f>
        <v>376</v>
      </c>
      <c r="K4" s="5">
        <v>16272</v>
      </c>
      <c r="L4" s="5" t="s">
        <v>35</v>
      </c>
      <c r="M4" s="2">
        <f>IFERROR(VLOOKUP(flow[[#This Row],[Hwycovid]],Table_socioeca8.sandag.org_abm2_tk[[hwycov_id]:[flow]],3,FALSE),VLOOKUP(flow[[#This Row],[Hwycovid]],Table2[[HWYCOV_ID]:[TruckCount]],4,FALSE))</f>
        <v>7672.7985209999997</v>
      </c>
      <c r="N4"/>
      <c r="T4" s="5"/>
      <c r="U4" s="5"/>
    </row>
    <row r="5" spans="1:21" x14ac:dyDescent="0.25">
      <c r="A5" s="5"/>
      <c r="B5" s="5"/>
      <c r="E5" s="39">
        <f>[2]truck_flow!A4</f>
        <v>376</v>
      </c>
      <c r="F5" s="39">
        <f>[2]truck_flow!B4</f>
        <v>29146</v>
      </c>
      <c r="G5" s="39" t="str">
        <f>[2]truck_flow!C4</f>
        <v xml:space="preserve">TRUCK     </v>
      </c>
      <c r="H5" s="7">
        <f>[2]truck_flow!D4</f>
        <v>256.22863000000001</v>
      </c>
      <c r="J5" s="5">
        <f t="shared" ref="J5:J38" si="0">J4</f>
        <v>376</v>
      </c>
      <c r="K5" s="5">
        <v>28269</v>
      </c>
      <c r="L5" s="5" t="s">
        <v>35</v>
      </c>
      <c r="M5" s="2">
        <f>IFERROR(VLOOKUP(flow[[#This Row],[Hwycovid]],Table_socioeca8.sandag.org_abm2_tk[[hwycov_id]:[flow]],3,FALSE),VLOOKUP(flow[[#This Row],[Hwycovid]],Table2[[HWYCOV_ID]:[TruckCount]],4,FALSE))</f>
        <v>1056.8010469999999</v>
      </c>
      <c r="N5"/>
      <c r="T5" s="5"/>
      <c r="U5" s="5"/>
    </row>
    <row r="6" spans="1:21" x14ac:dyDescent="0.25">
      <c r="A6" s="5"/>
      <c r="B6" s="5"/>
      <c r="E6" s="39">
        <f>[2]truck_flow!A5</f>
        <v>376</v>
      </c>
      <c r="F6" s="39">
        <f>[2]truck_flow!B5</f>
        <v>15196</v>
      </c>
      <c r="G6" s="39" t="str">
        <f>[2]truck_flow!C5</f>
        <v xml:space="preserve">TRUCK     </v>
      </c>
      <c r="H6" s="7">
        <f>[2]truck_flow!D5</f>
        <v>4749.2903029999998</v>
      </c>
      <c r="J6" s="5">
        <f t="shared" si="0"/>
        <v>376</v>
      </c>
      <c r="K6" s="5">
        <v>28270</v>
      </c>
      <c r="L6" s="5" t="s">
        <v>35</v>
      </c>
      <c r="M6" s="2">
        <f>IFERROR(VLOOKUP(flow[[#This Row],[Hwycovid]],Table_socioeca8.sandag.org_abm2_tk[[hwycov_id]:[flow]],3,FALSE),VLOOKUP(flow[[#This Row],[Hwycovid]],Table2[[HWYCOV_ID]:[TruckCount]],4,FALSE))</f>
        <v>912.77690600000005</v>
      </c>
      <c r="N6"/>
      <c r="T6" s="5"/>
      <c r="U6" s="5"/>
    </row>
    <row r="7" spans="1:21" x14ac:dyDescent="0.25">
      <c r="A7" s="5"/>
      <c r="B7" s="5"/>
      <c r="E7" s="39">
        <f>[2]truck_flow!A6</f>
        <v>376</v>
      </c>
      <c r="F7" s="39">
        <f>[2]truck_flow!B6</f>
        <v>14025</v>
      </c>
      <c r="G7" s="39" t="str">
        <f>[2]truck_flow!C6</f>
        <v xml:space="preserve">TRUCK     </v>
      </c>
      <c r="H7" s="7">
        <f>[2]truck_flow!D6</f>
        <v>197.34400299999999</v>
      </c>
      <c r="J7" s="5">
        <f t="shared" si="0"/>
        <v>376</v>
      </c>
      <c r="K7" s="5">
        <v>28197</v>
      </c>
      <c r="L7" s="5" t="s">
        <v>35</v>
      </c>
      <c r="M7" s="2">
        <f>IFERROR(VLOOKUP(flow[[#This Row],[Hwycovid]],Table_socioeca8.sandag.org_abm2_tk[[hwycov_id]:[flow]],3,FALSE),VLOOKUP(flow[[#This Row],[Hwycovid]],Table2[[HWYCOV_ID]:[TruckCount]],4,FALSE))</f>
        <v>2200.0946840000001</v>
      </c>
      <c r="N7"/>
      <c r="T7" s="5"/>
      <c r="U7" s="5"/>
    </row>
    <row r="8" spans="1:21" x14ac:dyDescent="0.25">
      <c r="A8" s="5"/>
      <c r="B8" s="5"/>
      <c r="E8" s="39">
        <f>[2]truck_flow!A7</f>
        <v>376</v>
      </c>
      <c r="F8" s="39">
        <f>[2]truck_flow!B7</f>
        <v>16163</v>
      </c>
      <c r="G8" s="39" t="str">
        <f>[2]truck_flow!C7</f>
        <v xml:space="preserve">TRUCK     </v>
      </c>
      <c r="H8" s="7">
        <f>[2]truck_flow!D7</f>
        <v>3016.312246</v>
      </c>
      <c r="J8" s="5">
        <f t="shared" si="0"/>
        <v>376</v>
      </c>
      <c r="K8" s="5">
        <v>28199</v>
      </c>
      <c r="L8" s="5" t="s">
        <v>35</v>
      </c>
      <c r="M8" s="2">
        <f>IFERROR(VLOOKUP(flow[[#This Row],[Hwycovid]],Table_socioeca8.sandag.org_abm2_tk[[hwycov_id]:[flow]],3,FALSE),VLOOKUP(flow[[#This Row],[Hwycovid]],Table2[[HWYCOV_ID]:[TruckCount]],4,FALSE))</f>
        <v>2312.3183549999999</v>
      </c>
      <c r="N8"/>
      <c r="T8" s="5"/>
      <c r="U8" s="5"/>
    </row>
    <row r="9" spans="1:21" x14ac:dyDescent="0.25">
      <c r="A9" s="5"/>
      <c r="B9" s="5"/>
      <c r="E9" s="39">
        <f>[2]truck_flow!A8</f>
        <v>376</v>
      </c>
      <c r="F9" s="39">
        <f>[2]truck_flow!B8</f>
        <v>27194</v>
      </c>
      <c r="G9" s="39" t="str">
        <f>[2]truck_flow!C8</f>
        <v xml:space="preserve">TRUCK     </v>
      </c>
      <c r="H9" s="7">
        <f>[2]truck_flow!D8</f>
        <v>2210.2437100000002</v>
      </c>
      <c r="J9" s="5">
        <f t="shared" si="0"/>
        <v>376</v>
      </c>
      <c r="K9" s="5">
        <v>30981</v>
      </c>
      <c r="L9" s="5" t="s">
        <v>35</v>
      </c>
      <c r="M9" s="2">
        <f>IFERROR(VLOOKUP(flow[[#This Row],[Hwycovid]],Table_socioeca8.sandag.org_abm2_tk[[hwycov_id]:[flow]],3,FALSE),VLOOKUP(flow[[#This Row],[Hwycovid]],Table2[[HWYCOV_ID]:[TruckCount]],4,FALSE))</f>
        <v>1513.497181</v>
      </c>
      <c r="N9"/>
      <c r="T9" s="5"/>
      <c r="U9" s="5"/>
    </row>
    <row r="10" spans="1:21" x14ac:dyDescent="0.25">
      <c r="A10" s="6"/>
      <c r="B10" s="5"/>
      <c r="E10" s="39">
        <f>[2]truck_flow!A9</f>
        <v>376</v>
      </c>
      <c r="F10" s="39">
        <f>[2]truck_flow!B9</f>
        <v>28199</v>
      </c>
      <c r="G10" s="39" t="str">
        <f>[2]truck_flow!C9</f>
        <v xml:space="preserve">TRUCK     </v>
      </c>
      <c r="H10" s="7">
        <f>[2]truck_flow!D9</f>
        <v>2312.3183549999999</v>
      </c>
      <c r="J10" s="5">
        <f t="shared" si="0"/>
        <v>376</v>
      </c>
      <c r="K10" s="5">
        <v>29146</v>
      </c>
      <c r="L10" s="5" t="s">
        <v>35</v>
      </c>
      <c r="M10" s="2">
        <f>IFERROR(VLOOKUP(flow[[#This Row],[Hwycovid]],Table_socioeca8.sandag.org_abm2_tk[[hwycov_id]:[flow]],3,FALSE),VLOOKUP(flow[[#This Row],[Hwycovid]],Table2[[HWYCOV_ID]:[TruckCount]],4,FALSE))</f>
        <v>256.22863000000001</v>
      </c>
      <c r="N10"/>
      <c r="T10" s="5"/>
      <c r="U10" s="5"/>
    </row>
    <row r="11" spans="1:21" x14ac:dyDescent="0.25">
      <c r="E11" s="39">
        <f>[2]truck_flow!A10</f>
        <v>376</v>
      </c>
      <c r="F11" s="39">
        <f>[2]truck_flow!B10</f>
        <v>28269</v>
      </c>
      <c r="G11" s="39" t="str">
        <f>[2]truck_flow!C10</f>
        <v xml:space="preserve">TRUCK     </v>
      </c>
      <c r="H11" s="7">
        <f>[2]truck_flow!D10</f>
        <v>1056.8010469999999</v>
      </c>
      <c r="J11" s="5">
        <f t="shared" si="0"/>
        <v>376</v>
      </c>
      <c r="K11" s="5">
        <v>15196</v>
      </c>
      <c r="L11" s="5" t="s">
        <v>35</v>
      </c>
      <c r="M11" s="2">
        <f>IFERROR(VLOOKUP(flow[[#This Row],[Hwycovid]],Table_socioeca8.sandag.org_abm2_tk[[hwycov_id]:[flow]],3,FALSE),VLOOKUP(flow[[#This Row],[Hwycovid]],Table2[[HWYCOV_ID]:[TruckCount]],4,FALSE))</f>
        <v>4749.2903029999998</v>
      </c>
      <c r="N11"/>
      <c r="T11" s="5"/>
      <c r="U11" s="5"/>
    </row>
    <row r="12" spans="1:21" x14ac:dyDescent="0.25">
      <c r="E12" s="39">
        <f>[2]truck_flow!A11</f>
        <v>376</v>
      </c>
      <c r="F12" s="39">
        <f>[2]truck_flow!B11</f>
        <v>843</v>
      </c>
      <c r="G12" s="39" t="str">
        <f>[2]truck_flow!C11</f>
        <v xml:space="preserve">TRUCK     </v>
      </c>
      <c r="H12" s="7">
        <f>[2]truck_flow!D11</f>
        <v>6006.1468130000003</v>
      </c>
      <c r="J12" s="5">
        <f t="shared" si="0"/>
        <v>376</v>
      </c>
      <c r="K12" s="5">
        <v>15230</v>
      </c>
      <c r="L12" s="5" t="s">
        <v>35</v>
      </c>
      <c r="M12" s="2">
        <f>IFERROR(VLOOKUP(flow[[#This Row],[Hwycovid]],Table_socioeca8.sandag.org_abm2_tk[[hwycov_id]:[flow]],3,FALSE),VLOOKUP(flow[[#This Row],[Hwycovid]],Table2[[HWYCOV_ID]:[TruckCount]],4,FALSE))</f>
        <v>4234.7333570000001</v>
      </c>
      <c r="N12"/>
      <c r="T12" s="5"/>
      <c r="U12" s="5"/>
    </row>
    <row r="13" spans="1:21" x14ac:dyDescent="0.25">
      <c r="E13" s="39">
        <f>[2]truck_flow!A12</f>
        <v>376</v>
      </c>
      <c r="F13" s="39">
        <f>[2]truck_flow!B12</f>
        <v>28569</v>
      </c>
      <c r="G13" s="39" t="str">
        <f>[2]truck_flow!C12</f>
        <v xml:space="preserve">TRUCK     </v>
      </c>
      <c r="H13" s="7">
        <f>[2]truck_flow!D12</f>
        <v>2236.3294099999998</v>
      </c>
      <c r="J13" s="5">
        <f t="shared" si="0"/>
        <v>376</v>
      </c>
      <c r="K13" s="5">
        <v>27193</v>
      </c>
      <c r="L13" s="5" t="s">
        <v>35</v>
      </c>
      <c r="M13" s="2">
        <f>IFERROR(VLOOKUP(flow[[#This Row],[Hwycovid]],Table_socioeca8.sandag.org_abm2_tk[[hwycov_id]:[flow]],3,FALSE),VLOOKUP(flow[[#This Row],[Hwycovid]],Table2[[HWYCOV_ID]:[TruckCount]],4,FALSE))</f>
        <v>1918.852067</v>
      </c>
      <c r="N13"/>
      <c r="T13" s="5"/>
      <c r="U13" s="5"/>
    </row>
    <row r="14" spans="1:21" x14ac:dyDescent="0.25">
      <c r="E14" s="39">
        <f>[2]truck_flow!A13</f>
        <v>376</v>
      </c>
      <c r="F14" s="39">
        <f>[2]truck_flow!B13</f>
        <v>30981</v>
      </c>
      <c r="G14" s="39" t="str">
        <f>[2]truck_flow!C13</f>
        <v xml:space="preserve">TRUCK     </v>
      </c>
      <c r="H14" s="7">
        <f>[2]truck_flow!D13</f>
        <v>1513.497181</v>
      </c>
      <c r="J14" s="5">
        <f t="shared" si="0"/>
        <v>376</v>
      </c>
      <c r="K14" s="5">
        <v>27194</v>
      </c>
      <c r="L14" s="5" t="s">
        <v>35</v>
      </c>
      <c r="M14" s="2">
        <f>IFERROR(VLOOKUP(flow[[#This Row],[Hwycovid]],Table_socioeca8.sandag.org_abm2_tk[[hwycov_id]:[flow]],3,FALSE),VLOOKUP(flow[[#This Row],[Hwycovid]],Table2[[HWYCOV_ID]:[TruckCount]],4,FALSE))</f>
        <v>2210.2437100000002</v>
      </c>
      <c r="N14"/>
      <c r="T14" s="5"/>
      <c r="U14" s="5"/>
    </row>
    <row r="15" spans="1:21" x14ac:dyDescent="0.25">
      <c r="E15" s="39">
        <f>[2]truck_flow!A14</f>
        <v>376</v>
      </c>
      <c r="F15" s="39">
        <f>[2]truck_flow!B14</f>
        <v>702</v>
      </c>
      <c r="G15" s="39" t="str">
        <f>[2]truck_flow!C14</f>
        <v xml:space="preserve">TRUCK     </v>
      </c>
      <c r="H15" s="7">
        <f>[2]truck_flow!D14</f>
        <v>5409.1260560000001</v>
      </c>
      <c r="J15" s="5">
        <f t="shared" si="0"/>
        <v>376</v>
      </c>
      <c r="K15" s="5">
        <v>28569</v>
      </c>
      <c r="L15" s="5" t="s">
        <v>35</v>
      </c>
      <c r="M15" s="2">
        <f>IFERROR(VLOOKUP(flow[[#This Row],[Hwycovid]],Table_socioeca8.sandag.org_abm2_tk[[hwycov_id]:[flow]],3,FALSE),VLOOKUP(flow[[#This Row],[Hwycovid]],Table2[[HWYCOV_ID]:[TruckCount]],4,FALSE))</f>
        <v>2236.3294099999998</v>
      </c>
      <c r="N15"/>
      <c r="T15" s="5"/>
      <c r="U15" s="5"/>
    </row>
    <row r="16" spans="1:21" x14ac:dyDescent="0.25">
      <c r="E16" s="39">
        <f>[2]truck_flow!A15</f>
        <v>376</v>
      </c>
      <c r="F16" s="39">
        <f>[2]truck_flow!B15</f>
        <v>13728</v>
      </c>
      <c r="G16" s="39" t="str">
        <f>[2]truck_flow!C15</f>
        <v xml:space="preserve">TRUCK     </v>
      </c>
      <c r="H16" s="7">
        <f>[2]truck_flow!D15</f>
        <v>883.93336099999999</v>
      </c>
      <c r="J16" s="5">
        <f t="shared" si="0"/>
        <v>376</v>
      </c>
      <c r="K16" s="5">
        <v>558</v>
      </c>
      <c r="L16" s="5" t="s">
        <v>35</v>
      </c>
      <c r="M16" s="2">
        <f>IFERROR(VLOOKUP(flow[[#This Row],[Hwycovid]],Table_socioeca8.sandag.org_abm2_tk[[hwycov_id]:[flow]],3,FALSE),VLOOKUP(flow[[#This Row],[Hwycovid]],Table2[[HWYCOV_ID]:[TruckCount]],4,FALSE))</f>
        <v>1941.519239</v>
      </c>
      <c r="N16"/>
      <c r="T16" s="5"/>
      <c r="U16" s="5"/>
    </row>
    <row r="17" spans="5:21" x14ac:dyDescent="0.25">
      <c r="E17" s="39">
        <f>[2]truck_flow!A16</f>
        <v>376</v>
      </c>
      <c r="F17" s="39">
        <f>[2]truck_flow!B16</f>
        <v>688</v>
      </c>
      <c r="G17" s="39" t="str">
        <f>[2]truck_flow!C16</f>
        <v xml:space="preserve">TRUCK     </v>
      </c>
      <c r="H17" s="7">
        <f>[2]truck_flow!D16</f>
        <v>4463.2353739999999</v>
      </c>
      <c r="J17" s="5">
        <f t="shared" si="0"/>
        <v>376</v>
      </c>
      <c r="K17" s="5">
        <v>13728</v>
      </c>
      <c r="L17" s="5" t="s">
        <v>35</v>
      </c>
      <c r="M17" s="2">
        <f>IFERROR(VLOOKUP(flow[[#This Row],[Hwycovid]],Table_socioeca8.sandag.org_abm2_tk[[hwycov_id]:[flow]],3,FALSE),VLOOKUP(flow[[#This Row],[Hwycovid]],Table2[[HWYCOV_ID]:[TruckCount]],4,FALSE))</f>
        <v>883.93336099999999</v>
      </c>
      <c r="N17"/>
      <c r="T17" s="5"/>
      <c r="U17" s="5"/>
    </row>
    <row r="18" spans="5:21" x14ac:dyDescent="0.25">
      <c r="E18" s="39">
        <f>[2]truck_flow!A17</f>
        <v>376</v>
      </c>
      <c r="F18" s="39">
        <f>[2]truck_flow!B17</f>
        <v>13992</v>
      </c>
      <c r="G18" s="39" t="str">
        <f>[2]truck_flow!C17</f>
        <v xml:space="preserve">TRUCK     </v>
      </c>
      <c r="H18" s="7">
        <f>[2]truck_flow!D17</f>
        <v>1957.194575</v>
      </c>
      <c r="J18" s="5">
        <f t="shared" si="0"/>
        <v>376</v>
      </c>
      <c r="K18" s="5">
        <v>51183</v>
      </c>
      <c r="L18" s="5" t="s">
        <v>35</v>
      </c>
      <c r="M18" s="2">
        <f>IFERROR(VLOOKUP(flow[[#This Row],[Hwycovid]],Table_socioeca8.sandag.org_abm2_tk[[hwycov_id]:[flow]],3,FALSE),VLOOKUP(flow[[#This Row],[Hwycovid]],Table2[[HWYCOV_ID]:[TruckCount]],4,FALSE))</f>
        <v>703.45868199999995</v>
      </c>
      <c r="N18"/>
      <c r="T18" s="5"/>
      <c r="U18" s="5"/>
    </row>
    <row r="19" spans="5:21" x14ac:dyDescent="0.25">
      <c r="E19" s="39">
        <f>[2]truck_flow!A18</f>
        <v>376</v>
      </c>
      <c r="F19" s="39">
        <f>[2]truck_flow!B18</f>
        <v>16272</v>
      </c>
      <c r="G19" s="39" t="str">
        <f>[2]truck_flow!C18</f>
        <v xml:space="preserve">TRUCK     </v>
      </c>
      <c r="H19" s="7">
        <f>[2]truck_flow!D18</f>
        <v>7672.7985209999997</v>
      </c>
      <c r="J19" s="5">
        <f t="shared" si="0"/>
        <v>376</v>
      </c>
      <c r="K19" s="5">
        <v>51182</v>
      </c>
      <c r="L19" s="5" t="s">
        <v>35</v>
      </c>
      <c r="M19" s="2">
        <f>IFERROR(VLOOKUP(flow[[#This Row],[Hwycovid]],Table_socioeca8.sandag.org_abm2_tk[[hwycov_id]:[flow]],3,FALSE),VLOOKUP(flow[[#This Row],[Hwycovid]],Table2[[HWYCOV_ID]:[TruckCount]],4,FALSE))</f>
        <v>713.17683099999999</v>
      </c>
      <c r="N19"/>
      <c r="T19" s="5"/>
      <c r="U19" s="5"/>
    </row>
    <row r="20" spans="5:21" x14ac:dyDescent="0.25">
      <c r="E20" s="39">
        <f>[2]truck_flow!A19</f>
        <v>376</v>
      </c>
      <c r="F20" s="39">
        <f>[2]truck_flow!B19</f>
        <v>13994</v>
      </c>
      <c r="G20" s="39" t="str">
        <f>[2]truck_flow!C19</f>
        <v xml:space="preserve">TRUCK     </v>
      </c>
      <c r="H20" s="7">
        <f>[2]truck_flow!D19</f>
        <v>2305.6011400000002</v>
      </c>
      <c r="J20" s="5">
        <f t="shared" si="0"/>
        <v>376</v>
      </c>
      <c r="K20" s="5">
        <v>51054</v>
      </c>
      <c r="L20" s="5" t="s">
        <v>35</v>
      </c>
      <c r="M20" s="2">
        <f>IFERROR(VLOOKUP(flow[[#This Row],[Hwycovid]],Table_socioeca8.sandag.org_abm2_tk[[hwycov_id]:[flow]],3,FALSE),VLOOKUP(flow[[#This Row],[Hwycovid]],Table2[[HWYCOV_ID]:[TruckCount]],4,FALSE))</f>
        <v>596.60029799999995</v>
      </c>
      <c r="N20"/>
      <c r="T20" s="5"/>
      <c r="U20" s="5"/>
    </row>
    <row r="21" spans="5:21" x14ac:dyDescent="0.25">
      <c r="E21" s="39">
        <f>[2]truck_flow!A20</f>
        <v>376</v>
      </c>
      <c r="F21" s="39">
        <f>[2]truck_flow!B20</f>
        <v>558</v>
      </c>
      <c r="G21" s="39" t="str">
        <f>[2]truck_flow!C20</f>
        <v xml:space="preserve">TRUCK     </v>
      </c>
      <c r="H21" s="7">
        <f>[2]truck_flow!D20</f>
        <v>1941.519239</v>
      </c>
      <c r="J21" s="5">
        <f t="shared" si="0"/>
        <v>376</v>
      </c>
      <c r="K21" s="5">
        <v>51053</v>
      </c>
      <c r="L21" s="5" t="s">
        <v>35</v>
      </c>
      <c r="M21" s="2">
        <f>IFERROR(VLOOKUP(flow[[#This Row],[Hwycovid]],Table_socioeca8.sandag.org_abm2_tk[[hwycov_id]:[flow]],3,FALSE),VLOOKUP(flow[[#This Row],[Hwycovid]],Table2[[HWYCOV_ID]:[TruckCount]],4,FALSE))</f>
        <v>627.91090799999995</v>
      </c>
      <c r="N21"/>
      <c r="T21" s="5"/>
      <c r="U21" s="5"/>
    </row>
    <row r="22" spans="5:21" x14ac:dyDescent="0.25">
      <c r="E22" s="39">
        <f>[2]truck_flow!A21</f>
        <v>376</v>
      </c>
      <c r="F22" s="39">
        <f>[2]truck_flow!B21</f>
        <v>28197</v>
      </c>
      <c r="G22" s="39" t="str">
        <f>[2]truck_flow!C21</f>
        <v xml:space="preserve">TRUCK     </v>
      </c>
      <c r="H22" s="7">
        <f>[2]truck_flow!D21</f>
        <v>2200.0946840000001</v>
      </c>
      <c r="J22" s="5">
        <f t="shared" si="0"/>
        <v>376</v>
      </c>
      <c r="K22" s="5">
        <v>29183</v>
      </c>
      <c r="L22" s="5" t="s">
        <v>35</v>
      </c>
      <c r="M22" s="2">
        <f>IFERROR(VLOOKUP(flow[[#This Row],[Hwycovid]],Table_socioeca8.sandag.org_abm2_tk[[hwycov_id]:[flow]],3,FALSE),VLOOKUP(flow[[#This Row],[Hwycovid]],Table2[[HWYCOV_ID]:[TruckCount]],4,FALSE))</f>
        <v>5164.333705</v>
      </c>
      <c r="N22"/>
      <c r="T22" s="5"/>
      <c r="U22" s="5"/>
    </row>
    <row r="23" spans="5:21" x14ac:dyDescent="0.25">
      <c r="E23" s="39">
        <f>[2]truck_flow!A22</f>
        <v>376</v>
      </c>
      <c r="F23" s="39">
        <f>[2]truck_flow!B22</f>
        <v>14022</v>
      </c>
      <c r="G23" s="39" t="str">
        <f>[2]truck_flow!C22</f>
        <v xml:space="preserve">TRUCK     </v>
      </c>
      <c r="H23" s="7">
        <f>[2]truck_flow!D22</f>
        <v>197.590507</v>
      </c>
      <c r="J23" s="5">
        <f t="shared" si="0"/>
        <v>376</v>
      </c>
      <c r="K23" s="5">
        <v>29182</v>
      </c>
      <c r="L23" s="5" t="s">
        <v>35</v>
      </c>
      <c r="M23" s="2">
        <f>IFERROR(VLOOKUP(flow[[#This Row],[Hwycovid]],Table_socioeca8.sandag.org_abm2_tk[[hwycov_id]:[flow]],3,FALSE),VLOOKUP(flow[[#This Row],[Hwycovid]],Table2[[HWYCOV_ID]:[TruckCount]],4,FALSE))</f>
        <v>5340.6374040000001</v>
      </c>
      <c r="N23"/>
      <c r="T23" s="5"/>
      <c r="U23" s="5"/>
    </row>
    <row r="24" spans="5:21" x14ac:dyDescent="0.25">
      <c r="E24" s="39">
        <f>[2]truck_flow!A23</f>
        <v>376</v>
      </c>
      <c r="F24" s="39">
        <f>[2]truck_flow!B23</f>
        <v>15230</v>
      </c>
      <c r="G24" s="39" t="str">
        <f>[2]truck_flow!C23</f>
        <v xml:space="preserve">TRUCK     </v>
      </c>
      <c r="H24" s="7">
        <f>[2]truck_flow!D23</f>
        <v>4234.7333570000001</v>
      </c>
      <c r="J24" s="5">
        <f t="shared" si="0"/>
        <v>376</v>
      </c>
      <c r="K24" s="5">
        <v>15317</v>
      </c>
      <c r="L24" s="5" t="s">
        <v>35</v>
      </c>
      <c r="M24" s="2">
        <f>IFERROR(VLOOKUP(flow[[#This Row],[Hwycovid]],Table_socioeca8.sandag.org_abm2_tk[[hwycov_id]:[flow]],3,FALSE),VLOOKUP(flow[[#This Row],[Hwycovid]],Table2[[HWYCOV_ID]:[TruckCount]],4,FALSE))</f>
        <v>2335.9041350000002</v>
      </c>
      <c r="N24"/>
      <c r="T24" s="5"/>
      <c r="U24" s="5"/>
    </row>
    <row r="25" spans="5:21" x14ac:dyDescent="0.25">
      <c r="E25" s="39">
        <f>[2]truck_flow!A24</f>
        <v>376</v>
      </c>
      <c r="F25" s="39">
        <f>[2]truck_flow!B24</f>
        <v>28270</v>
      </c>
      <c r="G25" s="39" t="str">
        <f>[2]truck_flow!C24</f>
        <v xml:space="preserve">TRUCK     </v>
      </c>
      <c r="H25" s="7">
        <f>[2]truck_flow!D24</f>
        <v>912.77690600000005</v>
      </c>
      <c r="J25" s="5">
        <f t="shared" si="0"/>
        <v>376</v>
      </c>
      <c r="K25" s="5">
        <v>16163</v>
      </c>
      <c r="L25" s="5" t="s">
        <v>35</v>
      </c>
      <c r="M25" s="2">
        <f>IFERROR(VLOOKUP(flow[[#This Row],[Hwycovid]],Table_socioeca8.sandag.org_abm2_tk[[hwycov_id]:[flow]],3,FALSE),VLOOKUP(flow[[#This Row],[Hwycovid]],Table2[[HWYCOV_ID]:[TruckCount]],4,FALSE))</f>
        <v>3016.312246</v>
      </c>
      <c r="N25"/>
      <c r="T25" s="5"/>
      <c r="U25" s="5"/>
    </row>
    <row r="26" spans="5:21" x14ac:dyDescent="0.25">
      <c r="E26" s="39">
        <f>[2]truck_flow!A25</f>
        <v>376</v>
      </c>
      <c r="F26" s="39">
        <f>[2]truck_flow!B25</f>
        <v>40310</v>
      </c>
      <c r="G26" s="39" t="str">
        <f>[2]truck_flow!C25</f>
        <v xml:space="preserve">TRUCK     </v>
      </c>
      <c r="H26" s="7">
        <f>[2]truck_flow!D25</f>
        <v>3362.3245940000002</v>
      </c>
      <c r="J26" s="5">
        <f t="shared" si="0"/>
        <v>376</v>
      </c>
      <c r="K26" s="5">
        <v>843</v>
      </c>
      <c r="L26" s="5" t="s">
        <v>35</v>
      </c>
      <c r="M26" s="2">
        <f>IFERROR(VLOOKUP(flow[[#This Row],[Hwycovid]],Table_socioeca8.sandag.org_abm2_tk[[hwycov_id]:[flow]],3,FALSE),VLOOKUP(flow[[#This Row],[Hwycovid]],Table2[[HWYCOV_ID]:[TruckCount]],4,FALSE))</f>
        <v>6006.1468130000003</v>
      </c>
      <c r="N26"/>
      <c r="T26" s="5"/>
      <c r="U26" s="5"/>
    </row>
    <row r="27" spans="5:21" x14ac:dyDescent="0.25">
      <c r="E27" s="39">
        <f>[2]truck_flow!A26</f>
        <v>376</v>
      </c>
      <c r="F27" s="39">
        <f>[2]truck_flow!B26</f>
        <v>854</v>
      </c>
      <c r="G27" s="39" t="str">
        <f>[2]truck_flow!C26</f>
        <v xml:space="preserve">TRUCK     </v>
      </c>
      <c r="H27" s="7">
        <f>[2]truck_flow!D26</f>
        <v>5292.9423379999998</v>
      </c>
      <c r="J27" s="5">
        <f t="shared" si="0"/>
        <v>376</v>
      </c>
      <c r="K27" s="5">
        <v>702</v>
      </c>
      <c r="L27" s="5" t="s">
        <v>35</v>
      </c>
      <c r="M27" s="2">
        <f>IFERROR(VLOOKUP(flow[[#This Row],[Hwycovid]],Table_socioeca8.sandag.org_abm2_tk[[hwycov_id]:[flow]],3,FALSE),VLOOKUP(flow[[#This Row],[Hwycovid]],Table2[[HWYCOV_ID]:[TruckCount]],4,FALSE))</f>
        <v>5409.1260560000001</v>
      </c>
      <c r="N27"/>
      <c r="T27" s="5"/>
      <c r="U27" s="5"/>
    </row>
    <row r="28" spans="5:21" x14ac:dyDescent="0.25">
      <c r="E28" s="39">
        <f>[2]truck_flow!A27</f>
        <v>376</v>
      </c>
      <c r="F28" s="39">
        <f>[2]truck_flow!B27</f>
        <v>15317</v>
      </c>
      <c r="G28" s="39" t="str">
        <f>[2]truck_flow!C27</f>
        <v xml:space="preserve">TRUCK     </v>
      </c>
      <c r="H28" s="7">
        <f>[2]truck_flow!D27</f>
        <v>2335.9041350000002</v>
      </c>
      <c r="J28" s="5">
        <f t="shared" si="0"/>
        <v>376</v>
      </c>
      <c r="K28" s="5">
        <v>854</v>
      </c>
      <c r="L28" s="5" t="s">
        <v>35</v>
      </c>
      <c r="M28" s="2">
        <f>IFERROR(VLOOKUP(flow[[#This Row],[Hwycovid]],Table_socioeca8.sandag.org_abm2_tk[[hwycov_id]:[flow]],3,FALSE),VLOOKUP(flow[[#This Row],[Hwycovid]],Table2[[HWYCOV_ID]:[TruckCount]],4,FALSE))</f>
        <v>5292.9423379999998</v>
      </c>
      <c r="N28"/>
      <c r="T28" s="5"/>
      <c r="U28" s="5"/>
    </row>
    <row r="29" spans="5:21" x14ac:dyDescent="0.25">
      <c r="E29" s="39">
        <f>[2]truck_flow!A28</f>
        <v>376</v>
      </c>
      <c r="F29" s="39">
        <f>[2]truck_flow!B28</f>
        <v>47403</v>
      </c>
      <c r="G29" s="39" t="str">
        <f>[2]truck_flow!C28</f>
        <v xml:space="preserve">TRUCK     </v>
      </c>
      <c r="H29" s="7">
        <f>[2]truck_flow!D28</f>
        <v>0</v>
      </c>
      <c r="J29" s="5">
        <f t="shared" si="0"/>
        <v>376</v>
      </c>
      <c r="K29" s="5">
        <v>688</v>
      </c>
      <c r="L29" s="5" t="s">
        <v>35</v>
      </c>
      <c r="M29" s="2">
        <f>IFERROR(VLOOKUP(flow[[#This Row],[Hwycovid]],Table_socioeca8.sandag.org_abm2_tk[[hwycov_id]:[flow]],3,FALSE),VLOOKUP(flow[[#This Row],[Hwycovid]],Table2[[HWYCOV_ID]:[TruckCount]],4,FALSE))</f>
        <v>4463.2353739999999</v>
      </c>
      <c r="N29"/>
      <c r="T29" s="5"/>
      <c r="U29" s="5"/>
    </row>
    <row r="30" spans="5:21" x14ac:dyDescent="0.25">
      <c r="E30" s="39">
        <f>[2]truck_flow!A29</f>
        <v>376</v>
      </c>
      <c r="F30" s="39">
        <f>[2]truck_flow!B29</f>
        <v>29182</v>
      </c>
      <c r="G30" s="39" t="str">
        <f>[2]truck_flow!C29</f>
        <v xml:space="preserve">TRUCK     </v>
      </c>
      <c r="H30" s="7">
        <f>[2]truck_flow!D29</f>
        <v>5340.6374040000001</v>
      </c>
      <c r="J30" s="5">
        <f t="shared" si="0"/>
        <v>376</v>
      </c>
      <c r="K30" s="5">
        <v>13992</v>
      </c>
      <c r="L30" s="5" t="s">
        <v>35</v>
      </c>
      <c r="M30" s="2">
        <f>IFERROR(VLOOKUP(flow[[#This Row],[Hwycovid]],Table_socioeca8.sandag.org_abm2_tk[[hwycov_id]:[flow]],3,FALSE),VLOOKUP(flow[[#This Row],[Hwycovid]],Table2[[HWYCOV_ID]:[TruckCount]],4,FALSE))</f>
        <v>1957.194575</v>
      </c>
      <c r="N30"/>
      <c r="T30" s="5"/>
      <c r="U30" s="5"/>
    </row>
    <row r="31" spans="5:21" x14ac:dyDescent="0.25">
      <c r="E31" s="39">
        <f>[2]truck_flow!A30</f>
        <v>376</v>
      </c>
      <c r="F31" s="39">
        <f>[2]truck_flow!B30</f>
        <v>51182</v>
      </c>
      <c r="G31" s="39" t="str">
        <f>[2]truck_flow!C30</f>
        <v xml:space="preserve">TRUCK     </v>
      </c>
      <c r="H31" s="7">
        <f>[2]truck_flow!D30</f>
        <v>713.17683099999999</v>
      </c>
      <c r="J31" s="5">
        <f t="shared" si="0"/>
        <v>376</v>
      </c>
      <c r="K31" s="5">
        <v>13994</v>
      </c>
      <c r="L31" s="5" t="s">
        <v>35</v>
      </c>
      <c r="M31" s="2">
        <f>IFERROR(VLOOKUP(flow[[#This Row],[Hwycovid]],Table_socioeca8.sandag.org_abm2_tk[[hwycov_id]:[flow]],3,FALSE),VLOOKUP(flow[[#This Row],[Hwycovid]],Table2[[HWYCOV_ID]:[TruckCount]],4,FALSE))</f>
        <v>2305.6011400000002</v>
      </c>
      <c r="N31"/>
      <c r="T31" s="5"/>
      <c r="U31" s="5"/>
    </row>
    <row r="32" spans="5:21" x14ac:dyDescent="0.25">
      <c r="E32" s="39">
        <f>[2]truck_flow!A31</f>
        <v>376</v>
      </c>
      <c r="F32" s="39">
        <f>[2]truck_flow!B31</f>
        <v>51054</v>
      </c>
      <c r="G32" s="39" t="str">
        <f>[2]truck_flow!C31</f>
        <v xml:space="preserve">TRUCK     </v>
      </c>
      <c r="H32" s="7">
        <f>[2]truck_flow!D31</f>
        <v>596.60029799999995</v>
      </c>
      <c r="J32" s="5">
        <f t="shared" si="0"/>
        <v>376</v>
      </c>
      <c r="K32" s="5">
        <v>40310</v>
      </c>
      <c r="L32" s="5" t="s">
        <v>35</v>
      </c>
      <c r="M32" s="2">
        <f>IFERROR(VLOOKUP(flow[[#This Row],[Hwycovid]],Table_socioeca8.sandag.org_abm2_tk[[hwycov_id]:[flow]],3,FALSE),VLOOKUP(flow[[#This Row],[Hwycovid]],Table2[[HWYCOV_ID]:[TruckCount]],4,FALSE))</f>
        <v>3362.3245940000002</v>
      </c>
      <c r="N32"/>
      <c r="T32" s="5"/>
      <c r="U32" s="5"/>
    </row>
    <row r="33" spans="5:21" x14ac:dyDescent="0.25">
      <c r="E33" s="39">
        <f>[2]truck_flow!A32</f>
        <v>376</v>
      </c>
      <c r="F33" s="39">
        <f>[2]truck_flow!B32</f>
        <v>12866</v>
      </c>
      <c r="G33" s="39" t="str">
        <f>[2]truck_flow!C32</f>
        <v xml:space="preserve">TRUCK     </v>
      </c>
      <c r="H33" s="7">
        <f>[2]truck_flow!D32</f>
        <v>17.446124000000001</v>
      </c>
      <c r="J33" s="5">
        <f t="shared" si="0"/>
        <v>376</v>
      </c>
      <c r="K33" s="5">
        <v>12866</v>
      </c>
      <c r="L33" s="5" t="s">
        <v>35</v>
      </c>
      <c r="M33" s="2">
        <f>IFERROR(VLOOKUP(flow[[#This Row],[Hwycovid]],Table_socioeca8.sandag.org_abm2_tk[[hwycov_id]:[flow]],3,FALSE),VLOOKUP(flow[[#This Row],[Hwycovid]],Table2[[HWYCOV_ID]:[TruckCount]],4,FALSE))</f>
        <v>17.446124000000001</v>
      </c>
      <c r="N33"/>
      <c r="T33" s="5"/>
      <c r="U33" s="5"/>
    </row>
    <row r="34" spans="5:21" x14ac:dyDescent="0.25">
      <c r="E34" s="39">
        <f>[2]truck_flow!A33</f>
        <v>376</v>
      </c>
      <c r="F34" s="39">
        <f>[2]truck_flow!B33</f>
        <v>16275</v>
      </c>
      <c r="G34" s="39" t="str">
        <f>[2]truck_flow!C33</f>
        <v xml:space="preserve">TRUCK     </v>
      </c>
      <c r="H34" s="7">
        <f>[2]truck_flow!D33</f>
        <v>7012.2067489999999</v>
      </c>
      <c r="J34" s="5">
        <f t="shared" si="0"/>
        <v>376</v>
      </c>
      <c r="K34" s="5">
        <v>17717</v>
      </c>
      <c r="L34" s="5" t="s">
        <v>35</v>
      </c>
      <c r="M34" s="2">
        <f>IFERROR(VLOOKUP(flow[[#This Row],[Hwycovid]],Table_socioeca8.sandag.org_abm2_tk[[hwycov_id]:[flow]],3,FALSE),VLOOKUP(flow[[#This Row],[Hwycovid]],Table2[[HWYCOV_ID]:[TruckCount]],4,FALSE))</f>
        <v>775.41289800000004</v>
      </c>
      <c r="N34"/>
      <c r="T34" s="5"/>
      <c r="U34" s="5"/>
    </row>
    <row r="35" spans="5:21" x14ac:dyDescent="0.25">
      <c r="E35" s="39">
        <f>[2]truck_flow!A34</f>
        <v>376</v>
      </c>
      <c r="F35" s="39">
        <f>[2]truck_flow!B34</f>
        <v>51183</v>
      </c>
      <c r="G35" s="39" t="str">
        <f>[2]truck_flow!C34</f>
        <v xml:space="preserve">TRUCK     </v>
      </c>
      <c r="H35" s="7">
        <f>[2]truck_flow!D34</f>
        <v>703.45868199999995</v>
      </c>
      <c r="J35" s="5">
        <f t="shared" si="0"/>
        <v>376</v>
      </c>
      <c r="K35" s="5">
        <v>14025</v>
      </c>
      <c r="L35" s="5" t="s">
        <v>35</v>
      </c>
      <c r="M35" s="2">
        <f>IFERROR(VLOOKUP(flow[[#This Row],[Hwycovid]],Table_socioeca8.sandag.org_abm2_tk[[hwycov_id]:[flow]],3,FALSE),VLOOKUP(flow[[#This Row],[Hwycovid]],Table2[[HWYCOV_ID]:[TruckCount]],4,FALSE))</f>
        <v>197.34400299999999</v>
      </c>
      <c r="N35"/>
      <c r="T35" s="5"/>
      <c r="U35" s="5"/>
    </row>
    <row r="36" spans="5:21" x14ac:dyDescent="0.25">
      <c r="E36" s="39">
        <f>[2]truck_flow!A35</f>
        <v>376</v>
      </c>
      <c r="F36" s="39">
        <f>[2]truck_flow!B35</f>
        <v>27193</v>
      </c>
      <c r="G36" s="39" t="str">
        <f>[2]truck_flow!C35</f>
        <v xml:space="preserve">TRUCK     </v>
      </c>
      <c r="H36" s="7">
        <f>[2]truck_flow!D35</f>
        <v>1918.852067</v>
      </c>
      <c r="J36" s="5">
        <f t="shared" si="0"/>
        <v>376</v>
      </c>
      <c r="K36" s="5">
        <v>14022</v>
      </c>
      <c r="L36" s="5" t="s">
        <v>35</v>
      </c>
      <c r="M36" s="2">
        <f>IFERROR(VLOOKUP(flow[[#This Row],[Hwycovid]],Table_socioeca8.sandag.org_abm2_tk[[hwycov_id]:[flow]],3,FALSE),VLOOKUP(flow[[#This Row],[Hwycovid]],Table2[[HWYCOV_ID]:[TruckCount]],4,FALSE))</f>
        <v>197.590507</v>
      </c>
      <c r="N36"/>
      <c r="T36" s="5"/>
      <c r="U36" s="5"/>
    </row>
    <row r="37" spans="5:21" x14ac:dyDescent="0.25">
      <c r="E37" s="39">
        <f>[2]truck_flow!A36</f>
        <v>376</v>
      </c>
      <c r="F37" s="39">
        <f>[2]truck_flow!B36</f>
        <v>29183</v>
      </c>
      <c r="G37" s="39" t="str">
        <f>[2]truck_flow!C36</f>
        <v xml:space="preserve">TRUCK     </v>
      </c>
      <c r="H37" s="7">
        <f>[2]truck_flow!D36</f>
        <v>5164.333705</v>
      </c>
      <c r="J37" s="39">
        <f t="shared" si="0"/>
        <v>376</v>
      </c>
      <c r="K37" s="39">
        <v>7821</v>
      </c>
      <c r="L37" s="39" t="s">
        <v>35</v>
      </c>
      <c r="M37" s="7">
        <f>IFERROR(VLOOKUP(flow[[#This Row],[Hwycovid]],Table_socioeca8.sandag.org_abm2_tk[[hwycov_id]:[flow]],3,FALSE),VLOOKUP(flow[[#This Row],[Hwycovid]],Table2[[HWYCOV_ID]:[TruckCount]],4,FALSE))</f>
        <v>381</v>
      </c>
      <c r="N37"/>
      <c r="T37" s="5"/>
      <c r="U37" s="5"/>
    </row>
    <row r="38" spans="5:21" x14ac:dyDescent="0.25">
      <c r="J38" s="5">
        <f t="shared" si="0"/>
        <v>376</v>
      </c>
      <c r="K38" s="5">
        <v>47403</v>
      </c>
      <c r="L38" s="5" t="s">
        <v>35</v>
      </c>
      <c r="M38" s="2">
        <f>IFERROR(VLOOKUP(flow[[#This Row],[Hwycovid]],Table_socioeca8.sandag.org_abm2_tk[[hwycov_id]:[flow]],3,FALSE),VLOOKUP(flow[[#This Row],[Hwycovid]],Table2[[HWYCOV_ID]:[TruckCount]],4,FALSE))</f>
        <v>0</v>
      </c>
      <c r="N38"/>
      <c r="T38" s="5"/>
      <c r="U38" s="5"/>
    </row>
    <row r="39" spans="5:21" x14ac:dyDescent="0.25">
      <c r="J39"/>
      <c r="K39" s="5"/>
      <c r="L39" s="5"/>
      <c r="N39"/>
    </row>
    <row r="40" spans="5:21" x14ac:dyDescent="0.25">
      <c r="J40"/>
      <c r="K40" s="5"/>
      <c r="L40" s="5"/>
      <c r="N40"/>
    </row>
    <row r="41" spans="5:21" x14ac:dyDescent="0.25">
      <c r="J41"/>
      <c r="K41" s="5"/>
      <c r="L41" s="5"/>
      <c r="N41"/>
    </row>
    <row r="42" spans="5:21" x14ac:dyDescent="0.25">
      <c r="J42"/>
      <c r="K42" s="5"/>
      <c r="L42" s="5"/>
      <c r="N42"/>
    </row>
    <row r="43" spans="5:21" x14ac:dyDescent="0.25">
      <c r="J43"/>
      <c r="K43" s="5"/>
      <c r="L43" s="5"/>
      <c r="N43"/>
    </row>
    <row r="44" spans="5:21" x14ac:dyDescent="0.25">
      <c r="J44"/>
      <c r="K44" s="5"/>
      <c r="L44" s="5"/>
      <c r="N44"/>
    </row>
    <row r="45" spans="5:21" x14ac:dyDescent="0.25">
      <c r="J45"/>
      <c r="K45" s="5"/>
      <c r="L45" s="5"/>
      <c r="N45"/>
    </row>
    <row r="46" spans="5:21" x14ac:dyDescent="0.25">
      <c r="J46"/>
      <c r="K46" s="5"/>
      <c r="L46" s="5"/>
      <c r="N46"/>
    </row>
    <row r="47" spans="5:21" x14ac:dyDescent="0.25">
      <c r="J47"/>
      <c r="K47" s="5"/>
      <c r="L47" s="5"/>
      <c r="N47"/>
    </row>
    <row r="48" spans="5:21" x14ac:dyDescent="0.25">
      <c r="J48"/>
      <c r="K48" s="5"/>
      <c r="L48" s="5"/>
      <c r="N48"/>
    </row>
    <row r="49" spans="10:14" x14ac:dyDescent="0.25">
      <c r="J49"/>
      <c r="K49" s="5"/>
      <c r="L49" s="5"/>
      <c r="N49"/>
    </row>
    <row r="50" spans="10:14" x14ac:dyDescent="0.25">
      <c r="J50"/>
      <c r="K50" s="5"/>
      <c r="L50" s="5"/>
      <c r="N50"/>
    </row>
    <row r="51" spans="10:14" x14ac:dyDescent="0.25">
      <c r="J51"/>
      <c r="K51" s="5"/>
      <c r="L51" s="5"/>
      <c r="N51"/>
    </row>
    <row r="52" spans="10:14" x14ac:dyDescent="0.25">
      <c r="J52"/>
      <c r="K52" s="5"/>
      <c r="L52" s="5"/>
      <c r="N52"/>
    </row>
    <row r="53" spans="10:14" x14ac:dyDescent="0.25">
      <c r="J53"/>
      <c r="K53" s="5"/>
      <c r="L53" s="5"/>
      <c r="N53"/>
    </row>
    <row r="54" spans="10:14" x14ac:dyDescent="0.25">
      <c r="J54"/>
      <c r="K54" s="5"/>
      <c r="L54" s="5"/>
      <c r="N54"/>
    </row>
    <row r="55" spans="10:14" x14ac:dyDescent="0.25">
      <c r="J55"/>
      <c r="K55" s="5"/>
      <c r="L55" s="5"/>
      <c r="N55"/>
    </row>
    <row r="56" spans="10:14" x14ac:dyDescent="0.25">
      <c r="J56"/>
      <c r="K56" s="5"/>
      <c r="L56" s="5"/>
      <c r="N56"/>
    </row>
    <row r="57" spans="10:14" x14ac:dyDescent="0.25">
      <c r="J57"/>
      <c r="K57" s="5"/>
      <c r="L57" s="5"/>
      <c r="N57"/>
    </row>
    <row r="58" spans="10:14" x14ac:dyDescent="0.25">
      <c r="J58"/>
      <c r="K58" s="5"/>
      <c r="L58" s="5"/>
      <c r="N58"/>
    </row>
    <row r="59" spans="10:14" x14ac:dyDescent="0.25">
      <c r="J59"/>
      <c r="K59" s="5"/>
      <c r="L59" s="5"/>
      <c r="N59"/>
    </row>
    <row r="60" spans="10:14" x14ac:dyDescent="0.25">
      <c r="J60"/>
      <c r="K60" s="5"/>
      <c r="L60" s="5"/>
      <c r="N60"/>
    </row>
    <row r="61" spans="10:14" x14ac:dyDescent="0.25">
      <c r="J61"/>
      <c r="K61" s="5"/>
      <c r="L61" s="5"/>
      <c r="N61"/>
    </row>
    <row r="62" spans="10:14" x14ac:dyDescent="0.25">
      <c r="J62"/>
      <c r="K62" s="5"/>
      <c r="L62" s="5"/>
      <c r="N62"/>
    </row>
    <row r="63" spans="10:14" x14ac:dyDescent="0.25">
      <c r="J63"/>
      <c r="K63" s="5"/>
      <c r="L63" s="5"/>
      <c r="N63"/>
    </row>
    <row r="64" spans="10:14" x14ac:dyDescent="0.25">
      <c r="J64"/>
      <c r="K64" s="5"/>
      <c r="L64" s="5"/>
      <c r="N64"/>
    </row>
    <row r="65" spans="10:14" x14ac:dyDescent="0.25">
      <c r="J65"/>
      <c r="K65" s="5"/>
      <c r="L65" s="5"/>
      <c r="N65"/>
    </row>
    <row r="66" spans="10:14" x14ac:dyDescent="0.25">
      <c r="J66"/>
      <c r="K66" s="5"/>
      <c r="L66" s="5"/>
      <c r="N66"/>
    </row>
    <row r="67" spans="10:14" x14ac:dyDescent="0.25">
      <c r="J67"/>
      <c r="K67" s="5"/>
      <c r="L67" s="5"/>
      <c r="N67"/>
    </row>
    <row r="68" spans="10:14" x14ac:dyDescent="0.25">
      <c r="J68"/>
      <c r="K68" s="5"/>
      <c r="L68" s="5"/>
      <c r="N68"/>
    </row>
    <row r="69" spans="10:14" x14ac:dyDescent="0.25">
      <c r="J69"/>
      <c r="K69" s="5"/>
      <c r="L69" s="5"/>
      <c r="N69"/>
    </row>
    <row r="70" spans="10:14" x14ac:dyDescent="0.25">
      <c r="J70"/>
      <c r="K70" s="5"/>
      <c r="L70" s="5"/>
      <c r="N70"/>
    </row>
    <row r="71" spans="10:14" x14ac:dyDescent="0.25">
      <c r="J71"/>
      <c r="K71" s="5"/>
      <c r="L71" s="5"/>
      <c r="N71"/>
    </row>
    <row r="72" spans="10:14" x14ac:dyDescent="0.25">
      <c r="J72"/>
      <c r="K72" s="5"/>
      <c r="L72" s="5"/>
      <c r="N72"/>
    </row>
    <row r="73" spans="10:14" x14ac:dyDescent="0.25">
      <c r="J73"/>
      <c r="K73" s="5"/>
      <c r="L73" s="5"/>
      <c r="N73"/>
    </row>
    <row r="74" spans="10:14" x14ac:dyDescent="0.25">
      <c r="J74"/>
      <c r="K74" s="5"/>
      <c r="L74" s="5"/>
      <c r="N74"/>
    </row>
    <row r="75" spans="10:14" x14ac:dyDescent="0.25">
      <c r="J75"/>
      <c r="K75" s="5"/>
      <c r="L75" s="5"/>
      <c r="N75"/>
    </row>
    <row r="76" spans="10:14" x14ac:dyDescent="0.25">
      <c r="J76"/>
      <c r="K76" s="5"/>
      <c r="L76" s="5"/>
      <c r="N76"/>
    </row>
    <row r="77" spans="10:14" x14ac:dyDescent="0.25">
      <c r="J77"/>
      <c r="K77" s="5"/>
      <c r="L77" s="5"/>
      <c r="N77"/>
    </row>
    <row r="78" spans="10:14" x14ac:dyDescent="0.25">
      <c r="J78"/>
      <c r="K78" s="5"/>
      <c r="L78" s="5"/>
      <c r="N78"/>
    </row>
    <row r="79" spans="10:14" x14ac:dyDescent="0.25">
      <c r="J79"/>
      <c r="K79" s="5"/>
      <c r="L79" s="5"/>
      <c r="N79"/>
    </row>
    <row r="80" spans="10:14" x14ac:dyDescent="0.25">
      <c r="J80"/>
      <c r="K80" s="5"/>
      <c r="L80" s="5"/>
      <c r="N80"/>
    </row>
    <row r="81" spans="10:14" x14ac:dyDescent="0.25">
      <c r="J81"/>
      <c r="K81" s="5"/>
      <c r="L81" s="5"/>
      <c r="N81"/>
    </row>
    <row r="82" spans="10:14" x14ac:dyDescent="0.25">
      <c r="J82"/>
      <c r="K82" s="5"/>
      <c r="L82" s="5"/>
      <c r="N82"/>
    </row>
    <row r="83" spans="10:14" x14ac:dyDescent="0.25">
      <c r="J83"/>
      <c r="K83" s="5"/>
      <c r="L83" s="5"/>
      <c r="N83"/>
    </row>
    <row r="84" spans="10:14" x14ac:dyDescent="0.25">
      <c r="J84"/>
      <c r="K84" s="5"/>
      <c r="L84" s="5"/>
      <c r="N84"/>
    </row>
    <row r="85" spans="10:14" x14ac:dyDescent="0.25">
      <c r="J85"/>
      <c r="K85" s="5"/>
      <c r="L85" s="5"/>
      <c r="N85"/>
    </row>
    <row r="86" spans="10:14" x14ac:dyDescent="0.25">
      <c r="J86"/>
      <c r="K86" s="5"/>
      <c r="L86" s="5"/>
      <c r="N86"/>
    </row>
    <row r="87" spans="10:14" x14ac:dyDescent="0.25">
      <c r="J87"/>
      <c r="K87" s="5"/>
      <c r="L87" s="5"/>
      <c r="N87"/>
    </row>
    <row r="88" spans="10:14" x14ac:dyDescent="0.25">
      <c r="J88"/>
      <c r="K88" s="5"/>
      <c r="L88" s="5"/>
      <c r="N88"/>
    </row>
    <row r="89" spans="10:14" x14ac:dyDescent="0.25">
      <c r="J89"/>
      <c r="K89" s="5"/>
      <c r="L89" s="5"/>
      <c r="N89"/>
    </row>
    <row r="90" spans="10:14" x14ac:dyDescent="0.25">
      <c r="J90"/>
      <c r="K90" s="5"/>
      <c r="L90" s="5"/>
      <c r="N90"/>
    </row>
    <row r="91" spans="10:14" x14ac:dyDescent="0.25">
      <c r="J91"/>
      <c r="K91" s="5"/>
      <c r="L91" s="5"/>
      <c r="N91"/>
    </row>
    <row r="92" spans="10:14" x14ac:dyDescent="0.25">
      <c r="J92"/>
      <c r="K92" s="5"/>
      <c r="L92" s="5"/>
      <c r="N92"/>
    </row>
    <row r="93" spans="10:14" x14ac:dyDescent="0.25">
      <c r="J93"/>
      <c r="K93" s="5"/>
      <c r="L93" s="5"/>
      <c r="N93"/>
    </row>
    <row r="94" spans="10:14" x14ac:dyDescent="0.25">
      <c r="J94"/>
      <c r="K94" s="5"/>
      <c r="L94" s="5"/>
      <c r="N94"/>
    </row>
    <row r="95" spans="10:14" x14ac:dyDescent="0.25">
      <c r="J95"/>
      <c r="K95" s="5"/>
      <c r="L95" s="5"/>
      <c r="N95"/>
    </row>
    <row r="96" spans="10:14" x14ac:dyDescent="0.25">
      <c r="J96"/>
      <c r="K96" s="5"/>
      <c r="L96" s="5"/>
      <c r="N96"/>
    </row>
    <row r="97" spans="10:14" x14ac:dyDescent="0.25">
      <c r="J97"/>
      <c r="K97" s="5"/>
      <c r="L97" s="5"/>
      <c r="N97"/>
    </row>
    <row r="98" spans="10:14" x14ac:dyDescent="0.25">
      <c r="J98"/>
      <c r="K98" s="5"/>
      <c r="L98" s="5"/>
      <c r="N98"/>
    </row>
    <row r="99" spans="10:14" x14ac:dyDescent="0.25">
      <c r="J99"/>
      <c r="K99" s="5"/>
      <c r="L99" s="5"/>
      <c r="N99"/>
    </row>
    <row r="100" spans="10:14" x14ac:dyDescent="0.25">
      <c r="J100"/>
      <c r="K100" s="5"/>
      <c r="L100" s="5"/>
      <c r="N100"/>
    </row>
    <row r="101" spans="10:14" x14ac:dyDescent="0.25">
      <c r="J101"/>
      <c r="K101" s="5"/>
      <c r="L101" s="5"/>
      <c r="N101"/>
    </row>
    <row r="102" spans="10:14" x14ac:dyDescent="0.25">
      <c r="J102"/>
      <c r="K102" s="5"/>
      <c r="L102" s="5"/>
      <c r="N102"/>
    </row>
    <row r="103" spans="10:14" x14ac:dyDescent="0.25">
      <c r="J103"/>
      <c r="K103" s="5"/>
      <c r="L103" s="5"/>
      <c r="N103"/>
    </row>
    <row r="104" spans="10:14" x14ac:dyDescent="0.25">
      <c r="J104"/>
      <c r="K104" s="5"/>
      <c r="L104" s="5"/>
      <c r="N104"/>
    </row>
    <row r="105" spans="10:14" x14ac:dyDescent="0.25">
      <c r="J105"/>
      <c r="K105" s="5"/>
      <c r="L105" s="5"/>
      <c r="N105"/>
    </row>
    <row r="106" spans="10:14" x14ac:dyDescent="0.25">
      <c r="J106"/>
      <c r="K106" s="5"/>
      <c r="L106" s="5"/>
      <c r="N106"/>
    </row>
    <row r="107" spans="10:14" x14ac:dyDescent="0.25">
      <c r="J107"/>
      <c r="K107" s="5"/>
      <c r="L107" s="5"/>
      <c r="N107"/>
    </row>
    <row r="108" spans="10:14" x14ac:dyDescent="0.25">
      <c r="J108"/>
      <c r="K108" s="5"/>
      <c r="L108" s="5"/>
      <c r="N108"/>
    </row>
    <row r="109" spans="10:14" x14ac:dyDescent="0.25">
      <c r="J109"/>
      <c r="K109" s="5"/>
      <c r="L109" s="5"/>
      <c r="N109"/>
    </row>
    <row r="110" spans="10:14" x14ac:dyDescent="0.25">
      <c r="J110"/>
      <c r="K110" s="5"/>
      <c r="L110" s="5"/>
      <c r="N110"/>
    </row>
    <row r="111" spans="10:14" x14ac:dyDescent="0.25">
      <c r="J111"/>
      <c r="K111" s="5"/>
      <c r="L111" s="5"/>
      <c r="N111"/>
    </row>
    <row r="112" spans="10:14" x14ac:dyDescent="0.25">
      <c r="J112"/>
      <c r="K112" s="5"/>
      <c r="L112" s="5"/>
      <c r="N112"/>
    </row>
    <row r="113" spans="10:14" x14ac:dyDescent="0.25">
      <c r="J113"/>
      <c r="K113" s="5"/>
      <c r="L113" s="5"/>
      <c r="N113"/>
    </row>
    <row r="114" spans="10:14" x14ac:dyDescent="0.25">
      <c r="J114"/>
      <c r="K114" s="5"/>
      <c r="L114" s="5"/>
      <c r="N114"/>
    </row>
    <row r="115" spans="10:14" x14ac:dyDescent="0.25">
      <c r="J115"/>
      <c r="K115" s="5"/>
      <c r="L115" s="5"/>
      <c r="N115"/>
    </row>
    <row r="116" spans="10:14" x14ac:dyDescent="0.25">
      <c r="J116"/>
      <c r="K116" s="5"/>
      <c r="L116" s="5"/>
      <c r="N116"/>
    </row>
    <row r="117" spans="10:14" x14ac:dyDescent="0.25">
      <c r="J117"/>
      <c r="K117" s="5"/>
      <c r="L117" s="5"/>
      <c r="N117"/>
    </row>
    <row r="118" spans="10:14" x14ac:dyDescent="0.25">
      <c r="J118"/>
      <c r="K118" s="5"/>
      <c r="L118" s="5"/>
      <c r="N118"/>
    </row>
    <row r="119" spans="10:14" x14ac:dyDescent="0.25">
      <c r="J119"/>
      <c r="K119" s="5"/>
      <c r="L119" s="5"/>
      <c r="N119"/>
    </row>
    <row r="120" spans="10:14" x14ac:dyDescent="0.25">
      <c r="J120"/>
      <c r="K120" s="5"/>
      <c r="L120" s="5"/>
      <c r="N120"/>
    </row>
    <row r="121" spans="10:14" x14ac:dyDescent="0.25">
      <c r="J121"/>
      <c r="K121" s="5"/>
      <c r="L121" s="5"/>
      <c r="N121"/>
    </row>
    <row r="122" spans="10:14" x14ac:dyDescent="0.25">
      <c r="J122"/>
      <c r="K122" s="5"/>
      <c r="L122" s="5"/>
      <c r="N122"/>
    </row>
    <row r="123" spans="10:14" x14ac:dyDescent="0.25">
      <c r="J123"/>
      <c r="K123" s="5"/>
      <c r="L123" s="5"/>
      <c r="N123"/>
    </row>
    <row r="124" spans="10:14" x14ac:dyDescent="0.25">
      <c r="J124"/>
      <c r="K124" s="5"/>
      <c r="L124" s="5"/>
      <c r="N124"/>
    </row>
    <row r="125" spans="10:14" x14ac:dyDescent="0.25">
      <c r="J125"/>
      <c r="K125" s="5"/>
      <c r="L125" s="5"/>
      <c r="N125"/>
    </row>
    <row r="126" spans="10:14" x14ac:dyDescent="0.25">
      <c r="J126"/>
      <c r="K126" s="5"/>
      <c r="L126" s="5"/>
      <c r="N126"/>
    </row>
    <row r="127" spans="10:14" x14ac:dyDescent="0.25">
      <c r="J127"/>
      <c r="K127" s="5"/>
      <c r="L127" s="5"/>
      <c r="N127"/>
    </row>
    <row r="128" spans="10:14" x14ac:dyDescent="0.25">
      <c r="J128"/>
      <c r="K128" s="5"/>
      <c r="L128" s="5"/>
      <c r="N128"/>
    </row>
    <row r="129" spans="10:14" x14ac:dyDescent="0.25">
      <c r="J129"/>
      <c r="K129" s="5"/>
      <c r="L129" s="5"/>
      <c r="N129"/>
    </row>
    <row r="130" spans="10:14" x14ac:dyDescent="0.25">
      <c r="J130"/>
      <c r="K130" s="5"/>
      <c r="L130" s="5"/>
      <c r="N130"/>
    </row>
    <row r="131" spans="10:14" x14ac:dyDescent="0.25">
      <c r="J131"/>
      <c r="K131" s="5"/>
      <c r="L131" s="5"/>
      <c r="N131"/>
    </row>
    <row r="132" spans="10:14" x14ac:dyDescent="0.25">
      <c r="J132"/>
      <c r="K132" s="5"/>
      <c r="L132" s="5"/>
      <c r="N132"/>
    </row>
    <row r="133" spans="10:14" x14ac:dyDescent="0.25">
      <c r="J133"/>
      <c r="K133" s="5"/>
      <c r="L133" s="5"/>
      <c r="N133"/>
    </row>
    <row r="134" spans="10:14" x14ac:dyDescent="0.25">
      <c r="J134"/>
      <c r="K134" s="5"/>
      <c r="L134" s="5"/>
      <c r="N134"/>
    </row>
    <row r="135" spans="10:14" x14ac:dyDescent="0.25">
      <c r="J135"/>
      <c r="K135" s="5"/>
      <c r="L135" s="5"/>
      <c r="N135"/>
    </row>
    <row r="136" spans="10:14" x14ac:dyDescent="0.25">
      <c r="J136"/>
      <c r="K136" s="5"/>
      <c r="L136" s="5"/>
      <c r="N136"/>
    </row>
    <row r="137" spans="10:14" x14ac:dyDescent="0.25">
      <c r="J137"/>
      <c r="K137" s="5"/>
      <c r="L137" s="5"/>
      <c r="N137"/>
    </row>
    <row r="138" spans="10:14" x14ac:dyDescent="0.25">
      <c r="J138"/>
      <c r="K138" s="5"/>
      <c r="L138" s="5"/>
      <c r="N138"/>
    </row>
  </sheetData>
  <sortState xmlns:xlrd2="http://schemas.microsoft.com/office/spreadsheetml/2017/richdata2" ref="P3:S38">
    <sortCondition ref="Q3:Q38"/>
  </sortState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4" tint="0.39997558519241921"/>
  </sheetPr>
  <dimension ref="A1:Y39"/>
  <sheetViews>
    <sheetView showGridLines="0" zoomScaleNormal="100" workbookViewId="0">
      <selection activeCell="H32" sqref="H32"/>
    </sheetView>
  </sheetViews>
  <sheetFormatPr defaultRowHeight="16.5" customHeight="1" x14ac:dyDescent="0.25"/>
  <cols>
    <col min="2" max="2" width="9.140625" style="5"/>
    <col min="3" max="3" width="33.5703125" customWidth="1"/>
    <col min="4" max="4" width="20.42578125" customWidth="1"/>
    <col min="5" max="5" width="17" style="2" customWidth="1"/>
    <col min="6" max="6" width="13.5703125" style="28" customWidth="1"/>
  </cols>
  <sheetData>
    <row r="1" spans="1:25" s="5" customFormat="1" ht="16.5" customHeight="1" x14ac:dyDescent="0.25">
      <c r="E1" s="2"/>
      <c r="F1" s="28"/>
    </row>
    <row r="2" spans="1:25" s="5" customFormat="1" ht="16.5" customHeight="1" x14ac:dyDescent="0.25">
      <c r="E2" s="2"/>
      <c r="F2" s="28"/>
    </row>
    <row r="3" spans="1:25" ht="16.5" customHeight="1" x14ac:dyDescent="0.25">
      <c r="A3" t="s">
        <v>41</v>
      </c>
      <c r="B3" s="5" t="s">
        <v>2</v>
      </c>
      <c r="C3" t="s">
        <v>40</v>
      </c>
      <c r="D3" t="s">
        <v>81</v>
      </c>
      <c r="E3" s="2" t="s">
        <v>82</v>
      </c>
      <c r="F3" s="28" t="s">
        <v>31</v>
      </c>
      <c r="X3" s="44">
        <v>0</v>
      </c>
      <c r="Y3" s="44">
        <f>X3</f>
        <v>0</v>
      </c>
    </row>
    <row r="4" spans="1:25" ht="16.5" customHeight="1" x14ac:dyDescent="0.25">
      <c r="A4">
        <v>16275</v>
      </c>
      <c r="B4" s="5">
        <v>5</v>
      </c>
      <c r="C4" t="s">
        <v>47</v>
      </c>
      <c r="D4" s="2">
        <v>5087</v>
      </c>
      <c r="E4" s="2">
        <f>IFERROR(VLOOKUP(Table2[[#This Row],[HWYCOV_ID]],flow[[Hwycovid]:[flow]],3,FALSE),"")</f>
        <v>7012.2067489999999</v>
      </c>
      <c r="F4" s="28">
        <f>E4/D4-1</f>
        <v>0.37845621171613919</v>
      </c>
      <c r="X4" s="50">
        <f>ROUND(MAX(MAX(E4:E27),MAX(D4:D27)),-3)</f>
        <v>8000</v>
      </c>
      <c r="Y4" s="44">
        <f>X4</f>
        <v>8000</v>
      </c>
    </row>
    <row r="5" spans="1:25" ht="16.5" customHeight="1" x14ac:dyDescent="0.25">
      <c r="A5">
        <v>16272</v>
      </c>
      <c r="B5" s="5">
        <v>5</v>
      </c>
      <c r="C5" t="s">
        <v>47</v>
      </c>
      <c r="D5" s="2">
        <v>5087</v>
      </c>
      <c r="E5" s="2">
        <f>IFERROR(VLOOKUP(Table2[[#This Row],[HWYCOV_ID]],flow[[Hwycovid]:[flow]],3,FALSE),"")</f>
        <v>7672.7985209999997</v>
      </c>
      <c r="F5" s="28">
        <f t="shared" ref="F5:F27" si="0">E5/D5-1</f>
        <v>0.50831502280322383</v>
      </c>
    </row>
    <row r="6" spans="1:25" ht="16.5" customHeight="1" x14ac:dyDescent="0.25">
      <c r="A6">
        <v>28269</v>
      </c>
      <c r="B6" s="5">
        <v>8</v>
      </c>
      <c r="C6" t="s">
        <v>50</v>
      </c>
      <c r="D6" s="2">
        <v>1025</v>
      </c>
      <c r="E6" s="2">
        <f>IFERROR(VLOOKUP(Table2[[#This Row],[HWYCOV_ID]],flow[[Hwycovid]:[flow]],3,FALSE),"")</f>
        <v>1056.8010469999999</v>
      </c>
      <c r="F6" s="28">
        <f t="shared" si="0"/>
        <v>3.1025411707316985E-2</v>
      </c>
    </row>
    <row r="7" spans="1:25" ht="16.5" customHeight="1" x14ac:dyDescent="0.25">
      <c r="A7">
        <v>28270</v>
      </c>
      <c r="B7" s="5">
        <v>8</v>
      </c>
      <c r="C7" t="s">
        <v>50</v>
      </c>
      <c r="D7" s="2">
        <v>1025</v>
      </c>
      <c r="E7" s="2">
        <f>IFERROR(VLOOKUP(Table2[[#This Row],[HWYCOV_ID]],flow[[Hwycovid]:[flow]],3,FALSE),"")</f>
        <v>912.77690600000005</v>
      </c>
      <c r="F7" s="28">
        <f t="shared" si="0"/>
        <v>-0.10948594536585365</v>
      </c>
    </row>
    <row r="8" spans="1:25" ht="16.5" customHeight="1" x14ac:dyDescent="0.25">
      <c r="A8">
        <v>28197</v>
      </c>
      <c r="B8" s="5">
        <v>8</v>
      </c>
      <c r="C8" t="s">
        <v>52</v>
      </c>
      <c r="D8" s="2">
        <v>5519.5</v>
      </c>
      <c r="E8" s="2">
        <f>IFERROR(VLOOKUP(Table2[[#This Row],[HWYCOV_ID]],flow[[Hwycovid]:[flow]],3,FALSE),"")</f>
        <v>2200.0946840000001</v>
      </c>
      <c r="F8" s="28">
        <f t="shared" si="0"/>
        <v>-0.60139601703052814</v>
      </c>
    </row>
    <row r="9" spans="1:25" ht="16.5" customHeight="1" x14ac:dyDescent="0.25">
      <c r="A9">
        <v>28199</v>
      </c>
      <c r="B9" s="5">
        <v>8</v>
      </c>
      <c r="C9" t="s">
        <v>52</v>
      </c>
      <c r="D9" s="2">
        <v>5519.5</v>
      </c>
      <c r="E9" s="2">
        <f>IFERROR(VLOOKUP(Table2[[#This Row],[HWYCOV_ID]],flow[[Hwycovid]:[flow]],3,FALSE),"")</f>
        <v>2312.3183549999999</v>
      </c>
      <c r="F9" s="28">
        <f t="shared" si="0"/>
        <v>-0.58106380016305825</v>
      </c>
    </row>
    <row r="10" spans="1:25" ht="16.5" customHeight="1" x14ac:dyDescent="0.25">
      <c r="A10">
        <v>30981</v>
      </c>
      <c r="B10" s="5">
        <v>11</v>
      </c>
      <c r="C10" t="s">
        <v>54</v>
      </c>
      <c r="D10" s="2">
        <v>833</v>
      </c>
      <c r="E10" s="2">
        <f>IFERROR(VLOOKUP(Table2[[#This Row],[HWYCOV_ID]],flow[[Hwycovid]:[flow]],3,FALSE),"")</f>
        <v>1513.497181</v>
      </c>
      <c r="F10" s="28">
        <f t="shared" si="0"/>
        <v>0.81692338655462171</v>
      </c>
    </row>
    <row r="11" spans="1:25" ht="16.5" customHeight="1" x14ac:dyDescent="0.25">
      <c r="A11">
        <v>29146</v>
      </c>
      <c r="B11" s="5">
        <v>11</v>
      </c>
      <c r="C11" t="s">
        <v>54</v>
      </c>
      <c r="D11" s="2">
        <v>833</v>
      </c>
      <c r="E11" s="2">
        <f>IFERROR(VLOOKUP(Table2[[#This Row],[HWYCOV_ID]],flow[[Hwycovid]:[flow]],3,FALSE),"")</f>
        <v>256.22863000000001</v>
      </c>
      <c r="F11" s="28">
        <f t="shared" si="0"/>
        <v>-0.69240260504201678</v>
      </c>
    </row>
    <row r="12" spans="1:25" ht="16.5" customHeight="1" x14ac:dyDescent="0.25">
      <c r="A12">
        <v>15196</v>
      </c>
      <c r="B12" s="5">
        <v>15</v>
      </c>
      <c r="C12" t="s">
        <v>58</v>
      </c>
      <c r="D12" s="2">
        <v>4403</v>
      </c>
      <c r="E12" s="2">
        <f>IFERROR(VLOOKUP(Table2[[#This Row],[HWYCOV_ID]],flow[[Hwycovid]:[flow]],3,FALSE),"")</f>
        <v>4749.2903029999998</v>
      </c>
      <c r="F12" s="28">
        <f t="shared" si="0"/>
        <v>7.8648717465364504E-2</v>
      </c>
    </row>
    <row r="13" spans="1:25" ht="16.5" customHeight="1" x14ac:dyDescent="0.25">
      <c r="A13">
        <v>15230</v>
      </c>
      <c r="B13" s="5">
        <v>15</v>
      </c>
      <c r="C13" t="s">
        <v>58</v>
      </c>
      <c r="D13" s="2">
        <v>4403</v>
      </c>
      <c r="E13" s="2">
        <f>IFERROR(VLOOKUP(Table2[[#This Row],[HWYCOV_ID]],flow[[Hwycovid]:[flow]],3,FALSE),"")</f>
        <v>4234.7333570000001</v>
      </c>
      <c r="F13" s="28">
        <f t="shared" si="0"/>
        <v>-3.8216362253009284E-2</v>
      </c>
    </row>
    <row r="14" spans="1:25" ht="16.5" customHeight="1" x14ac:dyDescent="0.25">
      <c r="A14">
        <v>27193</v>
      </c>
      <c r="B14" s="5">
        <v>15</v>
      </c>
      <c r="C14" t="s">
        <v>61</v>
      </c>
      <c r="D14" s="2">
        <v>5999</v>
      </c>
      <c r="E14" s="2">
        <f>IFERROR(VLOOKUP(Table2[[#This Row],[HWYCOV_ID]],flow[[Hwycovid]:[flow]],3,FALSE),"")</f>
        <v>1918.852067</v>
      </c>
      <c r="F14" s="28">
        <f t="shared" si="0"/>
        <v>-0.68013801183530587</v>
      </c>
    </row>
    <row r="15" spans="1:25" ht="16.5" customHeight="1" x14ac:dyDescent="0.25">
      <c r="A15">
        <v>27194</v>
      </c>
      <c r="B15" s="5">
        <v>15</v>
      </c>
      <c r="C15" t="s">
        <v>61</v>
      </c>
      <c r="D15" s="2">
        <v>5999</v>
      </c>
      <c r="E15" s="2">
        <f>IFERROR(VLOOKUP(Table2[[#This Row],[HWYCOV_ID]],flow[[Hwycovid]:[flow]],3,FALSE),"")</f>
        <v>2210.2437100000002</v>
      </c>
      <c r="F15" s="28">
        <f t="shared" si="0"/>
        <v>-0.63156464244040667</v>
      </c>
    </row>
    <row r="16" spans="1:25" ht="16.5" customHeight="1" x14ac:dyDescent="0.25">
      <c r="A16">
        <v>28569</v>
      </c>
      <c r="B16" s="5">
        <v>15</v>
      </c>
      <c r="C16" t="s">
        <v>64</v>
      </c>
      <c r="D16" s="2">
        <v>3838</v>
      </c>
      <c r="E16" s="2">
        <f>IFERROR(VLOOKUP(Table2[[#This Row],[HWYCOV_ID]],flow[[Hwycovid]:[flow]],3,FALSE),"")</f>
        <v>2236.3294099999998</v>
      </c>
      <c r="F16" s="28">
        <f t="shared" si="0"/>
        <v>-0.41731906982803546</v>
      </c>
    </row>
    <row r="17" spans="1:6" ht="16.5" customHeight="1" x14ac:dyDescent="0.25">
      <c r="A17">
        <v>558</v>
      </c>
      <c r="B17" s="5">
        <v>15</v>
      </c>
      <c r="C17" t="s">
        <v>64</v>
      </c>
      <c r="D17" s="2">
        <v>3838</v>
      </c>
      <c r="E17" s="2">
        <f>IFERROR(VLOOKUP(Table2[[#This Row],[HWYCOV_ID]],flow[[Hwycovid]:[flow]],3,FALSE),"")</f>
        <v>1941.519239</v>
      </c>
      <c r="F17" s="28">
        <f t="shared" si="0"/>
        <v>-0.49413255888483587</v>
      </c>
    </row>
    <row r="18" spans="1:6" ht="16.5" customHeight="1" x14ac:dyDescent="0.25">
      <c r="A18">
        <v>13728</v>
      </c>
      <c r="B18" s="5">
        <v>67</v>
      </c>
      <c r="C18" t="s">
        <v>65</v>
      </c>
      <c r="D18" s="2">
        <v>1757</v>
      </c>
      <c r="E18" s="2">
        <f>IFERROR(VLOOKUP(Table2[[#This Row],[HWYCOV_ID]],flow[[Hwycovid]:[flow]],3,FALSE),"")</f>
        <v>883.93336099999999</v>
      </c>
      <c r="F18" s="28">
        <f t="shared" si="0"/>
        <v>-0.49690759191804212</v>
      </c>
    </row>
    <row r="19" spans="1:6" ht="16.5" customHeight="1" x14ac:dyDescent="0.25">
      <c r="A19">
        <v>51183</v>
      </c>
      <c r="B19" s="5">
        <v>76</v>
      </c>
      <c r="C19" t="s">
        <v>66</v>
      </c>
      <c r="D19" s="2">
        <v>1077.5</v>
      </c>
      <c r="E19" s="2">
        <f>IFERROR(VLOOKUP(Table2[[#This Row],[HWYCOV_ID]],flow[[Hwycovid]:[flow]],3,FALSE),"")</f>
        <v>703.45868199999995</v>
      </c>
      <c r="F19" s="28">
        <f t="shared" si="0"/>
        <v>-0.34713811415313234</v>
      </c>
    </row>
    <row r="20" spans="1:6" ht="16.5" customHeight="1" x14ac:dyDescent="0.25">
      <c r="A20">
        <v>51182</v>
      </c>
      <c r="B20" s="5">
        <v>76</v>
      </c>
      <c r="C20" t="s">
        <v>66</v>
      </c>
      <c r="D20" s="2">
        <v>1077.5</v>
      </c>
      <c r="E20" s="2">
        <f>IFERROR(VLOOKUP(Table2[[#This Row],[HWYCOV_ID]],flow[[Hwycovid]:[flow]],3,FALSE),"")</f>
        <v>713.17683099999999</v>
      </c>
      <c r="F20" s="28">
        <f t="shared" si="0"/>
        <v>-0.33811895034802786</v>
      </c>
    </row>
    <row r="21" spans="1:6" ht="16.5" customHeight="1" x14ac:dyDescent="0.25">
      <c r="A21">
        <v>51054</v>
      </c>
      <c r="B21" s="5">
        <v>76</v>
      </c>
      <c r="C21" t="s">
        <v>68</v>
      </c>
      <c r="D21" s="2">
        <v>922.5</v>
      </c>
      <c r="E21" s="2">
        <f>IFERROR(VLOOKUP(Table2[[#This Row],[HWYCOV_ID]],flow[[Hwycovid]:[flow]],3,FALSE),"")</f>
        <v>596.60029799999995</v>
      </c>
      <c r="F21" s="28">
        <f t="shared" si="0"/>
        <v>-0.3532788097560976</v>
      </c>
    </row>
    <row r="22" spans="1:6" ht="16.5" customHeight="1" x14ac:dyDescent="0.25">
      <c r="A22">
        <v>51053</v>
      </c>
      <c r="B22" s="5">
        <v>76</v>
      </c>
      <c r="C22" t="s">
        <v>68</v>
      </c>
      <c r="D22" s="2">
        <v>922.5</v>
      </c>
      <c r="E22" s="2">
        <f>IFERROR(VLOOKUP(Table2[[#This Row],[HWYCOV_ID]],flow[[Hwycovid]:[flow]],3,FALSE),"")</f>
        <v>627.91090799999995</v>
      </c>
      <c r="F22" s="28">
        <f t="shared" si="0"/>
        <v>-0.31933776910569112</v>
      </c>
    </row>
    <row r="23" spans="1:6" ht="16.5" customHeight="1" x14ac:dyDescent="0.25">
      <c r="A23">
        <v>29183</v>
      </c>
      <c r="B23" s="5">
        <v>78</v>
      </c>
      <c r="C23" t="s">
        <v>69</v>
      </c>
      <c r="D23" s="2">
        <v>2248.5</v>
      </c>
      <c r="E23" s="2">
        <f>IFERROR(VLOOKUP(Table2[[#This Row],[HWYCOV_ID]],flow[[Hwycovid]:[flow]],3,FALSE),"")</f>
        <v>5164.333705</v>
      </c>
      <c r="F23" s="28">
        <f t="shared" si="0"/>
        <v>1.2967906181899043</v>
      </c>
    </row>
    <row r="24" spans="1:6" ht="16.5" customHeight="1" x14ac:dyDescent="0.25">
      <c r="A24">
        <v>29182</v>
      </c>
      <c r="B24" s="5">
        <v>78</v>
      </c>
      <c r="C24" t="s">
        <v>69</v>
      </c>
      <c r="D24" s="2">
        <v>2248.5</v>
      </c>
      <c r="E24" s="2">
        <f>IFERROR(VLOOKUP(Table2[[#This Row],[HWYCOV_ID]],flow[[Hwycovid]:[flow]],3,FALSE),"")</f>
        <v>5340.6374040000001</v>
      </c>
      <c r="F24" s="28">
        <f t="shared" si="0"/>
        <v>1.3752000907271515</v>
      </c>
    </row>
    <row r="25" spans="1:6" ht="16.5" customHeight="1" x14ac:dyDescent="0.25">
      <c r="A25">
        <v>15317</v>
      </c>
      <c r="B25" s="5">
        <v>163</v>
      </c>
      <c r="C25" t="s">
        <v>71</v>
      </c>
      <c r="D25" s="2">
        <v>2255</v>
      </c>
      <c r="E25" s="2">
        <f>IFERROR(VLOOKUP(Table2[[#This Row],[HWYCOV_ID]],flow[[Hwycovid]:[flow]],3,FALSE),"")</f>
        <v>2335.9041350000002</v>
      </c>
      <c r="F25" s="28">
        <f t="shared" si="0"/>
        <v>3.5877665188470242E-2</v>
      </c>
    </row>
    <row r="26" spans="1:6" ht="16.5" customHeight="1" x14ac:dyDescent="0.25">
      <c r="A26">
        <v>16163</v>
      </c>
      <c r="B26" s="5">
        <v>163</v>
      </c>
      <c r="C26" t="s">
        <v>71</v>
      </c>
      <c r="D26" s="2">
        <v>2255</v>
      </c>
      <c r="E26" s="2">
        <f>IFERROR(VLOOKUP(Table2[[#This Row],[HWYCOV_ID]],flow[[Hwycovid]:[flow]],3,FALSE),"")</f>
        <v>3016.312246</v>
      </c>
      <c r="F26" s="28">
        <f t="shared" si="0"/>
        <v>0.33761075210643021</v>
      </c>
    </row>
    <row r="27" spans="1:6" ht="16.5" customHeight="1" x14ac:dyDescent="0.25">
      <c r="A27">
        <v>843</v>
      </c>
      <c r="B27" s="5">
        <v>805</v>
      </c>
      <c r="C27" t="s">
        <v>72</v>
      </c>
      <c r="D27" s="2">
        <v>4949.5</v>
      </c>
      <c r="E27" s="2">
        <f>IFERROR(VLOOKUP(Table2[[#This Row],[HWYCOV_ID]],flow[[Hwycovid]:[flow]],3,FALSE),"")</f>
        <v>6006.1468130000003</v>
      </c>
      <c r="F27" s="28">
        <f t="shared" si="0"/>
        <v>0.21348556682493181</v>
      </c>
    </row>
    <row r="28" spans="1:6" ht="16.5" customHeight="1" x14ac:dyDescent="0.25">
      <c r="A28">
        <v>702</v>
      </c>
      <c r="B28" s="5">
        <v>805</v>
      </c>
      <c r="C28" t="s">
        <v>72</v>
      </c>
      <c r="D28" s="2">
        <v>4949.5</v>
      </c>
      <c r="E28" s="2">
        <f>IFERROR(VLOOKUP(Table2[[#This Row],[HWYCOV_ID]],flow[[Hwycovid]:[flow]],3,FALSE),"")</f>
        <v>5409.1260560000001</v>
      </c>
      <c r="F28" s="28">
        <f t="shared" ref="F28:F38" si="1">E28/D28-1</f>
        <v>9.2863128800888983E-2</v>
      </c>
    </row>
    <row r="29" spans="1:6" ht="16.5" customHeight="1" x14ac:dyDescent="0.25">
      <c r="A29">
        <v>854</v>
      </c>
      <c r="B29" s="5">
        <v>805</v>
      </c>
      <c r="C29" t="s">
        <v>73</v>
      </c>
      <c r="D29" s="2">
        <v>3835</v>
      </c>
      <c r="E29" s="2">
        <f>IFERROR(VLOOKUP(Table2[[#This Row],[HWYCOV_ID]],flow[[Hwycovid]:[flow]],3,FALSE),"")</f>
        <v>5292.9423379999998</v>
      </c>
      <c r="F29" s="28">
        <f t="shared" si="1"/>
        <v>0.38016749361147317</v>
      </c>
    </row>
    <row r="30" spans="1:6" ht="16.5" customHeight="1" x14ac:dyDescent="0.25">
      <c r="A30">
        <v>688</v>
      </c>
      <c r="B30" s="5">
        <v>805</v>
      </c>
      <c r="C30" t="s">
        <v>73</v>
      </c>
      <c r="D30" s="2">
        <v>3835</v>
      </c>
      <c r="E30" s="2">
        <f>IFERROR(VLOOKUP(Table2[[#This Row],[HWYCOV_ID]],flow[[Hwycovid]:[flow]],3,FALSE),"")</f>
        <v>4463.2353739999999</v>
      </c>
      <c r="F30" s="28">
        <f t="shared" si="1"/>
        <v>0.16381626440677954</v>
      </c>
    </row>
    <row r="31" spans="1:6" ht="16.5" customHeight="1" x14ac:dyDescent="0.25">
      <c r="A31">
        <v>13992</v>
      </c>
      <c r="B31" s="5">
        <v>905</v>
      </c>
      <c r="C31" t="s">
        <v>74</v>
      </c>
      <c r="D31" s="2">
        <v>4696</v>
      </c>
      <c r="E31" s="2">
        <f>IFERROR(VLOOKUP(Table2[[#This Row],[HWYCOV_ID]],flow[[Hwycovid]:[flow]],3,FALSE),"")</f>
        <v>1957.194575</v>
      </c>
      <c r="F31" s="28">
        <f t="shared" si="1"/>
        <v>-0.58322091673764909</v>
      </c>
    </row>
    <row r="32" spans="1:6" ht="16.5" customHeight="1" x14ac:dyDescent="0.25">
      <c r="A32">
        <v>13994</v>
      </c>
      <c r="B32" s="5">
        <v>905</v>
      </c>
      <c r="C32" t="s">
        <v>74</v>
      </c>
      <c r="D32" s="2">
        <v>4696</v>
      </c>
      <c r="E32" s="2">
        <f>IFERROR(VLOOKUP(Table2[[#This Row],[HWYCOV_ID]],flow[[Hwycovid]:[flow]],3,FALSE),"")</f>
        <v>2305.6011400000002</v>
      </c>
      <c r="F32" s="28">
        <f t="shared" si="1"/>
        <v>-0.5090287180579216</v>
      </c>
    </row>
    <row r="33" spans="1:6" ht="16.5" customHeight="1" x14ac:dyDescent="0.25">
      <c r="A33">
        <v>40310</v>
      </c>
      <c r="B33" s="5">
        <v>905</v>
      </c>
      <c r="C33" t="s">
        <v>76</v>
      </c>
      <c r="D33" s="2">
        <v>2130</v>
      </c>
      <c r="E33" s="2">
        <f>IFERROR(VLOOKUP(Table2[[#This Row],[HWYCOV_ID]],flow[[Hwycovid]:[flow]],3,FALSE),"")</f>
        <v>3362.3245940000002</v>
      </c>
      <c r="F33" s="28">
        <f t="shared" si="1"/>
        <v>0.57855614741784045</v>
      </c>
    </row>
    <row r="34" spans="1:6" ht="16.5" customHeight="1" x14ac:dyDescent="0.25">
      <c r="A34">
        <v>12866</v>
      </c>
      <c r="B34" s="5">
        <v>125</v>
      </c>
      <c r="C34" t="s">
        <v>103</v>
      </c>
      <c r="D34" s="2">
        <v>273</v>
      </c>
      <c r="E34" s="2">
        <f>IFERROR(VLOOKUP(Table2[[#This Row],[HWYCOV_ID]],flow[[Hwycovid]:[flow]],3,FALSE),"")</f>
        <v>17.446124000000001</v>
      </c>
      <c r="F34" s="28">
        <f t="shared" si="1"/>
        <v>-0.93609478388278389</v>
      </c>
    </row>
    <row r="35" spans="1:6" ht="16.5" customHeight="1" x14ac:dyDescent="0.25">
      <c r="A35">
        <v>17717</v>
      </c>
      <c r="B35" s="5">
        <v>125</v>
      </c>
      <c r="C35" t="s">
        <v>103</v>
      </c>
      <c r="D35" s="2">
        <v>273</v>
      </c>
      <c r="E35" s="2">
        <f>IFERROR(VLOOKUP(Table2[[#This Row],[HWYCOV_ID]],flow[[Hwycovid]:[flow]],3,FALSE),"")</f>
        <v>775.41289800000004</v>
      </c>
      <c r="F35" s="28">
        <f t="shared" si="1"/>
        <v>1.8403402857142859</v>
      </c>
    </row>
    <row r="36" spans="1:6" ht="16.5" customHeight="1" x14ac:dyDescent="0.25">
      <c r="A36">
        <v>14025</v>
      </c>
      <c r="B36" s="5">
        <v>125</v>
      </c>
      <c r="C36" t="s">
        <v>79</v>
      </c>
      <c r="D36" s="2">
        <v>402</v>
      </c>
      <c r="E36" s="2">
        <f>IFERROR(VLOOKUP(Table2[[#This Row],[HWYCOV_ID]],flow[[Hwycovid]:[flow]],3,FALSE),"")</f>
        <v>197.34400299999999</v>
      </c>
      <c r="F36" s="28">
        <f t="shared" si="1"/>
        <v>-0.50909451990049748</v>
      </c>
    </row>
    <row r="37" spans="1:6" ht="16.5" customHeight="1" x14ac:dyDescent="0.25">
      <c r="A37">
        <v>14022</v>
      </c>
      <c r="B37" s="5">
        <v>125</v>
      </c>
      <c r="C37" t="s">
        <v>79</v>
      </c>
      <c r="D37" s="2">
        <v>402</v>
      </c>
      <c r="E37" s="2">
        <f>IFERROR(VLOOKUP(Table2[[#This Row],[HWYCOV_ID]],flow[[Hwycovid]:[flow]],3,FALSE),"")</f>
        <v>197.590507</v>
      </c>
      <c r="F37" s="28">
        <f t="shared" si="1"/>
        <v>-0.50848132587064676</v>
      </c>
    </row>
    <row r="38" spans="1:6" ht="16.5" customHeight="1" x14ac:dyDescent="0.25">
      <c r="A38">
        <v>7821</v>
      </c>
      <c r="B38" s="5" t="s">
        <v>102</v>
      </c>
      <c r="C38" t="s">
        <v>104</v>
      </c>
      <c r="D38" s="2">
        <v>381</v>
      </c>
      <c r="E38" s="2">
        <f>IFERROR(VLOOKUP(Table2[[#This Row],[HWYCOV_ID]],flow[[Hwycovid]:[flow]],3,FALSE),"")</f>
        <v>381</v>
      </c>
      <c r="F38" s="28">
        <f t="shared" si="1"/>
        <v>0</v>
      </c>
    </row>
    <row r="39" spans="1:6" ht="16.5" customHeight="1" x14ac:dyDescent="0.25">
      <c r="A39">
        <v>47403</v>
      </c>
      <c r="B39" s="5" t="s">
        <v>102</v>
      </c>
      <c r="C39" t="s">
        <v>105</v>
      </c>
      <c r="D39" s="2">
        <v>104</v>
      </c>
      <c r="E39" s="2">
        <f>IFERROR(VLOOKUP(Table2[[#This Row],[HWYCOV_ID]],flow[[Hwycovid]:[flow]],3,FALSE),"")</f>
        <v>0</v>
      </c>
      <c r="F39" s="28">
        <f>E39/D39-1</f>
        <v>-1</v>
      </c>
    </row>
  </sheetData>
  <conditionalFormatting sqref="F4:F39">
    <cfRule type="cellIs" dxfId="10" priority="1" operator="lessThan">
      <formula>-0.3</formula>
    </cfRule>
    <cfRule type="cellIs" dxfId="9" priority="2" operator="greaterThan">
      <formula>0.3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tabColor theme="4" tint="0.39997558519241921"/>
  </sheetPr>
  <dimension ref="A3:Z12"/>
  <sheetViews>
    <sheetView showGridLines="0" zoomScaleNormal="100" workbookViewId="0">
      <selection activeCell="E31" sqref="E31"/>
    </sheetView>
  </sheetViews>
  <sheetFormatPr defaultRowHeight="16.5" customHeight="1" x14ac:dyDescent="0.25"/>
  <cols>
    <col min="1" max="2" width="9.140625" style="5"/>
    <col min="3" max="3" width="33.5703125" style="5" customWidth="1"/>
    <col min="4" max="4" width="20.42578125" style="5" customWidth="1"/>
    <col min="5" max="5" width="17" style="2" customWidth="1"/>
    <col min="6" max="6" width="13.5703125" style="28" customWidth="1"/>
    <col min="7" max="24" width="9.140625" style="5"/>
    <col min="25" max="26" width="0" style="5" hidden="1" customWidth="1"/>
    <col min="27" max="16384" width="9.140625" style="5"/>
  </cols>
  <sheetData>
    <row r="3" spans="1:26" ht="16.5" customHeight="1" x14ac:dyDescent="0.25">
      <c r="A3" s="5" t="s">
        <v>41</v>
      </c>
      <c r="B3" s="5" t="s">
        <v>2</v>
      </c>
      <c r="C3" s="5" t="s">
        <v>40</v>
      </c>
      <c r="D3" s="5" t="s">
        <v>81</v>
      </c>
      <c r="E3" s="2" t="s">
        <v>82</v>
      </c>
      <c r="F3" s="28" t="s">
        <v>31</v>
      </c>
      <c r="W3" s="2">
        <f>MIN(D4:D11)</f>
        <v>833</v>
      </c>
      <c r="X3" s="2">
        <f>W3</f>
        <v>833</v>
      </c>
      <c r="Y3" s="44">
        <v>0</v>
      </c>
      <c r="Z3" s="44">
        <f>Y3</f>
        <v>0</v>
      </c>
    </row>
    <row r="4" spans="1:26" ht="16.5" customHeight="1" x14ac:dyDescent="0.25">
      <c r="A4" s="5">
        <v>30981</v>
      </c>
      <c r="B4" s="5">
        <v>11</v>
      </c>
      <c r="C4" s="5" t="s">
        <v>87</v>
      </c>
      <c r="D4" s="2">
        <v>833</v>
      </c>
      <c r="E4" s="2">
        <f>VLOOKUP(Table22[[#This Row],[HWYCOV_ID]],flow[[Hwycovid]:[flow]],3,FALSE)</f>
        <v>1513.497181</v>
      </c>
      <c r="F4" s="28">
        <f>E4/D4-1</f>
        <v>0.81692338655462171</v>
      </c>
      <c r="W4" s="2">
        <f>MAX(D4:D11)</f>
        <v>4949.5</v>
      </c>
      <c r="X4" s="2">
        <f>W4</f>
        <v>4949.5</v>
      </c>
      <c r="Y4" s="50">
        <f>ROUND(MAX(MAX(E4:E11),MAX(D4:D11)),-3)</f>
        <v>6000</v>
      </c>
      <c r="Z4" s="44">
        <f>Y4</f>
        <v>6000</v>
      </c>
    </row>
    <row r="5" spans="1:26" ht="16.5" customHeight="1" x14ac:dyDescent="0.25">
      <c r="A5" s="5">
        <v>29146</v>
      </c>
      <c r="B5" s="5">
        <v>11</v>
      </c>
      <c r="C5" s="5" t="s">
        <v>87</v>
      </c>
      <c r="D5" s="2">
        <v>833</v>
      </c>
      <c r="E5" s="2">
        <f>VLOOKUP(Table22[[#This Row],[HWYCOV_ID]],flow[[Hwycovid]:[flow]],3,FALSE)</f>
        <v>256.22863000000001</v>
      </c>
      <c r="F5" s="28">
        <f t="shared" ref="F5:F12" si="0">E5/D5-1</f>
        <v>-0.69240260504201678</v>
      </c>
    </row>
    <row r="6" spans="1:26" ht="16.5" customHeight="1" x14ac:dyDescent="0.25">
      <c r="A6" s="5">
        <v>15196</v>
      </c>
      <c r="B6" s="5">
        <v>15</v>
      </c>
      <c r="C6" s="5" t="s">
        <v>95</v>
      </c>
      <c r="D6" s="2">
        <v>4403</v>
      </c>
      <c r="E6" s="2">
        <f>VLOOKUP(Table22[[#This Row],[HWYCOV_ID]],flow[[Hwycovid]:[flow]],3,FALSE)</f>
        <v>4749.2903029999998</v>
      </c>
      <c r="F6" s="28">
        <f t="shared" si="0"/>
        <v>7.8648717465364504E-2</v>
      </c>
    </row>
    <row r="7" spans="1:26" ht="16.5" customHeight="1" x14ac:dyDescent="0.25">
      <c r="A7" s="5">
        <v>15230</v>
      </c>
      <c r="B7" s="5">
        <v>15</v>
      </c>
      <c r="C7" s="5" t="s">
        <v>95</v>
      </c>
      <c r="D7" s="2">
        <v>4403</v>
      </c>
      <c r="E7" s="2">
        <f>VLOOKUP(Table22[[#This Row],[HWYCOV_ID]],flow[[Hwycovid]:[flow]],3,FALSE)</f>
        <v>4234.7333570000001</v>
      </c>
      <c r="F7" s="28">
        <f t="shared" si="0"/>
        <v>-3.8216362253009284E-2</v>
      </c>
    </row>
    <row r="8" spans="1:26" ht="16.5" customHeight="1" x14ac:dyDescent="0.25">
      <c r="A8" s="5">
        <v>28569</v>
      </c>
      <c r="B8" s="5">
        <v>15</v>
      </c>
      <c r="C8" s="5" t="s">
        <v>89</v>
      </c>
      <c r="D8" s="2">
        <v>3838</v>
      </c>
      <c r="E8" s="2">
        <f>VLOOKUP(Table22[[#This Row],[HWYCOV_ID]],flow[[Hwycovid]:[flow]],3,FALSE)</f>
        <v>2236.3294099999998</v>
      </c>
      <c r="F8" s="28">
        <f t="shared" si="0"/>
        <v>-0.41731906982803546</v>
      </c>
    </row>
    <row r="9" spans="1:26" ht="16.5" customHeight="1" x14ac:dyDescent="0.25">
      <c r="A9" s="5">
        <v>558</v>
      </c>
      <c r="B9" s="5">
        <v>15</v>
      </c>
      <c r="C9" s="5" t="s">
        <v>89</v>
      </c>
      <c r="D9" s="2">
        <v>3838</v>
      </c>
      <c r="E9" s="2">
        <f>VLOOKUP(Table22[[#This Row],[HWYCOV_ID]],flow[[Hwycovid]:[flow]],3,FALSE)</f>
        <v>1941.519239</v>
      </c>
      <c r="F9" s="28">
        <f t="shared" si="0"/>
        <v>-0.49413255888483587</v>
      </c>
    </row>
    <row r="10" spans="1:26" ht="16.5" customHeight="1" x14ac:dyDescent="0.25">
      <c r="A10" s="5">
        <v>843</v>
      </c>
      <c r="B10" s="5">
        <v>805</v>
      </c>
      <c r="C10" s="5" t="s">
        <v>98</v>
      </c>
      <c r="D10" s="2">
        <v>4949.5</v>
      </c>
      <c r="E10" s="2">
        <f>VLOOKUP(Table22[[#This Row],[HWYCOV_ID]],flow[[Hwycovid]:[flow]],3,FALSE)</f>
        <v>6006.1468130000003</v>
      </c>
      <c r="F10" s="28">
        <f t="shared" si="0"/>
        <v>0.21348556682493181</v>
      </c>
    </row>
    <row r="11" spans="1:26" ht="16.5" customHeight="1" x14ac:dyDescent="0.25">
      <c r="A11" s="5">
        <v>702</v>
      </c>
      <c r="B11" s="5">
        <v>805</v>
      </c>
      <c r="C11" s="5" t="s">
        <v>98</v>
      </c>
      <c r="D11" s="2">
        <v>4949.5</v>
      </c>
      <c r="E11" s="2">
        <f>VLOOKUP(Table22[[#This Row],[HWYCOV_ID]],flow[[Hwycovid]:[flow]],3,FALSE)</f>
        <v>5409.1260560000001</v>
      </c>
      <c r="F11" s="28">
        <f t="shared" si="0"/>
        <v>9.2863128800888983E-2</v>
      </c>
    </row>
    <row r="12" spans="1:26" ht="16.5" customHeight="1" x14ac:dyDescent="0.25">
      <c r="A12" s="47"/>
      <c r="B12" s="47"/>
      <c r="C12" s="47"/>
      <c r="D12" s="48">
        <f>SUM(D4:D11)</f>
        <v>28047</v>
      </c>
      <c r="E12" s="48">
        <f>SUM(E4:E11)</f>
        <v>26346.870988999999</v>
      </c>
      <c r="F12" s="49">
        <f t="shared" si="0"/>
        <v>-6.0617143045602062E-2</v>
      </c>
    </row>
  </sheetData>
  <conditionalFormatting sqref="F4:F12">
    <cfRule type="cellIs" dxfId="5" priority="1" operator="lessThan">
      <formula>-0.3</formula>
    </cfRule>
    <cfRule type="cellIs" dxfId="4" priority="2" operator="greaterThan">
      <formula>0.3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33"/>
  <sheetViews>
    <sheetView workbookViewId="0">
      <selection activeCell="F41" sqref="F41"/>
    </sheetView>
  </sheetViews>
  <sheetFormatPr defaultRowHeight="15" x14ac:dyDescent="0.25"/>
  <cols>
    <col min="1" max="5" width="9.140625" style="5"/>
    <col min="6" max="6" width="41.85546875" style="5" customWidth="1"/>
    <col min="7" max="7" width="15.140625" style="5" customWidth="1"/>
    <col min="8" max="8" width="15.7109375" style="2" customWidth="1"/>
    <col min="9" max="9" width="17.85546875" style="5" bestFit="1" customWidth="1"/>
    <col min="10" max="10" width="9.140625" style="2"/>
    <col min="11" max="11" width="9.140625" style="28"/>
    <col min="12" max="12" width="43.85546875" style="5" customWidth="1"/>
    <col min="13" max="16384" width="9.140625" style="5"/>
  </cols>
  <sheetData>
    <row r="1" spans="1:12" x14ac:dyDescent="0.25">
      <c r="A1" s="51" t="s">
        <v>36</v>
      </c>
      <c r="B1" s="51" t="s">
        <v>37</v>
      </c>
      <c r="C1" s="51" t="s">
        <v>38</v>
      </c>
      <c r="D1" s="51" t="s">
        <v>24</v>
      </c>
      <c r="E1" s="51" t="s">
        <v>39</v>
      </c>
      <c r="F1" s="51" t="s">
        <v>40</v>
      </c>
      <c r="G1" s="51" t="s">
        <v>41</v>
      </c>
      <c r="H1" s="54" t="s">
        <v>42</v>
      </c>
      <c r="I1" s="51" t="s">
        <v>43</v>
      </c>
      <c r="J1" s="54" t="s">
        <v>80</v>
      </c>
      <c r="K1" s="55" t="s">
        <v>31</v>
      </c>
      <c r="L1" s="5" t="s">
        <v>83</v>
      </c>
    </row>
    <row r="2" spans="1:12" s="39" customFormat="1" x14ac:dyDescent="0.25">
      <c r="A2" s="57">
        <v>5</v>
      </c>
      <c r="B2" s="58">
        <v>11</v>
      </c>
      <c r="C2" s="58" t="s">
        <v>44</v>
      </c>
      <c r="D2" s="58" t="s">
        <v>45</v>
      </c>
      <c r="E2" s="58" t="s">
        <v>46</v>
      </c>
      <c r="F2" s="58" t="s">
        <v>47</v>
      </c>
      <c r="G2" s="58">
        <v>16275</v>
      </c>
      <c r="H2" s="59">
        <v>5087</v>
      </c>
      <c r="I2" s="39" t="s">
        <v>48</v>
      </c>
      <c r="J2" s="7">
        <f>VLOOKUP(G2,flow[[Hwycovid]:[flow]],3,FALSE)</f>
        <v>7012.2067489999999</v>
      </c>
      <c r="K2" s="60">
        <f>J2/H2-1</f>
        <v>0.37845621171613919</v>
      </c>
      <c r="L2" s="39" t="s">
        <v>84</v>
      </c>
    </row>
    <row r="3" spans="1:12" s="39" customFormat="1" x14ac:dyDescent="0.25">
      <c r="A3" s="39">
        <v>5</v>
      </c>
      <c r="B3" s="39">
        <v>11</v>
      </c>
      <c r="C3" s="39" t="s">
        <v>44</v>
      </c>
      <c r="D3" s="39" t="s">
        <v>45</v>
      </c>
      <c r="E3" s="39" t="s">
        <v>46</v>
      </c>
      <c r="F3" s="39" t="s">
        <v>47</v>
      </c>
      <c r="G3" s="39">
        <v>16272</v>
      </c>
      <c r="H3" s="7">
        <v>5087</v>
      </c>
      <c r="I3" s="39" t="s">
        <v>48</v>
      </c>
      <c r="J3" s="7">
        <f>VLOOKUP(G3,flow[[Hwycovid]:[flow]],3,FALSE)</f>
        <v>7672.7985209999997</v>
      </c>
      <c r="K3" s="60">
        <f t="shared" ref="K3:K33" si="0">J3/H3-1</f>
        <v>0.50831502280322383</v>
      </c>
      <c r="L3" s="39" t="s">
        <v>84</v>
      </c>
    </row>
    <row r="4" spans="1:12" s="39" customFormat="1" x14ac:dyDescent="0.25">
      <c r="A4" s="57">
        <v>8</v>
      </c>
      <c r="B4" s="58">
        <v>11</v>
      </c>
      <c r="C4" s="58" t="s">
        <v>44</v>
      </c>
      <c r="D4" s="58" t="s">
        <v>49</v>
      </c>
      <c r="E4" s="58" t="s">
        <v>46</v>
      </c>
      <c r="F4" s="58" t="s">
        <v>50</v>
      </c>
      <c r="G4" s="58">
        <v>28269</v>
      </c>
      <c r="H4" s="59">
        <v>1025</v>
      </c>
      <c r="I4" s="39" t="s">
        <v>48</v>
      </c>
      <c r="J4" s="7">
        <f>VLOOKUP(G4,flow[[Hwycovid]:[flow]],3,FALSE)</f>
        <v>1056.8010469999999</v>
      </c>
      <c r="K4" s="60">
        <f t="shared" si="0"/>
        <v>3.1025411707316985E-2</v>
      </c>
      <c r="L4" s="39" t="s">
        <v>85</v>
      </c>
    </row>
    <row r="5" spans="1:12" s="39" customFormat="1" x14ac:dyDescent="0.25">
      <c r="A5" s="39">
        <v>8</v>
      </c>
      <c r="B5" s="39">
        <v>11</v>
      </c>
      <c r="C5" s="39" t="s">
        <v>44</v>
      </c>
      <c r="D5" s="39" t="s">
        <v>49</v>
      </c>
      <c r="E5" s="39" t="s">
        <v>46</v>
      </c>
      <c r="F5" s="39" t="s">
        <v>50</v>
      </c>
      <c r="G5" s="39">
        <v>28270</v>
      </c>
      <c r="H5" s="7">
        <v>1025</v>
      </c>
      <c r="I5" s="39" t="s">
        <v>48</v>
      </c>
      <c r="J5" s="7">
        <f>VLOOKUP(G5,flow[[Hwycovid]:[flow]],3,FALSE)</f>
        <v>912.77690600000005</v>
      </c>
      <c r="K5" s="60">
        <f t="shared" si="0"/>
        <v>-0.10948594536585365</v>
      </c>
      <c r="L5" s="39" t="s">
        <v>85</v>
      </c>
    </row>
    <row r="6" spans="1:12" s="39" customFormat="1" x14ac:dyDescent="0.25">
      <c r="A6" s="57">
        <v>8</v>
      </c>
      <c r="B6" s="58">
        <v>11</v>
      </c>
      <c r="C6" s="58" t="s">
        <v>44</v>
      </c>
      <c r="D6" s="58" t="s">
        <v>51</v>
      </c>
      <c r="E6" s="58" t="s">
        <v>46</v>
      </c>
      <c r="F6" s="58" t="s">
        <v>52</v>
      </c>
      <c r="G6" s="58">
        <v>28197</v>
      </c>
      <c r="H6" s="59">
        <v>5519.5</v>
      </c>
      <c r="I6" s="39" t="s">
        <v>48</v>
      </c>
      <c r="J6" s="7">
        <f>VLOOKUP(G6,flow[[Hwycovid]:[flow]],3,FALSE)</f>
        <v>2200.0946840000001</v>
      </c>
      <c r="K6" s="60">
        <f t="shared" si="0"/>
        <v>-0.60139601703052814</v>
      </c>
      <c r="L6" s="39" t="s">
        <v>86</v>
      </c>
    </row>
    <row r="7" spans="1:12" s="39" customFormat="1" x14ac:dyDescent="0.25">
      <c r="A7" s="39">
        <v>8</v>
      </c>
      <c r="B7" s="39">
        <v>11</v>
      </c>
      <c r="C7" s="39" t="s">
        <v>44</v>
      </c>
      <c r="D7" s="39" t="s">
        <v>51</v>
      </c>
      <c r="E7" s="39" t="s">
        <v>46</v>
      </c>
      <c r="F7" s="39" t="s">
        <v>52</v>
      </c>
      <c r="G7" s="39">
        <v>28199</v>
      </c>
      <c r="H7" s="7">
        <v>5519.5</v>
      </c>
      <c r="I7" s="39" t="s">
        <v>48</v>
      </c>
      <c r="J7" s="7">
        <f>VLOOKUP(G7,flow[[Hwycovid]:[flow]],3,FALSE)</f>
        <v>2312.3183549999999</v>
      </c>
      <c r="K7" s="60">
        <f t="shared" si="0"/>
        <v>-0.58106380016305825</v>
      </c>
      <c r="L7" s="39" t="s">
        <v>86</v>
      </c>
    </row>
    <row r="8" spans="1:12" x14ac:dyDescent="0.25">
      <c r="A8" s="52">
        <v>11</v>
      </c>
      <c r="B8" s="53">
        <v>11</v>
      </c>
      <c r="C8" s="53" t="s">
        <v>44</v>
      </c>
      <c r="D8" s="53">
        <v>0.745</v>
      </c>
      <c r="E8" s="53" t="s">
        <v>53</v>
      </c>
      <c r="F8" s="53" t="s">
        <v>54</v>
      </c>
      <c r="G8" s="53">
        <v>30981</v>
      </c>
      <c r="H8" s="56">
        <v>833</v>
      </c>
      <c r="I8" s="5" t="s">
        <v>55</v>
      </c>
      <c r="J8" s="2">
        <f>VLOOKUP(G8,flow[[Hwycovid]:[flow]],3,FALSE)</f>
        <v>1513.497181</v>
      </c>
      <c r="K8" s="28">
        <f t="shared" si="0"/>
        <v>0.81692338655462171</v>
      </c>
      <c r="L8" s="39" t="s">
        <v>87</v>
      </c>
    </row>
    <row r="9" spans="1:12" x14ac:dyDescent="0.25">
      <c r="A9" s="5">
        <v>11</v>
      </c>
      <c r="B9" s="5">
        <v>11</v>
      </c>
      <c r="C9" s="5" t="s">
        <v>44</v>
      </c>
      <c r="D9" s="5">
        <v>0.745</v>
      </c>
      <c r="E9" s="5" t="s">
        <v>53</v>
      </c>
      <c r="F9" s="5" t="s">
        <v>54</v>
      </c>
      <c r="G9" s="5">
        <v>29146</v>
      </c>
      <c r="H9" s="2">
        <v>833</v>
      </c>
      <c r="I9" s="5" t="s">
        <v>55</v>
      </c>
      <c r="J9" s="2">
        <f>VLOOKUP(G9,flow[[Hwycovid]:[flow]],3,FALSE)</f>
        <v>256.22863000000001</v>
      </c>
      <c r="K9" s="28">
        <f t="shared" si="0"/>
        <v>-0.69240260504201678</v>
      </c>
      <c r="L9" s="39" t="s">
        <v>87</v>
      </c>
    </row>
    <row r="10" spans="1:12" x14ac:dyDescent="0.25">
      <c r="A10" s="52">
        <v>15</v>
      </c>
      <c r="B10" s="53">
        <v>11</v>
      </c>
      <c r="C10" s="53" t="s">
        <v>44</v>
      </c>
      <c r="D10" s="53" t="s">
        <v>56</v>
      </c>
      <c r="E10" s="53" t="s">
        <v>57</v>
      </c>
      <c r="F10" s="53" t="s">
        <v>58</v>
      </c>
      <c r="G10" s="53">
        <v>15196</v>
      </c>
      <c r="H10" s="56">
        <v>4403</v>
      </c>
      <c r="I10" s="5" t="s">
        <v>55</v>
      </c>
      <c r="J10" s="2">
        <f>VLOOKUP(G10,flow[[Hwycovid]:[flow]],3,FALSE)</f>
        <v>4749.2903029999998</v>
      </c>
      <c r="K10" s="28">
        <f t="shared" si="0"/>
        <v>7.8648717465364504E-2</v>
      </c>
      <c r="L10" s="39" t="s">
        <v>95</v>
      </c>
    </row>
    <row r="11" spans="1:12" x14ac:dyDescent="0.25">
      <c r="A11" s="5">
        <v>15</v>
      </c>
      <c r="B11" s="5">
        <v>11</v>
      </c>
      <c r="C11" s="5" t="s">
        <v>44</v>
      </c>
      <c r="D11" s="5" t="s">
        <v>56</v>
      </c>
      <c r="E11" s="5" t="s">
        <v>57</v>
      </c>
      <c r="F11" s="5" t="s">
        <v>58</v>
      </c>
      <c r="G11" s="5">
        <v>15230</v>
      </c>
      <c r="H11" s="2">
        <v>4403</v>
      </c>
      <c r="I11" s="5" t="s">
        <v>55</v>
      </c>
      <c r="J11" s="2">
        <f>VLOOKUP(G11,flow[[Hwycovid]:[flow]],3,FALSE)</f>
        <v>4234.7333570000001</v>
      </c>
      <c r="K11" s="28">
        <f t="shared" si="0"/>
        <v>-3.8216362253009284E-2</v>
      </c>
      <c r="L11" s="39" t="s">
        <v>95</v>
      </c>
    </row>
    <row r="12" spans="1:12" s="39" customFormat="1" x14ac:dyDescent="0.25">
      <c r="A12" s="57">
        <v>15</v>
      </c>
      <c r="B12" s="58">
        <v>11</v>
      </c>
      <c r="C12" s="58" t="s">
        <v>44</v>
      </c>
      <c r="D12" s="58" t="s">
        <v>59</v>
      </c>
      <c r="E12" s="58" t="s">
        <v>60</v>
      </c>
      <c r="F12" s="58" t="s">
        <v>61</v>
      </c>
      <c r="G12" s="58">
        <v>27193</v>
      </c>
      <c r="H12" s="59">
        <v>5999</v>
      </c>
      <c r="I12" s="39" t="s">
        <v>62</v>
      </c>
      <c r="J12" s="7">
        <f>VLOOKUP(G12,flow[[Hwycovid]:[flow]],3,FALSE)</f>
        <v>1918.852067</v>
      </c>
      <c r="K12" s="60">
        <f t="shared" si="0"/>
        <v>-0.68013801183530587</v>
      </c>
      <c r="L12" s="39" t="s">
        <v>88</v>
      </c>
    </row>
    <row r="13" spans="1:12" s="39" customFormat="1" x14ac:dyDescent="0.25">
      <c r="A13" s="39">
        <v>15</v>
      </c>
      <c r="B13" s="39">
        <v>11</v>
      </c>
      <c r="C13" s="39" t="s">
        <v>44</v>
      </c>
      <c r="D13" s="39" t="s">
        <v>59</v>
      </c>
      <c r="E13" s="39" t="s">
        <v>60</v>
      </c>
      <c r="F13" s="39" t="s">
        <v>61</v>
      </c>
      <c r="G13" s="39">
        <v>27194</v>
      </c>
      <c r="H13" s="7">
        <v>5999</v>
      </c>
      <c r="I13" s="39" t="s">
        <v>62</v>
      </c>
      <c r="J13" s="7">
        <f>VLOOKUP(G13,flow[[Hwycovid]:[flow]],3,FALSE)</f>
        <v>2210.2437100000002</v>
      </c>
      <c r="K13" s="60">
        <f t="shared" si="0"/>
        <v>-0.63156464244040667</v>
      </c>
      <c r="L13" s="39" t="s">
        <v>88</v>
      </c>
    </row>
    <row r="14" spans="1:12" x14ac:dyDescent="0.25">
      <c r="A14" s="52">
        <v>15</v>
      </c>
      <c r="B14" s="53">
        <v>11</v>
      </c>
      <c r="C14" s="53" t="s">
        <v>44</v>
      </c>
      <c r="D14" s="53" t="s">
        <v>63</v>
      </c>
      <c r="E14" s="53" t="s">
        <v>57</v>
      </c>
      <c r="F14" s="53" t="s">
        <v>64</v>
      </c>
      <c r="G14" s="53">
        <v>28569</v>
      </c>
      <c r="H14" s="56">
        <v>3838</v>
      </c>
      <c r="I14" s="5" t="s">
        <v>55</v>
      </c>
      <c r="J14" s="2">
        <f>VLOOKUP(G14,flow[[Hwycovid]:[flow]],3,FALSE)</f>
        <v>2236.3294099999998</v>
      </c>
      <c r="K14" s="28">
        <f t="shared" si="0"/>
        <v>-0.41731906982803546</v>
      </c>
      <c r="L14" s="39" t="s">
        <v>89</v>
      </c>
    </row>
    <row r="15" spans="1:12" x14ac:dyDescent="0.25">
      <c r="A15" s="5">
        <v>15</v>
      </c>
      <c r="B15" s="5">
        <v>11</v>
      </c>
      <c r="C15" s="5" t="s">
        <v>44</v>
      </c>
      <c r="D15" s="5" t="s">
        <v>63</v>
      </c>
      <c r="E15" s="5" t="s">
        <v>57</v>
      </c>
      <c r="F15" s="5" t="s">
        <v>64</v>
      </c>
      <c r="G15" s="5">
        <v>558</v>
      </c>
      <c r="H15" s="2">
        <v>3838</v>
      </c>
      <c r="I15" s="5" t="s">
        <v>55</v>
      </c>
      <c r="J15" s="2">
        <f>VLOOKUP(G15,flow[[Hwycovid]:[flow]],3,FALSE)</f>
        <v>1941.519239</v>
      </c>
      <c r="K15" s="28">
        <f t="shared" si="0"/>
        <v>-0.49413255888483587</v>
      </c>
      <c r="L15" s="39" t="s">
        <v>89</v>
      </c>
    </row>
    <row r="16" spans="1:12" s="39" customFormat="1" x14ac:dyDescent="0.25">
      <c r="A16" s="39">
        <v>67</v>
      </c>
      <c r="B16" s="39">
        <v>11</v>
      </c>
      <c r="C16" s="39" t="s">
        <v>44</v>
      </c>
      <c r="D16" s="39">
        <v>15.2</v>
      </c>
      <c r="E16" s="39" t="s">
        <v>60</v>
      </c>
      <c r="F16" s="39" t="s">
        <v>65</v>
      </c>
      <c r="G16" s="39">
        <v>13728</v>
      </c>
      <c r="H16" s="7">
        <v>1757</v>
      </c>
      <c r="I16" s="39" t="s">
        <v>62</v>
      </c>
      <c r="J16" s="7">
        <f>VLOOKUP(G16,flow[[Hwycovid]:[flow]],3,FALSE)</f>
        <v>883.93336099999999</v>
      </c>
      <c r="K16" s="60">
        <f t="shared" si="0"/>
        <v>-0.49690759191804212</v>
      </c>
      <c r="L16" s="39" t="s">
        <v>90</v>
      </c>
    </row>
    <row r="17" spans="1:12" s="39" customFormat="1" x14ac:dyDescent="0.25">
      <c r="A17" s="57">
        <v>76</v>
      </c>
      <c r="B17" s="58">
        <v>11</v>
      </c>
      <c r="C17" s="58" t="s">
        <v>44</v>
      </c>
      <c r="D17" s="58">
        <v>12</v>
      </c>
      <c r="E17" s="58" t="s">
        <v>46</v>
      </c>
      <c r="F17" s="58" t="s">
        <v>66</v>
      </c>
      <c r="G17" s="58">
        <v>51183</v>
      </c>
      <c r="H17" s="59">
        <v>1077.5</v>
      </c>
      <c r="I17" s="39" t="s">
        <v>62</v>
      </c>
      <c r="J17" s="7">
        <f>VLOOKUP(G17,flow[[Hwycovid]:[flow]],3,FALSE)</f>
        <v>703.45868199999995</v>
      </c>
      <c r="K17" s="60">
        <f t="shared" si="0"/>
        <v>-0.34713811415313234</v>
      </c>
      <c r="L17" s="39" t="s">
        <v>91</v>
      </c>
    </row>
    <row r="18" spans="1:12" s="39" customFormat="1" x14ac:dyDescent="0.25">
      <c r="A18" s="39">
        <v>76</v>
      </c>
      <c r="B18" s="39">
        <v>11</v>
      </c>
      <c r="C18" s="39" t="s">
        <v>44</v>
      </c>
      <c r="D18" s="39">
        <v>12</v>
      </c>
      <c r="E18" s="39" t="s">
        <v>46</v>
      </c>
      <c r="F18" s="39" t="s">
        <v>66</v>
      </c>
      <c r="G18" s="39">
        <v>51182</v>
      </c>
      <c r="H18" s="7">
        <v>1077.5</v>
      </c>
      <c r="I18" s="39" t="s">
        <v>62</v>
      </c>
      <c r="J18" s="7">
        <f>VLOOKUP(G18,flow[[Hwycovid]:[flow]],3,FALSE)</f>
        <v>713.17683099999999</v>
      </c>
      <c r="K18" s="60">
        <f t="shared" si="0"/>
        <v>-0.33811895034802786</v>
      </c>
      <c r="L18" s="39" t="s">
        <v>91</v>
      </c>
    </row>
    <row r="19" spans="1:12" s="39" customFormat="1" x14ac:dyDescent="0.25">
      <c r="A19" s="57">
        <v>76</v>
      </c>
      <c r="B19" s="58">
        <v>11</v>
      </c>
      <c r="C19" s="58" t="s">
        <v>44</v>
      </c>
      <c r="D19" s="58" t="s">
        <v>67</v>
      </c>
      <c r="E19" s="58" t="s">
        <v>46</v>
      </c>
      <c r="F19" s="58" t="s">
        <v>68</v>
      </c>
      <c r="G19" s="58">
        <v>51054</v>
      </c>
      <c r="H19" s="59">
        <v>922.5</v>
      </c>
      <c r="I19" s="39" t="s">
        <v>62</v>
      </c>
      <c r="J19" s="7">
        <f>VLOOKUP(G19,flow[[Hwycovid]:[flow]],3,FALSE)</f>
        <v>596.60029799999995</v>
      </c>
      <c r="K19" s="60">
        <f t="shared" si="0"/>
        <v>-0.3532788097560976</v>
      </c>
      <c r="L19" s="39" t="s">
        <v>92</v>
      </c>
    </row>
    <row r="20" spans="1:12" s="39" customFormat="1" x14ac:dyDescent="0.25">
      <c r="A20" s="39">
        <v>76</v>
      </c>
      <c r="B20" s="39">
        <v>11</v>
      </c>
      <c r="C20" s="39" t="s">
        <v>44</v>
      </c>
      <c r="D20" s="39" t="s">
        <v>67</v>
      </c>
      <c r="E20" s="39" t="s">
        <v>46</v>
      </c>
      <c r="F20" s="39" t="s">
        <v>68</v>
      </c>
      <c r="G20" s="39">
        <v>51053</v>
      </c>
      <c r="H20" s="7">
        <v>922.5</v>
      </c>
      <c r="I20" s="39" t="s">
        <v>62</v>
      </c>
      <c r="J20" s="7">
        <f>VLOOKUP(G20,flow[[Hwycovid]:[flow]],3,FALSE)</f>
        <v>627.91090799999995</v>
      </c>
      <c r="K20" s="60">
        <f t="shared" si="0"/>
        <v>-0.31933776910569112</v>
      </c>
      <c r="L20" s="39" t="s">
        <v>92</v>
      </c>
    </row>
    <row r="21" spans="1:12" s="39" customFormat="1" x14ac:dyDescent="0.25">
      <c r="A21" s="57">
        <v>78</v>
      </c>
      <c r="B21" s="58">
        <v>11</v>
      </c>
      <c r="C21" s="58" t="s">
        <v>44</v>
      </c>
      <c r="D21" s="58">
        <v>10.606</v>
      </c>
      <c r="E21" s="58" t="s">
        <v>57</v>
      </c>
      <c r="F21" s="58" t="s">
        <v>69</v>
      </c>
      <c r="G21" s="58">
        <v>29183</v>
      </c>
      <c r="H21" s="59">
        <v>2248.5</v>
      </c>
      <c r="I21" s="39" t="s">
        <v>62</v>
      </c>
      <c r="J21" s="7">
        <f>VLOOKUP(G21,flow[[Hwycovid]:[flow]],3,FALSE)</f>
        <v>5164.333705</v>
      </c>
      <c r="K21" s="60">
        <f t="shared" si="0"/>
        <v>1.2967906181899043</v>
      </c>
      <c r="L21" s="39" t="s">
        <v>96</v>
      </c>
    </row>
    <row r="22" spans="1:12" s="39" customFormat="1" x14ac:dyDescent="0.25">
      <c r="A22" s="39">
        <v>78</v>
      </c>
      <c r="B22" s="39">
        <v>11</v>
      </c>
      <c r="C22" s="39" t="s">
        <v>44</v>
      </c>
      <c r="D22" s="39">
        <v>10.606</v>
      </c>
      <c r="E22" s="39" t="s">
        <v>57</v>
      </c>
      <c r="F22" s="39" t="s">
        <v>69</v>
      </c>
      <c r="G22" s="39">
        <v>29182</v>
      </c>
      <c r="H22" s="7">
        <v>2248.5</v>
      </c>
      <c r="I22" s="39" t="s">
        <v>62</v>
      </c>
      <c r="J22" s="7">
        <f>VLOOKUP(G22,flow[[Hwycovid]:[flow]],3,FALSE)</f>
        <v>5340.6374040000001</v>
      </c>
      <c r="K22" s="60">
        <f t="shared" si="0"/>
        <v>1.3752000907271515</v>
      </c>
      <c r="L22" s="39" t="s">
        <v>96</v>
      </c>
    </row>
    <row r="23" spans="1:12" s="39" customFormat="1" x14ac:dyDescent="0.25">
      <c r="A23" s="57">
        <v>163</v>
      </c>
      <c r="B23" s="58">
        <v>11</v>
      </c>
      <c r="C23" s="58" t="s">
        <v>44</v>
      </c>
      <c r="D23" s="58" t="s">
        <v>70</v>
      </c>
      <c r="E23" s="58" t="s">
        <v>46</v>
      </c>
      <c r="F23" s="58" t="s">
        <v>71</v>
      </c>
      <c r="G23" s="58">
        <v>15317</v>
      </c>
      <c r="H23" s="59">
        <v>2255</v>
      </c>
      <c r="I23" s="39" t="s">
        <v>62</v>
      </c>
      <c r="J23" s="7">
        <f>VLOOKUP(G23,flow[[Hwycovid]:[flow]],3,FALSE)</f>
        <v>2335.9041350000002</v>
      </c>
      <c r="K23" s="60">
        <f t="shared" si="0"/>
        <v>3.5877665188470242E-2</v>
      </c>
      <c r="L23" s="39" t="s">
        <v>97</v>
      </c>
    </row>
    <row r="24" spans="1:12" s="39" customFormat="1" x14ac:dyDescent="0.25">
      <c r="A24" s="39">
        <v>163</v>
      </c>
      <c r="B24" s="39">
        <v>11</v>
      </c>
      <c r="C24" s="39" t="s">
        <v>44</v>
      </c>
      <c r="D24" s="39" t="s">
        <v>70</v>
      </c>
      <c r="E24" s="39" t="s">
        <v>46</v>
      </c>
      <c r="F24" s="39" t="s">
        <v>71</v>
      </c>
      <c r="G24" s="39">
        <v>16163</v>
      </c>
      <c r="H24" s="7">
        <v>2255</v>
      </c>
      <c r="I24" s="39" t="s">
        <v>62</v>
      </c>
      <c r="J24" s="7">
        <f>VLOOKUP(G24,flow[[Hwycovid]:[flow]],3,FALSE)</f>
        <v>3016.312246</v>
      </c>
      <c r="K24" s="60">
        <f t="shared" si="0"/>
        <v>0.33761075210643021</v>
      </c>
      <c r="L24" s="39" t="s">
        <v>97</v>
      </c>
    </row>
    <row r="25" spans="1:12" x14ac:dyDescent="0.25">
      <c r="A25" s="52">
        <v>805</v>
      </c>
      <c r="B25" s="53">
        <v>11</v>
      </c>
      <c r="C25" s="53" t="s">
        <v>44</v>
      </c>
      <c r="D25" s="53">
        <v>5.5419999999999998</v>
      </c>
      <c r="E25" s="53" t="s">
        <v>53</v>
      </c>
      <c r="F25" s="53" t="s">
        <v>72</v>
      </c>
      <c r="G25" s="53">
        <v>843</v>
      </c>
      <c r="H25" s="56">
        <v>4949.5</v>
      </c>
      <c r="I25" s="5" t="s">
        <v>55</v>
      </c>
      <c r="J25" s="2">
        <f>VLOOKUP(G25,flow[[Hwycovid]:[flow]],3,FALSE)</f>
        <v>6006.1468130000003</v>
      </c>
      <c r="K25" s="28">
        <f t="shared" si="0"/>
        <v>0.21348556682493181</v>
      </c>
      <c r="L25" s="39" t="s">
        <v>98</v>
      </c>
    </row>
    <row r="26" spans="1:12" s="27" customFormat="1" x14ac:dyDescent="0.25">
      <c r="A26" s="27">
        <v>805</v>
      </c>
      <c r="B26" s="27">
        <v>11</v>
      </c>
      <c r="C26" s="27" t="s">
        <v>44</v>
      </c>
      <c r="D26" s="27">
        <v>5.5419999999999998</v>
      </c>
      <c r="E26" s="27" t="s">
        <v>53</v>
      </c>
      <c r="F26" s="27" t="s">
        <v>72</v>
      </c>
      <c r="G26" s="27">
        <v>702</v>
      </c>
      <c r="H26" s="20">
        <v>4949.5</v>
      </c>
      <c r="I26" s="27" t="s">
        <v>55</v>
      </c>
      <c r="J26" s="20">
        <f>VLOOKUP(G26,flow[[Hwycovid]:[flow]],3,FALSE)</f>
        <v>5409.1260560000001</v>
      </c>
      <c r="K26" s="61">
        <f t="shared" si="0"/>
        <v>9.2863128800888983E-2</v>
      </c>
      <c r="L26" s="39" t="s">
        <v>98</v>
      </c>
    </row>
    <row r="27" spans="1:12" s="39" customFormat="1" x14ac:dyDescent="0.25">
      <c r="A27" s="57">
        <v>805</v>
      </c>
      <c r="B27" s="58">
        <v>11</v>
      </c>
      <c r="C27" s="58" t="s">
        <v>44</v>
      </c>
      <c r="D27" s="58">
        <v>1.8049999999999999</v>
      </c>
      <c r="E27" s="58" t="s">
        <v>60</v>
      </c>
      <c r="F27" s="58" t="s">
        <v>73</v>
      </c>
      <c r="G27" s="58">
        <v>854</v>
      </c>
      <c r="H27" s="59">
        <v>3835</v>
      </c>
      <c r="I27" s="39" t="s">
        <v>62</v>
      </c>
      <c r="J27" s="7">
        <f>VLOOKUP(G27,flow[[Hwycovid]:[flow]],3,FALSE)</f>
        <v>5292.9423379999998</v>
      </c>
      <c r="K27" s="60">
        <f t="shared" si="0"/>
        <v>0.38016749361147317</v>
      </c>
      <c r="L27" s="39" t="s">
        <v>99</v>
      </c>
    </row>
    <row r="28" spans="1:12" s="39" customFormat="1" x14ac:dyDescent="0.25">
      <c r="A28" s="39">
        <v>805</v>
      </c>
      <c r="B28" s="39">
        <v>11</v>
      </c>
      <c r="C28" s="39" t="s">
        <v>44</v>
      </c>
      <c r="D28" s="39">
        <v>1.8049999999999999</v>
      </c>
      <c r="E28" s="39" t="s">
        <v>60</v>
      </c>
      <c r="F28" s="39" t="s">
        <v>73</v>
      </c>
      <c r="G28" s="39">
        <v>688</v>
      </c>
      <c r="H28" s="7">
        <v>3835</v>
      </c>
      <c r="I28" s="39" t="s">
        <v>62</v>
      </c>
      <c r="J28" s="7">
        <f>VLOOKUP(G28,flow[[Hwycovid]:[flow]],3,FALSE)</f>
        <v>4463.2353739999999</v>
      </c>
      <c r="K28" s="60">
        <f t="shared" si="0"/>
        <v>0.16381626440677954</v>
      </c>
      <c r="L28" s="39" t="s">
        <v>100</v>
      </c>
    </row>
    <row r="29" spans="1:12" s="39" customFormat="1" x14ac:dyDescent="0.25">
      <c r="A29" s="57">
        <v>905</v>
      </c>
      <c r="B29" s="58">
        <v>11</v>
      </c>
      <c r="C29" s="58" t="s">
        <v>44</v>
      </c>
      <c r="D29" s="58">
        <v>5.1639999999999997</v>
      </c>
      <c r="E29" s="58" t="s">
        <v>60</v>
      </c>
      <c r="F29" s="58" t="s">
        <v>74</v>
      </c>
      <c r="G29" s="58">
        <v>13992</v>
      </c>
      <c r="H29" s="59">
        <v>4696</v>
      </c>
      <c r="I29" s="39" t="s">
        <v>62</v>
      </c>
      <c r="J29" s="7">
        <f>VLOOKUP(G29,flow[[Hwycovid]:[flow]],3,FALSE)</f>
        <v>1957.194575</v>
      </c>
      <c r="K29" s="60">
        <f t="shared" si="0"/>
        <v>-0.58322091673764909</v>
      </c>
      <c r="L29" s="39" t="s">
        <v>93</v>
      </c>
    </row>
    <row r="30" spans="1:12" s="39" customFormat="1" x14ac:dyDescent="0.25">
      <c r="A30" s="39">
        <v>905</v>
      </c>
      <c r="B30" s="39">
        <v>11</v>
      </c>
      <c r="C30" s="39" t="s">
        <v>44</v>
      </c>
      <c r="D30" s="39">
        <v>5.1639999999999997</v>
      </c>
      <c r="E30" s="39" t="s">
        <v>60</v>
      </c>
      <c r="F30" s="39" t="s">
        <v>74</v>
      </c>
      <c r="G30" s="39">
        <v>13994</v>
      </c>
      <c r="H30" s="7">
        <v>4696</v>
      </c>
      <c r="I30" s="39" t="s">
        <v>62</v>
      </c>
      <c r="J30" s="7">
        <f>VLOOKUP(G30,flow[[Hwycovid]:[flow]],3,FALSE)</f>
        <v>2305.6011400000002</v>
      </c>
      <c r="K30" s="60">
        <f t="shared" si="0"/>
        <v>-0.5090287180579216</v>
      </c>
      <c r="L30" s="39" t="s">
        <v>93</v>
      </c>
    </row>
    <row r="31" spans="1:12" s="39" customFormat="1" x14ac:dyDescent="0.25">
      <c r="A31" s="39">
        <v>905</v>
      </c>
      <c r="B31" s="39">
        <v>11</v>
      </c>
      <c r="C31" s="39" t="s">
        <v>44</v>
      </c>
      <c r="D31" s="39" t="s">
        <v>75</v>
      </c>
      <c r="E31" s="39" t="s">
        <v>46</v>
      </c>
      <c r="F31" s="39" t="s">
        <v>76</v>
      </c>
      <c r="G31" s="39">
        <v>40310</v>
      </c>
      <c r="H31" s="7">
        <v>2130</v>
      </c>
      <c r="I31" s="39" t="s">
        <v>62</v>
      </c>
      <c r="J31" s="7">
        <f>VLOOKUP(G31,flow[[Hwycovid]:[flow]],3,FALSE)</f>
        <v>3362.3245940000002</v>
      </c>
      <c r="K31" s="60">
        <f t="shared" si="0"/>
        <v>0.57855614741784045</v>
      </c>
      <c r="L31" s="39" t="s">
        <v>101</v>
      </c>
    </row>
    <row r="32" spans="1:12" s="39" customFormat="1" x14ac:dyDescent="0.25">
      <c r="A32" s="39">
        <v>125</v>
      </c>
      <c r="B32" s="39">
        <v>11</v>
      </c>
      <c r="C32" s="39" t="s">
        <v>77</v>
      </c>
      <c r="F32" s="39" t="s">
        <v>79</v>
      </c>
      <c r="G32" s="39">
        <v>14025</v>
      </c>
      <c r="H32" s="7">
        <v>402</v>
      </c>
      <c r="I32" s="39" t="s">
        <v>78</v>
      </c>
      <c r="J32" s="7">
        <f>VLOOKUP(G32,flow[[Hwycovid]:[flow]],3,FALSE)</f>
        <v>197.34400299999999</v>
      </c>
      <c r="K32" s="60">
        <f t="shared" si="0"/>
        <v>-0.50909451990049748</v>
      </c>
      <c r="L32" s="39" t="s">
        <v>94</v>
      </c>
    </row>
    <row r="33" spans="1:12" s="39" customFormat="1" x14ac:dyDescent="0.25">
      <c r="A33" s="39">
        <v>125</v>
      </c>
      <c r="B33" s="39">
        <v>11</v>
      </c>
      <c r="C33" s="39" t="s">
        <v>77</v>
      </c>
      <c r="F33" s="39" t="s">
        <v>79</v>
      </c>
      <c r="G33" s="39">
        <v>14022</v>
      </c>
      <c r="H33" s="7">
        <v>402</v>
      </c>
      <c r="I33" s="39" t="s">
        <v>78</v>
      </c>
      <c r="J33" s="7">
        <f>VLOOKUP(G33,flow[[Hwycovid]:[flow]],3,FALSE)</f>
        <v>197.590507</v>
      </c>
      <c r="K33" s="60">
        <f t="shared" si="0"/>
        <v>-0.50848132587064676</v>
      </c>
      <c r="L33" s="39" t="s">
        <v>94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V140"/>
  <sheetViews>
    <sheetView workbookViewId="0">
      <selection activeCell="X7" sqref="X7"/>
    </sheetView>
  </sheetViews>
  <sheetFormatPr defaultRowHeight="15" x14ac:dyDescent="0.25"/>
  <cols>
    <col min="1" max="1" width="9.140625" style="5" bestFit="1" customWidth="1"/>
    <col min="2" max="2" width="9.140625" style="5" customWidth="1"/>
    <col min="3" max="3" width="15" style="5" bestFit="1" customWidth="1"/>
    <col min="4" max="4" width="9.140625" style="39" bestFit="1" customWidth="1"/>
    <col min="5" max="5" width="10.140625" style="39" bestFit="1" customWidth="1"/>
    <col min="6" max="6" width="11.140625" style="39" bestFit="1" customWidth="1"/>
    <col min="7" max="8" width="10.140625" style="39" bestFit="1" customWidth="1"/>
    <col min="9" max="9" width="10.140625" style="5" bestFit="1" customWidth="1"/>
    <col min="10" max="13" width="11.140625" style="5" bestFit="1" customWidth="1"/>
    <col min="14" max="18" width="9.140625" style="44"/>
    <col min="19" max="19" width="9.140625" style="5"/>
    <col min="20" max="20" width="9.85546875" style="5" bestFit="1" customWidth="1"/>
    <col min="21" max="21" width="11.5703125" style="5" bestFit="1" customWidth="1"/>
    <col min="22" max="16384" width="9.140625" style="5"/>
  </cols>
  <sheetData>
    <row r="1" spans="1:22" s="36" customFormat="1" ht="15.75" x14ac:dyDescent="0.25">
      <c r="A1" s="36" t="s">
        <v>1</v>
      </c>
      <c r="D1" s="38"/>
      <c r="E1" s="38"/>
      <c r="F1" s="38"/>
      <c r="G1" s="38"/>
      <c r="H1" s="38"/>
      <c r="I1" s="36" t="s">
        <v>29</v>
      </c>
      <c r="N1" s="43" t="s">
        <v>30</v>
      </c>
      <c r="O1" s="43"/>
      <c r="P1" s="43"/>
      <c r="Q1" s="43"/>
      <c r="R1" s="43"/>
      <c r="T1" s="37">
        <f>SUM(D3:H138)</f>
        <v>327516.46882978664</v>
      </c>
      <c r="U1" s="37">
        <f>SUM(I3:M138)</f>
        <v>1617610.6372729817</v>
      </c>
      <c r="V1" s="36">
        <f>U1/T1</f>
        <v>4.939020755361371</v>
      </c>
    </row>
    <row r="2" spans="1:22" x14ac:dyDescent="0.25">
      <c r="A2" s="5" t="s">
        <v>2</v>
      </c>
      <c r="B2" s="5" t="s">
        <v>3</v>
      </c>
      <c r="C2" s="5" t="s">
        <v>4</v>
      </c>
      <c r="D2" s="39" t="s">
        <v>5</v>
      </c>
      <c r="E2" s="39" t="s">
        <v>6</v>
      </c>
      <c r="F2" s="39" t="s">
        <v>7</v>
      </c>
      <c r="G2" s="39" t="s">
        <v>8</v>
      </c>
      <c r="H2" s="39" t="s">
        <v>9</v>
      </c>
      <c r="I2" s="5" t="s">
        <v>5</v>
      </c>
      <c r="J2" s="5" t="s">
        <v>6</v>
      </c>
      <c r="K2" s="5" t="s">
        <v>7</v>
      </c>
      <c r="L2" s="5" t="s">
        <v>8</v>
      </c>
      <c r="M2" s="5" t="s">
        <v>9</v>
      </c>
      <c r="N2" s="44" t="s">
        <v>5</v>
      </c>
      <c r="O2" s="44" t="s">
        <v>6</v>
      </c>
      <c r="P2" s="44" t="s">
        <v>7</v>
      </c>
      <c r="Q2" s="44" t="s">
        <v>8</v>
      </c>
      <c r="R2" s="44" t="s">
        <v>9</v>
      </c>
    </row>
    <row r="3" spans="1:22" x14ac:dyDescent="0.25">
      <c r="A3" s="4">
        <v>398</v>
      </c>
      <c r="B3" s="5">
        <v>4</v>
      </c>
      <c r="C3" s="5" t="s">
        <v>13</v>
      </c>
      <c r="D3" s="40">
        <v>128.5277731580745</v>
      </c>
      <c r="E3" s="40">
        <v>1674.3999884886084</v>
      </c>
      <c r="F3" s="40">
        <v>775.69084873576924</v>
      </c>
      <c r="G3" s="40">
        <v>2135.6163612602081</v>
      </c>
      <c r="H3" s="40">
        <v>300.76109340881982</v>
      </c>
      <c r="I3" s="4">
        <v>3400.5878222163342</v>
      </c>
      <c r="J3" s="4">
        <v>39093.184108910056</v>
      </c>
      <c r="K3" s="4">
        <v>20105.041468705818</v>
      </c>
      <c r="L3" s="4">
        <v>48388.058295557006</v>
      </c>
      <c r="M3" s="4">
        <v>7451.255716314623</v>
      </c>
      <c r="N3" s="45">
        <f t="shared" ref="N3:R9" si="0">I3/D3</f>
        <v>26.457999999999995</v>
      </c>
      <c r="O3" s="45">
        <f t="shared" si="0"/>
        <v>23.347577865308867</v>
      </c>
      <c r="P3" s="45">
        <f t="shared" si="0"/>
        <v>25.918884438914382</v>
      </c>
      <c r="Q3" s="45">
        <f t="shared" si="0"/>
        <v>22.657654798544268</v>
      </c>
      <c r="R3" s="45">
        <f t="shared" si="0"/>
        <v>24.774666270368449</v>
      </c>
    </row>
    <row r="4" spans="1:22" x14ac:dyDescent="0.25">
      <c r="A4" s="4">
        <v>399</v>
      </c>
      <c r="B4" s="5">
        <v>5</v>
      </c>
      <c r="C4" s="5" t="s">
        <v>14</v>
      </c>
      <c r="D4" s="40">
        <v>338.45245283018869</v>
      </c>
      <c r="E4" s="40">
        <v>2040.978679245283</v>
      </c>
      <c r="F4" s="40">
        <v>3954.4584905660349</v>
      </c>
      <c r="G4" s="40">
        <v>2471.5711320754763</v>
      </c>
      <c r="H4" s="40">
        <v>1010.2992452830173</v>
      </c>
      <c r="I4" s="4">
        <v>2931.9152830188686</v>
      </c>
      <c r="J4" s="4">
        <v>15473.950188679244</v>
      </c>
      <c r="K4" s="4">
        <v>28316.459622641494</v>
      </c>
      <c r="L4" s="4">
        <v>18886.206603773619</v>
      </c>
      <c r="M4" s="4">
        <v>8274.1883018867811</v>
      </c>
      <c r="N4" s="45">
        <f t="shared" si="0"/>
        <v>8.6627095135572691</v>
      </c>
      <c r="O4" s="45">
        <f t="shared" si="0"/>
        <v>7.5816324521338121</v>
      </c>
      <c r="P4" s="45">
        <f t="shared" si="0"/>
        <v>7.1606415113965003</v>
      </c>
      <c r="Q4" s="45">
        <f t="shared" si="0"/>
        <v>7.6413769195928918</v>
      </c>
      <c r="R4" s="45">
        <f t="shared" si="0"/>
        <v>8.1898391397579591</v>
      </c>
    </row>
    <row r="5" spans="1:22" x14ac:dyDescent="0.25">
      <c r="A5" s="4">
        <v>510</v>
      </c>
      <c r="B5" s="5">
        <v>5</v>
      </c>
      <c r="C5" s="5" t="s">
        <v>14</v>
      </c>
      <c r="D5" s="40">
        <v>2757.4081075268809</v>
      </c>
      <c r="E5" s="40">
        <v>10163.451003584229</v>
      </c>
      <c r="F5" s="40">
        <v>19981.119124402867</v>
      </c>
      <c r="G5" s="40">
        <v>13674.460637294218</v>
      </c>
      <c r="H5" s="40">
        <v>5260.1213333333162</v>
      </c>
      <c r="I5" s="4">
        <v>20115.601641577061</v>
      </c>
      <c r="J5" s="4">
        <v>63661.031247311803</v>
      </c>
      <c r="K5" s="4">
        <v>113411.91242245938</v>
      </c>
      <c r="L5" s="4">
        <v>82707.204553063653</v>
      </c>
      <c r="M5" s="4">
        <v>32146.675777777673</v>
      </c>
      <c r="N5" s="45">
        <f t="shared" si="0"/>
        <v>7.295112242060803</v>
      </c>
      <c r="O5" s="45">
        <f t="shared" si="0"/>
        <v>6.2637219606668237</v>
      </c>
      <c r="P5" s="45">
        <f t="shared" si="0"/>
        <v>5.6759539701632544</v>
      </c>
      <c r="Q5" s="45">
        <f t="shared" si="0"/>
        <v>6.0482973878689688</v>
      </c>
      <c r="R5" s="45">
        <f t="shared" si="0"/>
        <v>6.1113943463746043</v>
      </c>
    </row>
    <row r="6" spans="1:22" x14ac:dyDescent="0.25">
      <c r="A6" s="4">
        <v>520</v>
      </c>
      <c r="B6" s="5">
        <v>5</v>
      </c>
      <c r="C6" s="5" t="s">
        <v>14</v>
      </c>
      <c r="D6" s="40">
        <v>934.38754716981111</v>
      </c>
      <c r="E6" s="40">
        <v>5037.9356603773585</v>
      </c>
      <c r="F6" s="40">
        <v>11086.707924528288</v>
      </c>
      <c r="G6" s="40">
        <v>6544.0641509434172</v>
      </c>
      <c r="H6" s="40">
        <v>2969.064716981125</v>
      </c>
      <c r="I6" s="4">
        <v>5429.6671698113214</v>
      </c>
      <c r="J6" s="4">
        <v>26119.409433962264</v>
      </c>
      <c r="K6" s="4">
        <v>48821.427547169755</v>
      </c>
      <c r="L6" s="4">
        <v>32385.773584905754</v>
      </c>
      <c r="M6" s="4">
        <v>14643.872264150914</v>
      </c>
      <c r="N6" s="45">
        <f t="shared" si="0"/>
        <v>5.8109369995965494</v>
      </c>
      <c r="O6" s="45">
        <f t="shared" si="0"/>
        <v>5.1845460511510053</v>
      </c>
      <c r="P6" s="45">
        <f t="shared" si="0"/>
        <v>4.4036000478696646</v>
      </c>
      <c r="Q6" s="45">
        <f t="shared" si="0"/>
        <v>4.948877767378991</v>
      </c>
      <c r="R6" s="45">
        <f t="shared" si="0"/>
        <v>4.9321499057927101</v>
      </c>
    </row>
    <row r="7" spans="1:22" x14ac:dyDescent="0.25">
      <c r="A7" s="4">
        <v>530</v>
      </c>
      <c r="B7" s="5">
        <v>5</v>
      </c>
      <c r="C7" s="5" t="s">
        <v>14</v>
      </c>
      <c r="D7" s="40">
        <v>729.18014925373132</v>
      </c>
      <c r="E7" s="40">
        <v>5475.2638805970146</v>
      </c>
      <c r="F7" s="40">
        <v>13208.901940298492</v>
      </c>
      <c r="G7" s="40">
        <v>8487.438805970176</v>
      </c>
      <c r="H7" s="40">
        <v>3973.8652238805885</v>
      </c>
      <c r="I7" s="4">
        <v>4645.7594029850743</v>
      </c>
      <c r="J7" s="4">
        <v>33698.409552238809</v>
      </c>
      <c r="K7" s="4">
        <v>72664.740298507386</v>
      </c>
      <c r="L7" s="4">
        <v>47205.91656716432</v>
      </c>
      <c r="M7" s="4">
        <v>21031.51417910443</v>
      </c>
      <c r="N7" s="45">
        <f t="shared" si="0"/>
        <v>6.3712093749942431</v>
      </c>
      <c r="O7" s="45">
        <f t="shared" si="0"/>
        <v>6.1546640101964156</v>
      </c>
      <c r="P7" s="45">
        <f t="shared" si="0"/>
        <v>5.5011946206381879</v>
      </c>
      <c r="Q7" s="45">
        <f t="shared" si="0"/>
        <v>5.5618564853697752</v>
      </c>
      <c r="R7" s="45">
        <f t="shared" si="0"/>
        <v>5.2924578450012403</v>
      </c>
    </row>
    <row r="8" spans="1:22" x14ac:dyDescent="0.25">
      <c r="A8" s="4">
        <v>235</v>
      </c>
      <c r="B8" s="5">
        <v>6</v>
      </c>
      <c r="C8" s="5" t="s">
        <v>12</v>
      </c>
      <c r="D8" s="40">
        <v>212.83589446589443</v>
      </c>
      <c r="E8" s="40">
        <v>1289.7216929408644</v>
      </c>
      <c r="F8" s="40">
        <v>1843.2850113278521</v>
      </c>
      <c r="G8" s="40">
        <v>1456.2494505278571</v>
      </c>
      <c r="H8" s="40">
        <v>517.11795073753251</v>
      </c>
      <c r="I8" s="4">
        <v>3579.8673264010754</v>
      </c>
      <c r="J8" s="4">
        <v>20321.968535270287</v>
      </c>
      <c r="K8" s="4">
        <v>31183.483768700669</v>
      </c>
      <c r="L8" s="4">
        <v>23386.157900091359</v>
      </c>
      <c r="M8" s="4">
        <v>9959.8924695366059</v>
      </c>
      <c r="N8" s="45">
        <f t="shared" si="0"/>
        <v>16.819847683045428</v>
      </c>
      <c r="O8" s="45">
        <f t="shared" si="0"/>
        <v>15.756863396576271</v>
      </c>
      <c r="P8" s="45">
        <f t="shared" si="0"/>
        <v>16.917342449520024</v>
      </c>
      <c r="Q8" s="45">
        <f t="shared" si="0"/>
        <v>16.059170282683652</v>
      </c>
      <c r="R8" s="45">
        <f t="shared" si="0"/>
        <v>19.26038818674046</v>
      </c>
    </row>
    <row r="9" spans="1:22" x14ac:dyDescent="0.25">
      <c r="A9" s="4">
        <v>237</v>
      </c>
      <c r="B9" s="5">
        <v>6</v>
      </c>
      <c r="C9" s="5" t="s">
        <v>12</v>
      </c>
      <c r="D9" s="40">
        <v>10.743942964001848</v>
      </c>
      <c r="E9" s="40">
        <v>400.23931686425931</v>
      </c>
      <c r="F9" s="40">
        <v>180.6833947399488</v>
      </c>
      <c r="G9" s="40">
        <v>428.90790425532003</v>
      </c>
      <c r="H9" s="40">
        <v>72.115441176470085</v>
      </c>
      <c r="I9" s="4">
        <v>75.683595605422937</v>
      </c>
      <c r="J9" s="4">
        <v>2752.4322438127674</v>
      </c>
      <c r="K9" s="4">
        <v>1136.7917475655358</v>
      </c>
      <c r="L9" s="4">
        <v>2893.0408117090874</v>
      </c>
      <c r="M9" s="4">
        <v>394.14160130718648</v>
      </c>
      <c r="N9" s="45">
        <f t="shared" si="0"/>
        <v>7.0443035540122327</v>
      </c>
      <c r="O9" s="45">
        <f t="shared" si="0"/>
        <v>6.8769661745806232</v>
      </c>
      <c r="P9" s="45">
        <f t="shared" si="0"/>
        <v>6.2916226983762389</v>
      </c>
      <c r="Q9" s="45">
        <f t="shared" si="0"/>
        <v>6.745132889849752</v>
      </c>
      <c r="R9" s="45">
        <f t="shared" si="0"/>
        <v>5.4654259181844607</v>
      </c>
    </row>
    <row r="10" spans="1:22" x14ac:dyDescent="0.25">
      <c r="A10" s="4">
        <v>280</v>
      </c>
      <c r="B10" s="5">
        <v>6</v>
      </c>
      <c r="C10" s="5" t="s">
        <v>12</v>
      </c>
      <c r="D10" s="40">
        <v>35.699056603773585</v>
      </c>
      <c r="E10" s="40">
        <v>233.54094339622645</v>
      </c>
      <c r="F10" s="40">
        <v>14.583442622950553</v>
      </c>
      <c r="G10" s="40">
        <v>235.67655737704942</v>
      </c>
      <c r="H10" s="40">
        <v>0</v>
      </c>
      <c r="I10" s="4">
        <v>1085.5262264150945</v>
      </c>
      <c r="J10" s="4">
        <v>7041.7537735849073</v>
      </c>
      <c r="K10" s="4">
        <v>439.35295081966416</v>
      </c>
      <c r="L10" s="4">
        <v>7050.3170491803357</v>
      </c>
      <c r="M10" s="4">
        <v>0</v>
      </c>
      <c r="N10" s="45">
        <f t="shared" ref="N10:Q16" si="1">I10/D10</f>
        <v>30.407700642160624</v>
      </c>
      <c r="O10" s="45">
        <f t="shared" si="1"/>
        <v>30.152116674624548</v>
      </c>
      <c r="P10" s="45">
        <f t="shared" si="1"/>
        <v>30.12683370991131</v>
      </c>
      <c r="Q10" s="45">
        <f t="shared" si="1"/>
        <v>29.915224185411102</v>
      </c>
      <c r="R10" s="45">
        <v>0</v>
      </c>
    </row>
    <row r="11" spans="1:22" x14ac:dyDescent="0.25">
      <c r="A11" s="4">
        <v>290</v>
      </c>
      <c r="B11" s="5">
        <v>6</v>
      </c>
      <c r="C11" s="5" t="s">
        <v>12</v>
      </c>
      <c r="D11" s="40">
        <v>30.776086956521745</v>
      </c>
      <c r="E11" s="40">
        <v>327.64391304347828</v>
      </c>
      <c r="F11" s="40">
        <v>20.292244897958764</v>
      </c>
      <c r="G11" s="40">
        <v>297.98775510204121</v>
      </c>
      <c r="H11" s="40">
        <v>0</v>
      </c>
      <c r="I11" s="4">
        <v>638.70000000000005</v>
      </c>
      <c r="J11" s="4">
        <v>6671.75</v>
      </c>
      <c r="K11" s="4">
        <v>413.07061224488945</v>
      </c>
      <c r="L11" s="4">
        <v>6052.2493877551115</v>
      </c>
      <c r="M11" s="4">
        <v>0</v>
      </c>
      <c r="N11" s="45">
        <f t="shared" si="1"/>
        <v>20.753125662216569</v>
      </c>
      <c r="O11" s="45">
        <f t="shared" si="1"/>
        <v>20.36280771410107</v>
      </c>
      <c r="P11" s="45">
        <f t="shared" si="1"/>
        <v>20.356082548877627</v>
      </c>
      <c r="Q11" s="45">
        <f t="shared" si="1"/>
        <v>20.310396263372009</v>
      </c>
      <c r="R11" s="45">
        <v>0</v>
      </c>
    </row>
    <row r="12" spans="1:22" x14ac:dyDescent="0.25">
      <c r="A12" s="4">
        <v>201</v>
      </c>
      <c r="B12" s="5">
        <v>7</v>
      </c>
      <c r="C12" s="5" t="s">
        <v>11</v>
      </c>
      <c r="D12" s="40">
        <v>1.7679999999999987</v>
      </c>
      <c r="E12" s="40">
        <v>185.72866666666661</v>
      </c>
      <c r="F12" s="40">
        <v>1556.0061363636328</v>
      </c>
      <c r="G12" s="40">
        <v>1709.882250733144</v>
      </c>
      <c r="H12" s="40">
        <v>678.77494623655673</v>
      </c>
      <c r="I12" s="4">
        <v>3.6519999999999975</v>
      </c>
      <c r="J12" s="4">
        <v>435.92633333333328</v>
      </c>
      <c r="K12" s="4">
        <v>3111.2335227272661</v>
      </c>
      <c r="L12" s="4">
        <v>3352.1382416911169</v>
      </c>
      <c r="M12" s="4">
        <v>1395.6299022482847</v>
      </c>
      <c r="N12" s="45">
        <f t="shared" si="1"/>
        <v>2.065610859728507</v>
      </c>
      <c r="O12" s="45">
        <f t="shared" si="1"/>
        <v>2.3471138901551729</v>
      </c>
      <c r="P12" s="45">
        <f t="shared" si="1"/>
        <v>1.9994995199685912</v>
      </c>
      <c r="Q12" s="45">
        <f t="shared" si="1"/>
        <v>1.960449756264693</v>
      </c>
      <c r="R12" s="45">
        <f>M12/H12</f>
        <v>2.0561010832622868</v>
      </c>
    </row>
    <row r="13" spans="1:22" x14ac:dyDescent="0.25">
      <c r="A13" s="4">
        <v>202</v>
      </c>
      <c r="B13" s="5">
        <v>7</v>
      </c>
      <c r="C13" s="5" t="s">
        <v>11</v>
      </c>
      <c r="D13" s="40">
        <v>4.4307692307692212</v>
      </c>
      <c r="E13" s="40">
        <v>870.71938130686522</v>
      </c>
      <c r="F13" s="40">
        <v>2407.593788856303</v>
      </c>
      <c r="G13" s="40">
        <v>817.05606060606351</v>
      </c>
      <c r="H13" s="40">
        <v>345.979999999999</v>
      </c>
      <c r="I13" s="4">
        <v>10.176923076923057</v>
      </c>
      <c r="J13" s="4">
        <v>1947.6916145574855</v>
      </c>
      <c r="K13" s="4">
        <v>5123.707219941346</v>
      </c>
      <c r="L13" s="4">
        <v>1667.1387585532805</v>
      </c>
      <c r="M13" s="4">
        <v>721.79548387096565</v>
      </c>
      <c r="N13" s="45">
        <f t="shared" si="1"/>
        <v>2.2968750000000004</v>
      </c>
      <c r="O13" s="45">
        <f t="shared" si="1"/>
        <v>2.2368763764442563</v>
      </c>
      <c r="P13" s="45">
        <f t="shared" si="1"/>
        <v>2.1281443919886911</v>
      </c>
      <c r="Q13" s="45">
        <f t="shared" si="1"/>
        <v>2.0404215070831926</v>
      </c>
      <c r="R13" s="45">
        <f>M13/H13</f>
        <v>2.0862347068355622</v>
      </c>
    </row>
    <row r="14" spans="1:22" x14ac:dyDescent="0.25">
      <c r="A14" s="4">
        <v>204</v>
      </c>
      <c r="B14" s="5">
        <v>7</v>
      </c>
      <c r="C14" s="5" t="s">
        <v>11</v>
      </c>
      <c r="D14" s="40">
        <v>2.4500000000000002</v>
      </c>
      <c r="E14" s="40">
        <v>113.17133333333334</v>
      </c>
      <c r="F14" s="40">
        <v>291.34199999999959</v>
      </c>
      <c r="G14" s="40">
        <v>178.77205128205216</v>
      </c>
      <c r="H14" s="40">
        <v>110.49461538461486</v>
      </c>
      <c r="I14" s="4">
        <v>5.31</v>
      </c>
      <c r="J14" s="4">
        <v>202.63200000000001</v>
      </c>
      <c r="K14" s="4">
        <v>517.40533333333281</v>
      </c>
      <c r="L14" s="4">
        <v>292.06189743589886</v>
      </c>
      <c r="M14" s="4">
        <v>171.78076923076839</v>
      </c>
      <c r="N14" s="45">
        <f t="shared" si="1"/>
        <v>2.16734693877551</v>
      </c>
      <c r="O14" s="45">
        <f t="shared" si="1"/>
        <v>1.7904887574591917</v>
      </c>
      <c r="P14" s="45">
        <f t="shared" si="1"/>
        <v>1.7759380155739082</v>
      </c>
      <c r="Q14" s="45">
        <f t="shared" si="1"/>
        <v>1.6337111720842039</v>
      </c>
      <c r="R14" s="45">
        <f>M14/H14</f>
        <v>1.5546528546465888</v>
      </c>
    </row>
    <row r="15" spans="1:22" x14ac:dyDescent="0.25">
      <c r="A15" s="4">
        <v>215</v>
      </c>
      <c r="B15" s="5">
        <v>7</v>
      </c>
      <c r="C15" s="5" t="s">
        <v>11</v>
      </c>
      <c r="D15" s="40">
        <v>201.20931220247041</v>
      </c>
      <c r="E15" s="40">
        <v>1246.5294633077337</v>
      </c>
      <c r="F15" s="40">
        <v>2816.5485464271155</v>
      </c>
      <c r="G15" s="40">
        <v>1766.8620276293227</v>
      </c>
      <c r="H15" s="40">
        <v>893.7720328937736</v>
      </c>
      <c r="I15" s="4">
        <v>783.55435321532798</v>
      </c>
      <c r="J15" s="4">
        <v>4426.3554427030404</v>
      </c>
      <c r="K15" s="4">
        <v>9426.9211300075458</v>
      </c>
      <c r="L15" s="4">
        <v>5860.9870958226993</v>
      </c>
      <c r="M15" s="4">
        <v>3336.5143625388446</v>
      </c>
      <c r="N15" s="45">
        <f t="shared" si="1"/>
        <v>3.8942250964352119</v>
      </c>
      <c r="O15" s="45">
        <f t="shared" si="1"/>
        <v>3.5509432973669677</v>
      </c>
      <c r="P15" s="45">
        <f t="shared" si="1"/>
        <v>3.3469762635428051</v>
      </c>
      <c r="Q15" s="45">
        <f t="shared" si="1"/>
        <v>3.3171730470016643</v>
      </c>
      <c r="R15" s="45">
        <f>M15/H15</f>
        <v>3.7330708947517439</v>
      </c>
    </row>
    <row r="16" spans="1:22" x14ac:dyDescent="0.25">
      <c r="A16" s="4">
        <v>350</v>
      </c>
      <c r="B16" s="5">
        <v>7</v>
      </c>
      <c r="C16" s="5" t="s">
        <v>11</v>
      </c>
      <c r="D16" s="40">
        <v>44.288760845406365</v>
      </c>
      <c r="E16" s="40">
        <v>474.35023590901147</v>
      </c>
      <c r="F16" s="40">
        <v>1014.6863567240357</v>
      </c>
      <c r="G16" s="40">
        <v>433.64193585794601</v>
      </c>
      <c r="H16" s="40">
        <v>100.00775365258657</v>
      </c>
      <c r="I16" s="4">
        <v>87.183587021057306</v>
      </c>
      <c r="J16" s="4">
        <v>1070.6294659877362</v>
      </c>
      <c r="K16" s="4">
        <v>2397.767120903688</v>
      </c>
      <c r="L16" s="4">
        <v>1005.7996036283801</v>
      </c>
      <c r="M16" s="4">
        <v>212.43831202350648</v>
      </c>
      <c r="N16" s="45">
        <f t="shared" si="1"/>
        <v>1.9685262210288279</v>
      </c>
      <c r="O16" s="45">
        <f t="shared" si="1"/>
        <v>2.2570442363880292</v>
      </c>
      <c r="P16" s="45">
        <f t="shared" si="1"/>
        <v>2.363062344353378</v>
      </c>
      <c r="Q16" s="45">
        <f t="shared" si="1"/>
        <v>2.3194242079895693</v>
      </c>
      <c r="R16" s="45">
        <f>M16/H16</f>
        <v>2.1242184157189299</v>
      </c>
    </row>
    <row r="17" spans="1:18" x14ac:dyDescent="0.25">
      <c r="A17" s="4">
        <v>870</v>
      </c>
      <c r="B17" s="5">
        <v>8</v>
      </c>
      <c r="C17" s="5" t="s">
        <v>15</v>
      </c>
      <c r="D17" s="40">
        <v>0</v>
      </c>
      <c r="E17" s="40">
        <v>29.48</v>
      </c>
      <c r="F17" s="40">
        <v>0</v>
      </c>
      <c r="G17" s="40">
        <v>23.77</v>
      </c>
      <c r="H17" s="40">
        <v>0</v>
      </c>
      <c r="I17" s="4">
        <v>0</v>
      </c>
      <c r="J17" s="4">
        <v>323.86</v>
      </c>
      <c r="K17" s="4">
        <v>0</v>
      </c>
      <c r="L17" s="4">
        <v>322.45999999999998</v>
      </c>
      <c r="M17" s="4">
        <v>0</v>
      </c>
      <c r="N17" s="45">
        <v>0</v>
      </c>
      <c r="O17" s="45">
        <f t="shared" ref="O17:O48" si="2">J17/E17</f>
        <v>10.985753052917232</v>
      </c>
      <c r="P17" s="45">
        <v>0</v>
      </c>
      <c r="Q17" s="45">
        <f t="shared" ref="Q17:Q48" si="3">L17/G17</f>
        <v>13.565839293226755</v>
      </c>
      <c r="R17" s="45">
        <v>0</v>
      </c>
    </row>
    <row r="18" spans="1:18" x14ac:dyDescent="0.25">
      <c r="A18" s="4">
        <v>10</v>
      </c>
      <c r="B18" s="5">
        <v>9</v>
      </c>
      <c r="C18" s="5" t="s">
        <v>10</v>
      </c>
      <c r="D18" s="40">
        <v>83.471336466165397</v>
      </c>
      <c r="E18" s="40">
        <v>806.82754080656184</v>
      </c>
      <c r="F18" s="40">
        <v>1995.7452728643452</v>
      </c>
      <c r="G18" s="40">
        <v>1072.2860005721491</v>
      </c>
      <c r="H18" s="40">
        <v>477.61984929077863</v>
      </c>
      <c r="I18" s="4">
        <v>371.14096616541343</v>
      </c>
      <c r="J18" s="4">
        <v>2719.3538338345857</v>
      </c>
      <c r="K18" s="4">
        <v>5447.3801819921446</v>
      </c>
      <c r="L18" s="4">
        <v>3274.7624075468675</v>
      </c>
      <c r="M18" s="4">
        <v>1653.812610460988</v>
      </c>
      <c r="N18" s="45">
        <f>I18/D18</f>
        <v>4.4463283071531166</v>
      </c>
      <c r="O18" s="45">
        <f t="shared" si="2"/>
        <v>3.3704276270937994</v>
      </c>
      <c r="P18" s="45">
        <f>K18/F18</f>
        <v>2.7294967228828373</v>
      </c>
      <c r="Q18" s="45">
        <f t="shared" si="3"/>
        <v>3.0540008969617469</v>
      </c>
      <c r="R18" s="45">
        <f>M18/H18</f>
        <v>3.4626128141800367</v>
      </c>
    </row>
    <row r="19" spans="1:18" x14ac:dyDescent="0.25">
      <c r="A19" s="4">
        <v>20</v>
      </c>
      <c r="B19" s="5">
        <v>9</v>
      </c>
      <c r="C19" s="5" t="s">
        <v>10</v>
      </c>
      <c r="D19" s="40">
        <v>48.798728058555263</v>
      </c>
      <c r="E19" s="40">
        <v>633.14510730234804</v>
      </c>
      <c r="F19" s="40">
        <v>997.37781757755033</v>
      </c>
      <c r="G19" s="40">
        <v>598.7012887079768</v>
      </c>
      <c r="H19" s="40">
        <v>138.05742602878999</v>
      </c>
      <c r="I19" s="4">
        <v>431.64548721089818</v>
      </c>
      <c r="J19" s="4">
        <v>5053.558512370606</v>
      </c>
      <c r="K19" s="4">
        <v>8566.1477696714537</v>
      </c>
      <c r="L19" s="4">
        <v>4904.4296368288569</v>
      </c>
      <c r="M19" s="4">
        <v>1341.743917548979</v>
      </c>
      <c r="N19" s="45">
        <f>I19/D19</f>
        <v>8.8454249605225783</v>
      </c>
      <c r="O19" s="45">
        <f t="shared" si="2"/>
        <v>7.9816750600859692</v>
      </c>
      <c r="P19" s="45">
        <f>K19/F19</f>
        <v>8.588668826099493</v>
      </c>
      <c r="Q19" s="45">
        <f t="shared" si="3"/>
        <v>8.1917806581188888</v>
      </c>
      <c r="R19" s="45">
        <f>M19/H19</f>
        <v>9.7187377466328879</v>
      </c>
    </row>
    <row r="20" spans="1:18" x14ac:dyDescent="0.25">
      <c r="A20" s="4">
        <v>50</v>
      </c>
      <c r="B20" s="5">
        <v>9</v>
      </c>
      <c r="C20" s="5" t="s">
        <v>10</v>
      </c>
      <c r="D20" s="40">
        <v>43.834133157547782</v>
      </c>
      <c r="E20" s="40">
        <v>282.30860995534391</v>
      </c>
      <c r="F20" s="40">
        <v>271.98734049914776</v>
      </c>
      <c r="G20" s="40">
        <v>251.62573034144893</v>
      </c>
      <c r="H20" s="40">
        <v>5.7641860465114823</v>
      </c>
      <c r="I20" s="4">
        <v>468.39814800680011</v>
      </c>
      <c r="J20" s="4">
        <v>2374.4192248309682</v>
      </c>
      <c r="K20" s="4">
        <v>1985.8193997374781</v>
      </c>
      <c r="L20" s="4">
        <v>1927.8102041689403</v>
      </c>
      <c r="M20" s="4">
        <v>49.613023255812699</v>
      </c>
      <c r="N20" s="45">
        <f>I20/D20</f>
        <v>10.685694326913975</v>
      </c>
      <c r="O20" s="45">
        <f t="shared" si="2"/>
        <v>8.4107219585210604</v>
      </c>
      <c r="P20" s="45">
        <f>K20/F20</f>
        <v>7.3011464287018919</v>
      </c>
      <c r="Q20" s="45">
        <f t="shared" si="3"/>
        <v>7.661419210002717</v>
      </c>
      <c r="R20" s="45">
        <f>M20/H20</f>
        <v>8.6071169208424116</v>
      </c>
    </row>
    <row r="21" spans="1:18" x14ac:dyDescent="0.25">
      <c r="A21" s="4">
        <v>60</v>
      </c>
      <c r="B21" s="5">
        <v>9</v>
      </c>
      <c r="C21" s="5" t="s">
        <v>10</v>
      </c>
      <c r="D21" s="40">
        <v>54.233500000000006</v>
      </c>
      <c r="E21" s="40">
        <v>131.28649999999999</v>
      </c>
      <c r="F21" s="40">
        <v>2.0984615384612804</v>
      </c>
      <c r="G21" s="40">
        <v>129.48153846153872</v>
      </c>
      <c r="H21" s="40">
        <v>0</v>
      </c>
      <c r="I21" s="4">
        <v>633.05900000000008</v>
      </c>
      <c r="J21" s="4">
        <v>1324.9009999999998</v>
      </c>
      <c r="K21" s="4">
        <v>21.349230769228146</v>
      </c>
      <c r="L21" s="4">
        <v>1328.3507692307719</v>
      </c>
      <c r="M21" s="4">
        <v>0</v>
      </c>
      <c r="N21" s="45">
        <f>I21/D21</f>
        <v>11.672840587459781</v>
      </c>
      <c r="O21" s="45">
        <f t="shared" si="2"/>
        <v>10.091677362105013</v>
      </c>
      <c r="P21" s="45">
        <f>K21/F21</f>
        <v>10.173753665689151</v>
      </c>
      <c r="Q21" s="45">
        <f t="shared" si="3"/>
        <v>10.258997421669855</v>
      </c>
      <c r="R21" s="45">
        <v>0</v>
      </c>
    </row>
    <row r="22" spans="1:18" x14ac:dyDescent="0.25">
      <c r="A22" s="4">
        <v>110</v>
      </c>
      <c r="B22" s="5">
        <v>9</v>
      </c>
      <c r="C22" s="5" t="s">
        <v>10</v>
      </c>
      <c r="D22" s="40">
        <v>0</v>
      </c>
      <c r="E22" s="40">
        <v>104.18</v>
      </c>
      <c r="F22" s="40">
        <v>0</v>
      </c>
      <c r="G22" s="40">
        <v>106.83</v>
      </c>
      <c r="H22" s="40">
        <v>0</v>
      </c>
      <c r="I22" s="4">
        <v>0</v>
      </c>
      <c r="J22" s="4">
        <v>1540.7099999999998</v>
      </c>
      <c r="K22" s="4">
        <v>0</v>
      </c>
      <c r="L22" s="4">
        <v>1544.41</v>
      </c>
      <c r="M22" s="4">
        <v>0</v>
      </c>
      <c r="N22" s="45">
        <v>0</v>
      </c>
      <c r="O22" s="45">
        <f t="shared" si="2"/>
        <v>14.788923017853712</v>
      </c>
      <c r="P22" s="45">
        <v>0</v>
      </c>
      <c r="Q22" s="45">
        <f t="shared" si="3"/>
        <v>14.456706917532529</v>
      </c>
      <c r="R22" s="45">
        <v>0</v>
      </c>
    </row>
    <row r="23" spans="1:18" x14ac:dyDescent="0.25">
      <c r="A23" s="4">
        <v>120</v>
      </c>
      <c r="B23" s="5">
        <v>9</v>
      </c>
      <c r="C23" s="5" t="s">
        <v>10</v>
      </c>
      <c r="D23" s="40">
        <v>36.811445035460984</v>
      </c>
      <c r="E23" s="40">
        <v>517.04645293461601</v>
      </c>
      <c r="F23" s="40">
        <v>1236.3561291281267</v>
      </c>
      <c r="G23" s="40">
        <v>603.86304480854199</v>
      </c>
      <c r="H23" s="40">
        <v>272.96631008838796</v>
      </c>
      <c r="I23" s="4">
        <v>134.62173997545005</v>
      </c>
      <c r="J23" s="4">
        <v>1974.0267453605509</v>
      </c>
      <c r="K23" s="4">
        <v>4445.7789365377394</v>
      </c>
      <c r="L23" s="4">
        <v>2215.3361592459541</v>
      </c>
      <c r="M23" s="4">
        <v>1072.7117751542014</v>
      </c>
      <c r="N23" s="45">
        <f>I23/D23</f>
        <v>3.6570620861464969</v>
      </c>
      <c r="O23" s="45">
        <f t="shared" si="2"/>
        <v>3.8178905089794317</v>
      </c>
      <c r="P23" s="45">
        <f t="shared" ref="P23:P54" si="4">K23/F23</f>
        <v>3.5958724446756976</v>
      </c>
      <c r="Q23" s="45">
        <f t="shared" si="3"/>
        <v>3.6686069437290012</v>
      </c>
      <c r="R23" s="45">
        <f t="shared" ref="R23:R36" si="5">M23/H23</f>
        <v>3.929832127660192</v>
      </c>
    </row>
    <row r="24" spans="1:18" x14ac:dyDescent="0.25">
      <c r="A24" s="4">
        <v>150</v>
      </c>
      <c r="B24" s="5">
        <v>9</v>
      </c>
      <c r="C24" s="5" t="s">
        <v>10</v>
      </c>
      <c r="D24" s="40">
        <v>0</v>
      </c>
      <c r="E24" s="40">
        <v>817.61195700311009</v>
      </c>
      <c r="F24" s="40">
        <v>1340.0985980385158</v>
      </c>
      <c r="G24" s="40">
        <v>896.23412580943852</v>
      </c>
      <c r="H24" s="40">
        <v>293.83531914893547</v>
      </c>
      <c r="I24" s="4">
        <v>0</v>
      </c>
      <c r="J24" s="4">
        <v>7161.1232026794933</v>
      </c>
      <c r="K24" s="4">
        <v>9868.338448569335</v>
      </c>
      <c r="L24" s="4">
        <v>7202.8815352924948</v>
      </c>
      <c r="M24" s="4">
        <v>1959.8668134586792</v>
      </c>
      <c r="N24" s="45">
        <v>0</v>
      </c>
      <c r="O24" s="45">
        <f t="shared" si="2"/>
        <v>8.7585842420015556</v>
      </c>
      <c r="P24" s="45">
        <f t="shared" si="4"/>
        <v>7.3638898384144937</v>
      </c>
      <c r="Q24" s="45">
        <f t="shared" si="3"/>
        <v>8.0368302521254424</v>
      </c>
      <c r="R24" s="45">
        <f t="shared" si="5"/>
        <v>6.6699497498640969</v>
      </c>
    </row>
    <row r="25" spans="1:18" x14ac:dyDescent="0.25">
      <c r="A25" s="4">
        <v>950</v>
      </c>
      <c r="B25" s="5">
        <v>9</v>
      </c>
      <c r="C25" s="5" t="s">
        <v>10</v>
      </c>
      <c r="D25" s="40">
        <v>202.17000000000002</v>
      </c>
      <c r="E25" s="40">
        <v>392.63428571428568</v>
      </c>
      <c r="F25" s="40">
        <v>309.42714285714158</v>
      </c>
      <c r="G25" s="40">
        <v>273.45857142857267</v>
      </c>
      <c r="H25" s="40">
        <v>26.16</v>
      </c>
      <c r="I25" s="4">
        <v>1701.5885714285716</v>
      </c>
      <c r="J25" s="4">
        <v>3304.6642857142856</v>
      </c>
      <c r="K25" s="4">
        <v>2611.2971428571323</v>
      </c>
      <c r="L25" s="4">
        <v>2345.2700000000109</v>
      </c>
      <c r="M25" s="4">
        <v>224.37</v>
      </c>
      <c r="N25" s="45">
        <f t="shared" ref="N25:N37" si="6">I25/D25</f>
        <v>8.4166225029854651</v>
      </c>
      <c r="O25" s="45">
        <f t="shared" si="2"/>
        <v>8.4166472617193762</v>
      </c>
      <c r="P25" s="45">
        <f t="shared" si="4"/>
        <v>8.4391340680243214</v>
      </c>
      <c r="Q25" s="45">
        <f t="shared" si="3"/>
        <v>8.5763265263476853</v>
      </c>
      <c r="R25" s="45">
        <f t="shared" si="5"/>
        <v>8.5768348623853221</v>
      </c>
    </row>
    <row r="26" spans="1:18" x14ac:dyDescent="0.25">
      <c r="A26" s="4">
        <v>1</v>
      </c>
      <c r="B26" s="5">
        <v>10</v>
      </c>
      <c r="C26" s="5" t="s">
        <v>0</v>
      </c>
      <c r="D26" s="40">
        <v>78.088549666153028</v>
      </c>
      <c r="E26" s="40">
        <v>592.48473431812374</v>
      </c>
      <c r="F26" s="40">
        <v>2056.0246148436245</v>
      </c>
      <c r="G26" s="40">
        <v>983.34922306421265</v>
      </c>
      <c r="H26" s="40">
        <v>388.54287810788554</v>
      </c>
      <c r="I26" s="4">
        <v>226.03021664098608</v>
      </c>
      <c r="J26" s="4">
        <v>1469.3117869364994</v>
      </c>
      <c r="K26" s="4">
        <v>4588.2222368802368</v>
      </c>
      <c r="L26" s="4">
        <v>2201.1120383894831</v>
      </c>
      <c r="M26" s="4">
        <v>1194.493721152794</v>
      </c>
      <c r="N26" s="45">
        <f t="shared" si="6"/>
        <v>2.8945372606780198</v>
      </c>
      <c r="O26" s="45">
        <f t="shared" si="2"/>
        <v>2.4799150118652333</v>
      </c>
      <c r="P26" s="45">
        <f t="shared" si="4"/>
        <v>2.2315988844468206</v>
      </c>
      <c r="Q26" s="45">
        <f t="shared" si="3"/>
        <v>2.238382851954265</v>
      </c>
      <c r="R26" s="45">
        <f t="shared" si="5"/>
        <v>3.0742906084643828</v>
      </c>
    </row>
    <row r="27" spans="1:18" x14ac:dyDescent="0.25">
      <c r="A27" s="4">
        <v>2</v>
      </c>
      <c r="B27" s="5">
        <v>10</v>
      </c>
      <c r="C27" s="5" t="s">
        <v>0</v>
      </c>
      <c r="D27" s="40">
        <v>63.664679802955639</v>
      </c>
      <c r="E27" s="40">
        <v>648.65559046731471</v>
      </c>
      <c r="F27" s="40">
        <v>1428.1042575596216</v>
      </c>
      <c r="G27" s="40">
        <v>872.06058816522579</v>
      </c>
      <c r="H27" s="40">
        <v>346.07488400488273</v>
      </c>
      <c r="I27" s="4">
        <v>116.15054187192115</v>
      </c>
      <c r="J27" s="4">
        <v>1310.4886473172678</v>
      </c>
      <c r="K27" s="4">
        <v>2667.3895912986104</v>
      </c>
      <c r="L27" s="4">
        <v>1721.7970168259988</v>
      </c>
      <c r="M27" s="4">
        <v>764.44420268620013</v>
      </c>
      <c r="N27" s="45">
        <f t="shared" si="6"/>
        <v>1.8244109957265324</v>
      </c>
      <c r="O27" s="45">
        <f t="shared" si="2"/>
        <v>2.0203150432622414</v>
      </c>
      <c r="P27" s="45">
        <f t="shared" si="4"/>
        <v>1.8677835159295084</v>
      </c>
      <c r="Q27" s="45">
        <f t="shared" si="3"/>
        <v>1.9744006783388506</v>
      </c>
      <c r="R27" s="45">
        <f t="shared" si="5"/>
        <v>2.2088982414436487</v>
      </c>
    </row>
    <row r="28" spans="1:18" x14ac:dyDescent="0.25">
      <c r="A28" s="4">
        <v>3</v>
      </c>
      <c r="B28" s="5">
        <v>10</v>
      </c>
      <c r="C28" s="5" t="s">
        <v>0</v>
      </c>
      <c r="D28" s="40">
        <v>96.849907711238714</v>
      </c>
      <c r="E28" s="40">
        <v>926.2134861400807</v>
      </c>
      <c r="F28" s="40">
        <v>2565.1600676871399</v>
      </c>
      <c r="G28" s="40">
        <v>1206.9894645444056</v>
      </c>
      <c r="H28" s="40">
        <v>427.65707391713602</v>
      </c>
      <c r="I28" s="4">
        <v>236.22543068088595</v>
      </c>
      <c r="J28" s="4">
        <v>1911.8952346494304</v>
      </c>
      <c r="K28" s="4">
        <v>4828.5376703340135</v>
      </c>
      <c r="L28" s="4">
        <v>2363.4899555203206</v>
      </c>
      <c r="M28" s="4">
        <v>1024.1417088153498</v>
      </c>
      <c r="N28" s="45">
        <f t="shared" si="6"/>
        <v>2.4390878242775416</v>
      </c>
      <c r="O28" s="45">
        <f t="shared" si="2"/>
        <v>2.064205783287715</v>
      </c>
      <c r="P28" s="45">
        <f t="shared" si="4"/>
        <v>1.8823533592145902</v>
      </c>
      <c r="Q28" s="45">
        <f t="shared" si="3"/>
        <v>1.9581694993605032</v>
      </c>
      <c r="R28" s="45">
        <f t="shared" si="5"/>
        <v>2.3947732219993401</v>
      </c>
    </row>
    <row r="29" spans="1:18" x14ac:dyDescent="0.25">
      <c r="A29" s="4">
        <v>4</v>
      </c>
      <c r="B29" s="5">
        <v>10</v>
      </c>
      <c r="C29" s="5" t="s">
        <v>0</v>
      </c>
      <c r="D29" s="40">
        <v>59.859999999999985</v>
      </c>
      <c r="E29" s="40">
        <v>423.85219999999993</v>
      </c>
      <c r="F29" s="40">
        <v>1000.7774054459557</v>
      </c>
      <c r="G29" s="40">
        <v>645.91167839325715</v>
      </c>
      <c r="H29" s="40">
        <v>265.21871616078698</v>
      </c>
      <c r="I29" s="4">
        <v>170.03400000000002</v>
      </c>
      <c r="J29" s="4">
        <v>1176.3778</v>
      </c>
      <c r="K29" s="4">
        <v>2681.0321121978286</v>
      </c>
      <c r="L29" s="4">
        <v>1731.101752281254</v>
      </c>
      <c r="M29" s="4">
        <v>889.39433552091725</v>
      </c>
      <c r="N29" s="45">
        <f t="shared" si="6"/>
        <v>2.8405278984296705</v>
      </c>
      <c r="O29" s="45">
        <f t="shared" si="2"/>
        <v>2.7754434210793293</v>
      </c>
      <c r="P29" s="45">
        <f t="shared" si="4"/>
        <v>2.6789494822808635</v>
      </c>
      <c r="Q29" s="45">
        <f t="shared" si="3"/>
        <v>2.6800904987311429</v>
      </c>
      <c r="R29" s="45">
        <f t="shared" si="5"/>
        <v>3.3534373003364069</v>
      </c>
    </row>
    <row r="30" spans="1:18" x14ac:dyDescent="0.25">
      <c r="A30" s="4">
        <v>5</v>
      </c>
      <c r="B30" s="5">
        <v>10</v>
      </c>
      <c r="C30" s="5" t="s">
        <v>0</v>
      </c>
      <c r="D30" s="40">
        <v>61.864736842105216</v>
      </c>
      <c r="E30" s="40">
        <v>553.53676315789471</v>
      </c>
      <c r="F30" s="40">
        <v>1241.8362591973225</v>
      </c>
      <c r="G30" s="40">
        <v>670.28081223124946</v>
      </c>
      <c r="H30" s="40">
        <v>198.771428571428</v>
      </c>
      <c r="I30" s="4">
        <v>141.38297368421044</v>
      </c>
      <c r="J30" s="4">
        <v>1049.7076929824561</v>
      </c>
      <c r="K30" s="4">
        <v>2195.2325273132637</v>
      </c>
      <c r="L30" s="4">
        <v>1252.4710917343568</v>
      </c>
      <c r="M30" s="4">
        <v>407.00571428571334</v>
      </c>
      <c r="N30" s="45">
        <f t="shared" si="6"/>
        <v>2.2853564227559278</v>
      </c>
      <c r="O30" s="45">
        <f t="shared" si="2"/>
        <v>1.8963649080757263</v>
      </c>
      <c r="P30" s="45">
        <f t="shared" si="4"/>
        <v>1.767731060399365</v>
      </c>
      <c r="Q30" s="45">
        <f t="shared" si="3"/>
        <v>1.8685766754460658</v>
      </c>
      <c r="R30" s="45">
        <f t="shared" si="5"/>
        <v>2.0476067270375173</v>
      </c>
    </row>
    <row r="31" spans="1:18" x14ac:dyDescent="0.25">
      <c r="A31" s="4">
        <v>6</v>
      </c>
      <c r="B31" s="5">
        <v>10</v>
      </c>
      <c r="C31" s="5" t="s">
        <v>0</v>
      </c>
      <c r="D31" s="40">
        <v>16.127894736842098</v>
      </c>
      <c r="E31" s="40">
        <v>248.96827127106306</v>
      </c>
      <c r="F31" s="40">
        <v>724.74351790014009</v>
      </c>
      <c r="G31" s="40">
        <v>373.28031609195483</v>
      </c>
      <c r="H31" s="40">
        <v>145.53</v>
      </c>
      <c r="I31" s="4">
        <v>43.552105263157877</v>
      </c>
      <c r="J31" s="4">
        <v>604.96834928229669</v>
      </c>
      <c r="K31" s="4">
        <v>1592.0614707419002</v>
      </c>
      <c r="L31" s="4">
        <v>849.8480747126456</v>
      </c>
      <c r="M31" s="4">
        <v>376.88999999999993</v>
      </c>
      <c r="N31" s="45">
        <f t="shared" si="6"/>
        <v>2.700420977058382</v>
      </c>
      <c r="O31" s="45">
        <f t="shared" si="2"/>
        <v>2.4299013934335441</v>
      </c>
      <c r="P31" s="45">
        <f t="shared" si="4"/>
        <v>2.1967239877559894</v>
      </c>
      <c r="Q31" s="45">
        <f t="shared" si="3"/>
        <v>2.2767020870805625</v>
      </c>
      <c r="R31" s="45">
        <f t="shared" si="5"/>
        <v>2.5897753040610176</v>
      </c>
    </row>
    <row r="32" spans="1:18" x14ac:dyDescent="0.25">
      <c r="A32" s="4">
        <v>7</v>
      </c>
      <c r="B32" s="5">
        <v>10</v>
      </c>
      <c r="C32" s="5" t="s">
        <v>0</v>
      </c>
      <c r="D32" s="40">
        <v>157.40996897479366</v>
      </c>
      <c r="E32" s="40">
        <v>1401.2616608383953</v>
      </c>
      <c r="F32" s="40">
        <v>3824.072408814844</v>
      </c>
      <c r="G32" s="40">
        <v>2037.7329192089157</v>
      </c>
      <c r="H32" s="40">
        <v>904.84542421772335</v>
      </c>
      <c r="I32" s="4">
        <v>519.88841016544598</v>
      </c>
      <c r="J32" s="4">
        <v>3839.0230423799235</v>
      </c>
      <c r="K32" s="4">
        <v>9609.7073553134269</v>
      </c>
      <c r="L32" s="4">
        <v>5218.0221897108277</v>
      </c>
      <c r="M32" s="4">
        <v>2859.1967317072731</v>
      </c>
      <c r="N32" s="45">
        <f t="shared" si="6"/>
        <v>3.3027667405785248</v>
      </c>
      <c r="O32" s="45">
        <f t="shared" si="2"/>
        <v>2.7396903445449152</v>
      </c>
      <c r="P32" s="45">
        <f t="shared" si="4"/>
        <v>2.5129512017508229</v>
      </c>
      <c r="Q32" s="45">
        <f t="shared" si="3"/>
        <v>2.5606997563432192</v>
      </c>
      <c r="R32" s="45">
        <f t="shared" si="5"/>
        <v>3.1598731177528672</v>
      </c>
    </row>
    <row r="33" spans="1:18" x14ac:dyDescent="0.25">
      <c r="A33" s="4">
        <v>8</v>
      </c>
      <c r="B33" s="5">
        <v>10</v>
      </c>
      <c r="C33" s="5" t="s">
        <v>0</v>
      </c>
      <c r="D33" s="40">
        <v>26.192105263157906</v>
      </c>
      <c r="E33" s="40">
        <v>176.51831140350876</v>
      </c>
      <c r="F33" s="40">
        <v>602.57202777777684</v>
      </c>
      <c r="G33" s="40">
        <v>342.68755555555691</v>
      </c>
      <c r="H33" s="40">
        <v>162.24474619289305</v>
      </c>
      <c r="I33" s="4">
        <v>85.974736842105301</v>
      </c>
      <c r="J33" s="4">
        <v>548.86359649122801</v>
      </c>
      <c r="K33" s="4">
        <v>1595.4519333333308</v>
      </c>
      <c r="L33" s="4">
        <v>967.93473333333679</v>
      </c>
      <c r="M33" s="4">
        <v>484.76078680202943</v>
      </c>
      <c r="N33" s="45">
        <f t="shared" si="6"/>
        <v>3.2824675977092332</v>
      </c>
      <c r="O33" s="45">
        <f t="shared" si="2"/>
        <v>3.1093861714808919</v>
      </c>
      <c r="P33" s="45">
        <f t="shared" si="4"/>
        <v>2.647736469310054</v>
      </c>
      <c r="Q33" s="45">
        <f t="shared" si="3"/>
        <v>2.8245400734326171</v>
      </c>
      <c r="R33" s="45">
        <f t="shared" si="5"/>
        <v>2.9878365751560088</v>
      </c>
    </row>
    <row r="34" spans="1:18" x14ac:dyDescent="0.25">
      <c r="A34" s="4">
        <v>9</v>
      </c>
      <c r="B34" s="5">
        <v>10</v>
      </c>
      <c r="C34" s="5" t="s">
        <v>0</v>
      </c>
      <c r="D34" s="40">
        <v>5.1552941176470615</v>
      </c>
      <c r="E34" s="40">
        <v>176.18846763783887</v>
      </c>
      <c r="F34" s="40">
        <v>572.09288689316213</v>
      </c>
      <c r="G34" s="40">
        <v>308.24077070619086</v>
      </c>
      <c r="H34" s="40">
        <v>81.182580645161153</v>
      </c>
      <c r="I34" s="4">
        <v>16.981176470588245</v>
      </c>
      <c r="J34" s="4">
        <v>460.33503042596351</v>
      </c>
      <c r="K34" s="4">
        <v>1618.4797544934079</v>
      </c>
      <c r="L34" s="4">
        <v>852.85597409391187</v>
      </c>
      <c r="M34" s="4">
        <v>216.95806451612867</v>
      </c>
      <c r="N34" s="45">
        <f t="shared" si="6"/>
        <v>3.2939297124600642</v>
      </c>
      <c r="O34" s="45">
        <f t="shared" si="2"/>
        <v>2.6127421198315726</v>
      </c>
      <c r="P34" s="45">
        <f t="shared" si="4"/>
        <v>2.8290506516919125</v>
      </c>
      <c r="Q34" s="45">
        <f t="shared" si="3"/>
        <v>2.766849992426335</v>
      </c>
      <c r="R34" s="45">
        <f t="shared" si="5"/>
        <v>2.6724706555514057</v>
      </c>
    </row>
    <row r="35" spans="1:18" x14ac:dyDescent="0.25">
      <c r="A35" s="4">
        <v>11</v>
      </c>
      <c r="B35" s="5">
        <v>10</v>
      </c>
      <c r="C35" s="5" t="s">
        <v>0</v>
      </c>
      <c r="D35" s="40">
        <v>170.32674941830811</v>
      </c>
      <c r="E35" s="40">
        <v>1422.0867305425918</v>
      </c>
      <c r="F35" s="40">
        <v>3185.1401625117578</v>
      </c>
      <c r="G35" s="40">
        <v>1893.3271890100827</v>
      </c>
      <c r="H35" s="40">
        <v>530.76916851726025</v>
      </c>
      <c r="I35" s="4">
        <v>717.85002410314644</v>
      </c>
      <c r="J35" s="4">
        <v>4983.7449738021742</v>
      </c>
      <c r="K35" s="4">
        <v>9612.0413375160024</v>
      </c>
      <c r="L35" s="4">
        <v>5919.8803035020028</v>
      </c>
      <c r="M35" s="4">
        <v>2143.7533610766723</v>
      </c>
      <c r="N35" s="45">
        <f t="shared" si="6"/>
        <v>4.2145466085316254</v>
      </c>
      <c r="O35" s="45">
        <f t="shared" si="2"/>
        <v>3.5045295527795588</v>
      </c>
      <c r="P35" s="45">
        <f t="shared" si="4"/>
        <v>3.0177765646382353</v>
      </c>
      <c r="Q35" s="45">
        <f t="shared" si="3"/>
        <v>3.1267074903187675</v>
      </c>
      <c r="R35" s="45">
        <f t="shared" si="5"/>
        <v>4.038956081539915</v>
      </c>
    </row>
    <row r="36" spans="1:18" x14ac:dyDescent="0.25">
      <c r="A36" s="4">
        <v>13</v>
      </c>
      <c r="B36" s="5">
        <v>10</v>
      </c>
      <c r="C36" s="5" t="s">
        <v>0</v>
      </c>
      <c r="D36" s="40">
        <v>161.53663793103448</v>
      </c>
      <c r="E36" s="40">
        <v>1232.715820942751</v>
      </c>
      <c r="F36" s="40">
        <v>2863.8941450630491</v>
      </c>
      <c r="G36" s="40">
        <v>1550.9338724143392</v>
      </c>
      <c r="H36" s="40">
        <v>491.74952364882728</v>
      </c>
      <c r="I36" s="4">
        <v>489.97895905172413</v>
      </c>
      <c r="J36" s="4">
        <v>3280.2269630490814</v>
      </c>
      <c r="K36" s="4">
        <v>7430.8343115137213</v>
      </c>
      <c r="L36" s="4">
        <v>4256.6920005470683</v>
      </c>
      <c r="M36" s="4">
        <v>1426.4377658384058</v>
      </c>
      <c r="N36" s="45">
        <f t="shared" si="6"/>
        <v>3.0332373220551547</v>
      </c>
      <c r="O36" s="45">
        <f t="shared" si="2"/>
        <v>2.6609757961412743</v>
      </c>
      <c r="P36" s="45">
        <f t="shared" si="4"/>
        <v>2.5946609529278293</v>
      </c>
      <c r="Q36" s="45">
        <f t="shared" si="3"/>
        <v>2.7445992870867375</v>
      </c>
      <c r="R36" s="45">
        <f t="shared" si="5"/>
        <v>2.9007405136950712</v>
      </c>
    </row>
    <row r="37" spans="1:18" x14ac:dyDescent="0.25">
      <c r="A37" s="4">
        <v>14</v>
      </c>
      <c r="B37" s="5">
        <v>10</v>
      </c>
      <c r="C37" s="5" t="s">
        <v>0</v>
      </c>
      <c r="D37" s="40">
        <v>2.3863636363636362</v>
      </c>
      <c r="E37" s="40">
        <v>67.425693101225008</v>
      </c>
      <c r="F37" s="40">
        <v>109.18794326241135</v>
      </c>
      <c r="G37" s="40">
        <v>50</v>
      </c>
      <c r="H37" s="40">
        <v>0</v>
      </c>
      <c r="I37" s="4">
        <v>3.773863636363636</v>
      </c>
      <c r="J37" s="4">
        <v>114.23672590264346</v>
      </c>
      <c r="K37" s="4">
        <v>215.6494104609929</v>
      </c>
      <c r="L37" s="4">
        <v>100.94999999999999</v>
      </c>
      <c r="M37" s="4">
        <v>0</v>
      </c>
      <c r="N37" s="45">
        <f t="shared" si="6"/>
        <v>1.5814285714285714</v>
      </c>
      <c r="O37" s="45">
        <f t="shared" si="2"/>
        <v>1.6942610546270822</v>
      </c>
      <c r="P37" s="45">
        <f t="shared" si="4"/>
        <v>1.9750295134942026</v>
      </c>
      <c r="Q37" s="45">
        <f t="shared" si="3"/>
        <v>2.0189999999999997</v>
      </c>
      <c r="R37" s="45">
        <v>0</v>
      </c>
    </row>
    <row r="38" spans="1:18" x14ac:dyDescent="0.25">
      <c r="A38" s="4">
        <v>18</v>
      </c>
      <c r="B38" s="5">
        <v>10</v>
      </c>
      <c r="C38" s="5" t="s">
        <v>0</v>
      </c>
      <c r="D38" s="40">
        <v>0</v>
      </c>
      <c r="E38" s="40">
        <v>20</v>
      </c>
      <c r="F38" s="40">
        <v>65.999999999999758</v>
      </c>
      <c r="G38" s="40">
        <v>28.000000000000242</v>
      </c>
      <c r="H38" s="40">
        <v>0</v>
      </c>
      <c r="I38" s="4">
        <v>0</v>
      </c>
      <c r="J38" s="4">
        <v>47.26</v>
      </c>
      <c r="K38" s="4">
        <v>172.1799999999995</v>
      </c>
      <c r="L38" s="4">
        <v>74.520000000000493</v>
      </c>
      <c r="M38" s="4">
        <v>0</v>
      </c>
      <c r="N38" s="45">
        <v>0</v>
      </c>
      <c r="O38" s="45">
        <f t="shared" si="2"/>
        <v>2.363</v>
      </c>
      <c r="P38" s="45">
        <f t="shared" si="4"/>
        <v>2.6087878787878807</v>
      </c>
      <c r="Q38" s="45">
        <f t="shared" si="3"/>
        <v>2.6614285714285661</v>
      </c>
      <c r="R38" s="45">
        <v>0</v>
      </c>
    </row>
    <row r="39" spans="1:18" x14ac:dyDescent="0.25">
      <c r="A39" s="4">
        <v>25</v>
      </c>
      <c r="B39" s="5">
        <v>10</v>
      </c>
      <c r="C39" s="5" t="s">
        <v>0</v>
      </c>
      <c r="D39" s="40">
        <v>0</v>
      </c>
      <c r="E39" s="40">
        <v>49.15094339622641</v>
      </c>
      <c r="F39" s="40">
        <v>216.82489693990772</v>
      </c>
      <c r="G39" s="40">
        <v>79.082983193277698</v>
      </c>
      <c r="H39" s="40">
        <v>0.94117647058817866</v>
      </c>
      <c r="I39" s="4">
        <v>0</v>
      </c>
      <c r="J39" s="4">
        <v>169.81490566037732</v>
      </c>
      <c r="K39" s="4">
        <v>857.1012638074086</v>
      </c>
      <c r="L39" s="4">
        <v>342.25088935574365</v>
      </c>
      <c r="M39" s="4">
        <v>4.9129411764702926</v>
      </c>
      <c r="N39" s="45">
        <v>0</v>
      </c>
      <c r="O39" s="45">
        <f t="shared" si="2"/>
        <v>3.4549673704414583</v>
      </c>
      <c r="P39" s="45">
        <f t="shared" si="4"/>
        <v>3.9529651617680757</v>
      </c>
      <c r="Q39" s="45">
        <f t="shared" si="3"/>
        <v>4.3277437893217465</v>
      </c>
      <c r="R39" s="45">
        <f t="shared" ref="R39:R46" si="7">M39/H39</f>
        <v>5.22</v>
      </c>
    </row>
    <row r="40" spans="1:18" x14ac:dyDescent="0.25">
      <c r="A40" s="4">
        <v>27</v>
      </c>
      <c r="B40" s="5">
        <v>10</v>
      </c>
      <c r="C40" s="5" t="s">
        <v>0</v>
      </c>
      <c r="D40" s="40">
        <v>8.789775171065493</v>
      </c>
      <c r="E40" s="40">
        <v>219.3025325212422</v>
      </c>
      <c r="F40" s="40">
        <v>511.62170649208866</v>
      </c>
      <c r="G40" s="40">
        <v>276.04434295846113</v>
      </c>
      <c r="H40" s="40">
        <v>51.26164285714249</v>
      </c>
      <c r="I40" s="4">
        <v>31.254936461388066</v>
      </c>
      <c r="J40" s="4">
        <v>667.28942251297099</v>
      </c>
      <c r="K40" s="4">
        <v>1450.5572296781208</v>
      </c>
      <c r="L40" s="4">
        <v>818.17237466798463</v>
      </c>
      <c r="M40" s="4">
        <v>171.88603667953544</v>
      </c>
      <c r="N40" s="45">
        <f t="shared" ref="N40:N46" si="8">I40/D40</f>
        <v>3.5558288867585852</v>
      </c>
      <c r="O40" s="45">
        <f t="shared" si="2"/>
        <v>3.0427802854868338</v>
      </c>
      <c r="P40" s="45">
        <f t="shared" si="4"/>
        <v>2.8352144001547579</v>
      </c>
      <c r="Q40" s="45">
        <f t="shared" si="3"/>
        <v>2.9639164704458456</v>
      </c>
      <c r="R40" s="45">
        <f t="shared" si="7"/>
        <v>3.3531121341263423</v>
      </c>
    </row>
    <row r="41" spans="1:18" x14ac:dyDescent="0.25">
      <c r="A41" s="4">
        <v>28</v>
      </c>
      <c r="B41" s="5">
        <v>10</v>
      </c>
      <c r="C41" s="5" t="s">
        <v>0</v>
      </c>
      <c r="D41" s="40">
        <v>18.127058823529417</v>
      </c>
      <c r="E41" s="40">
        <v>300.64873065015479</v>
      </c>
      <c r="F41" s="40">
        <v>459.79690617848843</v>
      </c>
      <c r="G41" s="40">
        <v>287.22730434782784</v>
      </c>
      <c r="H41" s="40">
        <v>100.56999999999952</v>
      </c>
      <c r="I41" s="4">
        <v>43.110588235294131</v>
      </c>
      <c r="J41" s="4">
        <v>638.77256965944264</v>
      </c>
      <c r="K41" s="4">
        <v>929.9769290617827</v>
      </c>
      <c r="L41" s="4">
        <v>578.90167774936413</v>
      </c>
      <c r="M41" s="4">
        <v>213.6382352941167</v>
      </c>
      <c r="N41" s="45">
        <f t="shared" si="8"/>
        <v>2.3782450674974038</v>
      </c>
      <c r="O41" s="45">
        <f t="shared" si="2"/>
        <v>2.1246474857156152</v>
      </c>
      <c r="P41" s="45">
        <f t="shared" si="4"/>
        <v>2.0225819629607842</v>
      </c>
      <c r="Q41" s="45">
        <f t="shared" si="3"/>
        <v>2.0154827517662568</v>
      </c>
      <c r="R41" s="45">
        <f t="shared" si="7"/>
        <v>2.1242739911913864</v>
      </c>
    </row>
    <row r="42" spans="1:18" x14ac:dyDescent="0.25">
      <c r="A42" s="4">
        <v>30</v>
      </c>
      <c r="B42" s="5">
        <v>10</v>
      </c>
      <c r="C42" s="5" t="s">
        <v>0</v>
      </c>
      <c r="D42" s="40">
        <v>56.728661078549734</v>
      </c>
      <c r="E42" s="40">
        <v>963.55981529939174</v>
      </c>
      <c r="F42" s="40">
        <v>2192.2231445384541</v>
      </c>
      <c r="G42" s="40">
        <v>1343.5618155318136</v>
      </c>
      <c r="H42" s="40">
        <v>582.72301594605153</v>
      </c>
      <c r="I42" s="4">
        <v>456.65765890152443</v>
      </c>
      <c r="J42" s="4">
        <v>6981.7290707888133</v>
      </c>
      <c r="K42" s="4">
        <v>13435.971137122697</v>
      </c>
      <c r="L42" s="4">
        <v>8116.3925194333215</v>
      </c>
      <c r="M42" s="4">
        <v>3472.8097069155565</v>
      </c>
      <c r="N42" s="45">
        <f t="shared" si="8"/>
        <v>8.0498578711246189</v>
      </c>
      <c r="O42" s="45">
        <f t="shared" si="2"/>
        <v>7.2457661267448046</v>
      </c>
      <c r="P42" s="45">
        <f t="shared" si="4"/>
        <v>6.1289249548323133</v>
      </c>
      <c r="Q42" s="45">
        <f t="shared" si="3"/>
        <v>6.0409520616069763</v>
      </c>
      <c r="R42" s="45">
        <f t="shared" si="7"/>
        <v>5.9596233748849707</v>
      </c>
    </row>
    <row r="43" spans="1:18" x14ac:dyDescent="0.25">
      <c r="A43" s="4">
        <v>31</v>
      </c>
      <c r="B43" s="5">
        <v>10</v>
      </c>
      <c r="C43" s="5" t="s">
        <v>0</v>
      </c>
      <c r="D43" s="40">
        <v>6.9596296296296316</v>
      </c>
      <c r="E43" s="40">
        <v>168.46972520908</v>
      </c>
      <c r="F43" s="40">
        <v>59.958457661289764</v>
      </c>
      <c r="G43" s="40">
        <v>129.57089717742002</v>
      </c>
      <c r="H43" s="40">
        <v>0.20129032258054869</v>
      </c>
      <c r="I43" s="4">
        <v>28.017407407407415</v>
      </c>
      <c r="J43" s="4">
        <v>627.29420549581835</v>
      </c>
      <c r="K43" s="4">
        <v>241.11994959677222</v>
      </c>
      <c r="L43" s="4">
        <v>502.67779233871215</v>
      </c>
      <c r="M43" s="4">
        <v>0.95064516128986687</v>
      </c>
      <c r="N43" s="45">
        <f t="shared" si="8"/>
        <v>4.0257037943696448</v>
      </c>
      <c r="O43" s="45">
        <f t="shared" si="2"/>
        <v>3.7234832829299891</v>
      </c>
      <c r="P43" s="45">
        <f t="shared" si="4"/>
        <v>4.0214501673621852</v>
      </c>
      <c r="Q43" s="45">
        <f t="shared" si="3"/>
        <v>3.8795578582002168</v>
      </c>
      <c r="R43" s="45">
        <f t="shared" si="7"/>
        <v>4.7227564102564097</v>
      </c>
    </row>
    <row r="44" spans="1:18" x14ac:dyDescent="0.25">
      <c r="A44" s="4">
        <v>35</v>
      </c>
      <c r="B44" s="5">
        <v>10</v>
      </c>
      <c r="C44" s="5" t="s">
        <v>0</v>
      </c>
      <c r="D44" s="40">
        <v>23.456956521739116</v>
      </c>
      <c r="E44" s="40">
        <v>254.4661204013378</v>
      </c>
      <c r="F44" s="40">
        <v>614.11868444055824</v>
      </c>
      <c r="G44" s="40">
        <v>474.07203173981401</v>
      </c>
      <c r="H44" s="40">
        <v>190.51620689655104</v>
      </c>
      <c r="I44" s="4">
        <v>59.133043478260838</v>
      </c>
      <c r="J44" s="4">
        <v>553.53349498327771</v>
      </c>
      <c r="K44" s="4">
        <v>1188.2537456293683</v>
      </c>
      <c r="L44" s="4">
        <v>994.00247452978442</v>
      </c>
      <c r="M44" s="4">
        <v>431.63724137930882</v>
      </c>
      <c r="N44" s="45">
        <f t="shared" si="8"/>
        <v>2.5209171285054959</v>
      </c>
      <c r="O44" s="45">
        <f t="shared" si="2"/>
        <v>2.17527384042425</v>
      </c>
      <c r="P44" s="45">
        <f t="shared" si="4"/>
        <v>1.9348926774827377</v>
      </c>
      <c r="Q44" s="45">
        <f t="shared" si="3"/>
        <v>2.096733002539422</v>
      </c>
      <c r="R44" s="45">
        <f t="shared" si="7"/>
        <v>2.2656195418255667</v>
      </c>
    </row>
    <row r="45" spans="1:18" x14ac:dyDescent="0.25">
      <c r="A45" s="4">
        <v>41</v>
      </c>
      <c r="B45" s="5">
        <v>10</v>
      </c>
      <c r="C45" s="5" t="s">
        <v>0</v>
      </c>
      <c r="D45" s="40">
        <v>44.040083333333335</v>
      </c>
      <c r="E45" s="40">
        <v>973.19463157349924</v>
      </c>
      <c r="F45" s="40">
        <v>2056.0790682586053</v>
      </c>
      <c r="G45" s="40">
        <v>1118.4643070989091</v>
      </c>
      <c r="H45" s="40">
        <v>507.86190973565311</v>
      </c>
      <c r="I45" s="4">
        <v>275.23673648648651</v>
      </c>
      <c r="J45" s="4">
        <v>4170.9017109255228</v>
      </c>
      <c r="K45" s="4">
        <v>8461.2951270217072</v>
      </c>
      <c r="L45" s="4">
        <v>4942.3106255447983</v>
      </c>
      <c r="M45" s="4">
        <v>2559.7958000214853</v>
      </c>
      <c r="N45" s="45">
        <f t="shared" si="8"/>
        <v>6.249687004523981</v>
      </c>
      <c r="O45" s="45">
        <f t="shared" si="2"/>
        <v>4.2857837226062845</v>
      </c>
      <c r="P45" s="45">
        <f t="shared" si="4"/>
        <v>4.1152576560141707</v>
      </c>
      <c r="Q45" s="45">
        <f t="shared" si="3"/>
        <v>4.4188362508985595</v>
      </c>
      <c r="R45" s="45">
        <f t="shared" si="7"/>
        <v>5.0403382316147374</v>
      </c>
    </row>
    <row r="46" spans="1:18" x14ac:dyDescent="0.25">
      <c r="A46" s="4">
        <v>44</v>
      </c>
      <c r="B46" s="5">
        <v>10</v>
      </c>
      <c r="C46" s="5" t="s">
        <v>0</v>
      </c>
      <c r="D46" s="40">
        <v>56.260999999999981</v>
      </c>
      <c r="E46" s="40">
        <v>812.16124424506165</v>
      </c>
      <c r="F46" s="40">
        <v>1777.6127620635466</v>
      </c>
      <c r="G46" s="40">
        <v>998.00520142086179</v>
      </c>
      <c r="H46" s="40">
        <v>343.86979227053058</v>
      </c>
      <c r="I46" s="4">
        <v>244.37649999999994</v>
      </c>
      <c r="J46" s="4">
        <v>3026.317049072728</v>
      </c>
      <c r="K46" s="4">
        <v>6656.1499846868519</v>
      </c>
      <c r="L46" s="4">
        <v>3765.6379445012926</v>
      </c>
      <c r="M46" s="4">
        <v>1541.6885217391266</v>
      </c>
      <c r="N46" s="45">
        <f t="shared" si="8"/>
        <v>4.3436216917580568</v>
      </c>
      <c r="O46" s="45">
        <f t="shared" si="2"/>
        <v>3.7262514931820196</v>
      </c>
      <c r="P46" s="45">
        <f t="shared" si="4"/>
        <v>3.7444319295728064</v>
      </c>
      <c r="Q46" s="45">
        <f t="shared" si="3"/>
        <v>3.7731646479799377</v>
      </c>
      <c r="R46" s="45">
        <f t="shared" si="7"/>
        <v>4.4833496759326952</v>
      </c>
    </row>
    <row r="47" spans="1:18" x14ac:dyDescent="0.25">
      <c r="A47" s="4">
        <v>83</v>
      </c>
      <c r="B47" s="5">
        <v>10</v>
      </c>
      <c r="C47" s="5" t="s">
        <v>0</v>
      </c>
      <c r="D47" s="40">
        <v>0</v>
      </c>
      <c r="E47" s="40">
        <v>39</v>
      </c>
      <c r="F47" s="40">
        <v>85.66406249999973</v>
      </c>
      <c r="G47" s="40">
        <v>44.64062500000027</v>
      </c>
      <c r="H47" s="40">
        <v>0</v>
      </c>
      <c r="I47" s="4">
        <v>0</v>
      </c>
      <c r="J47" s="4">
        <v>102.3</v>
      </c>
      <c r="K47" s="4">
        <v>175.48890624999945</v>
      </c>
      <c r="L47" s="4">
        <v>95.878359375000542</v>
      </c>
      <c r="M47" s="4">
        <v>0</v>
      </c>
      <c r="N47" s="45">
        <v>0</v>
      </c>
      <c r="O47" s="45">
        <f t="shared" si="2"/>
        <v>2.6230769230769231</v>
      </c>
      <c r="P47" s="45">
        <f t="shared" si="4"/>
        <v>2.0485709074327407</v>
      </c>
      <c r="Q47" s="45">
        <f t="shared" si="3"/>
        <v>2.1477826391319557</v>
      </c>
      <c r="R47" s="45">
        <v>0</v>
      </c>
    </row>
    <row r="48" spans="1:18" x14ac:dyDescent="0.25">
      <c r="A48" s="4">
        <v>84</v>
      </c>
      <c r="B48" s="5">
        <v>10</v>
      </c>
      <c r="C48" s="5" t="s">
        <v>0</v>
      </c>
      <c r="D48" s="40">
        <v>0</v>
      </c>
      <c r="E48" s="40">
        <v>41</v>
      </c>
      <c r="F48" s="40">
        <v>60.681037632444117</v>
      </c>
      <c r="G48" s="40">
        <v>34.579466569236551</v>
      </c>
      <c r="H48" s="40">
        <v>0</v>
      </c>
      <c r="I48" s="4">
        <v>0</v>
      </c>
      <c r="J48" s="4">
        <v>136.87</v>
      </c>
      <c r="K48" s="4">
        <v>236.62639386189213</v>
      </c>
      <c r="L48" s="4">
        <v>113.36856412130116</v>
      </c>
      <c r="M48" s="4">
        <v>0</v>
      </c>
      <c r="N48" s="45">
        <v>0</v>
      </c>
      <c r="O48" s="45">
        <f t="shared" si="2"/>
        <v>3.3382926829268293</v>
      </c>
      <c r="P48" s="45">
        <f t="shared" si="4"/>
        <v>3.8995113316153303</v>
      </c>
      <c r="Q48" s="45">
        <f t="shared" si="3"/>
        <v>3.2784937238493708</v>
      </c>
      <c r="R48" s="45">
        <v>0</v>
      </c>
    </row>
    <row r="49" spans="1:18" x14ac:dyDescent="0.25">
      <c r="A49" s="4">
        <v>88</v>
      </c>
      <c r="B49" s="5">
        <v>10</v>
      </c>
      <c r="C49" s="5" t="s">
        <v>0</v>
      </c>
      <c r="D49" s="40">
        <v>1.1111111111111112</v>
      </c>
      <c r="E49" s="40">
        <v>79.388888888888886</v>
      </c>
      <c r="F49" s="40">
        <v>123.54054054054012</v>
      </c>
      <c r="G49" s="40">
        <v>83.916666666667183</v>
      </c>
      <c r="H49" s="40">
        <v>38.556306306306205</v>
      </c>
      <c r="I49" s="4">
        <v>0.98333333333333339</v>
      </c>
      <c r="J49" s="4">
        <v>153.67666666666668</v>
      </c>
      <c r="K49" s="4">
        <v>215.1962530712525</v>
      </c>
      <c r="L49" s="4">
        <v>117.31003071253143</v>
      </c>
      <c r="M49" s="4">
        <v>74.876824324324232</v>
      </c>
      <c r="N49" s="45">
        <f t="shared" ref="N49:N74" si="9">I49/D49</f>
        <v>0.88500000000000001</v>
      </c>
      <c r="O49" s="45">
        <f t="shared" ref="O49:O80" si="10">J49/E49</f>
        <v>1.9357452764170751</v>
      </c>
      <c r="P49" s="45">
        <f t="shared" si="4"/>
        <v>1.7419079771683155</v>
      </c>
      <c r="Q49" s="45">
        <f t="shared" ref="Q49:Q79" si="11">L49/G49</f>
        <v>1.3979348247769299</v>
      </c>
      <c r="R49" s="45">
        <f t="shared" ref="R49:R59" si="12">M49/H49</f>
        <v>1.9420123839009316</v>
      </c>
    </row>
    <row r="50" spans="1:18" x14ac:dyDescent="0.25">
      <c r="A50" s="4">
        <v>105</v>
      </c>
      <c r="B50" s="5">
        <v>10</v>
      </c>
      <c r="C50" s="5" t="s">
        <v>0</v>
      </c>
      <c r="D50" s="40">
        <v>26.999765291607392</v>
      </c>
      <c r="E50" s="40">
        <v>257.41255469295299</v>
      </c>
      <c r="F50" s="40">
        <v>523.23020419739009</v>
      </c>
      <c r="G50" s="40">
        <v>241.49221378069501</v>
      </c>
      <c r="H50" s="40">
        <v>79.992000626566025</v>
      </c>
      <c r="I50" s="4">
        <v>153.34312944523469</v>
      </c>
      <c r="J50" s="4">
        <v>1102.8117502272012</v>
      </c>
      <c r="K50" s="4">
        <v>1980.3370044603696</v>
      </c>
      <c r="L50" s="4">
        <v>928.49322817857592</v>
      </c>
      <c r="M50" s="4">
        <v>336.94248934836895</v>
      </c>
      <c r="N50" s="45">
        <f t="shared" si="9"/>
        <v>5.6794245353273451</v>
      </c>
      <c r="O50" s="45">
        <f t="shared" si="10"/>
        <v>4.2842189711479213</v>
      </c>
      <c r="P50" s="45">
        <f t="shared" si="4"/>
        <v>3.7848292942073387</v>
      </c>
      <c r="Q50" s="45">
        <f t="shared" si="11"/>
        <v>3.844816417235561</v>
      </c>
      <c r="R50" s="45">
        <f t="shared" si="12"/>
        <v>4.2122023040947356</v>
      </c>
    </row>
    <row r="51" spans="1:18" x14ac:dyDescent="0.25">
      <c r="A51" s="4">
        <v>115</v>
      </c>
      <c r="B51" s="5">
        <v>10</v>
      </c>
      <c r="C51" s="5" t="s">
        <v>0</v>
      </c>
      <c r="D51" s="40">
        <v>0.83799999999999564</v>
      </c>
      <c r="E51" s="40">
        <v>225.73798669623062</v>
      </c>
      <c r="F51" s="40">
        <v>541.02515471791014</v>
      </c>
      <c r="G51" s="40">
        <v>218.34600144300236</v>
      </c>
      <c r="H51" s="40">
        <v>66.892857142856926</v>
      </c>
      <c r="I51" s="4">
        <v>2.7459999999999853</v>
      </c>
      <c r="J51" s="4">
        <v>959.50944345898017</v>
      </c>
      <c r="K51" s="4">
        <v>2444.4556084890692</v>
      </c>
      <c r="L51" s="4">
        <v>978.19656709957098</v>
      </c>
      <c r="M51" s="4">
        <v>335.12238095238001</v>
      </c>
      <c r="N51" s="45">
        <f t="shared" si="9"/>
        <v>3.2768496420047728</v>
      </c>
      <c r="O51" s="45">
        <f t="shared" si="10"/>
        <v>4.2505448794941438</v>
      </c>
      <c r="P51" s="45">
        <f t="shared" si="4"/>
        <v>4.518192152754164</v>
      </c>
      <c r="Q51" s="45">
        <f t="shared" si="11"/>
        <v>4.4800296805752229</v>
      </c>
      <c r="R51" s="45">
        <f t="shared" si="12"/>
        <v>5.0098380494749977</v>
      </c>
    </row>
    <row r="52" spans="1:18" x14ac:dyDescent="0.25">
      <c r="A52" s="4">
        <v>101</v>
      </c>
      <c r="B52" s="5">
        <v>10</v>
      </c>
      <c r="C52" s="5" t="s">
        <v>0</v>
      </c>
      <c r="D52" s="40">
        <v>36.427533577533588</v>
      </c>
      <c r="E52" s="40">
        <v>485.09649594807354</v>
      </c>
      <c r="F52" s="40">
        <v>1085.9374880942792</v>
      </c>
      <c r="G52" s="40">
        <v>586.56217257419087</v>
      </c>
      <c r="H52" s="40">
        <v>216.09673815632721</v>
      </c>
      <c r="I52" s="4">
        <v>273.92975030525037</v>
      </c>
      <c r="J52" s="4">
        <v>3315.1969243855719</v>
      </c>
      <c r="K52" s="4">
        <v>7581.4168539171797</v>
      </c>
      <c r="L52" s="4">
        <v>3966.8243533963118</v>
      </c>
      <c r="M52" s="4">
        <v>1648.8405008753537</v>
      </c>
      <c r="N52" s="45">
        <f t="shared" si="9"/>
        <v>7.5198544453252394</v>
      </c>
      <c r="O52" s="45">
        <f t="shared" si="10"/>
        <v>6.8340978590380139</v>
      </c>
      <c r="P52" s="45">
        <f t="shared" si="4"/>
        <v>6.9814486902205317</v>
      </c>
      <c r="Q52" s="45">
        <f t="shared" si="11"/>
        <v>6.7628369828000992</v>
      </c>
      <c r="R52" s="45">
        <f t="shared" si="12"/>
        <v>7.6301036051851963</v>
      </c>
    </row>
    <row r="53" spans="1:18" x14ac:dyDescent="0.25">
      <c r="A53" s="4">
        <v>302</v>
      </c>
      <c r="B53" s="5">
        <v>10</v>
      </c>
      <c r="C53" s="5" t="s">
        <v>0</v>
      </c>
      <c r="D53" s="40">
        <v>74.094693877551009</v>
      </c>
      <c r="E53" s="40">
        <v>458.56606083943024</v>
      </c>
      <c r="F53" s="40">
        <v>1192.7098103600165</v>
      </c>
      <c r="G53" s="40">
        <v>615.4480686250198</v>
      </c>
      <c r="H53" s="40">
        <v>293.42136629798239</v>
      </c>
      <c r="I53" s="4">
        <v>260.98396217023395</v>
      </c>
      <c r="J53" s="4">
        <v>1684.4299925467474</v>
      </c>
      <c r="K53" s="4">
        <v>4298.2106762413077</v>
      </c>
      <c r="L53" s="4">
        <v>2172.5140808179017</v>
      </c>
      <c r="M53" s="4">
        <v>1213.4912882238095</v>
      </c>
      <c r="N53" s="45">
        <f t="shared" si="9"/>
        <v>3.5223029951582823</v>
      </c>
      <c r="O53" s="45">
        <f t="shared" si="10"/>
        <v>3.6732548184296636</v>
      </c>
      <c r="P53" s="45">
        <f t="shared" si="4"/>
        <v>3.6037354928303169</v>
      </c>
      <c r="Q53" s="45">
        <f t="shared" si="11"/>
        <v>3.5299714006277449</v>
      </c>
      <c r="R53" s="45">
        <f t="shared" si="12"/>
        <v>4.1356609558945872</v>
      </c>
    </row>
    <row r="54" spans="1:18" x14ac:dyDescent="0.25">
      <c r="A54" s="4">
        <v>303</v>
      </c>
      <c r="B54" s="5">
        <v>10</v>
      </c>
      <c r="C54" s="5" t="s">
        <v>0</v>
      </c>
      <c r="D54" s="40">
        <v>209.56815867561292</v>
      </c>
      <c r="E54" s="40">
        <v>994.0628806646024</v>
      </c>
      <c r="F54" s="40">
        <v>2179.2377880985009</v>
      </c>
      <c r="G54" s="40">
        <v>1117.7773753269573</v>
      </c>
      <c r="H54" s="40">
        <v>473.54379825653683</v>
      </c>
      <c r="I54" s="4">
        <v>778.11098955104876</v>
      </c>
      <c r="J54" s="4">
        <v>2964.7306383148557</v>
      </c>
      <c r="K54" s="4">
        <v>6547.9821574266743</v>
      </c>
      <c r="L54" s="4">
        <v>3364.6947635463066</v>
      </c>
      <c r="M54" s="4">
        <v>1716.909887920295</v>
      </c>
      <c r="N54" s="45">
        <f t="shared" si="9"/>
        <v>3.7129256394120151</v>
      </c>
      <c r="O54" s="45">
        <f t="shared" si="10"/>
        <v>2.9824377270105091</v>
      </c>
      <c r="P54" s="45">
        <f t="shared" si="4"/>
        <v>3.0047121030973547</v>
      </c>
      <c r="Q54" s="45">
        <f t="shared" si="11"/>
        <v>3.0101653851797732</v>
      </c>
      <c r="R54" s="45">
        <f t="shared" si="12"/>
        <v>3.6256622813803152</v>
      </c>
    </row>
    <row r="55" spans="1:18" x14ac:dyDescent="0.25">
      <c r="A55" s="4">
        <v>304</v>
      </c>
      <c r="B55" s="5">
        <v>10</v>
      </c>
      <c r="C55" s="5" t="s">
        <v>0</v>
      </c>
      <c r="D55" s="40">
        <v>33.387849807445463</v>
      </c>
      <c r="E55" s="40">
        <v>276.51056192478364</v>
      </c>
      <c r="F55" s="40">
        <v>369.06042019033856</v>
      </c>
      <c r="G55" s="40">
        <v>224.44091072675172</v>
      </c>
      <c r="H55" s="40">
        <v>46.108290094339438</v>
      </c>
      <c r="I55" s="4">
        <v>186.13452121831818</v>
      </c>
      <c r="J55" s="4">
        <v>1308.0904765042492</v>
      </c>
      <c r="K55" s="4">
        <v>1653.1963127242302</v>
      </c>
      <c r="L55" s="4">
        <v>1129.4391305499028</v>
      </c>
      <c r="M55" s="4">
        <v>229.9797641509424</v>
      </c>
      <c r="N55" s="45">
        <f t="shared" si="9"/>
        <v>5.5749178905438335</v>
      </c>
      <c r="O55" s="45">
        <f t="shared" si="10"/>
        <v>4.7307070927007686</v>
      </c>
      <c r="P55" s="45">
        <f t="shared" ref="P55:P86" si="13">K55/F55</f>
        <v>4.4794733390039863</v>
      </c>
      <c r="Q55" s="45">
        <f t="shared" si="11"/>
        <v>5.0322337709855045</v>
      </c>
      <c r="R55" s="45">
        <f t="shared" si="12"/>
        <v>4.9878181056030151</v>
      </c>
    </row>
    <row r="56" spans="1:18" x14ac:dyDescent="0.25">
      <c r="A56" s="4">
        <v>305</v>
      </c>
      <c r="B56" s="5">
        <v>10</v>
      </c>
      <c r="C56" s="5" t="s">
        <v>0</v>
      </c>
      <c r="D56" s="40">
        <v>79.1819261006208</v>
      </c>
      <c r="E56" s="40">
        <v>458.28914475586026</v>
      </c>
      <c r="F56" s="40">
        <v>989.82026907258296</v>
      </c>
      <c r="G56" s="40">
        <v>490.54928072615496</v>
      </c>
      <c r="H56" s="40">
        <v>224.39049458318175</v>
      </c>
      <c r="I56" s="4">
        <v>299.05059647557982</v>
      </c>
      <c r="J56" s="4">
        <v>1431.2015941029681</v>
      </c>
      <c r="K56" s="4">
        <v>3335.4183508888755</v>
      </c>
      <c r="L56" s="4">
        <v>1761.8405996104584</v>
      </c>
      <c r="M56" s="4">
        <v>1013.0837116932508</v>
      </c>
      <c r="N56" s="45">
        <f t="shared" si="9"/>
        <v>3.7767532466381266</v>
      </c>
      <c r="O56" s="45">
        <f t="shared" si="10"/>
        <v>3.1229227453454032</v>
      </c>
      <c r="P56" s="45">
        <f t="shared" si="13"/>
        <v>3.3697212060670494</v>
      </c>
      <c r="Q56" s="45">
        <f t="shared" si="11"/>
        <v>3.5915669818176559</v>
      </c>
      <c r="R56" s="45">
        <f t="shared" si="12"/>
        <v>4.5148245409196681</v>
      </c>
    </row>
    <row r="57" spans="1:18" x14ac:dyDescent="0.25">
      <c r="A57" s="4">
        <v>306</v>
      </c>
      <c r="B57" s="5">
        <v>10</v>
      </c>
      <c r="C57" s="5" t="s">
        <v>0</v>
      </c>
      <c r="D57" s="40">
        <v>47.59869802043314</v>
      </c>
      <c r="E57" s="40">
        <v>264.41867744087773</v>
      </c>
      <c r="F57" s="40">
        <v>354.74337830825118</v>
      </c>
      <c r="G57" s="40">
        <v>238.44457214621193</v>
      </c>
      <c r="H57" s="40">
        <v>77.678837209301875</v>
      </c>
      <c r="I57" s="4">
        <v>292.65073358668928</v>
      </c>
      <c r="J57" s="4">
        <v>1986.7555808436503</v>
      </c>
      <c r="K57" s="4">
        <v>2401.6503425012979</v>
      </c>
      <c r="L57" s="4">
        <v>1710.3498701037834</v>
      </c>
      <c r="M57" s="4">
        <v>609.2116279069736</v>
      </c>
      <c r="N57" s="45">
        <f t="shared" si="9"/>
        <v>6.1482928264353021</v>
      </c>
      <c r="O57" s="45">
        <f t="shared" si="10"/>
        <v>7.5136733912750007</v>
      </c>
      <c r="P57" s="45">
        <f t="shared" si="13"/>
        <v>6.7701061932561419</v>
      </c>
      <c r="Q57" s="45">
        <f t="shared" si="11"/>
        <v>7.1729452874901813</v>
      </c>
      <c r="R57" s="45">
        <f t="shared" si="12"/>
        <v>7.8426975710962603</v>
      </c>
    </row>
    <row r="58" spans="1:18" x14ac:dyDescent="0.25">
      <c r="A58" s="4">
        <v>308</v>
      </c>
      <c r="B58" s="5">
        <v>10</v>
      </c>
      <c r="C58" s="5" t="s">
        <v>0</v>
      </c>
      <c r="D58" s="40">
        <v>5.7245759955816586</v>
      </c>
      <c r="E58" s="40">
        <v>128.44046030180118</v>
      </c>
      <c r="F58" s="40">
        <v>264.95166198115197</v>
      </c>
      <c r="G58" s="40">
        <v>166.74953696790297</v>
      </c>
      <c r="H58" s="40">
        <v>21.727114923833433</v>
      </c>
      <c r="I58" s="4">
        <v>39.509115329506081</v>
      </c>
      <c r="J58" s="4">
        <v>668.92018608320848</v>
      </c>
      <c r="K58" s="4">
        <v>1246.6350546470021</v>
      </c>
      <c r="L58" s="4">
        <v>733.48992364330411</v>
      </c>
      <c r="M58" s="4">
        <v>103.5402434177673</v>
      </c>
      <c r="N58" s="45">
        <f t="shared" si="9"/>
        <v>6.9016666666666664</v>
      </c>
      <c r="O58" s="45">
        <f t="shared" si="10"/>
        <v>5.2080176644604244</v>
      </c>
      <c r="P58" s="45">
        <f t="shared" si="13"/>
        <v>4.7051414787339008</v>
      </c>
      <c r="Q58" s="45">
        <f t="shared" si="11"/>
        <v>4.398752386247951</v>
      </c>
      <c r="R58" s="45">
        <f t="shared" si="12"/>
        <v>4.7654851452085536</v>
      </c>
    </row>
    <row r="59" spans="1:18" x14ac:dyDescent="0.25">
      <c r="A59" s="4">
        <v>309</v>
      </c>
      <c r="B59" s="5">
        <v>10</v>
      </c>
      <c r="C59" s="5" t="s">
        <v>0</v>
      </c>
      <c r="D59" s="40">
        <v>58.39431992788213</v>
      </c>
      <c r="E59" s="40">
        <v>297.98615218555028</v>
      </c>
      <c r="F59" s="40">
        <v>712.2281102582275</v>
      </c>
      <c r="G59" s="40">
        <v>404.69713845477122</v>
      </c>
      <c r="H59" s="40">
        <v>147.88654439042762</v>
      </c>
      <c r="I59" s="4">
        <v>349.6552686969826</v>
      </c>
      <c r="J59" s="4">
        <v>1718.4564242298907</v>
      </c>
      <c r="K59" s="4">
        <v>3490.9697346486832</v>
      </c>
      <c r="L59" s="4">
        <v>2408.1413570401696</v>
      </c>
      <c r="M59" s="4">
        <v>831.44625130300551</v>
      </c>
      <c r="N59" s="45">
        <f t="shared" si="9"/>
        <v>5.9878301370546341</v>
      </c>
      <c r="O59" s="45">
        <f t="shared" si="10"/>
        <v>5.7669002791775394</v>
      </c>
      <c r="P59" s="45">
        <f t="shared" si="13"/>
        <v>4.901477046985673</v>
      </c>
      <c r="Q59" s="45">
        <f t="shared" si="11"/>
        <v>5.950477846804203</v>
      </c>
      <c r="R59" s="45">
        <f t="shared" si="12"/>
        <v>5.6221900020055058</v>
      </c>
    </row>
    <row r="60" spans="1:18" x14ac:dyDescent="0.25">
      <c r="A60" s="4">
        <v>311</v>
      </c>
      <c r="B60" s="5">
        <v>10</v>
      </c>
      <c r="C60" s="5" t="s">
        <v>0</v>
      </c>
      <c r="D60" s="40">
        <v>14.639457843855434</v>
      </c>
      <c r="E60" s="40">
        <v>155.62876923076919</v>
      </c>
      <c r="F60" s="40">
        <v>255.55848552652529</v>
      </c>
      <c r="G60" s="40">
        <v>51.128000000000199</v>
      </c>
      <c r="H60" s="40">
        <v>0</v>
      </c>
      <c r="I60" s="4">
        <v>38.20853570331974</v>
      </c>
      <c r="J60" s="4">
        <v>655.55238461538454</v>
      </c>
      <c r="K60" s="4">
        <v>955.53663672361188</v>
      </c>
      <c r="L60" s="4">
        <v>216.70480000000089</v>
      </c>
      <c r="M60" s="4">
        <v>0</v>
      </c>
      <c r="N60" s="45">
        <f t="shared" si="9"/>
        <v>2.609969311080524</v>
      </c>
      <c r="O60" s="45">
        <f t="shared" si="10"/>
        <v>4.2122827794346911</v>
      </c>
      <c r="P60" s="45">
        <f t="shared" si="13"/>
        <v>3.7390135363923709</v>
      </c>
      <c r="Q60" s="45">
        <f t="shared" si="11"/>
        <v>4.2384759818494766</v>
      </c>
      <c r="R60" s="45">
        <v>0</v>
      </c>
    </row>
    <row r="61" spans="1:18" x14ac:dyDescent="0.25">
      <c r="A61" s="4">
        <v>313</v>
      </c>
      <c r="B61" s="5">
        <v>10</v>
      </c>
      <c r="C61" s="5" t="s">
        <v>0</v>
      </c>
      <c r="D61" s="40">
        <v>7.1162790697674376</v>
      </c>
      <c r="E61" s="40">
        <v>107.103783469389</v>
      </c>
      <c r="F61" s="40">
        <v>190.62879842596723</v>
      </c>
      <c r="G61" s="40">
        <v>92.852451879105459</v>
      </c>
      <c r="H61" s="40">
        <v>8</v>
      </c>
      <c r="I61" s="4">
        <v>39.001395348837185</v>
      </c>
      <c r="J61" s="4">
        <v>435.07852991640152</v>
      </c>
      <c r="K61" s="4">
        <v>560.45471818202782</v>
      </c>
      <c r="L61" s="4">
        <v>233.50708934276824</v>
      </c>
      <c r="M61" s="4">
        <v>28.09</v>
      </c>
      <c r="N61" s="45">
        <f t="shared" si="9"/>
        <v>5.4805882352941175</v>
      </c>
      <c r="O61" s="45">
        <f t="shared" si="10"/>
        <v>4.0622143851785584</v>
      </c>
      <c r="P61" s="45">
        <f t="shared" si="13"/>
        <v>2.9400317413199586</v>
      </c>
      <c r="Q61" s="45">
        <f t="shared" si="11"/>
        <v>2.5148187755644416</v>
      </c>
      <c r="R61" s="45">
        <f>M61/H61</f>
        <v>3.51125</v>
      </c>
    </row>
    <row r="62" spans="1:18" x14ac:dyDescent="0.25">
      <c r="A62" s="4">
        <v>315</v>
      </c>
      <c r="B62" s="5">
        <v>10</v>
      </c>
      <c r="C62" s="5" t="s">
        <v>0</v>
      </c>
      <c r="D62" s="40">
        <v>19.1833688871715</v>
      </c>
      <c r="E62" s="40">
        <v>120.85132153972947</v>
      </c>
      <c r="F62" s="40">
        <v>211.15547117701738</v>
      </c>
      <c r="G62" s="40">
        <v>110.48959747108464</v>
      </c>
      <c r="H62" s="40">
        <v>41.412050765263892</v>
      </c>
      <c r="I62" s="4">
        <v>72.883742128659776</v>
      </c>
      <c r="J62" s="4">
        <v>400.00461122001377</v>
      </c>
      <c r="K62" s="4">
        <v>721.09699551619474</v>
      </c>
      <c r="L62" s="4">
        <v>515.13494427518151</v>
      </c>
      <c r="M62" s="4">
        <v>144.25152402652421</v>
      </c>
      <c r="N62" s="45">
        <f t="shared" si="9"/>
        <v>3.7993192205879613</v>
      </c>
      <c r="O62" s="45">
        <f t="shared" si="10"/>
        <v>3.3098902529461673</v>
      </c>
      <c r="P62" s="45">
        <f t="shared" si="13"/>
        <v>3.4150050268490535</v>
      </c>
      <c r="Q62" s="45">
        <f t="shared" si="11"/>
        <v>4.6622936101291659</v>
      </c>
      <c r="R62" s="45">
        <f>M62/H62</f>
        <v>3.4833223991776152</v>
      </c>
    </row>
    <row r="63" spans="1:18" x14ac:dyDescent="0.25">
      <c r="A63" s="4">
        <v>316</v>
      </c>
      <c r="B63" s="5">
        <v>10</v>
      </c>
      <c r="C63" s="5" t="s">
        <v>0</v>
      </c>
      <c r="D63" s="40">
        <v>1.9456250000000022</v>
      </c>
      <c r="E63" s="40">
        <v>34.007708333333326</v>
      </c>
      <c r="F63" s="40">
        <v>67.208888888888765</v>
      </c>
      <c r="G63" s="40">
        <v>30.647777777777904</v>
      </c>
      <c r="H63" s="40">
        <v>0</v>
      </c>
      <c r="I63" s="4">
        <v>2.4818750000000027</v>
      </c>
      <c r="J63" s="4">
        <v>59.440902777777772</v>
      </c>
      <c r="K63" s="4">
        <v>102.66888888888862</v>
      </c>
      <c r="L63" s="4">
        <v>58.518333333333615</v>
      </c>
      <c r="M63" s="4">
        <v>0</v>
      </c>
      <c r="N63" s="45">
        <f t="shared" si="9"/>
        <v>1.2756183745583038</v>
      </c>
      <c r="O63" s="45">
        <f t="shared" si="10"/>
        <v>1.7478655778612286</v>
      </c>
      <c r="P63" s="45">
        <f t="shared" si="13"/>
        <v>1.527608781907154</v>
      </c>
      <c r="Q63" s="45">
        <f t="shared" si="11"/>
        <v>1.9093825907261732</v>
      </c>
      <c r="R63" s="45">
        <v>0</v>
      </c>
    </row>
    <row r="64" spans="1:18" x14ac:dyDescent="0.25">
      <c r="A64" s="4">
        <v>318</v>
      </c>
      <c r="B64" s="5">
        <v>10</v>
      </c>
      <c r="C64" s="5" t="s">
        <v>0</v>
      </c>
      <c r="D64" s="40">
        <v>33.205028461013512</v>
      </c>
      <c r="E64" s="40">
        <v>151.38616800638312</v>
      </c>
      <c r="F64" s="40">
        <v>351.84006795757807</v>
      </c>
      <c r="G64" s="40">
        <v>194.05301636246847</v>
      </c>
      <c r="H64" s="40">
        <v>24.58</v>
      </c>
      <c r="I64" s="4">
        <v>110.00757344203078</v>
      </c>
      <c r="J64" s="4">
        <v>509.72893348719805</v>
      </c>
      <c r="K64" s="4">
        <v>1215.6289822436229</v>
      </c>
      <c r="L64" s="4">
        <v>529.18855296271761</v>
      </c>
      <c r="M64" s="4">
        <v>79.739999999999995</v>
      </c>
      <c r="N64" s="45">
        <f t="shared" si="9"/>
        <v>3.3129793450167404</v>
      </c>
      <c r="O64" s="45">
        <f t="shared" si="10"/>
        <v>3.3670773241694421</v>
      </c>
      <c r="P64" s="45">
        <f t="shared" si="13"/>
        <v>3.4550612421726603</v>
      </c>
      <c r="Q64" s="45">
        <f t="shared" si="11"/>
        <v>2.7270308026248609</v>
      </c>
      <c r="R64" s="45">
        <f>M64/H64</f>
        <v>3.244100895036615</v>
      </c>
    </row>
    <row r="65" spans="1:18" x14ac:dyDescent="0.25">
      <c r="A65" s="4">
        <v>323</v>
      </c>
      <c r="B65" s="5">
        <v>10</v>
      </c>
      <c r="C65" s="5" t="s">
        <v>0</v>
      </c>
      <c r="D65" s="40">
        <v>3.9882352941176498</v>
      </c>
      <c r="E65" s="40">
        <v>65.215663111756768</v>
      </c>
      <c r="F65" s="40">
        <v>85.246514149347675</v>
      </c>
      <c r="G65" s="40">
        <v>23.117388289676711</v>
      </c>
      <c r="H65" s="40">
        <v>0</v>
      </c>
      <c r="I65" s="4">
        <v>8.6223529411764748</v>
      </c>
      <c r="J65" s="4">
        <v>193.27773853919871</v>
      </c>
      <c r="K65" s="4">
        <v>255.09205438009599</v>
      </c>
      <c r="L65" s="4">
        <v>56.668189522343084</v>
      </c>
      <c r="M65" s="4">
        <v>0</v>
      </c>
      <c r="N65" s="45">
        <f t="shared" si="9"/>
        <v>2.1619469026548668</v>
      </c>
      <c r="O65" s="45">
        <f t="shared" si="10"/>
        <v>2.9636705251005186</v>
      </c>
      <c r="P65" s="45">
        <f t="shared" si="13"/>
        <v>2.9924045214703714</v>
      </c>
      <c r="Q65" s="45">
        <f t="shared" si="11"/>
        <v>2.4513231690471193</v>
      </c>
      <c r="R65" s="45">
        <v>0</v>
      </c>
    </row>
    <row r="66" spans="1:18" x14ac:dyDescent="0.25">
      <c r="A66" s="4">
        <v>325</v>
      </c>
      <c r="B66" s="5">
        <v>10</v>
      </c>
      <c r="C66" s="5" t="s">
        <v>0</v>
      </c>
      <c r="D66" s="40">
        <v>11.060951690821256</v>
      </c>
      <c r="E66" s="40">
        <v>125.95724634890625</v>
      </c>
      <c r="F66" s="40">
        <v>375.02468175519175</v>
      </c>
      <c r="G66" s="40">
        <v>192.68093606338036</v>
      </c>
      <c r="H66" s="40">
        <v>41.418498455689871</v>
      </c>
      <c r="I66" s="4">
        <v>28.155772946859905</v>
      </c>
      <c r="J66" s="4">
        <v>363.71896210433528</v>
      </c>
      <c r="K66" s="4">
        <v>1018.2952244846633</v>
      </c>
      <c r="L66" s="4">
        <v>491.72892072684596</v>
      </c>
      <c r="M66" s="4">
        <v>96.79582425414857</v>
      </c>
      <c r="N66" s="45">
        <f t="shared" si="9"/>
        <v>2.545510886755296</v>
      </c>
      <c r="O66" s="45">
        <f t="shared" si="10"/>
        <v>2.8876382474797855</v>
      </c>
      <c r="P66" s="45">
        <f t="shared" si="13"/>
        <v>2.7152752179372159</v>
      </c>
      <c r="Q66" s="45">
        <f t="shared" si="11"/>
        <v>2.5520372216019176</v>
      </c>
      <c r="R66" s="45">
        <f>M66/H66</f>
        <v>2.3370191548035519</v>
      </c>
    </row>
    <row r="67" spans="1:18" x14ac:dyDescent="0.25">
      <c r="A67" s="4">
        <v>332</v>
      </c>
      <c r="B67" s="5">
        <v>10</v>
      </c>
      <c r="C67" s="5" t="s">
        <v>0</v>
      </c>
      <c r="D67" s="40">
        <v>48.346736980883314</v>
      </c>
      <c r="E67" s="40">
        <v>421.89228669567149</v>
      </c>
      <c r="F67" s="40">
        <v>652.32737859812585</v>
      </c>
      <c r="G67" s="40">
        <v>366.64796301400196</v>
      </c>
      <c r="H67" s="40">
        <v>87.1388888888888</v>
      </c>
      <c r="I67" s="4">
        <v>235.73946605141725</v>
      </c>
      <c r="J67" s="4">
        <v>1354.3891033068071</v>
      </c>
      <c r="K67" s="4">
        <v>2550.2464921982182</v>
      </c>
      <c r="L67" s="4">
        <v>1411.0018528869512</v>
      </c>
      <c r="M67" s="4">
        <v>306.43277777777774</v>
      </c>
      <c r="N67" s="45">
        <f t="shared" si="9"/>
        <v>4.8760160617381585</v>
      </c>
      <c r="O67" s="45">
        <f t="shared" si="10"/>
        <v>3.210272256728373</v>
      </c>
      <c r="P67" s="45">
        <f t="shared" si="13"/>
        <v>3.9094580050875471</v>
      </c>
      <c r="Q67" s="45">
        <f t="shared" si="11"/>
        <v>3.8483831773887864</v>
      </c>
      <c r="R67" s="45">
        <f>M67/H67</f>
        <v>3.5166018489002262</v>
      </c>
    </row>
    <row r="68" spans="1:18" x14ac:dyDescent="0.25">
      <c r="A68" s="4">
        <v>334</v>
      </c>
      <c r="B68" s="5">
        <v>10</v>
      </c>
      <c r="C68" s="5" t="s">
        <v>0</v>
      </c>
      <c r="D68" s="40">
        <v>9.33</v>
      </c>
      <c r="E68" s="40">
        <v>50.988846153846147</v>
      </c>
      <c r="F68" s="40">
        <v>122.55334134615367</v>
      </c>
      <c r="G68" s="40">
        <v>62.822256944444725</v>
      </c>
      <c r="H68" s="40">
        <v>8.7055555555554527</v>
      </c>
      <c r="I68" s="4">
        <v>15.450000000000001</v>
      </c>
      <c r="J68" s="4">
        <v>69.417692307692306</v>
      </c>
      <c r="K68" s="4">
        <v>203.80168269230748</v>
      </c>
      <c r="L68" s="4">
        <v>101.18395833333379</v>
      </c>
      <c r="M68" s="4">
        <v>14.436666666666458</v>
      </c>
      <c r="N68" s="45">
        <f t="shared" si="9"/>
        <v>1.6559485530546625</v>
      </c>
      <c r="O68" s="45">
        <f t="shared" si="10"/>
        <v>1.361428970136757</v>
      </c>
      <c r="P68" s="45">
        <f t="shared" si="13"/>
        <v>1.6629630857364117</v>
      </c>
      <c r="Q68" s="45">
        <f t="shared" si="11"/>
        <v>1.6106387012299361</v>
      </c>
      <c r="R68" s="45">
        <f>M68/H68</f>
        <v>1.6583280153158859</v>
      </c>
    </row>
    <row r="69" spans="1:18" x14ac:dyDescent="0.25">
      <c r="A69" s="4">
        <v>335</v>
      </c>
      <c r="B69" s="5">
        <v>10</v>
      </c>
      <c r="C69" s="5" t="s">
        <v>0</v>
      </c>
      <c r="D69" s="40">
        <v>1.6935485098847851</v>
      </c>
      <c r="E69" s="40">
        <v>36.005230641647096</v>
      </c>
      <c r="F69" s="40">
        <v>6.715384615384516</v>
      </c>
      <c r="G69" s="40">
        <v>27.484615384615481</v>
      </c>
      <c r="H69" s="40">
        <v>0</v>
      </c>
      <c r="I69" s="4">
        <v>3.6907677870592566</v>
      </c>
      <c r="J69" s="4">
        <v>79.71513369952865</v>
      </c>
      <c r="K69" s="4">
        <v>14.546153846153631</v>
      </c>
      <c r="L69" s="4">
        <v>59.743846153846363</v>
      </c>
      <c r="M69" s="4">
        <v>0</v>
      </c>
      <c r="N69" s="45">
        <f t="shared" si="9"/>
        <v>2.1793103448275866</v>
      </c>
      <c r="O69" s="45">
        <f t="shared" si="10"/>
        <v>2.213987586773642</v>
      </c>
      <c r="P69" s="45">
        <f t="shared" si="13"/>
        <v>2.1660939289805268</v>
      </c>
      <c r="Q69" s="45">
        <f t="shared" si="11"/>
        <v>2.1737195633921074</v>
      </c>
      <c r="R69" s="45">
        <v>0</v>
      </c>
    </row>
    <row r="70" spans="1:18" x14ac:dyDescent="0.25">
      <c r="A70" s="4">
        <v>347</v>
      </c>
      <c r="B70" s="5">
        <v>10</v>
      </c>
      <c r="C70" s="5" t="s">
        <v>0</v>
      </c>
      <c r="D70" s="40">
        <v>3.2840909090909096</v>
      </c>
      <c r="E70" s="40">
        <v>87.438120097391774</v>
      </c>
      <c r="F70" s="40">
        <v>216.19547101449251</v>
      </c>
      <c r="G70" s="40">
        <v>76.875851449275729</v>
      </c>
      <c r="H70" s="40">
        <v>2.939981884057854</v>
      </c>
      <c r="I70" s="4">
        <v>3.4613636363636364</v>
      </c>
      <c r="J70" s="4">
        <v>132.24644835778048</v>
      </c>
      <c r="K70" s="4">
        <v>331.4263405797098</v>
      </c>
      <c r="L70" s="4">
        <v>129.53989130434843</v>
      </c>
      <c r="M70" s="4">
        <v>5.3259420289853008</v>
      </c>
      <c r="N70" s="45">
        <f t="shared" si="9"/>
        <v>1.0539792387543252</v>
      </c>
      <c r="O70" s="45">
        <f t="shared" si="10"/>
        <v>1.5124575895556716</v>
      </c>
      <c r="P70" s="45">
        <f t="shared" si="13"/>
        <v>1.5329939106702788</v>
      </c>
      <c r="Q70" s="45">
        <f t="shared" si="11"/>
        <v>1.6850530935559331</v>
      </c>
      <c r="R70" s="45">
        <f t="shared" ref="R70:R76" si="14">M70/H70</f>
        <v>1.8115560704184581</v>
      </c>
    </row>
    <row r="71" spans="1:18" x14ac:dyDescent="0.25">
      <c r="A71" s="4">
        <v>351</v>
      </c>
      <c r="B71" s="5">
        <v>10</v>
      </c>
      <c r="C71" s="5" t="s">
        <v>0</v>
      </c>
      <c r="D71" s="40">
        <v>36.03142857142857</v>
      </c>
      <c r="E71" s="40">
        <v>183.43829479895359</v>
      </c>
      <c r="F71" s="40">
        <v>408.48810893794791</v>
      </c>
      <c r="G71" s="40">
        <v>217.71280423449315</v>
      </c>
      <c r="H71" s="40">
        <v>120.52294117647033</v>
      </c>
      <c r="I71" s="4">
        <v>75.181428571428569</v>
      </c>
      <c r="J71" s="4">
        <v>350.89488527527982</v>
      </c>
      <c r="K71" s="4">
        <v>696.57674548263958</v>
      </c>
      <c r="L71" s="4">
        <v>429.23999522719919</v>
      </c>
      <c r="M71" s="4">
        <v>298.40588235294058</v>
      </c>
      <c r="N71" s="45">
        <f t="shared" si="9"/>
        <v>2.0865514233605582</v>
      </c>
      <c r="O71" s="45">
        <f t="shared" si="10"/>
        <v>1.9128769467676139</v>
      </c>
      <c r="P71" s="45">
        <f t="shared" si="13"/>
        <v>1.7052558697331732</v>
      </c>
      <c r="Q71" s="45">
        <f t="shared" si="11"/>
        <v>1.9715881972879981</v>
      </c>
      <c r="R71" s="45">
        <f t="shared" si="14"/>
        <v>2.4759259891941494</v>
      </c>
    </row>
    <row r="72" spans="1:18" x14ac:dyDescent="0.25">
      <c r="A72" s="4">
        <v>352</v>
      </c>
      <c r="B72" s="5">
        <v>10</v>
      </c>
      <c r="C72" s="5" t="s">
        <v>0</v>
      </c>
      <c r="D72" s="40">
        <v>35.928606673656937</v>
      </c>
      <c r="E72" s="40">
        <v>211.69187177736609</v>
      </c>
      <c r="F72" s="40">
        <v>378.23951081137909</v>
      </c>
      <c r="G72" s="40">
        <v>215.22400917405329</v>
      </c>
      <c r="H72" s="40">
        <v>71.457142857142472</v>
      </c>
      <c r="I72" s="4">
        <v>89.635924109431116</v>
      </c>
      <c r="J72" s="4">
        <v>451.10012938389872</v>
      </c>
      <c r="K72" s="4">
        <v>768.27766399482539</v>
      </c>
      <c r="L72" s="4">
        <v>432.00711542917531</v>
      </c>
      <c r="M72" s="4">
        <v>161.5414285714279</v>
      </c>
      <c r="N72" s="45">
        <f t="shared" si="9"/>
        <v>2.494834406566417</v>
      </c>
      <c r="O72" s="45">
        <f t="shared" si="10"/>
        <v>2.1309279642929111</v>
      </c>
      <c r="P72" s="45">
        <f t="shared" si="13"/>
        <v>2.0311935745336531</v>
      </c>
      <c r="Q72" s="45">
        <f t="shared" si="11"/>
        <v>2.0072440667147311</v>
      </c>
      <c r="R72" s="45">
        <f t="shared" si="14"/>
        <v>2.2606757297081197</v>
      </c>
    </row>
    <row r="73" spans="1:18" x14ac:dyDescent="0.25">
      <c r="A73" s="4">
        <v>353</v>
      </c>
      <c r="B73" s="5">
        <v>10</v>
      </c>
      <c r="C73" s="5" t="s">
        <v>0</v>
      </c>
      <c r="D73" s="40">
        <v>15.704230769230769</v>
      </c>
      <c r="E73" s="40">
        <v>95.394340659340656</v>
      </c>
      <c r="F73" s="40">
        <v>222.50918291385989</v>
      </c>
      <c r="G73" s="40">
        <v>101.33891232423537</v>
      </c>
      <c r="H73" s="40">
        <v>21.543333333333305</v>
      </c>
      <c r="I73" s="4">
        <v>24.844615384615381</v>
      </c>
      <c r="J73" s="4">
        <v>146.52502747252748</v>
      </c>
      <c r="K73" s="4">
        <v>348.15218096419653</v>
      </c>
      <c r="L73" s="4">
        <v>166.04150951199404</v>
      </c>
      <c r="M73" s="4">
        <v>41.076666666666618</v>
      </c>
      <c r="N73" s="45">
        <f t="shared" si="9"/>
        <v>1.5820332590433737</v>
      </c>
      <c r="O73" s="45">
        <f t="shared" si="10"/>
        <v>1.5359928739984461</v>
      </c>
      <c r="P73" s="45">
        <f t="shared" si="13"/>
        <v>1.5646643271301612</v>
      </c>
      <c r="Q73" s="45">
        <f t="shared" si="11"/>
        <v>1.6384773203479996</v>
      </c>
      <c r="R73" s="45">
        <f t="shared" si="14"/>
        <v>1.9066996750734955</v>
      </c>
    </row>
    <row r="74" spans="1:18" x14ac:dyDescent="0.25">
      <c r="A74" s="4">
        <v>354</v>
      </c>
      <c r="B74" s="5">
        <v>10</v>
      </c>
      <c r="C74" s="5" t="s">
        <v>0</v>
      </c>
      <c r="D74" s="40">
        <v>11.298656715436394</v>
      </c>
      <c r="E74" s="40">
        <v>214.95612039648347</v>
      </c>
      <c r="F74" s="40">
        <v>362.80527609046402</v>
      </c>
      <c r="G74" s="40">
        <v>174.83965180265764</v>
      </c>
      <c r="H74" s="40">
        <v>30.85461538461535</v>
      </c>
      <c r="I74" s="4">
        <v>24.200255719311283</v>
      </c>
      <c r="J74" s="4">
        <v>465.88406467347704</v>
      </c>
      <c r="K74" s="4">
        <v>851.39877670612884</v>
      </c>
      <c r="L74" s="4">
        <v>386.55696641131487</v>
      </c>
      <c r="M74" s="4">
        <v>73.596538461538302</v>
      </c>
      <c r="N74" s="45">
        <f t="shared" si="9"/>
        <v>2.1418701646407694</v>
      </c>
      <c r="O74" s="45">
        <f t="shared" si="10"/>
        <v>2.1673449623772543</v>
      </c>
      <c r="P74" s="45">
        <f t="shared" si="13"/>
        <v>2.3467100199883424</v>
      </c>
      <c r="Q74" s="45">
        <f t="shared" si="11"/>
        <v>2.2109227650923464</v>
      </c>
      <c r="R74" s="45">
        <f t="shared" si="14"/>
        <v>2.3852683802448182</v>
      </c>
    </row>
    <row r="75" spans="1:18" x14ac:dyDescent="0.25">
      <c r="A75" s="4">
        <v>355</v>
      </c>
      <c r="B75" s="5">
        <v>10</v>
      </c>
      <c r="C75" s="5" t="s">
        <v>0</v>
      </c>
      <c r="D75" s="40">
        <v>0</v>
      </c>
      <c r="E75" s="40">
        <v>67.76444444444445</v>
      </c>
      <c r="F75" s="40">
        <v>120.40698412698383</v>
      </c>
      <c r="G75" s="40">
        <v>71.528571428571723</v>
      </c>
      <c r="H75" s="40">
        <v>22.2</v>
      </c>
      <c r="I75" s="4">
        <v>0</v>
      </c>
      <c r="J75" s="4">
        <v>177.17488888888892</v>
      </c>
      <c r="K75" s="4">
        <v>368.97286621315089</v>
      </c>
      <c r="L75" s="4">
        <v>231.70224489796021</v>
      </c>
      <c r="M75" s="4">
        <v>82.3</v>
      </c>
      <c r="N75" s="45">
        <v>0</v>
      </c>
      <c r="O75" s="45">
        <f t="shared" si="10"/>
        <v>2.6145700793598743</v>
      </c>
      <c r="P75" s="45">
        <f t="shared" si="13"/>
        <v>3.0643809317906681</v>
      </c>
      <c r="Q75" s="45">
        <f t="shared" si="11"/>
        <v>3.2392964135924003</v>
      </c>
      <c r="R75" s="45">
        <f t="shared" si="14"/>
        <v>3.7072072072072073</v>
      </c>
    </row>
    <row r="76" spans="1:18" x14ac:dyDescent="0.25">
      <c r="A76" s="4">
        <v>356</v>
      </c>
      <c r="B76" s="5">
        <v>10</v>
      </c>
      <c r="C76" s="5" t="s">
        <v>0</v>
      </c>
      <c r="D76" s="40">
        <v>17</v>
      </c>
      <c r="E76" s="40">
        <v>97.27</v>
      </c>
      <c r="F76" s="40">
        <v>203.99672049535982</v>
      </c>
      <c r="G76" s="40">
        <v>123.34</v>
      </c>
      <c r="H76" s="40">
        <v>46.439961285341482</v>
      </c>
      <c r="I76" s="4">
        <v>31.47</v>
      </c>
      <c r="J76" s="4">
        <v>174.52</v>
      </c>
      <c r="K76" s="4">
        <v>320.08247632988986</v>
      </c>
      <c r="L76" s="4">
        <v>233.26</v>
      </c>
      <c r="M76" s="4">
        <v>80.001681363783746</v>
      </c>
      <c r="N76" s="45">
        <f>I76/D76</f>
        <v>1.8511764705882352</v>
      </c>
      <c r="O76" s="45">
        <f t="shared" si="10"/>
        <v>1.7941811452657552</v>
      </c>
      <c r="P76" s="45">
        <f t="shared" si="13"/>
        <v>1.569056970879934</v>
      </c>
      <c r="Q76" s="45">
        <f t="shared" si="11"/>
        <v>1.8911950705367275</v>
      </c>
      <c r="R76" s="45">
        <f t="shared" si="14"/>
        <v>1.7226905266399486</v>
      </c>
    </row>
    <row r="77" spans="1:18" x14ac:dyDescent="0.25">
      <c r="A77" s="4">
        <v>357</v>
      </c>
      <c r="B77" s="5">
        <v>10</v>
      </c>
      <c r="C77" s="5" t="s">
        <v>0</v>
      </c>
      <c r="D77" s="40">
        <v>0</v>
      </c>
      <c r="E77" s="40">
        <v>67.966027818652861</v>
      </c>
      <c r="F77" s="40">
        <v>171.33341463414635</v>
      </c>
      <c r="G77" s="40">
        <v>58.43</v>
      </c>
      <c r="H77" s="40">
        <v>0</v>
      </c>
      <c r="I77" s="4">
        <v>0</v>
      </c>
      <c r="J77" s="4">
        <v>240.14906095234923</v>
      </c>
      <c r="K77" s="4">
        <v>527.51317073170731</v>
      </c>
      <c r="L77" s="4">
        <v>173.81</v>
      </c>
      <c r="M77" s="4">
        <v>0</v>
      </c>
      <c r="N77" s="45">
        <v>0</v>
      </c>
      <c r="O77" s="45">
        <f t="shared" si="10"/>
        <v>3.5333690765791932</v>
      </c>
      <c r="P77" s="45">
        <f t="shared" si="13"/>
        <v>3.0788691853140429</v>
      </c>
      <c r="Q77" s="45">
        <f t="shared" si="11"/>
        <v>2.9746705459524216</v>
      </c>
      <c r="R77" s="45">
        <v>0</v>
      </c>
    </row>
    <row r="78" spans="1:18" x14ac:dyDescent="0.25">
      <c r="A78" s="4">
        <v>358</v>
      </c>
      <c r="B78" s="5">
        <v>10</v>
      </c>
      <c r="C78" s="5" t="s">
        <v>0</v>
      </c>
      <c r="D78" s="40">
        <v>0</v>
      </c>
      <c r="E78" s="40">
        <v>39.439034843526571</v>
      </c>
      <c r="F78" s="40">
        <v>70.11</v>
      </c>
      <c r="G78" s="40">
        <v>40.75</v>
      </c>
      <c r="H78" s="40">
        <v>9.73</v>
      </c>
      <c r="I78" s="4">
        <v>0</v>
      </c>
      <c r="J78" s="4">
        <v>124.34670818997111</v>
      </c>
      <c r="K78" s="4">
        <v>230.02</v>
      </c>
      <c r="L78" s="4">
        <v>122.32</v>
      </c>
      <c r="M78" s="4">
        <v>29.44</v>
      </c>
      <c r="N78" s="45">
        <v>0</v>
      </c>
      <c r="O78" s="45">
        <f t="shared" si="10"/>
        <v>3.1528841586340466</v>
      </c>
      <c r="P78" s="45">
        <f t="shared" si="13"/>
        <v>3.2808443873912423</v>
      </c>
      <c r="Q78" s="45">
        <f t="shared" si="11"/>
        <v>3.0017177914110427</v>
      </c>
      <c r="R78" s="45">
        <f>M78/H78</f>
        <v>3.025693730729702</v>
      </c>
    </row>
    <row r="79" spans="1:18" x14ac:dyDescent="0.25">
      <c r="A79" s="4">
        <v>359</v>
      </c>
      <c r="B79" s="5">
        <v>10</v>
      </c>
      <c r="C79" s="5" t="s">
        <v>0</v>
      </c>
      <c r="D79" s="40">
        <v>4.8863262161083805</v>
      </c>
      <c r="E79" s="40">
        <v>24.287915603597536</v>
      </c>
      <c r="F79" s="40">
        <v>69.329268292682713</v>
      </c>
      <c r="G79" s="40">
        <v>25.670731707317291</v>
      </c>
      <c r="H79" s="40">
        <v>9.25</v>
      </c>
      <c r="I79" s="4">
        <v>21.636365053974018</v>
      </c>
      <c r="J79" s="4">
        <v>85.647238484993807</v>
      </c>
      <c r="K79" s="4">
        <v>230.10487804877982</v>
      </c>
      <c r="L79" s="4">
        <v>81.455121951220164</v>
      </c>
      <c r="M79" s="4">
        <v>26.1</v>
      </c>
      <c r="N79" s="45">
        <f>I79/D79</f>
        <v>4.427941176470588</v>
      </c>
      <c r="O79" s="45">
        <f t="shared" si="10"/>
        <v>3.5263313609467462</v>
      </c>
      <c r="P79" s="45">
        <f t="shared" si="13"/>
        <v>3.3190149516270897</v>
      </c>
      <c r="Q79" s="45">
        <f t="shared" si="11"/>
        <v>3.173073634204274</v>
      </c>
      <c r="R79" s="45">
        <f>M79/H79</f>
        <v>2.8216216216216217</v>
      </c>
    </row>
    <row r="80" spans="1:18" x14ac:dyDescent="0.25">
      <c r="A80" s="4">
        <v>371</v>
      </c>
      <c r="B80" s="5">
        <v>10</v>
      </c>
      <c r="C80" s="5" t="s">
        <v>0</v>
      </c>
      <c r="D80" s="40">
        <v>6.8378378378378359</v>
      </c>
      <c r="E80" s="40">
        <v>18.138906348208671</v>
      </c>
      <c r="F80" s="40">
        <v>3.023255813953496</v>
      </c>
      <c r="G80" s="40">
        <v>0</v>
      </c>
      <c r="H80" s="40">
        <v>0</v>
      </c>
      <c r="I80" s="4">
        <v>43.198648648648643</v>
      </c>
      <c r="J80" s="4">
        <v>82.343909490886219</v>
      </c>
      <c r="K80" s="4">
        <v>7.9874418604651369</v>
      </c>
      <c r="L80" s="4">
        <v>0</v>
      </c>
      <c r="M80" s="4">
        <v>0</v>
      </c>
      <c r="N80" s="45">
        <f>I80/D80</f>
        <v>6.3175889328063253</v>
      </c>
      <c r="O80" s="45">
        <f t="shared" si="10"/>
        <v>4.5396292317821132</v>
      </c>
      <c r="P80" s="45">
        <f t="shared" si="13"/>
        <v>2.6420000000000003</v>
      </c>
      <c r="Q80" s="45">
        <v>0</v>
      </c>
      <c r="R80" s="45">
        <v>0</v>
      </c>
    </row>
    <row r="81" spans="1:18" x14ac:dyDescent="0.25">
      <c r="A81" s="4">
        <v>388</v>
      </c>
      <c r="B81" s="5">
        <v>10</v>
      </c>
      <c r="C81" s="5" t="s">
        <v>0</v>
      </c>
      <c r="D81" s="40">
        <v>17.255813953488378</v>
      </c>
      <c r="E81" s="40">
        <v>82.514186046511625</v>
      </c>
      <c r="F81" s="40">
        <v>301.47212258064474</v>
      </c>
      <c r="G81" s="40">
        <v>179.64787741935532</v>
      </c>
      <c r="H81" s="40">
        <v>88.53</v>
      </c>
      <c r="I81" s="4">
        <v>201.77581395348844</v>
      </c>
      <c r="J81" s="4">
        <v>1008.8641860465116</v>
      </c>
      <c r="K81" s="4">
        <v>3068.4282967741883</v>
      </c>
      <c r="L81" s="4">
        <v>1955.1317032258116</v>
      </c>
      <c r="M81" s="4">
        <v>1062.03</v>
      </c>
      <c r="N81" s="45">
        <f>I81/D81</f>
        <v>11.693207547169811</v>
      </c>
      <c r="O81" s="45">
        <f t="shared" ref="O81:O109" si="15">J81/E81</f>
        <v>12.226554419113274</v>
      </c>
      <c r="P81" s="45">
        <f t="shared" si="13"/>
        <v>10.178149377488044</v>
      </c>
      <c r="Q81" s="45">
        <f>L81/G81</f>
        <v>10.883132777917059</v>
      </c>
      <c r="R81" s="45">
        <f>M81/H81</f>
        <v>11.996272450016942</v>
      </c>
    </row>
    <row r="82" spans="1:18" x14ac:dyDescent="0.25">
      <c r="A82" s="4">
        <v>389</v>
      </c>
      <c r="B82" s="5">
        <v>10</v>
      </c>
      <c r="C82" s="5" t="s">
        <v>0</v>
      </c>
      <c r="D82" s="40">
        <v>0</v>
      </c>
      <c r="E82" s="40">
        <v>24.72169607733499</v>
      </c>
      <c r="F82" s="40">
        <v>83.342604980838146</v>
      </c>
      <c r="G82" s="40">
        <v>34.38009039003002</v>
      </c>
      <c r="H82" s="40">
        <v>23.720673389105144</v>
      </c>
      <c r="I82" s="4">
        <v>0</v>
      </c>
      <c r="J82" s="4">
        <v>431.68394739359553</v>
      </c>
      <c r="K82" s="4">
        <v>1352.266677535385</v>
      </c>
      <c r="L82" s="4">
        <v>631.22656090772966</v>
      </c>
      <c r="M82" s="4">
        <v>362.02927923315337</v>
      </c>
      <c r="N82" s="45">
        <v>0</v>
      </c>
      <c r="O82" s="45">
        <f t="shared" si="15"/>
        <v>17.461744778480881</v>
      </c>
      <c r="P82" s="45">
        <f t="shared" si="13"/>
        <v>16.225394896719315</v>
      </c>
      <c r="Q82" s="45">
        <f>L82/G82</f>
        <v>18.360235640648021</v>
      </c>
      <c r="R82" s="45">
        <f>M82/H82</f>
        <v>15.262183888903957</v>
      </c>
    </row>
    <row r="83" spans="1:18" x14ac:dyDescent="0.25">
      <c r="A83" s="4">
        <v>392</v>
      </c>
      <c r="B83" s="5">
        <v>10</v>
      </c>
      <c r="C83" s="5" t="s">
        <v>0</v>
      </c>
      <c r="D83" s="40">
        <v>2.699999999999998</v>
      </c>
      <c r="E83" s="40">
        <v>38.32</v>
      </c>
      <c r="F83" s="40">
        <v>58.449999999999847</v>
      </c>
      <c r="G83" s="40">
        <v>22.810000000000151</v>
      </c>
      <c r="H83" s="40">
        <v>0</v>
      </c>
      <c r="I83" s="4">
        <v>2.2439999999999958</v>
      </c>
      <c r="J83" s="4">
        <v>55.95600000000001</v>
      </c>
      <c r="K83" s="4">
        <v>77.06210526315769</v>
      </c>
      <c r="L83" s="4">
        <v>31.527894736842299</v>
      </c>
      <c r="M83" s="4">
        <v>0</v>
      </c>
      <c r="N83" s="45">
        <f>I83/D83</f>
        <v>0.83111111111111013</v>
      </c>
      <c r="O83" s="45">
        <f t="shared" si="15"/>
        <v>1.460229645093946</v>
      </c>
      <c r="P83" s="45">
        <f t="shared" si="13"/>
        <v>1.3184278060420511</v>
      </c>
      <c r="Q83" s="45">
        <f t="shared" ref="Q83:Q114" si="16">L83/G83</f>
        <v>1.3821961743464308</v>
      </c>
      <c r="R83" s="45">
        <v>0</v>
      </c>
    </row>
    <row r="84" spans="1:18" x14ac:dyDescent="0.25">
      <c r="A84" s="4">
        <v>395</v>
      </c>
      <c r="B84" s="5">
        <v>10</v>
      </c>
      <c r="C84" s="5" t="s">
        <v>0</v>
      </c>
      <c r="D84" s="40">
        <v>0</v>
      </c>
      <c r="E84" s="40">
        <v>23.456103896103897</v>
      </c>
      <c r="F84" s="40">
        <v>69.818571428571346</v>
      </c>
      <c r="G84" s="40">
        <v>49.915973009061013</v>
      </c>
      <c r="H84" s="40">
        <v>42.437183209357279</v>
      </c>
      <c r="I84" s="4">
        <v>0</v>
      </c>
      <c r="J84" s="4">
        <v>335.1222077922078</v>
      </c>
      <c r="K84" s="4">
        <v>895.06766233766132</v>
      </c>
      <c r="L84" s="4">
        <v>433.91661481685537</v>
      </c>
      <c r="M84" s="4">
        <v>405.52034572328239</v>
      </c>
      <c r="N84" s="45">
        <v>0</v>
      </c>
      <c r="O84" s="45">
        <f t="shared" si="15"/>
        <v>14.287206830110955</v>
      </c>
      <c r="P84" s="45">
        <f t="shared" si="13"/>
        <v>12.819907999025304</v>
      </c>
      <c r="Q84" s="45">
        <f t="shared" si="16"/>
        <v>8.692941130048462</v>
      </c>
      <c r="R84" s="45">
        <f>M84/H84</f>
        <v>9.5557790375178886</v>
      </c>
    </row>
    <row r="85" spans="1:18" x14ac:dyDescent="0.25">
      <c r="A85" s="4">
        <v>444</v>
      </c>
      <c r="B85" s="5">
        <v>10</v>
      </c>
      <c r="C85" s="5" t="s">
        <v>0</v>
      </c>
      <c r="D85" s="40">
        <v>0</v>
      </c>
      <c r="E85" s="40">
        <v>26.399999999999981</v>
      </c>
      <c r="F85" s="40">
        <v>2.0000000000000195</v>
      </c>
      <c r="G85" s="40">
        <v>22.2</v>
      </c>
      <c r="H85" s="40">
        <v>0</v>
      </c>
      <c r="I85" s="4">
        <v>0</v>
      </c>
      <c r="J85" s="4">
        <v>98.670769230769167</v>
      </c>
      <c r="K85" s="4">
        <v>8.2192307692308493</v>
      </c>
      <c r="L85" s="4">
        <v>80.11</v>
      </c>
      <c r="M85" s="4">
        <v>0</v>
      </c>
      <c r="N85" s="45">
        <v>0</v>
      </c>
      <c r="O85" s="45">
        <f t="shared" si="15"/>
        <v>3.7375291375291377</v>
      </c>
      <c r="P85" s="45">
        <f t="shared" si="13"/>
        <v>4.1096153846153847</v>
      </c>
      <c r="Q85" s="45">
        <f t="shared" si="16"/>
        <v>3.6085585585585584</v>
      </c>
      <c r="R85" s="45">
        <v>0</v>
      </c>
    </row>
    <row r="86" spans="1:18" x14ac:dyDescent="0.25">
      <c r="A86" s="4">
        <v>445</v>
      </c>
      <c r="B86" s="5">
        <v>10</v>
      </c>
      <c r="C86" s="5" t="s">
        <v>0</v>
      </c>
      <c r="D86" s="40">
        <v>0</v>
      </c>
      <c r="E86" s="40">
        <v>60.320000000000007</v>
      </c>
      <c r="F86" s="40">
        <v>1.3999999999999955</v>
      </c>
      <c r="G86" s="40">
        <v>45.73</v>
      </c>
      <c r="H86" s="40">
        <v>0</v>
      </c>
      <c r="I86" s="4">
        <v>0</v>
      </c>
      <c r="J86" s="4">
        <v>235.96080000000001</v>
      </c>
      <c r="K86" s="4">
        <v>4.9391999999999836</v>
      </c>
      <c r="L86" s="4">
        <v>175.10999999999999</v>
      </c>
      <c r="M86" s="4">
        <v>0</v>
      </c>
      <c r="N86" s="45">
        <v>0</v>
      </c>
      <c r="O86" s="45">
        <f t="shared" si="15"/>
        <v>3.9118169761273207</v>
      </c>
      <c r="P86" s="45">
        <f t="shared" si="13"/>
        <v>3.5279999999999996</v>
      </c>
      <c r="Q86" s="45">
        <f t="shared" si="16"/>
        <v>3.829214957358408</v>
      </c>
      <c r="R86" s="45">
        <v>0</v>
      </c>
    </row>
    <row r="87" spans="1:18" x14ac:dyDescent="0.25">
      <c r="A87" s="4">
        <v>446</v>
      </c>
      <c r="B87" s="5">
        <v>10</v>
      </c>
      <c r="C87" s="5" t="s">
        <v>0</v>
      </c>
      <c r="D87" s="40">
        <v>0</v>
      </c>
      <c r="E87" s="40">
        <v>4</v>
      </c>
      <c r="F87" s="40">
        <v>0</v>
      </c>
      <c r="G87" s="40">
        <v>7.5</v>
      </c>
      <c r="H87" s="40">
        <v>0</v>
      </c>
      <c r="I87" s="4">
        <v>0</v>
      </c>
      <c r="J87" s="4">
        <v>12.17</v>
      </c>
      <c r="K87" s="4">
        <v>0</v>
      </c>
      <c r="L87" s="4">
        <v>21.68</v>
      </c>
      <c r="M87" s="4">
        <v>0</v>
      </c>
      <c r="N87" s="45">
        <v>0</v>
      </c>
      <c r="O87" s="45">
        <f t="shared" si="15"/>
        <v>3.0425</v>
      </c>
      <c r="P87" s="45">
        <v>0</v>
      </c>
      <c r="Q87" s="45">
        <f t="shared" si="16"/>
        <v>2.8906666666666667</v>
      </c>
      <c r="R87" s="45">
        <v>0</v>
      </c>
    </row>
    <row r="88" spans="1:18" x14ac:dyDescent="0.25">
      <c r="A88" s="4">
        <v>701</v>
      </c>
      <c r="B88" s="5">
        <v>10</v>
      </c>
      <c r="C88" s="5" t="s">
        <v>0</v>
      </c>
      <c r="D88" s="40">
        <v>21.859999999999978</v>
      </c>
      <c r="E88" s="40">
        <v>449.1447270615563</v>
      </c>
      <c r="F88" s="40">
        <v>1055.8490837206834</v>
      </c>
      <c r="G88" s="40">
        <v>412.02540490403544</v>
      </c>
      <c r="H88" s="40">
        <v>83.360784313725162</v>
      </c>
      <c r="I88" s="4">
        <v>63.724285714285649</v>
      </c>
      <c r="J88" s="4">
        <v>1224.2195818815328</v>
      </c>
      <c r="K88" s="4">
        <v>2541.1266662308158</v>
      </c>
      <c r="L88" s="4">
        <v>1119.6712308792489</v>
      </c>
      <c r="M88" s="4">
        <v>244.77823529411685</v>
      </c>
      <c r="N88" s="45">
        <f>I88/D88</f>
        <v>2.9151091360606456</v>
      </c>
      <c r="O88" s="45">
        <f t="shared" si="15"/>
        <v>2.7256683828634833</v>
      </c>
      <c r="P88" s="45">
        <f t="shared" ref="P88:P134" si="17">K88/F88</f>
        <v>2.4067139001306845</v>
      </c>
      <c r="Q88" s="45">
        <f t="shared" si="16"/>
        <v>2.7174810522667427</v>
      </c>
      <c r="R88" s="45">
        <f t="shared" ref="R88:R95" si="18">M88/H88</f>
        <v>2.9363715481958903</v>
      </c>
    </row>
    <row r="89" spans="1:18" x14ac:dyDescent="0.25">
      <c r="A89" s="4">
        <v>704</v>
      </c>
      <c r="B89" s="5">
        <v>10</v>
      </c>
      <c r="C89" s="5" t="s">
        <v>0</v>
      </c>
      <c r="D89" s="40">
        <v>44.65588235294117</v>
      </c>
      <c r="E89" s="40">
        <v>374.45788453089801</v>
      </c>
      <c r="F89" s="40">
        <v>842.98771663264301</v>
      </c>
      <c r="G89" s="40">
        <v>393.1169093406611</v>
      </c>
      <c r="H89" s="40">
        <v>100.72160714285677</v>
      </c>
      <c r="I89" s="4">
        <v>138.30529411764704</v>
      </c>
      <c r="J89" s="4">
        <v>1340.8274009403538</v>
      </c>
      <c r="K89" s="4">
        <v>3164.1946936782579</v>
      </c>
      <c r="L89" s="4">
        <v>1498.6844961843774</v>
      </c>
      <c r="M89" s="4">
        <v>439.17811507936341</v>
      </c>
      <c r="N89" s="45">
        <f>I89/D89</f>
        <v>3.0971349535664889</v>
      </c>
      <c r="O89" s="45">
        <f t="shared" si="15"/>
        <v>3.5807161668396295</v>
      </c>
      <c r="P89" s="45">
        <f t="shared" si="17"/>
        <v>3.7535478053200979</v>
      </c>
      <c r="Q89" s="45">
        <f t="shared" si="16"/>
        <v>3.8123124713663001</v>
      </c>
      <c r="R89" s="45">
        <f t="shared" si="18"/>
        <v>4.3603167933615543</v>
      </c>
    </row>
    <row r="90" spans="1:18" x14ac:dyDescent="0.25">
      <c r="A90" s="4">
        <v>705</v>
      </c>
      <c r="B90" s="5">
        <v>10</v>
      </c>
      <c r="C90" s="5" t="s">
        <v>0</v>
      </c>
      <c r="D90" s="40">
        <v>0</v>
      </c>
      <c r="E90" s="40">
        <v>158.38</v>
      </c>
      <c r="F90" s="40">
        <v>488.71826923076839</v>
      </c>
      <c r="G90" s="40">
        <v>241.06173076923147</v>
      </c>
      <c r="H90" s="40">
        <v>42.54</v>
      </c>
      <c r="I90" s="4">
        <v>0</v>
      </c>
      <c r="J90" s="4">
        <v>614.70000000000005</v>
      </c>
      <c r="K90" s="4">
        <v>1657.6435897435863</v>
      </c>
      <c r="L90" s="4">
        <v>794.36641025641325</v>
      </c>
      <c r="M90" s="4">
        <v>103.35</v>
      </c>
      <c r="N90" s="45">
        <v>0</v>
      </c>
      <c r="O90" s="45">
        <f t="shared" si="15"/>
        <v>3.8811718651344869</v>
      </c>
      <c r="P90" s="45">
        <f t="shared" si="17"/>
        <v>3.391818342196784</v>
      </c>
      <c r="Q90" s="45">
        <f t="shared" si="16"/>
        <v>3.2952821160023142</v>
      </c>
      <c r="R90" s="45">
        <f t="shared" si="18"/>
        <v>2.4294781382228492</v>
      </c>
    </row>
    <row r="91" spans="1:18" x14ac:dyDescent="0.25">
      <c r="A91" s="4">
        <v>707</v>
      </c>
      <c r="B91" s="5">
        <v>10</v>
      </c>
      <c r="C91" s="5" t="s">
        <v>0</v>
      </c>
      <c r="D91" s="40">
        <v>0</v>
      </c>
      <c r="E91" s="40">
        <v>7.16</v>
      </c>
      <c r="F91" s="40">
        <v>183.7</v>
      </c>
      <c r="G91" s="40">
        <v>49.55</v>
      </c>
      <c r="H91" s="40">
        <v>4.21</v>
      </c>
      <c r="I91" s="4">
        <v>0</v>
      </c>
      <c r="J91" s="4">
        <v>19.05</v>
      </c>
      <c r="K91" s="4">
        <v>595.61</v>
      </c>
      <c r="L91" s="4">
        <v>165.74</v>
      </c>
      <c r="M91" s="4">
        <v>11.96</v>
      </c>
      <c r="N91" s="45">
        <v>0</v>
      </c>
      <c r="O91" s="45">
        <f t="shared" si="15"/>
        <v>2.6606145251396649</v>
      </c>
      <c r="P91" s="45">
        <f t="shared" si="17"/>
        <v>3.2422972237343499</v>
      </c>
      <c r="Q91" s="45">
        <f t="shared" si="16"/>
        <v>3.3449041372351163</v>
      </c>
      <c r="R91" s="45">
        <f t="shared" si="18"/>
        <v>2.8408551068883612</v>
      </c>
    </row>
    <row r="92" spans="1:18" x14ac:dyDescent="0.25">
      <c r="A92" s="4">
        <v>709</v>
      </c>
      <c r="B92" s="5">
        <v>10</v>
      </c>
      <c r="C92" s="5" t="s">
        <v>0</v>
      </c>
      <c r="D92" s="40">
        <v>50.481456521739098</v>
      </c>
      <c r="E92" s="40">
        <v>881.02605115589915</v>
      </c>
      <c r="F92" s="40">
        <v>1545.400462765135</v>
      </c>
      <c r="G92" s="40">
        <v>739.39341539022928</v>
      </c>
      <c r="H92" s="40">
        <v>156.21066239316133</v>
      </c>
      <c r="I92" s="4">
        <v>246.93313043478244</v>
      </c>
      <c r="J92" s="4">
        <v>4812.213311157001</v>
      </c>
      <c r="K92" s="4">
        <v>6147.4811990203216</v>
      </c>
      <c r="L92" s="4">
        <v>3542.5591595897317</v>
      </c>
      <c r="M92" s="4">
        <v>703.60224358973824</v>
      </c>
      <c r="N92" s="45">
        <f>I92/D92</f>
        <v>4.8915611285590446</v>
      </c>
      <c r="O92" s="45">
        <f t="shared" si="15"/>
        <v>5.4620556393802611</v>
      </c>
      <c r="P92" s="45">
        <f t="shared" si="17"/>
        <v>3.9779211583907723</v>
      </c>
      <c r="Q92" s="45">
        <f t="shared" si="16"/>
        <v>4.7911694719651745</v>
      </c>
      <c r="R92" s="45">
        <f t="shared" si="18"/>
        <v>4.5041883365097419</v>
      </c>
    </row>
    <row r="93" spans="1:18" x14ac:dyDescent="0.25">
      <c r="A93" s="4">
        <v>712</v>
      </c>
      <c r="B93" s="5">
        <v>10</v>
      </c>
      <c r="C93" s="5" t="s">
        <v>0</v>
      </c>
      <c r="D93" s="40">
        <v>38.021538461538441</v>
      </c>
      <c r="E93" s="40">
        <v>478.08443956043953</v>
      </c>
      <c r="F93" s="40">
        <v>1183.410307692305</v>
      </c>
      <c r="G93" s="40">
        <v>531.58621428571746</v>
      </c>
      <c r="H93" s="40">
        <v>146.57749999999905</v>
      </c>
      <c r="I93" s="4">
        <v>121.86307692307685</v>
      </c>
      <c r="J93" s="4">
        <v>1875.0957488981608</v>
      </c>
      <c r="K93" s="4">
        <v>3892.4503170358985</v>
      </c>
      <c r="L93" s="4">
        <v>1843.2946071428682</v>
      </c>
      <c r="M93" s="4">
        <v>573.90624999999648</v>
      </c>
      <c r="N93" s="45">
        <f>I93/D93</f>
        <v>3.2051064174152302</v>
      </c>
      <c r="O93" s="45">
        <f t="shared" si="15"/>
        <v>3.9221016074527788</v>
      </c>
      <c r="P93" s="45">
        <f t="shared" si="17"/>
        <v>3.2891806770099241</v>
      </c>
      <c r="Q93" s="45">
        <f t="shared" si="16"/>
        <v>3.4675365116826233</v>
      </c>
      <c r="R93" s="45">
        <f t="shared" si="18"/>
        <v>3.9153775306578447</v>
      </c>
    </row>
    <row r="94" spans="1:18" x14ac:dyDescent="0.25">
      <c r="A94" s="4">
        <v>815</v>
      </c>
      <c r="B94" s="5">
        <v>10</v>
      </c>
      <c r="C94" s="5" t="s">
        <v>0</v>
      </c>
      <c r="D94" s="40">
        <v>26.380999999999979</v>
      </c>
      <c r="E94" s="40">
        <v>155.13240659340664</v>
      </c>
      <c r="F94" s="40">
        <v>503.28890109890023</v>
      </c>
      <c r="G94" s="40">
        <v>198.557692307693</v>
      </c>
      <c r="H94" s="40">
        <v>64.84</v>
      </c>
      <c r="I94" s="4">
        <v>63.689599999999949</v>
      </c>
      <c r="J94" s="4">
        <v>316.00007032967045</v>
      </c>
      <c r="K94" s="4">
        <v>839.67967032966885</v>
      </c>
      <c r="L94" s="4">
        <v>378.06065934066066</v>
      </c>
      <c r="M94" s="4">
        <v>134.85</v>
      </c>
      <c r="N94" s="45">
        <f>I94/D94</f>
        <v>2.4142223569993555</v>
      </c>
      <c r="O94" s="45">
        <f t="shared" si="15"/>
        <v>2.036970077811588</v>
      </c>
      <c r="P94" s="45">
        <f t="shared" si="17"/>
        <v>1.6683850339164645</v>
      </c>
      <c r="Q94" s="45">
        <f t="shared" si="16"/>
        <v>1.9040343133863715</v>
      </c>
      <c r="R94" s="45">
        <f t="shared" si="18"/>
        <v>2.0797347316471311</v>
      </c>
    </row>
    <row r="95" spans="1:18" x14ac:dyDescent="0.25">
      <c r="A95" s="4">
        <v>816</v>
      </c>
      <c r="B95" s="5">
        <v>10</v>
      </c>
      <c r="C95" s="5" t="s">
        <v>0</v>
      </c>
      <c r="D95" s="40">
        <v>33.353999999999999</v>
      </c>
      <c r="E95" s="40">
        <v>214.10672192513371</v>
      </c>
      <c r="F95" s="40">
        <v>614.47593582887646</v>
      </c>
      <c r="G95" s="40">
        <v>257.01690474599008</v>
      </c>
      <c r="H95" s="40">
        <v>11.506437499999743</v>
      </c>
      <c r="I95" s="4">
        <v>96.407312500000003</v>
      </c>
      <c r="J95" s="4">
        <v>694.05541477272732</v>
      </c>
      <c r="K95" s="4">
        <v>1891.3748663101587</v>
      </c>
      <c r="L95" s="4">
        <v>756.21959391711448</v>
      </c>
      <c r="M95" s="4">
        <v>36.172812499999289</v>
      </c>
      <c r="N95" s="45">
        <f>I95/D95</f>
        <v>2.890427310067758</v>
      </c>
      <c r="O95" s="45">
        <f t="shared" si="15"/>
        <v>3.2416329974703753</v>
      </c>
      <c r="P95" s="45">
        <f t="shared" si="17"/>
        <v>3.0780291888222648</v>
      </c>
      <c r="Q95" s="45">
        <f t="shared" si="16"/>
        <v>2.9422951562835395</v>
      </c>
      <c r="R95" s="45">
        <f t="shared" si="18"/>
        <v>3.1437021667218978</v>
      </c>
    </row>
    <row r="96" spans="1:18" x14ac:dyDescent="0.25">
      <c r="A96" s="4">
        <v>832</v>
      </c>
      <c r="B96" s="5">
        <v>10</v>
      </c>
      <c r="C96" s="5" t="s">
        <v>0</v>
      </c>
      <c r="D96" s="40">
        <v>0</v>
      </c>
      <c r="E96" s="40">
        <v>65.459999999999994</v>
      </c>
      <c r="F96" s="40">
        <v>90.21</v>
      </c>
      <c r="G96" s="40">
        <v>38.81</v>
      </c>
      <c r="H96" s="40">
        <v>0</v>
      </c>
      <c r="I96" s="4">
        <v>0</v>
      </c>
      <c r="J96" s="4">
        <v>226.39999999999998</v>
      </c>
      <c r="K96" s="4">
        <v>308.71999999999997</v>
      </c>
      <c r="L96" s="4">
        <v>146.18</v>
      </c>
      <c r="M96" s="4">
        <v>0</v>
      </c>
      <c r="N96" s="45">
        <v>0</v>
      </c>
      <c r="O96" s="45">
        <f t="shared" si="15"/>
        <v>3.4586006721662081</v>
      </c>
      <c r="P96" s="45">
        <f t="shared" si="17"/>
        <v>3.4222370025496063</v>
      </c>
      <c r="Q96" s="45">
        <f t="shared" si="16"/>
        <v>3.7665550115949498</v>
      </c>
      <c r="R96" s="45">
        <v>0</v>
      </c>
    </row>
    <row r="97" spans="1:18" x14ac:dyDescent="0.25">
      <c r="A97" s="4">
        <v>833</v>
      </c>
      <c r="B97" s="5">
        <v>10</v>
      </c>
      <c r="C97" s="5" t="s">
        <v>0</v>
      </c>
      <c r="D97" s="40">
        <v>13.333333333333311</v>
      </c>
      <c r="E97" s="40">
        <v>113.9569892473118</v>
      </c>
      <c r="F97" s="40">
        <v>258.86432637571119</v>
      </c>
      <c r="G97" s="40">
        <v>129.84535104364372</v>
      </c>
      <c r="H97" s="40">
        <v>0</v>
      </c>
      <c r="I97" s="4">
        <v>39.177777777777706</v>
      </c>
      <c r="J97" s="4">
        <v>393.10200716845867</v>
      </c>
      <c r="K97" s="4">
        <v>772.47798545224464</v>
      </c>
      <c r="L97" s="4">
        <v>378.29222960151913</v>
      </c>
      <c r="M97" s="4">
        <v>0</v>
      </c>
      <c r="N97" s="45">
        <f>I97/D97</f>
        <v>2.938333333333333</v>
      </c>
      <c r="O97" s="45">
        <f t="shared" si="15"/>
        <v>3.449564697741712</v>
      </c>
      <c r="P97" s="45">
        <f t="shared" si="17"/>
        <v>2.9841036664553133</v>
      </c>
      <c r="Q97" s="45">
        <f t="shared" si="16"/>
        <v>2.9134060369582833</v>
      </c>
      <c r="R97" s="45">
        <v>0</v>
      </c>
    </row>
    <row r="98" spans="1:18" x14ac:dyDescent="0.25">
      <c r="A98" s="4">
        <v>834</v>
      </c>
      <c r="B98" s="5">
        <v>10</v>
      </c>
      <c r="C98" s="5" t="s">
        <v>0</v>
      </c>
      <c r="D98" s="40">
        <v>0</v>
      </c>
      <c r="E98" s="40">
        <v>37.33</v>
      </c>
      <c r="F98" s="40">
        <v>52.446461538461392</v>
      </c>
      <c r="G98" s="40">
        <v>1.527866722028648E-13</v>
      </c>
      <c r="H98" s="40">
        <v>0</v>
      </c>
      <c r="I98" s="4">
        <v>0</v>
      </c>
      <c r="J98" s="4">
        <v>155.78</v>
      </c>
      <c r="K98" s="4">
        <v>283.52646153846058</v>
      </c>
      <c r="L98" s="4">
        <v>9.1496588083828088E-13</v>
      </c>
      <c r="M98" s="4">
        <v>0</v>
      </c>
      <c r="N98" s="45">
        <v>0</v>
      </c>
      <c r="O98" s="45">
        <f t="shared" si="15"/>
        <v>4.1730511652826143</v>
      </c>
      <c r="P98" s="45">
        <f t="shared" si="17"/>
        <v>5.4060169784864831</v>
      </c>
      <c r="Q98" s="45">
        <f t="shared" si="16"/>
        <v>5.9885189437428235</v>
      </c>
      <c r="R98" s="45">
        <v>0</v>
      </c>
    </row>
    <row r="99" spans="1:18" x14ac:dyDescent="0.25">
      <c r="A99" s="4">
        <v>848</v>
      </c>
      <c r="B99" s="5">
        <v>10</v>
      </c>
      <c r="C99" s="5" t="s">
        <v>0</v>
      </c>
      <c r="D99" s="40">
        <v>55.052166666666658</v>
      </c>
      <c r="E99" s="40">
        <v>256.97401754385965</v>
      </c>
      <c r="F99" s="40">
        <v>596.3902965587032</v>
      </c>
      <c r="G99" s="40">
        <v>316.06718589743753</v>
      </c>
      <c r="H99" s="40">
        <v>100.29633333333294</v>
      </c>
      <c r="I99" s="4">
        <v>218.76283333333328</v>
      </c>
      <c r="J99" s="4">
        <v>1089.9286140350875</v>
      </c>
      <c r="K99" s="4">
        <v>2238.4058026315747</v>
      </c>
      <c r="L99" s="4">
        <v>1245.6104166666732</v>
      </c>
      <c r="M99" s="4">
        <v>426.73233333333161</v>
      </c>
      <c r="N99" s="45">
        <f t="shared" ref="N99:N105" si="19">I99/D99</f>
        <v>3.9737370312400659</v>
      </c>
      <c r="O99" s="45">
        <f t="shared" si="15"/>
        <v>4.2413961709146779</v>
      </c>
      <c r="P99" s="45">
        <f t="shared" si="17"/>
        <v>3.7532565763521717</v>
      </c>
      <c r="Q99" s="45">
        <f t="shared" si="16"/>
        <v>3.940967212809205</v>
      </c>
      <c r="R99" s="45">
        <f>M99/H99</f>
        <v>4.2547151939751862</v>
      </c>
    </row>
    <row r="100" spans="1:18" x14ac:dyDescent="0.25">
      <c r="A100" s="4">
        <v>851</v>
      </c>
      <c r="B100" s="5">
        <v>10</v>
      </c>
      <c r="C100" s="5" t="s">
        <v>0</v>
      </c>
      <c r="D100" s="40">
        <v>22.000000000000011</v>
      </c>
      <c r="E100" s="40">
        <v>98.222222222222229</v>
      </c>
      <c r="F100" s="40">
        <v>111.77777777777776</v>
      </c>
      <c r="G100" s="40">
        <v>98</v>
      </c>
      <c r="H100" s="40">
        <v>0</v>
      </c>
      <c r="I100" s="4">
        <v>61.336666666666702</v>
      </c>
      <c r="J100" s="4">
        <v>369.13481481481489</v>
      </c>
      <c r="K100" s="4">
        <v>393.08851851851847</v>
      </c>
      <c r="L100" s="4">
        <v>317.89</v>
      </c>
      <c r="M100" s="4">
        <v>0</v>
      </c>
      <c r="N100" s="45">
        <f t="shared" si="19"/>
        <v>2.7880303030303031</v>
      </c>
      <c r="O100" s="45">
        <f t="shared" si="15"/>
        <v>3.7581598793363504</v>
      </c>
      <c r="P100" s="45">
        <f t="shared" si="17"/>
        <v>3.5166964877402256</v>
      </c>
      <c r="Q100" s="45">
        <f t="shared" si="16"/>
        <v>3.2437755102040815</v>
      </c>
      <c r="R100" s="45">
        <v>0</v>
      </c>
    </row>
    <row r="101" spans="1:18" x14ac:dyDescent="0.25">
      <c r="A101" s="4">
        <v>854</v>
      </c>
      <c r="B101" s="5">
        <v>10</v>
      </c>
      <c r="C101" s="5" t="s">
        <v>0</v>
      </c>
      <c r="D101" s="40">
        <v>6.56</v>
      </c>
      <c r="E101" s="40">
        <v>142.67499999999998</v>
      </c>
      <c r="F101" s="40">
        <v>507.91318181818156</v>
      </c>
      <c r="G101" s="40">
        <v>178.51931818181865</v>
      </c>
      <c r="H101" s="40">
        <v>48.592499999999788</v>
      </c>
      <c r="I101" s="4">
        <v>19.5</v>
      </c>
      <c r="J101" s="4">
        <v>420.08590909090913</v>
      </c>
      <c r="K101" s="4">
        <v>1531.4995454545449</v>
      </c>
      <c r="L101" s="4">
        <v>541.19412878788035</v>
      </c>
      <c r="M101" s="4">
        <v>164.38041666666584</v>
      </c>
      <c r="N101" s="45">
        <f t="shared" si="19"/>
        <v>2.9725609756097562</v>
      </c>
      <c r="O101" s="45">
        <f t="shared" si="15"/>
        <v>2.9443554167927752</v>
      </c>
      <c r="P101" s="45">
        <f t="shared" si="17"/>
        <v>3.0152782016253679</v>
      </c>
      <c r="Q101" s="45">
        <f t="shared" si="16"/>
        <v>3.0315717889796332</v>
      </c>
      <c r="R101" s="45">
        <f t="shared" ref="R101:R109" si="20">M101/H101</f>
        <v>3.3828351425974494</v>
      </c>
    </row>
    <row r="102" spans="1:18" x14ac:dyDescent="0.25">
      <c r="A102" s="4">
        <v>855</v>
      </c>
      <c r="B102" s="5">
        <v>10</v>
      </c>
      <c r="C102" s="5" t="s">
        <v>0</v>
      </c>
      <c r="D102" s="40">
        <v>18.71</v>
      </c>
      <c r="E102" s="40">
        <v>219.78</v>
      </c>
      <c r="F102" s="40">
        <v>441.30999999999995</v>
      </c>
      <c r="G102" s="40">
        <v>209.48999999999995</v>
      </c>
      <c r="H102" s="40">
        <v>85.95</v>
      </c>
      <c r="I102" s="4">
        <v>41.269999999999996</v>
      </c>
      <c r="J102" s="4">
        <v>492.42</v>
      </c>
      <c r="K102" s="4">
        <v>1046.8399999999999</v>
      </c>
      <c r="L102" s="4">
        <v>485.72</v>
      </c>
      <c r="M102" s="4">
        <v>218.04999999999998</v>
      </c>
      <c r="N102" s="45">
        <f t="shared" si="19"/>
        <v>2.2057723142704435</v>
      </c>
      <c r="O102" s="45">
        <f t="shared" si="15"/>
        <v>2.2405132405132404</v>
      </c>
      <c r="P102" s="45">
        <f t="shared" si="17"/>
        <v>2.3721193718701139</v>
      </c>
      <c r="Q102" s="45">
        <f t="shared" si="16"/>
        <v>2.3185832259296393</v>
      </c>
      <c r="R102" s="45">
        <f t="shared" si="20"/>
        <v>2.5369400814426988</v>
      </c>
    </row>
    <row r="103" spans="1:18" x14ac:dyDescent="0.25">
      <c r="A103" s="4">
        <v>856</v>
      </c>
      <c r="B103" s="5">
        <v>10</v>
      </c>
      <c r="C103" s="5" t="s">
        <v>0</v>
      </c>
      <c r="D103" s="40">
        <v>78.586660965013536</v>
      </c>
      <c r="E103" s="40">
        <v>469.68094596332122</v>
      </c>
      <c r="F103" s="40">
        <v>1070.126568937671</v>
      </c>
      <c r="G103" s="40">
        <v>600.29093310617952</v>
      </c>
      <c r="H103" s="40">
        <v>189.92489102781479</v>
      </c>
      <c r="I103" s="4">
        <v>314.21281067013666</v>
      </c>
      <c r="J103" s="4">
        <v>1800.6497816299875</v>
      </c>
      <c r="K103" s="4">
        <v>4042.0669737447911</v>
      </c>
      <c r="L103" s="4">
        <v>2157.6570611882412</v>
      </c>
      <c r="M103" s="4">
        <v>784.43337276684497</v>
      </c>
      <c r="N103" s="45">
        <f t="shared" si="19"/>
        <v>3.9982969986474286</v>
      </c>
      <c r="O103" s="45">
        <f t="shared" si="15"/>
        <v>3.8337722598834265</v>
      </c>
      <c r="P103" s="45">
        <f t="shared" si="17"/>
        <v>3.7771858872333253</v>
      </c>
      <c r="Q103" s="45">
        <f t="shared" si="16"/>
        <v>3.5943522418763481</v>
      </c>
      <c r="R103" s="45">
        <f t="shared" si="20"/>
        <v>4.1302294213345814</v>
      </c>
    </row>
    <row r="104" spans="1:18" x14ac:dyDescent="0.25">
      <c r="A104" s="4">
        <v>864</v>
      </c>
      <c r="B104" s="5">
        <v>10</v>
      </c>
      <c r="C104" s="5" t="s">
        <v>0</v>
      </c>
      <c r="D104" s="40">
        <v>37.354210526315804</v>
      </c>
      <c r="E104" s="40">
        <v>270.41131328320802</v>
      </c>
      <c r="F104" s="40">
        <v>602.30841418614943</v>
      </c>
      <c r="G104" s="40">
        <v>301.31342556066511</v>
      </c>
      <c r="H104" s="40">
        <v>155.9126364436616</v>
      </c>
      <c r="I104" s="4">
        <v>368.40473684210536</v>
      </c>
      <c r="J104" s="4">
        <v>1915.2748822055137</v>
      </c>
      <c r="K104" s="4">
        <v>3295.9530910152048</v>
      </c>
      <c r="L104" s="4">
        <v>1829.2904237399969</v>
      </c>
      <c r="M104" s="4">
        <v>1248.8368661971797</v>
      </c>
      <c r="N104" s="45">
        <f t="shared" si="19"/>
        <v>9.8624688261733322</v>
      </c>
      <c r="O104" s="45">
        <f t="shared" si="15"/>
        <v>7.0828208293178996</v>
      </c>
      <c r="P104" s="45">
        <f t="shared" si="17"/>
        <v>5.4722016385388859</v>
      </c>
      <c r="Q104" s="45">
        <f t="shared" si="16"/>
        <v>6.0710551490899158</v>
      </c>
      <c r="R104" s="45">
        <f t="shared" si="20"/>
        <v>8.0098502256322366</v>
      </c>
    </row>
    <row r="105" spans="1:18" x14ac:dyDescent="0.25">
      <c r="A105" s="4">
        <v>871</v>
      </c>
      <c r="B105" s="5">
        <v>10</v>
      </c>
      <c r="C105" s="5" t="s">
        <v>0</v>
      </c>
      <c r="D105" s="40">
        <v>4.43</v>
      </c>
      <c r="E105" s="40">
        <v>36.39</v>
      </c>
      <c r="F105" s="40">
        <v>103.89666666666645</v>
      </c>
      <c r="G105" s="40">
        <v>47.923333333333574</v>
      </c>
      <c r="H105" s="40">
        <v>20.88</v>
      </c>
      <c r="I105" s="4">
        <v>8.1300000000000008</v>
      </c>
      <c r="J105" s="4">
        <v>91.07</v>
      </c>
      <c r="K105" s="4">
        <v>266.01999999999947</v>
      </c>
      <c r="L105" s="4">
        <v>135.58000000000055</v>
      </c>
      <c r="M105" s="4">
        <v>71.410000000000011</v>
      </c>
      <c r="N105" s="45">
        <f t="shared" si="19"/>
        <v>1.8352144469525962</v>
      </c>
      <c r="O105" s="45">
        <f t="shared" si="15"/>
        <v>2.5026106073097001</v>
      </c>
      <c r="P105" s="45">
        <f t="shared" si="17"/>
        <v>2.5604286310115825</v>
      </c>
      <c r="Q105" s="45">
        <f t="shared" si="16"/>
        <v>2.8291020379773224</v>
      </c>
      <c r="R105" s="45">
        <f t="shared" si="20"/>
        <v>3.4200191570881233</v>
      </c>
    </row>
    <row r="106" spans="1:18" x14ac:dyDescent="0.25">
      <c r="A106" s="4">
        <v>872</v>
      </c>
      <c r="B106" s="5">
        <v>10</v>
      </c>
      <c r="C106" s="5" t="s">
        <v>0</v>
      </c>
      <c r="D106" s="40">
        <v>0</v>
      </c>
      <c r="E106" s="40">
        <v>24.593333333333344</v>
      </c>
      <c r="F106" s="40">
        <v>86.776666666666642</v>
      </c>
      <c r="G106" s="40">
        <v>36.819130434782743</v>
      </c>
      <c r="H106" s="40">
        <v>30.360869565217257</v>
      </c>
      <c r="I106" s="4">
        <v>0</v>
      </c>
      <c r="J106" s="4">
        <v>55.643333333333359</v>
      </c>
      <c r="K106" s="4">
        <v>209.52666666666664</v>
      </c>
      <c r="L106" s="4">
        <v>92.751739130435155</v>
      </c>
      <c r="M106" s="4">
        <v>80.998260869564859</v>
      </c>
      <c r="N106" s="45">
        <v>0</v>
      </c>
      <c r="O106" s="45">
        <f t="shared" si="15"/>
        <v>2.2625372729737054</v>
      </c>
      <c r="P106" s="45">
        <f t="shared" si="17"/>
        <v>2.4145507624937581</v>
      </c>
      <c r="Q106" s="45">
        <f t="shared" si="16"/>
        <v>2.5191181332955468</v>
      </c>
      <c r="R106" s="45">
        <f t="shared" si="20"/>
        <v>2.6678504940569954</v>
      </c>
    </row>
    <row r="107" spans="1:18" x14ac:dyDescent="0.25">
      <c r="A107" s="4">
        <v>874</v>
      </c>
      <c r="B107" s="5">
        <v>10</v>
      </c>
      <c r="C107" s="5" t="s">
        <v>0</v>
      </c>
      <c r="D107" s="40">
        <v>18.759999999999987</v>
      </c>
      <c r="E107" s="40">
        <v>151.7521568627451</v>
      </c>
      <c r="F107" s="40">
        <v>410.91747276688409</v>
      </c>
      <c r="G107" s="40">
        <v>172.99037037037101</v>
      </c>
      <c r="H107" s="40">
        <v>55.879999999999825</v>
      </c>
      <c r="I107" s="4">
        <v>42.915454545454509</v>
      </c>
      <c r="J107" s="4">
        <v>422.35101604278083</v>
      </c>
      <c r="K107" s="4">
        <v>1366.0763071895408</v>
      </c>
      <c r="L107" s="4">
        <v>630.32222222222435</v>
      </c>
      <c r="M107" s="4">
        <v>193.8749999999994</v>
      </c>
      <c r="N107" s="45">
        <f>I107/D107</f>
        <v>2.287604186857918</v>
      </c>
      <c r="O107" s="45">
        <f t="shared" si="15"/>
        <v>2.7831631838009634</v>
      </c>
      <c r="P107" s="45">
        <f t="shared" si="17"/>
        <v>3.3244541732215995</v>
      </c>
      <c r="Q107" s="45">
        <f t="shared" si="16"/>
        <v>3.6436838702218481</v>
      </c>
      <c r="R107" s="45">
        <f t="shared" si="20"/>
        <v>3.4694881889763782</v>
      </c>
    </row>
    <row r="108" spans="1:18" x14ac:dyDescent="0.25">
      <c r="A108" s="4">
        <v>875</v>
      </c>
      <c r="B108" s="5">
        <v>10</v>
      </c>
      <c r="C108" s="5" t="s">
        <v>0</v>
      </c>
      <c r="D108" s="40">
        <v>0</v>
      </c>
      <c r="E108" s="40">
        <v>102.71529411764709</v>
      </c>
      <c r="F108" s="40">
        <v>351.18891640866832</v>
      </c>
      <c r="G108" s="40">
        <v>182.86507518797075</v>
      </c>
      <c r="H108" s="40">
        <v>59.850714285713877</v>
      </c>
      <c r="I108" s="4">
        <v>0</v>
      </c>
      <c r="J108" s="4">
        <v>349.75294117647076</v>
      </c>
      <c r="K108" s="4">
        <v>1130.2081114551072</v>
      </c>
      <c r="L108" s="4">
        <v>525.81894736842321</v>
      </c>
      <c r="M108" s="4">
        <v>204.22999999999877</v>
      </c>
      <c r="N108" s="45">
        <v>0</v>
      </c>
      <c r="O108" s="45">
        <f t="shared" si="15"/>
        <v>3.4050717001878414</v>
      </c>
      <c r="P108" s="45">
        <f t="shared" si="17"/>
        <v>3.2182340006992618</v>
      </c>
      <c r="Q108" s="45">
        <f t="shared" si="16"/>
        <v>2.875447631691963</v>
      </c>
      <c r="R108" s="45">
        <f t="shared" si="20"/>
        <v>3.4123235192323786</v>
      </c>
    </row>
    <row r="109" spans="1:18" x14ac:dyDescent="0.25">
      <c r="A109" s="4">
        <v>901</v>
      </c>
      <c r="B109" s="5">
        <v>10</v>
      </c>
      <c r="C109" s="5" t="s">
        <v>0</v>
      </c>
      <c r="D109" s="40">
        <v>99.785850389496474</v>
      </c>
      <c r="E109" s="40">
        <v>525.87021172230482</v>
      </c>
      <c r="F109" s="40">
        <v>1049.3432319485669</v>
      </c>
      <c r="G109" s="40">
        <v>606.47688347586416</v>
      </c>
      <c r="H109" s="40">
        <v>290.04382246376764</v>
      </c>
      <c r="I109" s="4">
        <v>928.20513250726651</v>
      </c>
      <c r="J109" s="4">
        <v>3461.2013022753417</v>
      </c>
      <c r="K109" s="4">
        <v>6382.5411942339333</v>
      </c>
      <c r="L109" s="4">
        <v>3887.4129869254898</v>
      </c>
      <c r="M109" s="4">
        <v>2578.0793840579677</v>
      </c>
      <c r="N109" s="45">
        <f>I109/D109</f>
        <v>9.3019714607249568</v>
      </c>
      <c r="O109" s="45">
        <f t="shared" si="15"/>
        <v>6.5818546575197363</v>
      </c>
      <c r="P109" s="45">
        <f t="shared" si="17"/>
        <v>6.0824151716135253</v>
      </c>
      <c r="Q109" s="45">
        <f t="shared" si="16"/>
        <v>6.4098287879429066</v>
      </c>
      <c r="R109" s="45">
        <f t="shared" si="20"/>
        <v>8.8885857390740401</v>
      </c>
    </row>
    <row r="110" spans="1:18" x14ac:dyDescent="0.25">
      <c r="A110" s="4">
        <v>904</v>
      </c>
      <c r="B110" s="5">
        <v>10</v>
      </c>
      <c r="C110" s="5" t="s">
        <v>0</v>
      </c>
      <c r="D110" s="40">
        <v>0</v>
      </c>
      <c r="E110" s="40">
        <v>0</v>
      </c>
      <c r="F110" s="40">
        <v>79.946232727272587</v>
      </c>
      <c r="G110" s="40">
        <v>55.272727272727401</v>
      </c>
      <c r="H110" s="40">
        <v>0</v>
      </c>
      <c r="I110" s="4">
        <v>0</v>
      </c>
      <c r="J110" s="4">
        <v>0</v>
      </c>
      <c r="K110" s="4">
        <v>80.105507878787762</v>
      </c>
      <c r="L110" s="4">
        <v>62.954545454545567</v>
      </c>
      <c r="M110" s="4">
        <v>0</v>
      </c>
      <c r="N110" s="45">
        <v>0</v>
      </c>
      <c r="O110" s="45">
        <v>0</v>
      </c>
      <c r="P110" s="45">
        <f t="shared" si="17"/>
        <v>1.0019922783861315</v>
      </c>
      <c r="Q110" s="45">
        <f t="shared" si="16"/>
        <v>1.138980263157894</v>
      </c>
      <c r="R110" s="45">
        <v>0</v>
      </c>
    </row>
    <row r="111" spans="1:18" x14ac:dyDescent="0.25">
      <c r="A111" s="4">
        <v>905</v>
      </c>
      <c r="B111" s="5">
        <v>10</v>
      </c>
      <c r="C111" s="5" t="s">
        <v>0</v>
      </c>
      <c r="D111" s="40">
        <v>173.12633333333332</v>
      </c>
      <c r="E111" s="40">
        <v>450.97249783549779</v>
      </c>
      <c r="F111" s="40">
        <v>614.98390635129624</v>
      </c>
      <c r="G111" s="40">
        <v>475.55000322061409</v>
      </c>
      <c r="H111" s="40">
        <v>102.32725925925853</v>
      </c>
      <c r="I111" s="4">
        <v>1310.7626666666667</v>
      </c>
      <c r="J111" s="4">
        <v>2709.1666839826839</v>
      </c>
      <c r="K111" s="4">
        <v>4274.8394094150535</v>
      </c>
      <c r="L111" s="4">
        <v>3315.5390177133804</v>
      </c>
      <c r="M111" s="4">
        <v>824.18222222221652</v>
      </c>
      <c r="N111" s="45">
        <f t="shared" ref="N111:N133" si="21">I111/D111</f>
        <v>7.5711339888597742</v>
      </c>
      <c r="O111" s="45">
        <f t="shared" ref="O111:O133" si="22">J111/E111</f>
        <v>6.0073878052113781</v>
      </c>
      <c r="P111" s="45">
        <f t="shared" si="17"/>
        <v>6.9511402904471193</v>
      </c>
      <c r="Q111" s="45">
        <f t="shared" si="16"/>
        <v>6.9720092424755107</v>
      </c>
      <c r="R111" s="45">
        <f t="shared" ref="R111:R133" si="23">M111/H111</f>
        <v>8.0543760107367959</v>
      </c>
    </row>
    <row r="112" spans="1:18" x14ac:dyDescent="0.25">
      <c r="A112" s="4">
        <v>906</v>
      </c>
      <c r="B112" s="5">
        <v>10</v>
      </c>
      <c r="C112" s="5" t="s">
        <v>0</v>
      </c>
      <c r="D112" s="40">
        <v>168.63</v>
      </c>
      <c r="E112" s="40">
        <v>423.12902173913045</v>
      </c>
      <c r="F112" s="40">
        <v>1314.4265726664626</v>
      </c>
      <c r="G112" s="40">
        <v>651.85450789619756</v>
      </c>
      <c r="H112" s="40">
        <v>219.04451634227703</v>
      </c>
      <c r="I112" s="4">
        <v>486.48642857142858</v>
      </c>
      <c r="J112" s="4">
        <v>861.97204968944118</v>
      </c>
      <c r="K112" s="4">
        <v>2099.6393539069604</v>
      </c>
      <c r="L112" s="4">
        <v>1003.5960041493058</v>
      </c>
      <c r="M112" s="4">
        <v>448.60333741167722</v>
      </c>
      <c r="N112" s="45">
        <f t="shared" si="21"/>
        <v>2.8849340483391366</v>
      </c>
      <c r="O112" s="45">
        <f t="shared" si="22"/>
        <v>2.0371376232870841</v>
      </c>
      <c r="P112" s="45">
        <f t="shared" si="17"/>
        <v>1.5973804832989682</v>
      </c>
      <c r="Q112" s="45">
        <f t="shared" si="16"/>
        <v>1.5396012330854667</v>
      </c>
      <c r="R112" s="45">
        <f t="shared" si="23"/>
        <v>2.0480007667057669</v>
      </c>
    </row>
    <row r="113" spans="1:18" x14ac:dyDescent="0.25">
      <c r="A113" s="4">
        <v>907</v>
      </c>
      <c r="B113" s="5">
        <v>10</v>
      </c>
      <c r="C113" s="5" t="s">
        <v>0</v>
      </c>
      <c r="D113" s="40">
        <v>155.72363636363639</v>
      </c>
      <c r="E113" s="40">
        <v>620.44617647058817</v>
      </c>
      <c r="F113" s="40">
        <v>1763.0498235294101</v>
      </c>
      <c r="G113" s="40">
        <v>771.40346428571684</v>
      </c>
      <c r="H113" s="40">
        <v>255.67056460488567</v>
      </c>
      <c r="I113" s="4">
        <v>287.8986363636364</v>
      </c>
      <c r="J113" s="4">
        <v>751.9560049019608</v>
      </c>
      <c r="K113" s="4">
        <v>2405.17532843137</v>
      </c>
      <c r="L113" s="4">
        <v>1147.8239345238137</v>
      </c>
      <c r="M113" s="4">
        <v>442.65173984701585</v>
      </c>
      <c r="N113" s="45">
        <f t="shared" si="21"/>
        <v>1.8487793059966373</v>
      </c>
      <c r="O113" s="45">
        <f t="shared" si="22"/>
        <v>1.2119600916544722</v>
      </c>
      <c r="P113" s="45">
        <f t="shared" si="17"/>
        <v>1.3642129089786601</v>
      </c>
      <c r="Q113" s="45">
        <f t="shared" si="16"/>
        <v>1.4879683429820274</v>
      </c>
      <c r="R113" s="45">
        <f t="shared" si="23"/>
        <v>1.731336341088352</v>
      </c>
    </row>
    <row r="114" spans="1:18" x14ac:dyDescent="0.25">
      <c r="A114" s="4">
        <v>916</v>
      </c>
      <c r="B114" s="5">
        <v>10</v>
      </c>
      <c r="C114" s="5" t="s">
        <v>0</v>
      </c>
      <c r="D114" s="40">
        <v>6.58</v>
      </c>
      <c r="E114" s="40">
        <v>55.04804347826088</v>
      </c>
      <c r="F114" s="40">
        <v>137.40034480012696</v>
      </c>
      <c r="G114" s="40">
        <v>93.060842490843015</v>
      </c>
      <c r="H114" s="40">
        <v>26.620769230769138</v>
      </c>
      <c r="I114" s="4">
        <v>9.43</v>
      </c>
      <c r="J114" s="4">
        <v>168.24173913043481</v>
      </c>
      <c r="K114" s="4">
        <v>429.23730848861135</v>
      </c>
      <c r="L114" s="4">
        <v>276.97402930403103</v>
      </c>
      <c r="M114" s="4">
        <v>84.056923076922786</v>
      </c>
      <c r="N114" s="45">
        <f t="shared" si="21"/>
        <v>1.4331306990881458</v>
      </c>
      <c r="O114" s="45">
        <f t="shared" si="22"/>
        <v>3.0562710043795733</v>
      </c>
      <c r="P114" s="45">
        <f t="shared" si="17"/>
        <v>3.1239900388387869</v>
      </c>
      <c r="Q114" s="45">
        <f t="shared" si="16"/>
        <v>2.9762682336696518</v>
      </c>
      <c r="R114" s="45">
        <f t="shared" si="23"/>
        <v>3.1575692778917559</v>
      </c>
    </row>
    <row r="115" spans="1:18" x14ac:dyDescent="0.25">
      <c r="A115" s="4">
        <v>917</v>
      </c>
      <c r="B115" s="5">
        <v>10</v>
      </c>
      <c r="C115" s="5" t="s">
        <v>0</v>
      </c>
      <c r="D115" s="40">
        <v>6.27</v>
      </c>
      <c r="E115" s="40">
        <v>66.995999999999995</v>
      </c>
      <c r="F115" s="40">
        <v>134.64494339622624</v>
      </c>
      <c r="G115" s="40">
        <v>92.740943396226726</v>
      </c>
      <c r="H115" s="40">
        <v>43.178113207547028</v>
      </c>
      <c r="I115" s="4">
        <v>11.68</v>
      </c>
      <c r="J115" s="4">
        <v>194.11199999999999</v>
      </c>
      <c r="K115" s="4">
        <v>432.01762264150886</v>
      </c>
      <c r="L115" s="4">
        <v>314.84679245283121</v>
      </c>
      <c r="M115" s="4">
        <v>170.50358490565992</v>
      </c>
      <c r="N115" s="45">
        <f t="shared" si="21"/>
        <v>1.8628389154704945</v>
      </c>
      <c r="O115" s="45">
        <f t="shared" si="22"/>
        <v>2.8973670069854918</v>
      </c>
      <c r="P115" s="45">
        <f t="shared" si="17"/>
        <v>3.2085692321187995</v>
      </c>
      <c r="Q115" s="45">
        <f t="shared" ref="Q115:Q138" si="24">L115/G115</f>
        <v>3.3949060784046448</v>
      </c>
      <c r="R115" s="45">
        <f t="shared" si="23"/>
        <v>3.9488428798657624</v>
      </c>
    </row>
    <row r="116" spans="1:18" x14ac:dyDescent="0.25">
      <c r="A116" s="4">
        <v>921</v>
      </c>
      <c r="B116" s="5">
        <v>10</v>
      </c>
      <c r="C116" s="5" t="s">
        <v>0</v>
      </c>
      <c r="D116" s="40">
        <v>0.83333333333333282</v>
      </c>
      <c r="E116" s="40">
        <v>187.67607500378682</v>
      </c>
      <c r="F116" s="40">
        <v>456.95215255868828</v>
      </c>
      <c r="G116" s="40">
        <v>267.74602734567441</v>
      </c>
      <c r="H116" s="40">
        <v>23.957652916073624</v>
      </c>
      <c r="I116" s="4">
        <v>1.4499999999999991</v>
      </c>
      <c r="J116" s="4">
        <v>662.70530165066612</v>
      </c>
      <c r="K116" s="4">
        <v>1587.6966016606657</v>
      </c>
      <c r="L116" s="4">
        <v>931.88877564991174</v>
      </c>
      <c r="M116" s="4">
        <v>89.507724039828091</v>
      </c>
      <c r="N116" s="45">
        <f t="shared" si="21"/>
        <v>1.74</v>
      </c>
      <c r="O116" s="45">
        <f t="shared" si="22"/>
        <v>3.5311123255177539</v>
      </c>
      <c r="P116" s="45">
        <f t="shared" si="17"/>
        <v>3.4745357752894077</v>
      </c>
      <c r="Q116" s="45">
        <f t="shared" si="24"/>
        <v>3.4804952472620392</v>
      </c>
      <c r="R116" s="45">
        <f t="shared" si="23"/>
        <v>3.7360806734025158</v>
      </c>
    </row>
    <row r="117" spans="1:18" x14ac:dyDescent="0.25">
      <c r="A117" s="4">
        <v>923</v>
      </c>
      <c r="B117" s="5">
        <v>10</v>
      </c>
      <c r="C117" s="5" t="s">
        <v>0</v>
      </c>
      <c r="D117" s="40">
        <v>12.319215686274502</v>
      </c>
      <c r="E117" s="40">
        <v>222.39997755950412</v>
      </c>
      <c r="F117" s="40">
        <v>369.94497342088778</v>
      </c>
      <c r="G117" s="40">
        <v>246.35464540121572</v>
      </c>
      <c r="H117" s="40">
        <v>7.5711879321179572</v>
      </c>
      <c r="I117" s="4">
        <v>55.114673202614341</v>
      </c>
      <c r="J117" s="4">
        <v>1023.7602986547964</v>
      </c>
      <c r="K117" s="4">
        <v>1609.7466948092544</v>
      </c>
      <c r="L117" s="4">
        <v>1087.9541724282449</v>
      </c>
      <c r="M117" s="4">
        <v>37.924160905090098</v>
      </c>
      <c r="N117" s="45">
        <f t="shared" si="21"/>
        <v>4.4738784193883827</v>
      </c>
      <c r="O117" s="45">
        <f t="shared" si="22"/>
        <v>4.6032392174180172</v>
      </c>
      <c r="P117" s="45">
        <f t="shared" si="17"/>
        <v>4.3513138722332085</v>
      </c>
      <c r="Q117" s="45">
        <f t="shared" si="24"/>
        <v>4.4162113146126858</v>
      </c>
      <c r="R117" s="45">
        <f t="shared" si="23"/>
        <v>5.0090106394283129</v>
      </c>
    </row>
    <row r="118" spans="1:18" x14ac:dyDescent="0.25">
      <c r="A118" s="4">
        <v>928</v>
      </c>
      <c r="B118" s="5">
        <v>10</v>
      </c>
      <c r="C118" s="5" t="s">
        <v>0</v>
      </c>
      <c r="D118" s="40">
        <v>17.921944444444435</v>
      </c>
      <c r="E118" s="40">
        <v>196.87694444444443</v>
      </c>
      <c r="F118" s="40">
        <v>484.06192506459877</v>
      </c>
      <c r="G118" s="40">
        <v>228.32953692370572</v>
      </c>
      <c r="H118" s="40">
        <v>47.289649122806665</v>
      </c>
      <c r="I118" s="4">
        <v>86.693055555555532</v>
      </c>
      <c r="J118" s="4">
        <v>850.70611111111111</v>
      </c>
      <c r="K118" s="4">
        <v>2137.8036240310043</v>
      </c>
      <c r="L118" s="4">
        <v>1047.3616829865416</v>
      </c>
      <c r="M118" s="4">
        <v>228.42552631578781</v>
      </c>
      <c r="N118" s="45">
        <f t="shared" si="21"/>
        <v>4.83725724205273</v>
      </c>
      <c r="O118" s="45">
        <f t="shared" si="22"/>
        <v>4.32100423699519</v>
      </c>
      <c r="P118" s="45">
        <f t="shared" si="17"/>
        <v>4.416384584979931</v>
      </c>
      <c r="Q118" s="45">
        <f t="shared" si="24"/>
        <v>4.5870617402272762</v>
      </c>
      <c r="R118" s="45">
        <f t="shared" si="23"/>
        <v>4.8303493587484381</v>
      </c>
    </row>
    <row r="119" spans="1:18" x14ac:dyDescent="0.25">
      <c r="A119" s="4">
        <v>929</v>
      </c>
      <c r="B119" s="5">
        <v>10</v>
      </c>
      <c r="C119" s="5" t="s">
        <v>0</v>
      </c>
      <c r="D119" s="40">
        <v>164.04551319648093</v>
      </c>
      <c r="E119" s="40">
        <v>1147.0849658858401</v>
      </c>
      <c r="F119" s="40">
        <v>3683.521279112651</v>
      </c>
      <c r="G119" s="40">
        <v>1564.020455539164</v>
      </c>
      <c r="H119" s="40">
        <v>681.49679669646025</v>
      </c>
      <c r="I119" s="4">
        <v>719.4951116813296</v>
      </c>
      <c r="J119" s="4">
        <v>3786.0984409502494</v>
      </c>
      <c r="K119" s="4">
        <v>10663.480097781043</v>
      </c>
      <c r="L119" s="4">
        <v>5003.3880897754361</v>
      </c>
      <c r="M119" s="4">
        <v>3092.8307979237379</v>
      </c>
      <c r="N119" s="45">
        <f t="shared" si="21"/>
        <v>4.3859481290388871</v>
      </c>
      <c r="O119" s="45">
        <f t="shared" si="22"/>
        <v>3.3006259811158998</v>
      </c>
      <c r="P119" s="45">
        <f t="shared" si="17"/>
        <v>2.8949147540556202</v>
      </c>
      <c r="Q119" s="45">
        <f t="shared" si="24"/>
        <v>3.1990554036907533</v>
      </c>
      <c r="R119" s="45">
        <f t="shared" si="23"/>
        <v>4.5382910278025701</v>
      </c>
    </row>
    <row r="120" spans="1:18" x14ac:dyDescent="0.25">
      <c r="A120" s="4">
        <v>932</v>
      </c>
      <c r="B120" s="5">
        <v>10</v>
      </c>
      <c r="C120" s="5" t="s">
        <v>0</v>
      </c>
      <c r="D120" s="40">
        <v>88.98310559006211</v>
      </c>
      <c r="E120" s="40">
        <v>567.56791968466337</v>
      </c>
      <c r="F120" s="40">
        <v>2110.1038462791566</v>
      </c>
      <c r="G120" s="40">
        <v>906.08935293747004</v>
      </c>
      <c r="H120" s="40">
        <v>248.59577550864785</v>
      </c>
      <c r="I120" s="4">
        <v>236.31586956521738</v>
      </c>
      <c r="J120" s="4">
        <v>1427.8454798853322</v>
      </c>
      <c r="K120" s="4">
        <v>5184.51686796799</v>
      </c>
      <c r="L120" s="4">
        <v>2192.4405202262747</v>
      </c>
      <c r="M120" s="4">
        <v>716.98126235518544</v>
      </c>
      <c r="N120" s="45">
        <f t="shared" si="21"/>
        <v>2.6557386146298971</v>
      </c>
      <c r="O120" s="45">
        <f t="shared" si="22"/>
        <v>2.5157261895257097</v>
      </c>
      <c r="P120" s="45">
        <f t="shared" si="17"/>
        <v>2.4569960749136057</v>
      </c>
      <c r="Q120" s="45">
        <f t="shared" si="24"/>
        <v>2.4196736371733714</v>
      </c>
      <c r="R120" s="45">
        <f t="shared" si="23"/>
        <v>2.8841248846171319</v>
      </c>
    </row>
    <row r="121" spans="1:18" x14ac:dyDescent="0.25">
      <c r="A121" s="4">
        <v>933</v>
      </c>
      <c r="B121" s="5">
        <v>10</v>
      </c>
      <c r="C121" s="5" t="s">
        <v>0</v>
      </c>
      <c r="D121" s="40">
        <v>95.915060568086886</v>
      </c>
      <c r="E121" s="40">
        <v>505.09039397736768</v>
      </c>
      <c r="F121" s="40">
        <v>1322.5782440846808</v>
      </c>
      <c r="G121" s="40">
        <v>666.53959140796928</v>
      </c>
      <c r="H121" s="40">
        <v>247.64745679953197</v>
      </c>
      <c r="I121" s="4">
        <v>292.95622807017543</v>
      </c>
      <c r="J121" s="4">
        <v>1678.4134688995211</v>
      </c>
      <c r="K121" s="4">
        <v>4236.368933167284</v>
      </c>
      <c r="L121" s="4">
        <v>2112.2662966005714</v>
      </c>
      <c r="M121" s="4">
        <v>805.32706771748178</v>
      </c>
      <c r="N121" s="45">
        <f t="shared" si="21"/>
        <v>3.0543298032139137</v>
      </c>
      <c r="O121" s="45">
        <f t="shared" si="22"/>
        <v>3.3229962179299104</v>
      </c>
      <c r="P121" s="45">
        <f t="shared" si="17"/>
        <v>3.2031140328481329</v>
      </c>
      <c r="Q121" s="45">
        <f t="shared" si="24"/>
        <v>3.1690034978098027</v>
      </c>
      <c r="R121" s="45">
        <f t="shared" si="23"/>
        <v>3.2519092993124725</v>
      </c>
    </row>
    <row r="122" spans="1:18" x14ac:dyDescent="0.25">
      <c r="A122" s="4">
        <v>934</v>
      </c>
      <c r="B122" s="5">
        <v>10</v>
      </c>
      <c r="C122" s="5" t="s">
        <v>0</v>
      </c>
      <c r="D122" s="40">
        <v>86.004999999999981</v>
      </c>
      <c r="E122" s="40">
        <v>608.27264448924734</v>
      </c>
      <c r="F122" s="40">
        <v>1168.9421947801575</v>
      </c>
      <c r="G122" s="40">
        <v>628.79799681982558</v>
      </c>
      <c r="H122" s="40">
        <v>227.97089896535286</v>
      </c>
      <c r="I122" s="4">
        <v>259.61142857142846</v>
      </c>
      <c r="J122" s="4">
        <v>1800.6908652335569</v>
      </c>
      <c r="K122" s="4">
        <v>3593.4308075648723</v>
      </c>
      <c r="L122" s="4">
        <v>2030.3110134315541</v>
      </c>
      <c r="M122" s="4">
        <v>810.72994515353446</v>
      </c>
      <c r="N122" s="45">
        <f t="shared" si="21"/>
        <v>3.018562043734998</v>
      </c>
      <c r="O122" s="45">
        <f t="shared" si="22"/>
        <v>2.9603351088483616</v>
      </c>
      <c r="P122" s="45">
        <f t="shared" si="17"/>
        <v>3.0740876868087454</v>
      </c>
      <c r="Q122" s="45">
        <f t="shared" si="24"/>
        <v>3.2288764018014438</v>
      </c>
      <c r="R122" s="45">
        <f t="shared" si="23"/>
        <v>3.5562870034422667</v>
      </c>
    </row>
    <row r="123" spans="1:18" x14ac:dyDescent="0.25">
      <c r="A123" s="4">
        <v>936</v>
      </c>
      <c r="B123" s="5">
        <v>10</v>
      </c>
      <c r="C123" s="5" t="s">
        <v>0</v>
      </c>
      <c r="D123" s="40">
        <v>26.881273809523808</v>
      </c>
      <c r="E123" s="40">
        <v>303.77553369907696</v>
      </c>
      <c r="F123" s="40">
        <v>807.96805052156651</v>
      </c>
      <c r="G123" s="40">
        <v>419.91571044528558</v>
      </c>
      <c r="H123" s="40">
        <v>176.39943152454714</v>
      </c>
      <c r="I123" s="4">
        <v>78.647821428571433</v>
      </c>
      <c r="J123" s="4">
        <v>824.12818812418584</v>
      </c>
      <c r="K123" s="4">
        <v>1924.4891279805133</v>
      </c>
      <c r="L123" s="4">
        <v>1050.1205213814592</v>
      </c>
      <c r="M123" s="4">
        <v>518.90434108526949</v>
      </c>
      <c r="N123" s="45">
        <f t="shared" si="21"/>
        <v>2.9257475663488526</v>
      </c>
      <c r="O123" s="45">
        <f t="shared" si="22"/>
        <v>2.7129511652527465</v>
      </c>
      <c r="P123" s="45">
        <f t="shared" si="17"/>
        <v>2.3818876584763475</v>
      </c>
      <c r="Q123" s="45">
        <f t="shared" si="24"/>
        <v>2.5007888375214491</v>
      </c>
      <c r="R123" s="45">
        <f t="shared" si="23"/>
        <v>2.9416440665403196</v>
      </c>
    </row>
    <row r="124" spans="1:18" x14ac:dyDescent="0.25">
      <c r="A124" s="4">
        <v>944</v>
      </c>
      <c r="B124" s="5">
        <v>10</v>
      </c>
      <c r="C124" s="5" t="s">
        <v>0</v>
      </c>
      <c r="D124" s="40">
        <v>3</v>
      </c>
      <c r="E124" s="40">
        <v>56</v>
      </c>
      <c r="F124" s="40">
        <v>88.374999999999801</v>
      </c>
      <c r="G124" s="40">
        <v>69.625000000000313</v>
      </c>
      <c r="H124" s="40">
        <v>1.9999999999999085</v>
      </c>
      <c r="I124" s="4">
        <v>11.74</v>
      </c>
      <c r="J124" s="4">
        <v>200.44</v>
      </c>
      <c r="K124" s="4">
        <v>304.77249999999924</v>
      </c>
      <c r="L124" s="4">
        <v>225.90750000000108</v>
      </c>
      <c r="M124" s="4">
        <v>4.9699999999996551</v>
      </c>
      <c r="N124" s="45">
        <f t="shared" si="21"/>
        <v>3.9133333333333336</v>
      </c>
      <c r="O124" s="45">
        <f t="shared" si="22"/>
        <v>3.5792857142857142</v>
      </c>
      <c r="P124" s="45">
        <f t="shared" si="17"/>
        <v>3.4486280056577079</v>
      </c>
      <c r="Q124" s="45">
        <f t="shared" si="24"/>
        <v>3.2446319569120297</v>
      </c>
      <c r="R124" s="45">
        <f t="shared" si="23"/>
        <v>2.4849999999999413</v>
      </c>
    </row>
    <row r="125" spans="1:18" x14ac:dyDescent="0.25">
      <c r="A125" s="4">
        <v>945</v>
      </c>
      <c r="B125" s="5">
        <v>10</v>
      </c>
      <c r="C125" s="5" t="s">
        <v>0</v>
      </c>
      <c r="D125" s="40">
        <v>8.012987012987006</v>
      </c>
      <c r="E125" s="40">
        <v>191</v>
      </c>
      <c r="F125" s="40">
        <v>288</v>
      </c>
      <c r="G125" s="40">
        <v>157</v>
      </c>
      <c r="H125" s="40">
        <v>8.8291866028704611</v>
      </c>
      <c r="I125" s="4">
        <v>38.848961038961008</v>
      </c>
      <c r="J125" s="4">
        <v>747</v>
      </c>
      <c r="K125" s="4">
        <v>1224</v>
      </c>
      <c r="L125" s="4">
        <v>644</v>
      </c>
      <c r="M125" s="4">
        <v>38.36442583731943</v>
      </c>
      <c r="N125" s="45">
        <f t="shared" si="21"/>
        <v>4.8482495948136144</v>
      </c>
      <c r="O125" s="45">
        <f t="shared" si="22"/>
        <v>3.9109947643979059</v>
      </c>
      <c r="P125" s="45">
        <f t="shared" si="17"/>
        <v>4.25</v>
      </c>
      <c r="Q125" s="45">
        <f t="shared" si="24"/>
        <v>4.1019108280254777</v>
      </c>
      <c r="R125" s="45">
        <f t="shared" si="23"/>
        <v>4.3451823551726445</v>
      </c>
    </row>
    <row r="126" spans="1:18" x14ac:dyDescent="0.25">
      <c r="A126" s="4">
        <v>955</v>
      </c>
      <c r="B126" s="5">
        <v>10</v>
      </c>
      <c r="C126" s="5" t="s">
        <v>0</v>
      </c>
      <c r="D126" s="40">
        <v>111.12909090909089</v>
      </c>
      <c r="E126" s="40">
        <v>873.86628534601232</v>
      </c>
      <c r="F126" s="40">
        <v>2168.5142789173078</v>
      </c>
      <c r="G126" s="40">
        <v>1116.5351071643104</v>
      </c>
      <c r="H126" s="40">
        <v>411.74523766327854</v>
      </c>
      <c r="I126" s="4">
        <v>298.7849318181818</v>
      </c>
      <c r="J126" s="4">
        <v>2228.9067707085756</v>
      </c>
      <c r="K126" s="4">
        <v>5175.7888147146141</v>
      </c>
      <c r="L126" s="4">
        <v>2814.3845371853381</v>
      </c>
      <c r="M126" s="4">
        <v>1096.37494557329</v>
      </c>
      <c r="N126" s="45">
        <f t="shared" si="21"/>
        <v>2.6886293172559355</v>
      </c>
      <c r="O126" s="45">
        <f t="shared" si="22"/>
        <v>2.5506268042209994</v>
      </c>
      <c r="P126" s="45">
        <f t="shared" si="17"/>
        <v>2.3867902854201049</v>
      </c>
      <c r="Q126" s="45">
        <f t="shared" si="24"/>
        <v>2.5206413297053367</v>
      </c>
      <c r="R126" s="45">
        <f t="shared" si="23"/>
        <v>2.6627507625720139</v>
      </c>
    </row>
    <row r="127" spans="1:18" x14ac:dyDescent="0.25">
      <c r="A127" s="4">
        <v>961</v>
      </c>
      <c r="B127" s="5">
        <v>10</v>
      </c>
      <c r="C127" s="5" t="s">
        <v>0</v>
      </c>
      <c r="D127" s="40">
        <v>52.268960373907753</v>
      </c>
      <c r="E127" s="40">
        <v>383.2000790997763</v>
      </c>
      <c r="F127" s="40">
        <v>938.86492971398957</v>
      </c>
      <c r="G127" s="40">
        <v>513.1793783733026</v>
      </c>
      <c r="H127" s="40">
        <v>147.32665243902355</v>
      </c>
      <c r="I127" s="4">
        <v>161.214305832148</v>
      </c>
      <c r="J127" s="4">
        <v>1086.8412994310102</v>
      </c>
      <c r="K127" s="4">
        <v>2674.2340091159235</v>
      </c>
      <c r="L127" s="4">
        <v>1597.9488734257995</v>
      </c>
      <c r="M127" s="4">
        <v>538.94151219511923</v>
      </c>
      <c r="N127" s="45">
        <f t="shared" si="21"/>
        <v>3.0843220274307366</v>
      </c>
      <c r="O127" s="45">
        <f t="shared" si="22"/>
        <v>2.836224099912104</v>
      </c>
      <c r="P127" s="45">
        <f t="shared" si="17"/>
        <v>2.8483692642887268</v>
      </c>
      <c r="Q127" s="45">
        <f t="shared" si="24"/>
        <v>3.1138212889439254</v>
      </c>
      <c r="R127" s="45">
        <f t="shared" si="23"/>
        <v>3.658139944625292</v>
      </c>
    </row>
    <row r="128" spans="1:18" x14ac:dyDescent="0.25">
      <c r="A128" s="4">
        <v>962</v>
      </c>
      <c r="B128" s="5">
        <v>10</v>
      </c>
      <c r="C128" s="5" t="s">
        <v>0</v>
      </c>
      <c r="D128" s="40">
        <v>30.108722689075631</v>
      </c>
      <c r="E128" s="40">
        <v>267.80416192630895</v>
      </c>
      <c r="F128" s="40">
        <v>693.72072165639111</v>
      </c>
      <c r="G128" s="40">
        <v>341.51137442320533</v>
      </c>
      <c r="H128" s="40">
        <v>98.475019305018918</v>
      </c>
      <c r="I128" s="4">
        <v>102.67834453781514</v>
      </c>
      <c r="J128" s="4">
        <v>883.86620674423602</v>
      </c>
      <c r="K128" s="4">
        <v>1995.7826089966909</v>
      </c>
      <c r="L128" s="4">
        <v>1081.3973262077459</v>
      </c>
      <c r="M128" s="4">
        <v>363.035513513512</v>
      </c>
      <c r="N128" s="45">
        <f t="shared" si="21"/>
        <v>3.4102524241279086</v>
      </c>
      <c r="O128" s="45">
        <f t="shared" si="22"/>
        <v>3.3004199799831619</v>
      </c>
      <c r="P128" s="45">
        <f t="shared" si="17"/>
        <v>2.8769251756403897</v>
      </c>
      <c r="Q128" s="45">
        <f t="shared" si="24"/>
        <v>3.1665045652847401</v>
      </c>
      <c r="R128" s="45">
        <f t="shared" si="23"/>
        <v>3.6865746874244012</v>
      </c>
    </row>
    <row r="129" spans="1:18" x14ac:dyDescent="0.25">
      <c r="A129" s="4">
        <v>963</v>
      </c>
      <c r="B129" s="5">
        <v>10</v>
      </c>
      <c r="C129" s="5" t="s">
        <v>0</v>
      </c>
      <c r="D129" s="40">
        <v>7.9706578947368349</v>
      </c>
      <c r="E129" s="40">
        <v>115.06780364372472</v>
      </c>
      <c r="F129" s="40">
        <v>381.50015915119309</v>
      </c>
      <c r="G129" s="40">
        <v>195.11637931034571</v>
      </c>
      <c r="H129" s="40">
        <v>54.73499999999968</v>
      </c>
      <c r="I129" s="4">
        <v>17.915263157894724</v>
      </c>
      <c r="J129" s="4">
        <v>259.65935222672067</v>
      </c>
      <c r="K129" s="4">
        <v>881.02855702917623</v>
      </c>
      <c r="L129" s="4">
        <v>473.88182758620906</v>
      </c>
      <c r="M129" s="4">
        <v>146.35499999999905</v>
      </c>
      <c r="N129" s="45">
        <f t="shared" si="21"/>
        <v>2.2476517490136523</v>
      </c>
      <c r="O129" s="45">
        <f t="shared" si="22"/>
        <v>2.2565769398943538</v>
      </c>
      <c r="P129" s="45">
        <f t="shared" si="17"/>
        <v>2.3093792647148388</v>
      </c>
      <c r="Q129" s="45">
        <f t="shared" si="24"/>
        <v>2.4287137208120706</v>
      </c>
      <c r="R129" s="45">
        <f t="shared" si="23"/>
        <v>2.673883255686488</v>
      </c>
    </row>
    <row r="130" spans="1:18" x14ac:dyDescent="0.25">
      <c r="A130" s="4">
        <v>964</v>
      </c>
      <c r="B130" s="5">
        <v>10</v>
      </c>
      <c r="C130" s="5" t="s">
        <v>0</v>
      </c>
      <c r="D130" s="40">
        <v>5.8965517241379191</v>
      </c>
      <c r="E130" s="40">
        <v>137.70344827586212</v>
      </c>
      <c r="F130" s="40">
        <v>288.87365591397821</v>
      </c>
      <c r="G130" s="40">
        <v>173.70537634408635</v>
      </c>
      <c r="H130" s="40">
        <v>32.074193548387015</v>
      </c>
      <c r="I130" s="4">
        <v>16.968965517241344</v>
      </c>
      <c r="J130" s="4">
        <v>318.8430344827587</v>
      </c>
      <c r="K130" s="4">
        <v>572.1540306451609</v>
      </c>
      <c r="L130" s="4">
        <v>325.44540483871043</v>
      </c>
      <c r="M130" s="4">
        <v>69.264370967741669</v>
      </c>
      <c r="N130" s="45">
        <f t="shared" si="21"/>
        <v>2.8777777777777778</v>
      </c>
      <c r="O130" s="45">
        <f t="shared" si="22"/>
        <v>2.315432463564882</v>
      </c>
      <c r="P130" s="45">
        <f t="shared" si="17"/>
        <v>1.9806376210904426</v>
      </c>
      <c r="Q130" s="45">
        <f t="shared" si="24"/>
        <v>1.8735482556052154</v>
      </c>
      <c r="R130" s="45">
        <f t="shared" si="23"/>
        <v>2.1595046766569417</v>
      </c>
    </row>
    <row r="131" spans="1:18" x14ac:dyDescent="0.25">
      <c r="A131" s="4">
        <v>965</v>
      </c>
      <c r="B131" s="5">
        <v>10</v>
      </c>
      <c r="C131" s="5" t="s">
        <v>0</v>
      </c>
      <c r="D131" s="40">
        <v>13</v>
      </c>
      <c r="E131" s="40">
        <v>58.916666666666693</v>
      </c>
      <c r="F131" s="40">
        <v>105.04761904761889</v>
      </c>
      <c r="G131" s="40">
        <v>73.920329670329878</v>
      </c>
      <c r="H131" s="40">
        <v>21.115384615384542</v>
      </c>
      <c r="I131" s="4">
        <v>33.47</v>
      </c>
      <c r="J131" s="4">
        <v>126.53916666666672</v>
      </c>
      <c r="K131" s="4">
        <v>195.31261904761877</v>
      </c>
      <c r="L131" s="4">
        <v>135.96206043956079</v>
      </c>
      <c r="M131" s="4">
        <v>37.786153846153702</v>
      </c>
      <c r="N131" s="45">
        <f t="shared" si="21"/>
        <v>2.5746153846153845</v>
      </c>
      <c r="O131" s="45">
        <f t="shared" si="22"/>
        <v>2.1477652050919378</v>
      </c>
      <c r="P131" s="45">
        <f t="shared" si="17"/>
        <v>1.8592769718948323</v>
      </c>
      <c r="Q131" s="45">
        <f t="shared" si="24"/>
        <v>1.8393053852157426</v>
      </c>
      <c r="R131" s="45">
        <f t="shared" si="23"/>
        <v>1.7895081967213109</v>
      </c>
    </row>
    <row r="132" spans="1:18" x14ac:dyDescent="0.25">
      <c r="A132" s="4">
        <v>967</v>
      </c>
      <c r="B132" s="5">
        <v>10</v>
      </c>
      <c r="C132" s="5" t="s">
        <v>0</v>
      </c>
      <c r="D132" s="40">
        <v>1.94</v>
      </c>
      <c r="E132" s="40">
        <v>52.55</v>
      </c>
      <c r="F132" s="40">
        <v>103.0765116279068</v>
      </c>
      <c r="G132" s="40">
        <v>45.823488372093188</v>
      </c>
      <c r="H132" s="40">
        <v>17.600000000000001</v>
      </c>
      <c r="I132" s="4">
        <v>5.1100000000000003</v>
      </c>
      <c r="J132" s="4">
        <v>165.71</v>
      </c>
      <c r="K132" s="4">
        <v>282.86651162790645</v>
      </c>
      <c r="L132" s="4">
        <v>134.96348837209356</v>
      </c>
      <c r="M132" s="4">
        <v>63.97</v>
      </c>
      <c r="N132" s="45">
        <f t="shared" si="21"/>
        <v>2.6340206185567014</v>
      </c>
      <c r="O132" s="45">
        <f t="shared" si="22"/>
        <v>3.1533777354900097</v>
      </c>
      <c r="P132" s="45">
        <f t="shared" si="17"/>
        <v>2.7442383057065305</v>
      </c>
      <c r="Q132" s="45">
        <f t="shared" si="24"/>
        <v>2.9452905740429669</v>
      </c>
      <c r="R132" s="45">
        <f t="shared" si="23"/>
        <v>3.6346590909090906</v>
      </c>
    </row>
    <row r="133" spans="1:18" x14ac:dyDescent="0.25">
      <c r="A133" s="4">
        <v>968</v>
      </c>
      <c r="B133" s="5">
        <v>10</v>
      </c>
      <c r="C133" s="5" t="s">
        <v>0</v>
      </c>
      <c r="D133" s="40">
        <v>14.573023255813951</v>
      </c>
      <c r="E133" s="40">
        <v>37.081657595249872</v>
      </c>
      <c r="F133" s="40">
        <v>100.36531914893618</v>
      </c>
      <c r="G133" s="40">
        <v>43.980909090909151</v>
      </c>
      <c r="H133" s="40">
        <v>11.849090909090849</v>
      </c>
      <c r="I133" s="4">
        <v>39.983488372093014</v>
      </c>
      <c r="J133" s="4">
        <v>99.473532904502704</v>
      </c>
      <c r="K133" s="4">
        <v>308.70297872340427</v>
      </c>
      <c r="L133" s="4">
        <v>134.18772727272744</v>
      </c>
      <c r="M133" s="4">
        <v>39.822272727272562</v>
      </c>
      <c r="N133" s="45">
        <f t="shared" si="21"/>
        <v>2.7436646240265543</v>
      </c>
      <c r="O133" s="45">
        <f t="shared" si="22"/>
        <v>2.6825535684048054</v>
      </c>
      <c r="P133" s="45">
        <f t="shared" si="17"/>
        <v>3.0757933252352574</v>
      </c>
      <c r="Q133" s="45">
        <f t="shared" si="24"/>
        <v>3.0510448748423902</v>
      </c>
      <c r="R133" s="45">
        <f t="shared" si="23"/>
        <v>3.3607871720116647</v>
      </c>
    </row>
    <row r="134" spans="1:18" x14ac:dyDescent="0.25">
      <c r="A134" s="4">
        <v>972</v>
      </c>
      <c r="B134" s="5">
        <v>10</v>
      </c>
      <c r="C134" s="5" t="s">
        <v>0</v>
      </c>
      <c r="D134" s="40">
        <v>0</v>
      </c>
      <c r="E134" s="40">
        <v>73.619047619047635</v>
      </c>
      <c r="F134" s="40">
        <v>8.3809523809523583</v>
      </c>
      <c r="G134" s="40">
        <v>58</v>
      </c>
      <c r="H134" s="40">
        <v>0</v>
      </c>
      <c r="I134" s="4">
        <v>0</v>
      </c>
      <c r="J134" s="4">
        <v>184.25904761904766</v>
      </c>
      <c r="K134" s="4">
        <v>16.860952380952334</v>
      </c>
      <c r="L134" s="4">
        <v>156.52999999999997</v>
      </c>
      <c r="M134" s="4">
        <v>0</v>
      </c>
      <c r="N134" s="45">
        <v>0</v>
      </c>
      <c r="O134" s="45">
        <f>J134/E134</f>
        <v>2.5028719275549807</v>
      </c>
      <c r="P134" s="45">
        <f t="shared" si="17"/>
        <v>2.0118181818181817</v>
      </c>
      <c r="Q134" s="45">
        <f t="shared" si="24"/>
        <v>2.6987931034482755</v>
      </c>
      <c r="R134" s="45">
        <v>0</v>
      </c>
    </row>
    <row r="135" spans="1:18" x14ac:dyDescent="0.25">
      <c r="A135" s="4">
        <v>973</v>
      </c>
      <c r="B135" s="5">
        <v>10</v>
      </c>
      <c r="C135" s="5" t="s">
        <v>0</v>
      </c>
      <c r="D135" s="40">
        <v>0</v>
      </c>
      <c r="E135" s="40">
        <v>49</v>
      </c>
      <c r="F135" s="40">
        <v>0</v>
      </c>
      <c r="G135" s="40">
        <v>50</v>
      </c>
      <c r="H135" s="40">
        <v>0</v>
      </c>
      <c r="I135" s="4">
        <v>0</v>
      </c>
      <c r="J135" s="4">
        <v>151.13999999999999</v>
      </c>
      <c r="K135" s="4">
        <v>0</v>
      </c>
      <c r="L135" s="4">
        <v>188.94</v>
      </c>
      <c r="M135" s="4">
        <v>0</v>
      </c>
      <c r="N135" s="45">
        <v>0</v>
      </c>
      <c r="O135" s="45">
        <f>J135/E135</f>
        <v>3.0844897959183672</v>
      </c>
      <c r="P135" s="45">
        <v>0</v>
      </c>
      <c r="Q135" s="45">
        <f t="shared" si="24"/>
        <v>3.7787999999999999</v>
      </c>
      <c r="R135" s="45">
        <v>0</v>
      </c>
    </row>
    <row r="136" spans="1:18" x14ac:dyDescent="0.25">
      <c r="A136" s="4">
        <v>978</v>
      </c>
      <c r="B136" s="5">
        <v>10</v>
      </c>
      <c r="C136" s="5" t="s">
        <v>0</v>
      </c>
      <c r="D136" s="40">
        <v>0</v>
      </c>
      <c r="E136" s="40">
        <v>51</v>
      </c>
      <c r="F136" s="40">
        <v>0</v>
      </c>
      <c r="G136" s="40">
        <v>45</v>
      </c>
      <c r="H136" s="40">
        <v>0</v>
      </c>
      <c r="I136" s="4">
        <v>0</v>
      </c>
      <c r="J136" s="4">
        <v>142.72</v>
      </c>
      <c r="K136" s="4">
        <v>0</v>
      </c>
      <c r="L136" s="4">
        <v>138.08000000000001</v>
      </c>
      <c r="M136" s="4">
        <v>0</v>
      </c>
      <c r="N136" s="45">
        <v>0</v>
      </c>
      <c r="O136" s="45">
        <f>J136/E136</f>
        <v>2.7984313725490195</v>
      </c>
      <c r="P136" s="45">
        <v>0</v>
      </c>
      <c r="Q136" s="45">
        <f t="shared" si="24"/>
        <v>3.0684444444444448</v>
      </c>
      <c r="R136" s="45">
        <v>0</v>
      </c>
    </row>
    <row r="137" spans="1:18" x14ac:dyDescent="0.25">
      <c r="A137" s="4">
        <v>979</v>
      </c>
      <c r="B137" s="5">
        <v>10</v>
      </c>
      <c r="C137" s="5" t="s">
        <v>0</v>
      </c>
      <c r="D137" s="40">
        <v>0</v>
      </c>
      <c r="E137" s="40">
        <v>37</v>
      </c>
      <c r="F137" s="40">
        <v>0</v>
      </c>
      <c r="G137" s="40">
        <v>40</v>
      </c>
      <c r="H137" s="40">
        <v>0</v>
      </c>
      <c r="I137" s="4">
        <v>0</v>
      </c>
      <c r="J137" s="4">
        <v>92.37</v>
      </c>
      <c r="K137" s="4">
        <v>0</v>
      </c>
      <c r="L137" s="4">
        <v>117.88000000000001</v>
      </c>
      <c r="M137" s="4">
        <v>0</v>
      </c>
      <c r="N137" s="45">
        <v>0</v>
      </c>
      <c r="O137" s="45">
        <f>J137/E137</f>
        <v>2.4964864864864866</v>
      </c>
      <c r="P137" s="45">
        <v>0</v>
      </c>
      <c r="Q137" s="45">
        <f t="shared" si="24"/>
        <v>2.9470000000000001</v>
      </c>
      <c r="R137" s="45">
        <v>0</v>
      </c>
    </row>
    <row r="138" spans="1:18" x14ac:dyDescent="0.25">
      <c r="A138" s="34">
        <v>992</v>
      </c>
      <c r="B138" s="35">
        <v>10</v>
      </c>
      <c r="C138" s="35" t="s">
        <v>0</v>
      </c>
      <c r="D138" s="41">
        <v>49.118750000000013</v>
      </c>
      <c r="E138" s="41">
        <v>180.21273936170215</v>
      </c>
      <c r="F138" s="41">
        <v>549.64371063829742</v>
      </c>
      <c r="G138" s="41">
        <v>215.88600000000065</v>
      </c>
      <c r="H138" s="41">
        <v>176.54879999999983</v>
      </c>
      <c r="I138" s="34">
        <v>131.88575000000003</v>
      </c>
      <c r="J138" s="34">
        <v>458.27616489361714</v>
      </c>
      <c r="K138" s="34">
        <v>1344.9066851063819</v>
      </c>
      <c r="L138" s="34">
        <v>540.24340000000166</v>
      </c>
      <c r="M138" s="34">
        <v>492.28799999999956</v>
      </c>
      <c r="N138" s="46">
        <f>I138/D138</f>
        <v>2.6850388090087796</v>
      </c>
      <c r="O138" s="46">
        <f>J138/E138</f>
        <v>2.5429731911117464</v>
      </c>
      <c r="P138" s="46">
        <f>K138/F138</f>
        <v>2.4468699615329923</v>
      </c>
      <c r="Q138" s="46">
        <f t="shared" si="24"/>
        <v>2.5024475880788937</v>
      </c>
      <c r="R138" s="46">
        <f>M138/H138</f>
        <v>2.7883961828117778</v>
      </c>
    </row>
    <row r="139" spans="1:18" x14ac:dyDescent="0.25">
      <c r="B139" s="4"/>
      <c r="C139" s="4"/>
      <c r="D139" s="42"/>
      <c r="E139" s="42"/>
      <c r="F139" s="42"/>
      <c r="G139" s="42"/>
      <c r="H139" s="42"/>
    </row>
    <row r="140" spans="1:18" x14ac:dyDescent="0.25">
      <c r="B140" s="4"/>
      <c r="C140" s="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U137"/>
  <sheetViews>
    <sheetView workbookViewId="0">
      <pane ySplit="1" topLeftCell="A97" activePane="bottomLeft" state="frozen"/>
      <selection activeCell="X7" sqref="X7"/>
      <selection pane="bottomLeft" activeCell="X7" sqref="X7"/>
    </sheetView>
  </sheetViews>
  <sheetFormatPr defaultRowHeight="15" x14ac:dyDescent="0.25"/>
  <cols>
    <col min="3" max="3" width="15" bestFit="1" customWidth="1"/>
    <col min="5" max="10" width="7.7109375" style="7" customWidth="1"/>
    <col min="11" max="15" width="7.7109375" style="20" customWidth="1"/>
    <col min="16" max="16" width="7.7109375" style="27" customWidth="1"/>
    <col min="18" max="18" width="10.5703125" style="32" customWidth="1"/>
  </cols>
  <sheetData>
    <row r="1" spans="1:21" x14ac:dyDescent="0.25">
      <c r="A1" t="s">
        <v>2</v>
      </c>
      <c r="B1" t="s">
        <v>3</v>
      </c>
      <c r="C1" t="s">
        <v>4</v>
      </c>
      <c r="D1" s="5" t="s">
        <v>20</v>
      </c>
      <c r="E1" s="7" t="s">
        <v>21</v>
      </c>
      <c r="F1" s="7" t="s">
        <v>22</v>
      </c>
      <c r="G1" s="7" t="s">
        <v>23</v>
      </c>
      <c r="H1" s="7" t="s">
        <v>24</v>
      </c>
      <c r="I1" s="7" t="s">
        <v>25</v>
      </c>
      <c r="J1" s="7" t="s">
        <v>26</v>
      </c>
      <c r="K1" s="20" t="s">
        <v>21</v>
      </c>
      <c r="L1" s="20" t="s">
        <v>22</v>
      </c>
      <c r="M1" s="20" t="s">
        <v>23</v>
      </c>
      <c r="N1" s="20" t="s">
        <v>24</v>
      </c>
      <c r="O1" s="20" t="s">
        <v>25</v>
      </c>
      <c r="P1" s="20" t="s">
        <v>26</v>
      </c>
      <c r="Q1" s="2" t="s">
        <v>27</v>
      </c>
      <c r="R1" s="31" t="s">
        <v>28</v>
      </c>
      <c r="S1" s="2">
        <f>SUM(J2:J137)</f>
        <v>327516.46882978658</v>
      </c>
      <c r="T1" s="2">
        <f>SUM(P2:P137)</f>
        <v>0</v>
      </c>
      <c r="U1" s="28">
        <f>T1/S1-1</f>
        <v>-1</v>
      </c>
    </row>
    <row r="2" spans="1:21" x14ac:dyDescent="0.25">
      <c r="A2" s="18">
        <v>398</v>
      </c>
      <c r="B2" s="18">
        <v>4</v>
      </c>
      <c r="C2" s="18" t="s">
        <v>13</v>
      </c>
      <c r="D2" s="18">
        <v>1</v>
      </c>
      <c r="E2" s="19">
        <f>VLOOKUP($A2,'2016'!$A$3:$H$138,4,FALSE)</f>
        <v>128.5277731580745</v>
      </c>
      <c r="F2" s="19">
        <f>VLOOKUP($A2,'2016'!$A$3:$H$138,5,FALSE)</f>
        <v>1674.3999884886084</v>
      </c>
      <c r="G2" s="19">
        <f>VLOOKUP($A2,'2016'!$A$3:$H$138,6,FALSE)</f>
        <v>775.69084873576924</v>
      </c>
      <c r="H2" s="19">
        <f>VLOOKUP($A2,'2016'!$A$3:$H$138,7,FALSE)</f>
        <v>2135.6163612602081</v>
      </c>
      <c r="I2" s="19">
        <f>VLOOKUP($A2,'2016'!$A$3:$H$138,8,FALSE)</f>
        <v>300.76109340881982</v>
      </c>
      <c r="J2" s="19">
        <f>SUM(E2:I2)</f>
        <v>5014.9960650514795</v>
      </c>
      <c r="K2" s="21" t="str">
        <f>IFERROR(VLOOKUP($A2,#REF!,2,FALSE),"")</f>
        <v/>
      </c>
      <c r="L2" s="21" t="str">
        <f>IFERROR(VLOOKUP($A2,#REF!,3,FALSE),"")</f>
        <v/>
      </c>
      <c r="M2" s="21" t="str">
        <f>IFERROR(VLOOKUP($A2,#REF!,4,FALSE),"")</f>
        <v/>
      </c>
      <c r="N2" s="21" t="str">
        <f>IFERROR(VLOOKUP($A2,#REF!,5,FALSE),"")</f>
        <v/>
      </c>
      <c r="O2" s="21" t="str">
        <f>IFERROR(VLOOKUP($A2,#REF!,6,FALSE),"")</f>
        <v/>
      </c>
      <c r="P2" s="21">
        <f>SUM(K2:O2)</f>
        <v>0</v>
      </c>
      <c r="Q2" s="28">
        <f>P2/J2-1</f>
        <v>-1</v>
      </c>
      <c r="R2" s="31">
        <f>POWER((P2-J2),2)</f>
        <v>25150185.532481823</v>
      </c>
    </row>
    <row r="3" spans="1:21" x14ac:dyDescent="0.25">
      <c r="A3" s="10">
        <v>399</v>
      </c>
      <c r="B3" s="10">
        <v>5</v>
      </c>
      <c r="C3" s="10" t="s">
        <v>14</v>
      </c>
      <c r="D3" s="10">
        <v>2</v>
      </c>
      <c r="E3" s="11">
        <f>VLOOKUP($A3,'2016'!$A$3:$H$138,4,FALSE)</f>
        <v>338.45245283018869</v>
      </c>
      <c r="F3" s="11">
        <f>VLOOKUP($A3,'2016'!$A$3:$H$138,5,FALSE)</f>
        <v>2040.978679245283</v>
      </c>
      <c r="G3" s="11">
        <f>VLOOKUP($A3,'2016'!$A$3:$H$138,6,FALSE)</f>
        <v>3954.4584905660349</v>
      </c>
      <c r="H3" s="11">
        <f>VLOOKUP($A3,'2016'!$A$3:$H$138,7,FALSE)</f>
        <v>2471.5711320754763</v>
      </c>
      <c r="I3" s="11">
        <f>VLOOKUP($A3,'2016'!$A$3:$H$138,8,FALSE)</f>
        <v>1010.2992452830173</v>
      </c>
      <c r="J3" s="11">
        <f t="shared" ref="J3:J66" si="0">SUM(E3:I3)</f>
        <v>9815.76</v>
      </c>
      <c r="K3" s="22" t="str">
        <f>IFERROR(VLOOKUP($A3,#REF!,2,FALSE),"")</f>
        <v/>
      </c>
      <c r="L3" s="22" t="str">
        <f>IFERROR(VLOOKUP($A3,#REF!,3,FALSE),"")</f>
        <v/>
      </c>
      <c r="M3" s="22" t="str">
        <f>IFERROR(VLOOKUP($A3,#REF!,4,FALSE),"")</f>
        <v/>
      </c>
      <c r="N3" s="22" t="str">
        <f>IFERROR(VLOOKUP($A3,#REF!,5,FALSE),"")</f>
        <v/>
      </c>
      <c r="O3" s="22" t="str">
        <f>IFERROR(VLOOKUP($A3,#REF!,6,FALSE),"")</f>
        <v/>
      </c>
      <c r="P3" s="22">
        <f t="shared" ref="P3:P66" si="1">SUM(K3:O3)</f>
        <v>0</v>
      </c>
      <c r="Q3" s="28">
        <f t="shared" ref="Q3:Q66" si="2">P3/J3-1</f>
        <v>-1</v>
      </c>
      <c r="R3" s="31">
        <f t="shared" ref="R3:R66" si="3">POWER((P3-J3),2)</f>
        <v>96349144.377599999</v>
      </c>
      <c r="S3" s="5"/>
    </row>
    <row r="4" spans="1:21" x14ac:dyDescent="0.25">
      <c r="A4" s="16">
        <v>510</v>
      </c>
      <c r="B4" s="16">
        <v>5</v>
      </c>
      <c r="C4" s="16" t="s">
        <v>14</v>
      </c>
      <c r="D4" s="16">
        <v>2</v>
      </c>
      <c r="E4" s="17">
        <f>VLOOKUP($A4,'2016'!$A$3:$H$138,4,FALSE)</f>
        <v>2757.4081075268809</v>
      </c>
      <c r="F4" s="17">
        <f>VLOOKUP($A4,'2016'!$A$3:$H$138,5,FALSE)</f>
        <v>10163.451003584229</v>
      </c>
      <c r="G4" s="17">
        <f>VLOOKUP($A4,'2016'!$A$3:$H$138,6,FALSE)</f>
        <v>19981.119124402867</v>
      </c>
      <c r="H4" s="17">
        <f>VLOOKUP($A4,'2016'!$A$3:$H$138,7,FALSE)</f>
        <v>13674.460637294218</v>
      </c>
      <c r="I4" s="17">
        <f>VLOOKUP($A4,'2016'!$A$3:$H$138,8,FALSE)</f>
        <v>5260.1213333333162</v>
      </c>
      <c r="J4" s="17">
        <f t="shared" si="0"/>
        <v>51836.560206141512</v>
      </c>
      <c r="K4" s="23" t="str">
        <f>IFERROR(VLOOKUP($A4,#REF!,2,FALSE),"")</f>
        <v/>
      </c>
      <c r="L4" s="23" t="str">
        <f>IFERROR(VLOOKUP($A4,#REF!,3,FALSE),"")</f>
        <v/>
      </c>
      <c r="M4" s="23" t="str">
        <f>IFERROR(VLOOKUP($A4,#REF!,4,FALSE),"")</f>
        <v/>
      </c>
      <c r="N4" s="23" t="str">
        <f>IFERROR(VLOOKUP($A4,#REF!,5,FALSE),"")</f>
        <v/>
      </c>
      <c r="O4" s="23" t="str">
        <f>IFERROR(VLOOKUP($A4,#REF!,6,FALSE),"")</f>
        <v/>
      </c>
      <c r="P4" s="23">
        <f t="shared" si="1"/>
        <v>0</v>
      </c>
      <c r="Q4" s="28">
        <f t="shared" si="2"/>
        <v>-1</v>
      </c>
      <c r="R4" s="31">
        <f t="shared" si="3"/>
        <v>2687028974.0049338</v>
      </c>
      <c r="S4" s="5"/>
    </row>
    <row r="5" spans="1:21" x14ac:dyDescent="0.25">
      <c r="A5" s="14">
        <v>520</v>
      </c>
      <c r="B5" s="14">
        <v>5</v>
      </c>
      <c r="C5" s="14" t="s">
        <v>14</v>
      </c>
      <c r="D5" s="14">
        <v>2</v>
      </c>
      <c r="E5" s="15">
        <f>VLOOKUP($A5,'2016'!$A$3:$H$138,4,FALSE)</f>
        <v>934.38754716981111</v>
      </c>
      <c r="F5" s="15">
        <f>VLOOKUP($A5,'2016'!$A$3:$H$138,5,FALSE)</f>
        <v>5037.9356603773585</v>
      </c>
      <c r="G5" s="15">
        <f>VLOOKUP($A5,'2016'!$A$3:$H$138,6,FALSE)</f>
        <v>11086.707924528288</v>
      </c>
      <c r="H5" s="15">
        <f>VLOOKUP($A5,'2016'!$A$3:$H$138,7,FALSE)</f>
        <v>6544.0641509434172</v>
      </c>
      <c r="I5" s="15">
        <f>VLOOKUP($A5,'2016'!$A$3:$H$138,8,FALSE)</f>
        <v>2969.064716981125</v>
      </c>
      <c r="J5" s="15">
        <f t="shared" si="0"/>
        <v>26572.159999999996</v>
      </c>
      <c r="K5" s="24" t="str">
        <f>IFERROR(VLOOKUP($A5,#REF!,2,FALSE),"")</f>
        <v/>
      </c>
      <c r="L5" s="24" t="str">
        <f>IFERROR(VLOOKUP($A5,#REF!,3,FALSE),"")</f>
        <v/>
      </c>
      <c r="M5" s="24" t="str">
        <f>IFERROR(VLOOKUP($A5,#REF!,4,FALSE),"")</f>
        <v/>
      </c>
      <c r="N5" s="24" t="str">
        <f>IFERROR(VLOOKUP($A5,#REF!,5,FALSE),"")</f>
        <v/>
      </c>
      <c r="O5" s="24" t="str">
        <f>IFERROR(VLOOKUP($A5,#REF!,6,FALSE),"")</f>
        <v/>
      </c>
      <c r="P5" s="24">
        <f t="shared" si="1"/>
        <v>0</v>
      </c>
      <c r="Q5" s="28">
        <f t="shared" si="2"/>
        <v>-1</v>
      </c>
      <c r="R5" s="31">
        <f t="shared" si="3"/>
        <v>706079687.0655998</v>
      </c>
      <c r="S5" s="5"/>
    </row>
    <row r="6" spans="1:21" x14ac:dyDescent="0.25">
      <c r="A6" s="12">
        <v>530</v>
      </c>
      <c r="B6" s="12">
        <v>5</v>
      </c>
      <c r="C6" s="12" t="s">
        <v>14</v>
      </c>
      <c r="D6" s="12">
        <v>2</v>
      </c>
      <c r="E6" s="13">
        <f>VLOOKUP($A6,'2016'!$A$3:$H$138,4,FALSE)</f>
        <v>729.18014925373132</v>
      </c>
      <c r="F6" s="13">
        <f>VLOOKUP($A6,'2016'!$A$3:$H$138,5,FALSE)</f>
        <v>5475.2638805970146</v>
      </c>
      <c r="G6" s="13">
        <f>VLOOKUP($A6,'2016'!$A$3:$H$138,6,FALSE)</f>
        <v>13208.901940298492</v>
      </c>
      <c r="H6" s="13">
        <f>VLOOKUP($A6,'2016'!$A$3:$H$138,7,FALSE)</f>
        <v>8487.438805970176</v>
      </c>
      <c r="I6" s="13">
        <f>VLOOKUP($A6,'2016'!$A$3:$H$138,8,FALSE)</f>
        <v>3973.8652238805885</v>
      </c>
      <c r="J6" s="13">
        <f t="shared" si="0"/>
        <v>31874.65</v>
      </c>
      <c r="K6" s="25" t="str">
        <f>IFERROR(VLOOKUP($A6,#REF!,2,FALSE),"")</f>
        <v/>
      </c>
      <c r="L6" s="25" t="str">
        <f>IFERROR(VLOOKUP($A6,#REF!,3,FALSE),"")</f>
        <v/>
      </c>
      <c r="M6" s="25" t="str">
        <f>IFERROR(VLOOKUP($A6,#REF!,4,FALSE),"")</f>
        <v/>
      </c>
      <c r="N6" s="25" t="str">
        <f>IFERROR(VLOOKUP($A6,#REF!,5,FALSE),"")</f>
        <v/>
      </c>
      <c r="O6" s="25" t="str">
        <f>IFERROR(VLOOKUP($A6,#REF!,6,FALSE),"")</f>
        <v/>
      </c>
      <c r="P6" s="25">
        <f t="shared" si="1"/>
        <v>0</v>
      </c>
      <c r="Q6" s="28">
        <f t="shared" si="2"/>
        <v>-1</v>
      </c>
      <c r="R6" s="31">
        <f t="shared" si="3"/>
        <v>1015993312.6225001</v>
      </c>
      <c r="S6" s="5"/>
    </row>
    <row r="7" spans="1:21" x14ac:dyDescent="0.25">
      <c r="A7">
        <v>10</v>
      </c>
      <c r="B7">
        <v>9</v>
      </c>
      <c r="C7" t="s">
        <v>10</v>
      </c>
      <c r="D7" s="5">
        <v>3</v>
      </c>
      <c r="E7" s="7">
        <f>VLOOKUP($A7,'2016'!$A$3:$H$138,4,FALSE)</f>
        <v>83.471336466165397</v>
      </c>
      <c r="F7" s="7">
        <f>VLOOKUP($A7,'2016'!$A$3:$H$138,5,FALSE)</f>
        <v>806.82754080656184</v>
      </c>
      <c r="G7" s="7">
        <f>VLOOKUP($A7,'2016'!$A$3:$H$138,6,FALSE)</f>
        <v>1995.7452728643452</v>
      </c>
      <c r="H7" s="7">
        <f>VLOOKUP($A7,'2016'!$A$3:$H$138,7,FALSE)</f>
        <v>1072.2860005721491</v>
      </c>
      <c r="I7" s="7">
        <f>VLOOKUP($A7,'2016'!$A$3:$H$138,8,FALSE)</f>
        <v>477.61984929077863</v>
      </c>
      <c r="J7" s="7">
        <f t="shared" si="0"/>
        <v>4435.95</v>
      </c>
      <c r="K7" s="20" t="str">
        <f>IFERROR(VLOOKUP($A7,#REF!,2,FALSE),"")</f>
        <v/>
      </c>
      <c r="L7" s="20" t="str">
        <f>IFERROR(VLOOKUP($A7,#REF!,3,FALSE),"")</f>
        <v/>
      </c>
      <c r="M7" s="20" t="str">
        <f>IFERROR(VLOOKUP($A7,#REF!,4,FALSE),"")</f>
        <v/>
      </c>
      <c r="N7" s="20" t="str">
        <f>IFERROR(VLOOKUP($A7,#REF!,5,FALSE),"")</f>
        <v/>
      </c>
      <c r="O7" s="20" t="str">
        <f>IFERROR(VLOOKUP($A7,#REF!,6,FALSE),"")</f>
        <v/>
      </c>
      <c r="P7" s="20">
        <f t="shared" si="1"/>
        <v>0</v>
      </c>
      <c r="Q7" s="28">
        <f t="shared" si="2"/>
        <v>-1</v>
      </c>
      <c r="R7" s="31">
        <f t="shared" si="3"/>
        <v>19677652.4025</v>
      </c>
      <c r="S7" s="5"/>
    </row>
    <row r="8" spans="1:21" x14ac:dyDescent="0.25">
      <c r="A8">
        <v>20</v>
      </c>
      <c r="B8">
        <v>9</v>
      </c>
      <c r="C8" t="s">
        <v>10</v>
      </c>
      <c r="D8" s="5">
        <v>3</v>
      </c>
      <c r="E8" s="7">
        <f>VLOOKUP($A8,'2016'!$A$3:$H$138,4,FALSE)</f>
        <v>48.798728058555263</v>
      </c>
      <c r="F8" s="7">
        <f>VLOOKUP($A8,'2016'!$A$3:$H$138,5,FALSE)</f>
        <v>633.14510730234804</v>
      </c>
      <c r="G8" s="7">
        <f>VLOOKUP($A8,'2016'!$A$3:$H$138,6,FALSE)</f>
        <v>997.37781757755033</v>
      </c>
      <c r="H8" s="7">
        <f>VLOOKUP($A8,'2016'!$A$3:$H$138,7,FALSE)</f>
        <v>598.7012887079768</v>
      </c>
      <c r="I8" s="7">
        <f>VLOOKUP($A8,'2016'!$A$3:$H$138,8,FALSE)</f>
        <v>138.05742602878999</v>
      </c>
      <c r="J8" s="7">
        <f t="shared" si="0"/>
        <v>2416.0803676752203</v>
      </c>
      <c r="K8" s="20" t="str">
        <f>IFERROR(VLOOKUP($A8,#REF!,2,FALSE),"")</f>
        <v/>
      </c>
      <c r="L8" s="20" t="str">
        <f>IFERROR(VLOOKUP($A8,#REF!,3,FALSE),"")</f>
        <v/>
      </c>
      <c r="M8" s="20" t="str">
        <f>IFERROR(VLOOKUP($A8,#REF!,4,FALSE),"")</f>
        <v/>
      </c>
      <c r="N8" s="20" t="str">
        <f>IFERROR(VLOOKUP($A8,#REF!,5,FALSE),"")</f>
        <v/>
      </c>
      <c r="O8" s="20" t="str">
        <f>IFERROR(VLOOKUP($A8,#REF!,6,FALSE),"")</f>
        <v/>
      </c>
      <c r="P8" s="20">
        <f t="shared" si="1"/>
        <v>0</v>
      </c>
      <c r="Q8" s="28">
        <f t="shared" si="2"/>
        <v>-1</v>
      </c>
      <c r="R8" s="31">
        <f t="shared" si="3"/>
        <v>5837444.3430656279</v>
      </c>
      <c r="S8" s="5"/>
    </row>
    <row r="9" spans="1:21" x14ac:dyDescent="0.25">
      <c r="A9">
        <v>50</v>
      </c>
      <c r="B9">
        <v>9</v>
      </c>
      <c r="C9" t="s">
        <v>10</v>
      </c>
      <c r="D9" s="5">
        <v>3</v>
      </c>
      <c r="E9" s="7">
        <f>VLOOKUP($A9,'2016'!$A$3:$H$138,4,FALSE)</f>
        <v>43.834133157547782</v>
      </c>
      <c r="F9" s="7">
        <f>VLOOKUP($A9,'2016'!$A$3:$H$138,5,FALSE)</f>
        <v>282.30860995534391</v>
      </c>
      <c r="G9" s="7">
        <f>VLOOKUP($A9,'2016'!$A$3:$H$138,6,FALSE)</f>
        <v>271.98734049914776</v>
      </c>
      <c r="H9" s="7">
        <f>VLOOKUP($A9,'2016'!$A$3:$H$138,7,FALSE)</f>
        <v>251.62573034144893</v>
      </c>
      <c r="I9" s="7">
        <f>VLOOKUP($A9,'2016'!$A$3:$H$138,8,FALSE)</f>
        <v>5.7641860465114823</v>
      </c>
      <c r="J9" s="7">
        <f t="shared" si="0"/>
        <v>855.51999999999987</v>
      </c>
      <c r="K9" s="20" t="str">
        <f>IFERROR(VLOOKUP($A9,#REF!,2,FALSE),"")</f>
        <v/>
      </c>
      <c r="L9" s="20" t="str">
        <f>IFERROR(VLOOKUP($A9,#REF!,3,FALSE),"")</f>
        <v/>
      </c>
      <c r="M9" s="20" t="str">
        <f>IFERROR(VLOOKUP($A9,#REF!,4,FALSE),"")</f>
        <v/>
      </c>
      <c r="N9" s="20" t="str">
        <f>IFERROR(VLOOKUP($A9,#REF!,5,FALSE),"")</f>
        <v/>
      </c>
      <c r="O9" s="20" t="str">
        <f>IFERROR(VLOOKUP($A9,#REF!,6,FALSE),"")</f>
        <v/>
      </c>
      <c r="P9" s="20">
        <f t="shared" si="1"/>
        <v>0</v>
      </c>
      <c r="Q9" s="28">
        <f t="shared" si="2"/>
        <v>-1</v>
      </c>
      <c r="R9" s="31">
        <f t="shared" si="3"/>
        <v>731914.47039999976</v>
      </c>
      <c r="S9" s="5"/>
    </row>
    <row r="10" spans="1:21" x14ac:dyDescent="0.25">
      <c r="A10">
        <v>60</v>
      </c>
      <c r="B10">
        <v>9</v>
      </c>
      <c r="C10" t="s">
        <v>10</v>
      </c>
      <c r="D10" s="5">
        <v>3</v>
      </c>
      <c r="E10" s="7">
        <f>VLOOKUP($A10,'2016'!$A$3:$H$138,4,FALSE)</f>
        <v>54.233500000000006</v>
      </c>
      <c r="F10" s="7">
        <f>VLOOKUP($A10,'2016'!$A$3:$H$138,5,FALSE)</f>
        <v>131.28649999999999</v>
      </c>
      <c r="G10" s="7">
        <f>VLOOKUP($A10,'2016'!$A$3:$H$138,6,FALSE)</f>
        <v>2.0984615384612804</v>
      </c>
      <c r="H10" s="7">
        <f>VLOOKUP($A10,'2016'!$A$3:$H$138,7,FALSE)</f>
        <v>129.48153846153872</v>
      </c>
      <c r="I10" s="7">
        <f>VLOOKUP($A10,'2016'!$A$3:$H$138,8,FALSE)</f>
        <v>0</v>
      </c>
      <c r="J10" s="7">
        <f t="shared" si="0"/>
        <v>317.10000000000002</v>
      </c>
      <c r="K10" s="20" t="str">
        <f>IFERROR(VLOOKUP($A10,#REF!,2,FALSE),"")</f>
        <v/>
      </c>
      <c r="L10" s="20" t="str">
        <f>IFERROR(VLOOKUP($A10,#REF!,3,FALSE),"")</f>
        <v/>
      </c>
      <c r="M10" s="20" t="str">
        <f>IFERROR(VLOOKUP($A10,#REF!,4,FALSE),"")</f>
        <v/>
      </c>
      <c r="N10" s="20" t="str">
        <f>IFERROR(VLOOKUP($A10,#REF!,5,FALSE),"")</f>
        <v/>
      </c>
      <c r="O10" s="20" t="str">
        <f>IFERROR(VLOOKUP($A10,#REF!,6,FALSE),"")</f>
        <v/>
      </c>
      <c r="P10" s="20">
        <f t="shared" si="1"/>
        <v>0</v>
      </c>
      <c r="Q10" s="28">
        <f t="shared" si="2"/>
        <v>-1</v>
      </c>
      <c r="R10" s="31">
        <f t="shared" si="3"/>
        <v>100552.41000000002</v>
      </c>
      <c r="S10" s="5"/>
    </row>
    <row r="11" spans="1:21" x14ac:dyDescent="0.25">
      <c r="A11">
        <v>110</v>
      </c>
      <c r="B11">
        <v>9</v>
      </c>
      <c r="C11" t="s">
        <v>10</v>
      </c>
      <c r="D11" s="5">
        <v>3</v>
      </c>
      <c r="E11" s="7">
        <f>VLOOKUP($A11,'2016'!$A$3:$H$138,4,FALSE)</f>
        <v>0</v>
      </c>
      <c r="F11" s="7">
        <f>VLOOKUP($A11,'2016'!$A$3:$H$138,5,FALSE)</f>
        <v>104.18</v>
      </c>
      <c r="G11" s="7">
        <f>VLOOKUP($A11,'2016'!$A$3:$H$138,6,FALSE)</f>
        <v>0</v>
      </c>
      <c r="H11" s="7">
        <f>VLOOKUP($A11,'2016'!$A$3:$H$138,7,FALSE)</f>
        <v>106.83</v>
      </c>
      <c r="I11" s="7">
        <f>VLOOKUP($A11,'2016'!$A$3:$H$138,8,FALSE)</f>
        <v>0</v>
      </c>
      <c r="J11" s="7">
        <f t="shared" si="0"/>
        <v>211.01</v>
      </c>
      <c r="K11" s="20" t="str">
        <f>IFERROR(VLOOKUP($A11,#REF!,2,FALSE),"")</f>
        <v/>
      </c>
      <c r="L11" s="20" t="str">
        <f>IFERROR(VLOOKUP($A11,#REF!,3,FALSE),"")</f>
        <v/>
      </c>
      <c r="M11" s="20" t="str">
        <f>IFERROR(VLOOKUP($A11,#REF!,4,FALSE),"")</f>
        <v/>
      </c>
      <c r="N11" s="20" t="str">
        <f>IFERROR(VLOOKUP($A11,#REF!,5,FALSE),"")</f>
        <v/>
      </c>
      <c r="O11" s="20" t="str">
        <f>IFERROR(VLOOKUP($A11,#REF!,6,FALSE),"")</f>
        <v/>
      </c>
      <c r="P11" s="20">
        <f t="shared" si="1"/>
        <v>0</v>
      </c>
      <c r="Q11" s="28">
        <f t="shared" si="2"/>
        <v>-1</v>
      </c>
      <c r="R11" s="31">
        <f t="shared" si="3"/>
        <v>44525.220099999999</v>
      </c>
      <c r="S11" s="5"/>
    </row>
    <row r="12" spans="1:21" x14ac:dyDescent="0.25">
      <c r="A12">
        <v>120</v>
      </c>
      <c r="B12">
        <v>9</v>
      </c>
      <c r="C12" t="s">
        <v>10</v>
      </c>
      <c r="D12" s="5">
        <v>3</v>
      </c>
      <c r="E12" s="7">
        <f>VLOOKUP($A12,'2016'!$A$3:$H$138,4,FALSE)</f>
        <v>36.811445035460984</v>
      </c>
      <c r="F12" s="7">
        <f>VLOOKUP($A12,'2016'!$A$3:$H$138,5,FALSE)</f>
        <v>517.04645293461601</v>
      </c>
      <c r="G12" s="7">
        <f>VLOOKUP($A12,'2016'!$A$3:$H$138,6,FALSE)</f>
        <v>1236.3561291281267</v>
      </c>
      <c r="H12" s="7">
        <f>VLOOKUP($A12,'2016'!$A$3:$H$138,7,FALSE)</f>
        <v>603.86304480854199</v>
      </c>
      <c r="I12" s="7">
        <f>VLOOKUP($A12,'2016'!$A$3:$H$138,8,FALSE)</f>
        <v>272.96631008838796</v>
      </c>
      <c r="J12" s="7">
        <f t="shared" si="0"/>
        <v>2667.0433819951336</v>
      </c>
      <c r="K12" s="20" t="str">
        <f>IFERROR(VLOOKUP($A12,#REF!,2,FALSE),"")</f>
        <v/>
      </c>
      <c r="L12" s="20" t="str">
        <f>IFERROR(VLOOKUP($A12,#REF!,3,FALSE),"")</f>
        <v/>
      </c>
      <c r="M12" s="20" t="str">
        <f>IFERROR(VLOOKUP($A12,#REF!,4,FALSE),"")</f>
        <v/>
      </c>
      <c r="N12" s="20" t="str">
        <f>IFERROR(VLOOKUP($A12,#REF!,5,FALSE),"")</f>
        <v/>
      </c>
      <c r="O12" s="20" t="str">
        <f>IFERROR(VLOOKUP($A12,#REF!,6,FALSE),"")</f>
        <v/>
      </c>
      <c r="P12" s="20">
        <f t="shared" si="1"/>
        <v>0</v>
      </c>
      <c r="Q12" s="28">
        <f t="shared" si="2"/>
        <v>-1</v>
      </c>
      <c r="R12" s="31">
        <f t="shared" si="3"/>
        <v>7113120.4014440402</v>
      </c>
      <c r="S12" s="5"/>
    </row>
    <row r="13" spans="1:21" x14ac:dyDescent="0.25">
      <c r="A13">
        <v>150</v>
      </c>
      <c r="B13">
        <v>9</v>
      </c>
      <c r="C13" t="s">
        <v>10</v>
      </c>
      <c r="D13" s="5">
        <v>3</v>
      </c>
      <c r="E13" s="7">
        <f>VLOOKUP($A13,'2016'!$A$3:$H$138,4,FALSE)</f>
        <v>0</v>
      </c>
      <c r="F13" s="7">
        <f>VLOOKUP($A13,'2016'!$A$3:$H$138,5,FALSE)</f>
        <v>817.61195700311009</v>
      </c>
      <c r="G13" s="7">
        <f>VLOOKUP($A13,'2016'!$A$3:$H$138,6,FALSE)</f>
        <v>1340.0985980385158</v>
      </c>
      <c r="H13" s="7">
        <f>VLOOKUP($A13,'2016'!$A$3:$H$138,7,FALSE)</f>
        <v>896.23412580943852</v>
      </c>
      <c r="I13" s="7">
        <f>VLOOKUP($A13,'2016'!$A$3:$H$138,8,FALSE)</f>
        <v>293.83531914893547</v>
      </c>
      <c r="J13" s="7">
        <f t="shared" si="0"/>
        <v>3347.7799999999997</v>
      </c>
      <c r="K13" s="20" t="str">
        <f>IFERROR(VLOOKUP($A13,#REF!,2,FALSE),"")</f>
        <v/>
      </c>
      <c r="L13" s="20" t="str">
        <f>IFERROR(VLOOKUP($A13,#REF!,3,FALSE),"")</f>
        <v/>
      </c>
      <c r="M13" s="20" t="str">
        <f>IFERROR(VLOOKUP($A13,#REF!,4,FALSE),"")</f>
        <v/>
      </c>
      <c r="N13" s="20" t="str">
        <f>IFERROR(VLOOKUP($A13,#REF!,5,FALSE),"")</f>
        <v/>
      </c>
      <c r="O13" s="20" t="str">
        <f>IFERROR(VLOOKUP($A13,#REF!,6,FALSE),"")</f>
        <v/>
      </c>
      <c r="P13" s="20">
        <f t="shared" si="1"/>
        <v>0</v>
      </c>
      <c r="Q13" s="28">
        <f t="shared" si="2"/>
        <v>-1</v>
      </c>
      <c r="R13" s="31">
        <f t="shared" si="3"/>
        <v>11207630.928399999</v>
      </c>
      <c r="S13" s="5"/>
    </row>
    <row r="14" spans="1:21" x14ac:dyDescent="0.25">
      <c r="A14">
        <v>950</v>
      </c>
      <c r="B14">
        <v>9</v>
      </c>
      <c r="C14" t="s">
        <v>10</v>
      </c>
      <c r="D14" s="5">
        <v>3</v>
      </c>
      <c r="E14" s="7">
        <f>VLOOKUP($A14,'2016'!$A$3:$H$138,4,FALSE)</f>
        <v>202.17000000000002</v>
      </c>
      <c r="F14" s="7">
        <f>VLOOKUP($A14,'2016'!$A$3:$H$138,5,FALSE)</f>
        <v>392.63428571428568</v>
      </c>
      <c r="G14" s="7">
        <f>VLOOKUP($A14,'2016'!$A$3:$H$138,6,FALSE)</f>
        <v>309.42714285714158</v>
      </c>
      <c r="H14" s="7">
        <f>VLOOKUP($A14,'2016'!$A$3:$H$138,7,FALSE)</f>
        <v>273.45857142857267</v>
      </c>
      <c r="I14" s="7">
        <f>VLOOKUP($A14,'2016'!$A$3:$H$138,8,FALSE)</f>
        <v>26.16</v>
      </c>
      <c r="J14" s="7">
        <f t="shared" si="0"/>
        <v>1203.8500000000001</v>
      </c>
      <c r="K14" s="20" t="str">
        <f>IFERROR(VLOOKUP($A14,#REF!,2,FALSE),"")</f>
        <v/>
      </c>
      <c r="L14" s="20" t="str">
        <f>IFERROR(VLOOKUP($A14,#REF!,3,FALSE),"")</f>
        <v/>
      </c>
      <c r="M14" s="20" t="str">
        <f>IFERROR(VLOOKUP($A14,#REF!,4,FALSE),"")</f>
        <v/>
      </c>
      <c r="N14" s="20" t="str">
        <f>IFERROR(VLOOKUP($A14,#REF!,5,FALSE),"")</f>
        <v/>
      </c>
      <c r="O14" s="20" t="str">
        <f>IFERROR(VLOOKUP($A14,#REF!,6,FALSE),"")</f>
        <v/>
      </c>
      <c r="P14" s="20">
        <f t="shared" si="1"/>
        <v>0</v>
      </c>
      <c r="Q14" s="28">
        <f t="shared" si="2"/>
        <v>-1</v>
      </c>
      <c r="R14" s="31">
        <f t="shared" si="3"/>
        <v>1449254.8225000002</v>
      </c>
      <c r="S14" s="5"/>
    </row>
    <row r="15" spans="1:21" x14ac:dyDescent="0.25">
      <c r="A15">
        <v>870</v>
      </c>
      <c r="B15">
        <v>8</v>
      </c>
      <c r="C15" t="s">
        <v>15</v>
      </c>
      <c r="D15" s="5">
        <v>3</v>
      </c>
      <c r="E15" s="7">
        <f>VLOOKUP($A15,'2016'!$A$3:$H$138,4,FALSE)</f>
        <v>0</v>
      </c>
      <c r="F15" s="7">
        <f>VLOOKUP($A15,'2016'!$A$3:$H$138,5,FALSE)</f>
        <v>29.48</v>
      </c>
      <c r="G15" s="7">
        <f>VLOOKUP($A15,'2016'!$A$3:$H$138,6,FALSE)</f>
        <v>0</v>
      </c>
      <c r="H15" s="7">
        <f>VLOOKUP($A15,'2016'!$A$3:$H$138,7,FALSE)</f>
        <v>23.77</v>
      </c>
      <c r="I15" s="7">
        <f>VLOOKUP($A15,'2016'!$A$3:$H$138,8,FALSE)</f>
        <v>0</v>
      </c>
      <c r="J15" s="7">
        <f t="shared" si="0"/>
        <v>53.25</v>
      </c>
      <c r="K15" s="20" t="str">
        <f>IFERROR(VLOOKUP($A15,#REF!,2,FALSE),"")</f>
        <v/>
      </c>
      <c r="L15" s="20" t="str">
        <f>IFERROR(VLOOKUP($A15,#REF!,3,FALSE),"")</f>
        <v/>
      </c>
      <c r="M15" s="20" t="str">
        <f>IFERROR(VLOOKUP($A15,#REF!,4,FALSE),"")</f>
        <v/>
      </c>
      <c r="N15" s="20" t="str">
        <f>IFERROR(VLOOKUP($A15,#REF!,5,FALSE),"")</f>
        <v/>
      </c>
      <c r="O15" s="20" t="str">
        <f>IFERROR(VLOOKUP($A15,#REF!,6,FALSE),"")</f>
        <v/>
      </c>
      <c r="P15" s="20">
        <f t="shared" si="1"/>
        <v>0</v>
      </c>
      <c r="Q15" s="28">
        <f t="shared" si="2"/>
        <v>-1</v>
      </c>
      <c r="R15" s="31">
        <f t="shared" si="3"/>
        <v>2835.5625</v>
      </c>
      <c r="S15" s="5"/>
    </row>
    <row r="16" spans="1:21" x14ac:dyDescent="0.25">
      <c r="A16" s="8">
        <v>235</v>
      </c>
      <c r="B16" s="8">
        <v>6</v>
      </c>
      <c r="C16" s="8" t="s">
        <v>12</v>
      </c>
      <c r="D16" s="8">
        <v>4</v>
      </c>
      <c r="E16" s="9">
        <f>VLOOKUP($A16,'2016'!$A$3:$H$138,4,FALSE)</f>
        <v>212.83589446589443</v>
      </c>
      <c r="F16" s="9">
        <f>VLOOKUP($A16,'2016'!$A$3:$H$138,5,FALSE)</f>
        <v>1289.7216929408644</v>
      </c>
      <c r="G16" s="9">
        <f>VLOOKUP($A16,'2016'!$A$3:$H$138,6,FALSE)</f>
        <v>1843.2850113278521</v>
      </c>
      <c r="H16" s="9">
        <f>VLOOKUP($A16,'2016'!$A$3:$H$138,7,FALSE)</f>
        <v>1456.2494505278571</v>
      </c>
      <c r="I16" s="9">
        <f>VLOOKUP($A16,'2016'!$A$3:$H$138,8,FALSE)</f>
        <v>517.11795073753251</v>
      </c>
      <c r="J16" s="9">
        <f t="shared" si="0"/>
        <v>5319.2100000000009</v>
      </c>
      <c r="K16" s="26" t="str">
        <f>IFERROR(VLOOKUP($A16,#REF!,2,FALSE),"")</f>
        <v/>
      </c>
      <c r="L16" s="26" t="str">
        <f>IFERROR(VLOOKUP($A16,#REF!,3,FALSE),"")</f>
        <v/>
      </c>
      <c r="M16" s="26" t="str">
        <f>IFERROR(VLOOKUP($A16,#REF!,4,FALSE),"")</f>
        <v/>
      </c>
      <c r="N16" s="26" t="str">
        <f>IFERROR(VLOOKUP($A16,#REF!,5,FALSE),"")</f>
        <v/>
      </c>
      <c r="O16" s="26" t="str">
        <f>IFERROR(VLOOKUP($A16,#REF!,6,FALSE),"")</f>
        <v/>
      </c>
      <c r="P16" s="26">
        <f t="shared" si="1"/>
        <v>0</v>
      </c>
      <c r="Q16" s="28">
        <f t="shared" si="2"/>
        <v>-1</v>
      </c>
      <c r="R16" s="31">
        <f t="shared" si="3"/>
        <v>28293995.024100009</v>
      </c>
      <c r="S16" s="5"/>
    </row>
    <row r="17" spans="1:20" x14ac:dyDescent="0.25">
      <c r="A17" s="8">
        <v>237</v>
      </c>
      <c r="B17" s="8">
        <v>6</v>
      </c>
      <c r="C17" s="8" t="s">
        <v>12</v>
      </c>
      <c r="D17" s="8">
        <v>4</v>
      </c>
      <c r="E17" s="9">
        <f>VLOOKUP($A17,'2016'!$A$3:$H$138,4,FALSE)</f>
        <v>10.743942964001848</v>
      </c>
      <c r="F17" s="9">
        <f>VLOOKUP($A17,'2016'!$A$3:$H$138,5,FALSE)</f>
        <v>400.23931686425931</v>
      </c>
      <c r="G17" s="9">
        <f>VLOOKUP($A17,'2016'!$A$3:$H$138,6,FALSE)</f>
        <v>180.6833947399488</v>
      </c>
      <c r="H17" s="9">
        <f>VLOOKUP($A17,'2016'!$A$3:$H$138,7,FALSE)</f>
        <v>428.90790425532003</v>
      </c>
      <c r="I17" s="9">
        <f>VLOOKUP($A17,'2016'!$A$3:$H$138,8,FALSE)</f>
        <v>72.115441176470085</v>
      </c>
      <c r="J17" s="9">
        <f t="shared" si="0"/>
        <v>1092.69</v>
      </c>
      <c r="K17" s="26" t="str">
        <f>IFERROR(VLOOKUP($A17,#REF!,2,FALSE),"")</f>
        <v/>
      </c>
      <c r="L17" s="26" t="str">
        <f>IFERROR(VLOOKUP($A17,#REF!,3,FALSE),"")</f>
        <v/>
      </c>
      <c r="M17" s="26" t="str">
        <f>IFERROR(VLOOKUP($A17,#REF!,4,FALSE),"")</f>
        <v/>
      </c>
      <c r="N17" s="26" t="str">
        <f>IFERROR(VLOOKUP($A17,#REF!,5,FALSE),"")</f>
        <v/>
      </c>
      <c r="O17" s="26" t="str">
        <f>IFERROR(VLOOKUP($A17,#REF!,6,FALSE),"")</f>
        <v/>
      </c>
      <c r="P17" s="26">
        <f t="shared" si="1"/>
        <v>0</v>
      </c>
      <c r="Q17" s="28">
        <f t="shared" si="2"/>
        <v>-1</v>
      </c>
      <c r="R17" s="31">
        <f t="shared" si="3"/>
        <v>1193971.4361</v>
      </c>
      <c r="S17" s="5"/>
    </row>
    <row r="18" spans="1:20" x14ac:dyDescent="0.25">
      <c r="A18" s="8">
        <v>280</v>
      </c>
      <c r="B18" s="8">
        <v>6</v>
      </c>
      <c r="C18" s="8" t="s">
        <v>12</v>
      </c>
      <c r="D18" s="8">
        <v>4</v>
      </c>
      <c r="E18" s="9">
        <f>VLOOKUP($A18,'2016'!$A$3:$H$138,4,FALSE)</f>
        <v>35.699056603773585</v>
      </c>
      <c r="F18" s="9">
        <f>VLOOKUP($A18,'2016'!$A$3:$H$138,5,FALSE)</f>
        <v>233.54094339622645</v>
      </c>
      <c r="G18" s="9">
        <f>VLOOKUP($A18,'2016'!$A$3:$H$138,6,FALSE)</f>
        <v>14.583442622950553</v>
      </c>
      <c r="H18" s="9">
        <f>VLOOKUP($A18,'2016'!$A$3:$H$138,7,FALSE)</f>
        <v>235.67655737704942</v>
      </c>
      <c r="I18" s="9">
        <f>VLOOKUP($A18,'2016'!$A$3:$H$138,8,FALSE)</f>
        <v>0</v>
      </c>
      <c r="J18" s="9">
        <f t="shared" si="0"/>
        <v>519.5</v>
      </c>
      <c r="K18" s="26" t="str">
        <f>IFERROR(VLOOKUP($A18,#REF!,2,FALSE),"")</f>
        <v/>
      </c>
      <c r="L18" s="26" t="str">
        <f>IFERROR(VLOOKUP($A18,#REF!,3,FALSE),"")</f>
        <v/>
      </c>
      <c r="M18" s="26" t="str">
        <f>IFERROR(VLOOKUP($A18,#REF!,4,FALSE),"")</f>
        <v/>
      </c>
      <c r="N18" s="26" t="str">
        <f>IFERROR(VLOOKUP($A18,#REF!,5,FALSE),"")</f>
        <v/>
      </c>
      <c r="O18" s="26" t="str">
        <f>IFERROR(VLOOKUP($A18,#REF!,6,FALSE),"")</f>
        <v/>
      </c>
      <c r="P18" s="26">
        <f t="shared" si="1"/>
        <v>0</v>
      </c>
      <c r="Q18" s="28">
        <f t="shared" si="2"/>
        <v>-1</v>
      </c>
      <c r="R18" s="31">
        <f t="shared" si="3"/>
        <v>269880.25</v>
      </c>
      <c r="S18" s="5"/>
    </row>
    <row r="19" spans="1:20" x14ac:dyDescent="0.25">
      <c r="A19" s="8">
        <v>290</v>
      </c>
      <c r="B19" s="8">
        <v>6</v>
      </c>
      <c r="C19" s="8" t="s">
        <v>12</v>
      </c>
      <c r="D19" s="8">
        <v>4</v>
      </c>
      <c r="E19" s="9">
        <f>VLOOKUP($A19,'2016'!$A$3:$H$138,4,FALSE)</f>
        <v>30.776086956521745</v>
      </c>
      <c r="F19" s="9">
        <f>VLOOKUP($A19,'2016'!$A$3:$H$138,5,FALSE)</f>
        <v>327.64391304347828</v>
      </c>
      <c r="G19" s="9">
        <f>VLOOKUP($A19,'2016'!$A$3:$H$138,6,FALSE)</f>
        <v>20.292244897958764</v>
      </c>
      <c r="H19" s="9">
        <f>VLOOKUP($A19,'2016'!$A$3:$H$138,7,FALSE)</f>
        <v>297.98775510204121</v>
      </c>
      <c r="I19" s="9">
        <f>VLOOKUP($A19,'2016'!$A$3:$H$138,8,FALSE)</f>
        <v>0</v>
      </c>
      <c r="J19" s="9">
        <f t="shared" si="0"/>
        <v>676.7</v>
      </c>
      <c r="K19" s="26" t="str">
        <f>IFERROR(VLOOKUP($A19,#REF!,2,FALSE),"")</f>
        <v/>
      </c>
      <c r="L19" s="26" t="str">
        <f>IFERROR(VLOOKUP($A19,#REF!,3,FALSE),"")</f>
        <v/>
      </c>
      <c r="M19" s="26" t="str">
        <f>IFERROR(VLOOKUP($A19,#REF!,4,FALSE),"")</f>
        <v/>
      </c>
      <c r="N19" s="26" t="str">
        <f>IFERROR(VLOOKUP($A19,#REF!,5,FALSE),"")</f>
        <v/>
      </c>
      <c r="O19" s="26" t="str">
        <f>IFERROR(VLOOKUP($A19,#REF!,6,FALSE),"")</f>
        <v/>
      </c>
      <c r="P19" s="26">
        <f t="shared" si="1"/>
        <v>0</v>
      </c>
      <c r="Q19" s="28">
        <f t="shared" si="2"/>
        <v>-1</v>
      </c>
      <c r="R19" s="31">
        <f t="shared" si="3"/>
        <v>457922.89000000007</v>
      </c>
      <c r="S19" s="5"/>
    </row>
    <row r="20" spans="1:20" x14ac:dyDescent="0.25">
      <c r="A20" s="8">
        <v>201</v>
      </c>
      <c r="B20" s="8">
        <v>7</v>
      </c>
      <c r="C20" s="8" t="s">
        <v>11</v>
      </c>
      <c r="D20" s="8">
        <v>4</v>
      </c>
      <c r="E20" s="9">
        <f>VLOOKUP($A20,'2016'!$A$3:$H$138,4,FALSE)</f>
        <v>1.7679999999999987</v>
      </c>
      <c r="F20" s="9">
        <f>VLOOKUP($A20,'2016'!$A$3:$H$138,5,FALSE)</f>
        <v>185.72866666666661</v>
      </c>
      <c r="G20" s="9">
        <f>VLOOKUP($A20,'2016'!$A$3:$H$138,6,FALSE)</f>
        <v>1556.0061363636328</v>
      </c>
      <c r="H20" s="9">
        <f>VLOOKUP($A20,'2016'!$A$3:$H$138,7,FALSE)</f>
        <v>1709.882250733144</v>
      </c>
      <c r="I20" s="9">
        <f>VLOOKUP($A20,'2016'!$A$3:$H$138,8,FALSE)</f>
        <v>678.77494623655673</v>
      </c>
      <c r="J20" s="9">
        <f t="shared" si="0"/>
        <v>4132.16</v>
      </c>
      <c r="K20" s="26" t="str">
        <f>IFERROR(VLOOKUP($A20,#REF!,2,FALSE),"")</f>
        <v/>
      </c>
      <c r="L20" s="26" t="str">
        <f>IFERROR(VLOOKUP($A20,#REF!,3,FALSE),"")</f>
        <v/>
      </c>
      <c r="M20" s="26" t="str">
        <f>IFERROR(VLOOKUP($A20,#REF!,4,FALSE),"")</f>
        <v/>
      </c>
      <c r="N20" s="26" t="str">
        <f>IFERROR(VLOOKUP($A20,#REF!,5,FALSE),"")</f>
        <v/>
      </c>
      <c r="O20" s="26" t="str">
        <f>IFERROR(VLOOKUP($A20,#REF!,6,FALSE),"")</f>
        <v/>
      </c>
      <c r="P20" s="26">
        <f t="shared" si="1"/>
        <v>0</v>
      </c>
      <c r="Q20" s="28">
        <f t="shared" si="2"/>
        <v>-1</v>
      </c>
      <c r="R20" s="31">
        <f t="shared" si="3"/>
        <v>17074746.2656</v>
      </c>
      <c r="S20" s="5"/>
    </row>
    <row r="21" spans="1:20" x14ac:dyDescent="0.25">
      <c r="A21" s="8">
        <v>202</v>
      </c>
      <c r="B21" s="8">
        <v>7</v>
      </c>
      <c r="C21" s="8" t="s">
        <v>11</v>
      </c>
      <c r="D21" s="8">
        <v>4</v>
      </c>
      <c r="E21" s="9">
        <f>VLOOKUP($A21,'2016'!$A$3:$H$138,4,FALSE)</f>
        <v>4.4307692307692212</v>
      </c>
      <c r="F21" s="9">
        <f>VLOOKUP($A21,'2016'!$A$3:$H$138,5,FALSE)</f>
        <v>870.71938130686522</v>
      </c>
      <c r="G21" s="9">
        <f>VLOOKUP($A21,'2016'!$A$3:$H$138,6,FALSE)</f>
        <v>2407.593788856303</v>
      </c>
      <c r="H21" s="9">
        <f>VLOOKUP($A21,'2016'!$A$3:$H$138,7,FALSE)</f>
        <v>817.05606060606351</v>
      </c>
      <c r="I21" s="9">
        <f>VLOOKUP($A21,'2016'!$A$3:$H$138,8,FALSE)</f>
        <v>345.979999999999</v>
      </c>
      <c r="J21" s="9">
        <f t="shared" si="0"/>
        <v>4445.78</v>
      </c>
      <c r="K21" s="26" t="str">
        <f>IFERROR(VLOOKUP($A21,#REF!,2,FALSE),"")</f>
        <v/>
      </c>
      <c r="L21" s="26" t="str">
        <f>IFERROR(VLOOKUP($A21,#REF!,3,FALSE),"")</f>
        <v/>
      </c>
      <c r="M21" s="26" t="str">
        <f>IFERROR(VLOOKUP($A21,#REF!,4,FALSE),"")</f>
        <v/>
      </c>
      <c r="N21" s="26" t="str">
        <f>IFERROR(VLOOKUP($A21,#REF!,5,FALSE),"")</f>
        <v/>
      </c>
      <c r="O21" s="26" t="str">
        <f>IFERROR(VLOOKUP($A21,#REF!,6,FALSE),"")</f>
        <v/>
      </c>
      <c r="P21" s="26">
        <f t="shared" si="1"/>
        <v>0</v>
      </c>
      <c r="Q21" s="28">
        <f t="shared" si="2"/>
        <v>-1</v>
      </c>
      <c r="R21" s="31">
        <f t="shared" si="3"/>
        <v>19764959.808399998</v>
      </c>
      <c r="S21" s="5"/>
    </row>
    <row r="22" spans="1:20" x14ac:dyDescent="0.25">
      <c r="A22" s="8">
        <v>204</v>
      </c>
      <c r="B22" s="8">
        <v>7</v>
      </c>
      <c r="C22" s="8" t="s">
        <v>11</v>
      </c>
      <c r="D22" s="8">
        <v>4</v>
      </c>
      <c r="E22" s="9">
        <f>VLOOKUP($A22,'2016'!$A$3:$H$138,4,FALSE)</f>
        <v>2.4500000000000002</v>
      </c>
      <c r="F22" s="9">
        <f>VLOOKUP($A22,'2016'!$A$3:$H$138,5,FALSE)</f>
        <v>113.17133333333334</v>
      </c>
      <c r="G22" s="9">
        <f>VLOOKUP($A22,'2016'!$A$3:$H$138,6,FALSE)</f>
        <v>291.34199999999959</v>
      </c>
      <c r="H22" s="9">
        <f>VLOOKUP($A22,'2016'!$A$3:$H$138,7,FALSE)</f>
        <v>178.77205128205216</v>
      </c>
      <c r="I22" s="9">
        <f>VLOOKUP($A22,'2016'!$A$3:$H$138,8,FALSE)</f>
        <v>110.49461538461486</v>
      </c>
      <c r="J22" s="9">
        <f t="shared" si="0"/>
        <v>696.23</v>
      </c>
      <c r="K22" s="26" t="str">
        <f>IFERROR(VLOOKUP($A22,#REF!,2,FALSE),"")</f>
        <v/>
      </c>
      <c r="L22" s="26" t="str">
        <f>IFERROR(VLOOKUP($A22,#REF!,3,FALSE),"")</f>
        <v/>
      </c>
      <c r="M22" s="26" t="str">
        <f>IFERROR(VLOOKUP($A22,#REF!,4,FALSE),"")</f>
        <v/>
      </c>
      <c r="N22" s="26" t="str">
        <f>IFERROR(VLOOKUP($A22,#REF!,5,FALSE),"")</f>
        <v/>
      </c>
      <c r="O22" s="26" t="str">
        <f>IFERROR(VLOOKUP($A22,#REF!,6,FALSE),"")</f>
        <v/>
      </c>
      <c r="P22" s="26">
        <f t="shared" si="1"/>
        <v>0</v>
      </c>
      <c r="Q22" s="28">
        <f t="shared" si="2"/>
        <v>-1</v>
      </c>
      <c r="R22" s="31">
        <f t="shared" si="3"/>
        <v>484736.21290000004</v>
      </c>
      <c r="S22" s="5"/>
    </row>
    <row r="23" spans="1:20" x14ac:dyDescent="0.25">
      <c r="A23" s="8">
        <v>215</v>
      </c>
      <c r="B23" s="8">
        <v>7</v>
      </c>
      <c r="C23" s="8" t="s">
        <v>11</v>
      </c>
      <c r="D23" s="8">
        <v>4</v>
      </c>
      <c r="E23" s="9">
        <f>VLOOKUP($A23,'2016'!$A$3:$H$138,4,FALSE)</f>
        <v>201.20931220247041</v>
      </c>
      <c r="F23" s="9">
        <f>VLOOKUP($A23,'2016'!$A$3:$H$138,5,FALSE)</f>
        <v>1246.5294633077337</v>
      </c>
      <c r="G23" s="9">
        <f>VLOOKUP($A23,'2016'!$A$3:$H$138,6,FALSE)</f>
        <v>2816.5485464271155</v>
      </c>
      <c r="H23" s="9">
        <f>VLOOKUP($A23,'2016'!$A$3:$H$138,7,FALSE)</f>
        <v>1766.8620276293227</v>
      </c>
      <c r="I23" s="9">
        <f>VLOOKUP($A23,'2016'!$A$3:$H$138,8,FALSE)</f>
        <v>893.7720328937736</v>
      </c>
      <c r="J23" s="9">
        <f t="shared" si="0"/>
        <v>6924.9213824604158</v>
      </c>
      <c r="K23" s="26" t="str">
        <f>IFERROR(VLOOKUP($A23,#REF!,2,FALSE),"")</f>
        <v/>
      </c>
      <c r="L23" s="26" t="str">
        <f>IFERROR(VLOOKUP($A23,#REF!,3,FALSE),"")</f>
        <v/>
      </c>
      <c r="M23" s="26" t="str">
        <f>IFERROR(VLOOKUP($A23,#REF!,4,FALSE),"")</f>
        <v/>
      </c>
      <c r="N23" s="26" t="str">
        <f>IFERROR(VLOOKUP($A23,#REF!,5,FALSE),"")</f>
        <v/>
      </c>
      <c r="O23" s="26" t="str">
        <f>IFERROR(VLOOKUP($A23,#REF!,6,FALSE),"")</f>
        <v/>
      </c>
      <c r="P23" s="26">
        <f t="shared" si="1"/>
        <v>0</v>
      </c>
      <c r="Q23" s="28">
        <f t="shared" si="2"/>
        <v>-1</v>
      </c>
      <c r="R23" s="31">
        <f t="shared" si="3"/>
        <v>47954536.153257474</v>
      </c>
      <c r="S23" s="5"/>
    </row>
    <row r="24" spans="1:20" x14ac:dyDescent="0.25">
      <c r="A24" s="8">
        <v>350</v>
      </c>
      <c r="B24" s="8">
        <v>7</v>
      </c>
      <c r="C24" s="8" t="s">
        <v>11</v>
      </c>
      <c r="D24" s="8">
        <v>4</v>
      </c>
      <c r="E24" s="9">
        <f>VLOOKUP($A24,'2016'!$A$3:$H$138,4,FALSE)</f>
        <v>44.288760845406365</v>
      </c>
      <c r="F24" s="9">
        <f>VLOOKUP($A24,'2016'!$A$3:$H$138,5,FALSE)</f>
        <v>474.35023590901147</v>
      </c>
      <c r="G24" s="9">
        <f>VLOOKUP($A24,'2016'!$A$3:$H$138,6,FALSE)</f>
        <v>1014.6863567240357</v>
      </c>
      <c r="H24" s="9">
        <f>VLOOKUP($A24,'2016'!$A$3:$H$138,7,FALSE)</f>
        <v>433.64193585794601</v>
      </c>
      <c r="I24" s="9">
        <f>VLOOKUP($A24,'2016'!$A$3:$H$138,8,FALSE)</f>
        <v>100.00775365258657</v>
      </c>
      <c r="J24" s="9">
        <f t="shared" si="0"/>
        <v>2066.9750429889859</v>
      </c>
      <c r="K24" s="26" t="str">
        <f>IFERROR(VLOOKUP($A24,#REF!,2,FALSE),"")</f>
        <v/>
      </c>
      <c r="L24" s="26" t="str">
        <f>IFERROR(VLOOKUP($A24,#REF!,3,FALSE),"")</f>
        <v/>
      </c>
      <c r="M24" s="26" t="str">
        <f>IFERROR(VLOOKUP($A24,#REF!,4,FALSE),"")</f>
        <v/>
      </c>
      <c r="N24" s="26" t="str">
        <f>IFERROR(VLOOKUP($A24,#REF!,5,FALSE),"")</f>
        <v/>
      </c>
      <c r="O24" s="26" t="str">
        <f>IFERROR(VLOOKUP($A24,#REF!,6,FALSE),"")</f>
        <v/>
      </c>
      <c r="P24" s="26">
        <f t="shared" si="1"/>
        <v>0</v>
      </c>
      <c r="Q24" s="28">
        <f t="shared" si="2"/>
        <v>-1</v>
      </c>
      <c r="R24" s="31">
        <f t="shared" si="3"/>
        <v>4272385.8283393206</v>
      </c>
      <c r="S24" s="5"/>
    </row>
    <row r="25" spans="1:20" x14ac:dyDescent="0.25">
      <c r="A25">
        <v>1</v>
      </c>
      <c r="B25">
        <v>10</v>
      </c>
      <c r="C25" t="s">
        <v>0</v>
      </c>
      <c r="D25" s="5">
        <v>5</v>
      </c>
      <c r="E25" s="7">
        <f>VLOOKUP($A25,'2016'!$A$3:$H$138,4,FALSE)</f>
        <v>78.088549666153028</v>
      </c>
      <c r="F25" s="7">
        <f>VLOOKUP($A25,'2016'!$A$3:$H$138,5,FALSE)</f>
        <v>592.48473431812374</v>
      </c>
      <c r="G25" s="7">
        <f>VLOOKUP($A25,'2016'!$A$3:$H$138,6,FALSE)</f>
        <v>2056.0246148436245</v>
      </c>
      <c r="H25" s="7">
        <f>VLOOKUP($A25,'2016'!$A$3:$H$138,7,FALSE)</f>
        <v>983.34922306421265</v>
      </c>
      <c r="I25" s="7">
        <f>VLOOKUP($A25,'2016'!$A$3:$H$138,8,FALSE)</f>
        <v>388.54287810788554</v>
      </c>
      <c r="J25" s="7">
        <f t="shared" si="0"/>
        <v>4098.49</v>
      </c>
      <c r="K25" s="20" t="str">
        <f>IFERROR(VLOOKUP($A25,#REF!,2,FALSE),"")</f>
        <v/>
      </c>
      <c r="L25" s="20" t="str">
        <f>IFERROR(VLOOKUP($A25,#REF!,3,FALSE),"")</f>
        <v/>
      </c>
      <c r="M25" s="20" t="str">
        <f>IFERROR(VLOOKUP($A25,#REF!,4,FALSE),"")</f>
        <v/>
      </c>
      <c r="N25" s="20" t="str">
        <f>IFERROR(VLOOKUP($A25,#REF!,5,FALSE),"")</f>
        <v/>
      </c>
      <c r="O25" s="20" t="str">
        <f>IFERROR(VLOOKUP($A25,#REF!,6,FALSE),"")</f>
        <v/>
      </c>
      <c r="P25" s="20">
        <f t="shared" si="1"/>
        <v>0</v>
      </c>
      <c r="Q25" s="28">
        <f t="shared" si="2"/>
        <v>-1</v>
      </c>
      <c r="R25" s="31">
        <f t="shared" si="3"/>
        <v>16797620.280099999</v>
      </c>
      <c r="S25" s="5"/>
      <c r="T25" s="2"/>
    </row>
    <row r="26" spans="1:20" x14ac:dyDescent="0.25">
      <c r="A26">
        <v>2</v>
      </c>
      <c r="B26">
        <v>10</v>
      </c>
      <c r="C26" t="s">
        <v>0</v>
      </c>
      <c r="D26" s="5">
        <v>5</v>
      </c>
      <c r="E26" s="7">
        <f>VLOOKUP($A26,'2016'!$A$3:$H$138,4,FALSE)</f>
        <v>63.664679802955639</v>
      </c>
      <c r="F26" s="7">
        <f>VLOOKUP($A26,'2016'!$A$3:$H$138,5,FALSE)</f>
        <v>648.65559046731471</v>
      </c>
      <c r="G26" s="7">
        <f>VLOOKUP($A26,'2016'!$A$3:$H$138,6,FALSE)</f>
        <v>1428.1042575596216</v>
      </c>
      <c r="H26" s="7">
        <f>VLOOKUP($A26,'2016'!$A$3:$H$138,7,FALSE)</f>
        <v>872.06058816522579</v>
      </c>
      <c r="I26" s="7">
        <f>VLOOKUP($A26,'2016'!$A$3:$H$138,8,FALSE)</f>
        <v>346.07488400488273</v>
      </c>
      <c r="J26" s="7">
        <f t="shared" si="0"/>
        <v>3358.5600000000009</v>
      </c>
      <c r="K26" s="20" t="str">
        <f>IFERROR(VLOOKUP($A26,#REF!,2,FALSE),"")</f>
        <v/>
      </c>
      <c r="L26" s="20" t="str">
        <f>IFERROR(VLOOKUP($A26,#REF!,3,FALSE),"")</f>
        <v/>
      </c>
      <c r="M26" s="20" t="str">
        <f>IFERROR(VLOOKUP($A26,#REF!,4,FALSE),"")</f>
        <v/>
      </c>
      <c r="N26" s="20" t="str">
        <f>IFERROR(VLOOKUP($A26,#REF!,5,FALSE),"")</f>
        <v/>
      </c>
      <c r="O26" s="20" t="str">
        <f>IFERROR(VLOOKUP($A26,#REF!,6,FALSE),"")</f>
        <v/>
      </c>
      <c r="P26" s="20">
        <f t="shared" si="1"/>
        <v>0</v>
      </c>
      <c r="Q26" s="28">
        <f t="shared" si="2"/>
        <v>-1</v>
      </c>
      <c r="R26" s="31">
        <f t="shared" si="3"/>
        <v>11279925.273600006</v>
      </c>
      <c r="S26" s="5"/>
    </row>
    <row r="27" spans="1:20" x14ac:dyDescent="0.25">
      <c r="A27">
        <v>3</v>
      </c>
      <c r="B27">
        <v>10</v>
      </c>
      <c r="C27" t="s">
        <v>0</v>
      </c>
      <c r="D27" s="5">
        <v>5</v>
      </c>
      <c r="E27" s="7">
        <f>VLOOKUP($A27,'2016'!$A$3:$H$138,4,FALSE)</f>
        <v>96.849907711238714</v>
      </c>
      <c r="F27" s="7">
        <f>VLOOKUP($A27,'2016'!$A$3:$H$138,5,FALSE)</f>
        <v>926.2134861400807</v>
      </c>
      <c r="G27" s="7">
        <f>VLOOKUP($A27,'2016'!$A$3:$H$138,6,FALSE)</f>
        <v>2565.1600676871399</v>
      </c>
      <c r="H27" s="7">
        <f>VLOOKUP($A27,'2016'!$A$3:$H$138,7,FALSE)</f>
        <v>1206.9894645444056</v>
      </c>
      <c r="I27" s="7">
        <f>VLOOKUP($A27,'2016'!$A$3:$H$138,8,FALSE)</f>
        <v>427.65707391713602</v>
      </c>
      <c r="J27" s="7">
        <f t="shared" si="0"/>
        <v>5222.8700000000008</v>
      </c>
      <c r="K27" s="20" t="str">
        <f>IFERROR(VLOOKUP($A27,#REF!,2,FALSE),"")</f>
        <v/>
      </c>
      <c r="L27" s="20" t="str">
        <f>IFERROR(VLOOKUP($A27,#REF!,3,FALSE),"")</f>
        <v/>
      </c>
      <c r="M27" s="20" t="str">
        <f>IFERROR(VLOOKUP($A27,#REF!,4,FALSE),"")</f>
        <v/>
      </c>
      <c r="N27" s="20" t="str">
        <f>IFERROR(VLOOKUP($A27,#REF!,5,FALSE),"")</f>
        <v/>
      </c>
      <c r="O27" s="20" t="str">
        <f>IFERROR(VLOOKUP($A27,#REF!,6,FALSE),"")</f>
        <v/>
      </c>
      <c r="P27" s="20">
        <f t="shared" si="1"/>
        <v>0</v>
      </c>
      <c r="Q27" s="28">
        <f t="shared" si="2"/>
        <v>-1</v>
      </c>
      <c r="R27" s="31">
        <f t="shared" si="3"/>
        <v>27278371.03690001</v>
      </c>
      <c r="S27" s="5"/>
    </row>
    <row r="28" spans="1:20" x14ac:dyDescent="0.25">
      <c r="A28">
        <v>4</v>
      </c>
      <c r="B28">
        <v>10</v>
      </c>
      <c r="C28" t="s">
        <v>0</v>
      </c>
      <c r="D28" s="5">
        <v>5</v>
      </c>
      <c r="E28" s="7">
        <f>VLOOKUP($A28,'2016'!$A$3:$H$138,4,FALSE)</f>
        <v>59.859999999999985</v>
      </c>
      <c r="F28" s="7">
        <f>VLOOKUP($A28,'2016'!$A$3:$H$138,5,FALSE)</f>
        <v>423.85219999999993</v>
      </c>
      <c r="G28" s="7">
        <f>VLOOKUP($A28,'2016'!$A$3:$H$138,6,FALSE)</f>
        <v>1000.7774054459557</v>
      </c>
      <c r="H28" s="7">
        <f>VLOOKUP($A28,'2016'!$A$3:$H$138,7,FALSE)</f>
        <v>645.91167839325715</v>
      </c>
      <c r="I28" s="7">
        <f>VLOOKUP($A28,'2016'!$A$3:$H$138,8,FALSE)</f>
        <v>265.21871616078698</v>
      </c>
      <c r="J28" s="7">
        <f t="shared" si="0"/>
        <v>2395.62</v>
      </c>
      <c r="K28" s="20" t="str">
        <f>IFERROR(VLOOKUP($A28,#REF!,2,FALSE),"")</f>
        <v/>
      </c>
      <c r="L28" s="20" t="str">
        <f>IFERROR(VLOOKUP($A28,#REF!,3,FALSE),"")</f>
        <v/>
      </c>
      <c r="M28" s="20" t="str">
        <f>IFERROR(VLOOKUP($A28,#REF!,4,FALSE),"")</f>
        <v/>
      </c>
      <c r="N28" s="20" t="str">
        <f>IFERROR(VLOOKUP($A28,#REF!,5,FALSE),"")</f>
        <v/>
      </c>
      <c r="O28" s="20" t="str">
        <f>IFERROR(VLOOKUP($A28,#REF!,6,FALSE),"")</f>
        <v/>
      </c>
      <c r="P28" s="20">
        <f t="shared" si="1"/>
        <v>0</v>
      </c>
      <c r="Q28" s="28">
        <f t="shared" si="2"/>
        <v>-1</v>
      </c>
      <c r="R28" s="31">
        <f t="shared" si="3"/>
        <v>5738995.1843999997</v>
      </c>
      <c r="S28" s="5"/>
    </row>
    <row r="29" spans="1:20" x14ac:dyDescent="0.25">
      <c r="A29">
        <v>5</v>
      </c>
      <c r="B29">
        <v>10</v>
      </c>
      <c r="C29" t="s">
        <v>0</v>
      </c>
      <c r="D29" s="5">
        <v>5</v>
      </c>
      <c r="E29" s="7">
        <f>VLOOKUP($A29,'2016'!$A$3:$H$138,4,FALSE)</f>
        <v>61.864736842105216</v>
      </c>
      <c r="F29" s="7">
        <f>VLOOKUP($A29,'2016'!$A$3:$H$138,5,FALSE)</f>
        <v>553.53676315789471</v>
      </c>
      <c r="G29" s="7">
        <f>VLOOKUP($A29,'2016'!$A$3:$H$138,6,FALSE)</f>
        <v>1241.8362591973225</v>
      </c>
      <c r="H29" s="7">
        <f>VLOOKUP($A29,'2016'!$A$3:$H$138,7,FALSE)</f>
        <v>670.28081223124946</v>
      </c>
      <c r="I29" s="7">
        <f>VLOOKUP($A29,'2016'!$A$3:$H$138,8,FALSE)</f>
        <v>198.771428571428</v>
      </c>
      <c r="J29" s="7">
        <f t="shared" si="0"/>
        <v>2726.2899999999995</v>
      </c>
      <c r="K29" s="20" t="str">
        <f>IFERROR(VLOOKUP($A29,#REF!,2,FALSE),"")</f>
        <v/>
      </c>
      <c r="L29" s="20" t="str">
        <f>IFERROR(VLOOKUP($A29,#REF!,3,FALSE),"")</f>
        <v/>
      </c>
      <c r="M29" s="20" t="str">
        <f>IFERROR(VLOOKUP($A29,#REF!,4,FALSE),"")</f>
        <v/>
      </c>
      <c r="N29" s="20" t="str">
        <f>IFERROR(VLOOKUP($A29,#REF!,5,FALSE),"")</f>
        <v/>
      </c>
      <c r="O29" s="20" t="str">
        <f>IFERROR(VLOOKUP($A29,#REF!,6,FALSE),"")</f>
        <v/>
      </c>
      <c r="P29" s="20">
        <f t="shared" si="1"/>
        <v>0</v>
      </c>
      <c r="Q29" s="28">
        <f t="shared" si="2"/>
        <v>-1</v>
      </c>
      <c r="R29" s="31">
        <f t="shared" si="3"/>
        <v>7432657.1640999969</v>
      </c>
      <c r="S29" s="5"/>
    </row>
    <row r="30" spans="1:20" x14ac:dyDescent="0.25">
      <c r="A30">
        <v>6</v>
      </c>
      <c r="B30">
        <v>10</v>
      </c>
      <c r="C30" t="s">
        <v>0</v>
      </c>
      <c r="D30" s="5">
        <v>5</v>
      </c>
      <c r="E30" s="7">
        <f>VLOOKUP($A30,'2016'!$A$3:$H$138,4,FALSE)</f>
        <v>16.127894736842098</v>
      </c>
      <c r="F30" s="7">
        <f>VLOOKUP($A30,'2016'!$A$3:$H$138,5,FALSE)</f>
        <v>248.96827127106306</v>
      </c>
      <c r="G30" s="7">
        <f>VLOOKUP($A30,'2016'!$A$3:$H$138,6,FALSE)</f>
        <v>724.74351790014009</v>
      </c>
      <c r="H30" s="7">
        <f>VLOOKUP($A30,'2016'!$A$3:$H$138,7,FALSE)</f>
        <v>373.28031609195483</v>
      </c>
      <c r="I30" s="7">
        <f>VLOOKUP($A30,'2016'!$A$3:$H$138,8,FALSE)</f>
        <v>145.53</v>
      </c>
      <c r="J30" s="7">
        <f t="shared" si="0"/>
        <v>1508.65</v>
      </c>
      <c r="K30" s="20" t="str">
        <f>IFERROR(VLOOKUP($A30,#REF!,2,FALSE),"")</f>
        <v/>
      </c>
      <c r="L30" s="20" t="str">
        <f>IFERROR(VLOOKUP($A30,#REF!,3,FALSE),"")</f>
        <v/>
      </c>
      <c r="M30" s="20" t="str">
        <f>IFERROR(VLOOKUP($A30,#REF!,4,FALSE),"")</f>
        <v/>
      </c>
      <c r="N30" s="20" t="str">
        <f>IFERROR(VLOOKUP($A30,#REF!,5,FALSE),"")</f>
        <v/>
      </c>
      <c r="O30" s="20" t="str">
        <f>IFERROR(VLOOKUP($A30,#REF!,6,FALSE),"")</f>
        <v/>
      </c>
      <c r="P30" s="20">
        <f t="shared" si="1"/>
        <v>0</v>
      </c>
      <c r="Q30" s="28">
        <f t="shared" si="2"/>
        <v>-1</v>
      </c>
      <c r="R30" s="31">
        <f t="shared" si="3"/>
        <v>2276024.8225000002</v>
      </c>
      <c r="S30" s="5"/>
    </row>
    <row r="31" spans="1:20" x14ac:dyDescent="0.25">
      <c r="A31">
        <v>7</v>
      </c>
      <c r="B31">
        <v>10</v>
      </c>
      <c r="C31" t="s">
        <v>0</v>
      </c>
      <c r="D31" s="5">
        <v>5</v>
      </c>
      <c r="E31" s="7">
        <f>VLOOKUP($A31,'2016'!$A$3:$H$138,4,FALSE)</f>
        <v>157.40996897479366</v>
      </c>
      <c r="F31" s="7">
        <f>VLOOKUP($A31,'2016'!$A$3:$H$138,5,FALSE)</f>
        <v>1401.2616608383953</v>
      </c>
      <c r="G31" s="7">
        <f>VLOOKUP($A31,'2016'!$A$3:$H$138,6,FALSE)</f>
        <v>3824.072408814844</v>
      </c>
      <c r="H31" s="7">
        <f>VLOOKUP($A31,'2016'!$A$3:$H$138,7,FALSE)</f>
        <v>2037.7329192089157</v>
      </c>
      <c r="I31" s="7">
        <f>VLOOKUP($A31,'2016'!$A$3:$H$138,8,FALSE)</f>
        <v>904.84542421772335</v>
      </c>
      <c r="J31" s="7">
        <f t="shared" si="0"/>
        <v>8325.3223820546718</v>
      </c>
      <c r="K31" s="20" t="str">
        <f>IFERROR(VLOOKUP($A31,#REF!,2,FALSE),"")</f>
        <v/>
      </c>
      <c r="L31" s="20" t="str">
        <f>IFERROR(VLOOKUP($A31,#REF!,3,FALSE),"")</f>
        <v/>
      </c>
      <c r="M31" s="20" t="str">
        <f>IFERROR(VLOOKUP($A31,#REF!,4,FALSE),"")</f>
        <v/>
      </c>
      <c r="N31" s="20" t="str">
        <f>IFERROR(VLOOKUP($A31,#REF!,5,FALSE),"")</f>
        <v/>
      </c>
      <c r="O31" s="20" t="str">
        <f>IFERROR(VLOOKUP($A31,#REF!,6,FALSE),"")</f>
        <v/>
      </c>
      <c r="P31" s="20">
        <f t="shared" si="1"/>
        <v>0</v>
      </c>
      <c r="Q31" s="28">
        <f t="shared" si="2"/>
        <v>-1</v>
      </c>
      <c r="R31" s="31">
        <f t="shared" si="3"/>
        <v>69310992.765140474</v>
      </c>
      <c r="S31" s="5"/>
    </row>
    <row r="32" spans="1:20" x14ac:dyDescent="0.25">
      <c r="A32">
        <v>8</v>
      </c>
      <c r="B32">
        <v>10</v>
      </c>
      <c r="C32" t="s">
        <v>0</v>
      </c>
      <c r="D32" s="5">
        <v>5</v>
      </c>
      <c r="E32" s="7">
        <f>VLOOKUP($A32,'2016'!$A$3:$H$138,4,FALSE)</f>
        <v>26.192105263157906</v>
      </c>
      <c r="F32" s="7">
        <f>VLOOKUP($A32,'2016'!$A$3:$H$138,5,FALSE)</f>
        <v>176.51831140350876</v>
      </c>
      <c r="G32" s="7">
        <f>VLOOKUP($A32,'2016'!$A$3:$H$138,6,FALSE)</f>
        <v>602.57202777777684</v>
      </c>
      <c r="H32" s="7">
        <f>VLOOKUP($A32,'2016'!$A$3:$H$138,7,FALSE)</f>
        <v>342.68755555555691</v>
      </c>
      <c r="I32" s="7">
        <f>VLOOKUP($A32,'2016'!$A$3:$H$138,8,FALSE)</f>
        <v>162.24474619289305</v>
      </c>
      <c r="J32" s="7">
        <f t="shared" si="0"/>
        <v>1310.2147461928935</v>
      </c>
      <c r="K32" s="20" t="str">
        <f>IFERROR(VLOOKUP($A32,#REF!,2,FALSE),"")</f>
        <v/>
      </c>
      <c r="L32" s="20" t="str">
        <f>IFERROR(VLOOKUP($A32,#REF!,3,FALSE),"")</f>
        <v/>
      </c>
      <c r="M32" s="20" t="str">
        <f>IFERROR(VLOOKUP($A32,#REF!,4,FALSE),"")</f>
        <v/>
      </c>
      <c r="N32" s="20" t="str">
        <f>IFERROR(VLOOKUP($A32,#REF!,5,FALSE),"")</f>
        <v/>
      </c>
      <c r="O32" s="20" t="str">
        <f>IFERROR(VLOOKUP($A32,#REF!,6,FALSE),"")</f>
        <v/>
      </c>
      <c r="P32" s="20">
        <f t="shared" si="1"/>
        <v>0</v>
      </c>
      <c r="Q32" s="28">
        <f t="shared" si="2"/>
        <v>-1</v>
      </c>
      <c r="R32" s="31">
        <f t="shared" si="3"/>
        <v>1716662.6811413083</v>
      </c>
      <c r="S32" s="5"/>
    </row>
    <row r="33" spans="1:19" x14ac:dyDescent="0.25">
      <c r="A33">
        <v>9</v>
      </c>
      <c r="B33">
        <v>10</v>
      </c>
      <c r="C33" t="s">
        <v>0</v>
      </c>
      <c r="D33" s="5">
        <v>5</v>
      </c>
      <c r="E33" s="7">
        <f>VLOOKUP($A33,'2016'!$A$3:$H$138,4,FALSE)</f>
        <v>5.1552941176470615</v>
      </c>
      <c r="F33" s="7">
        <f>VLOOKUP($A33,'2016'!$A$3:$H$138,5,FALSE)</f>
        <v>176.18846763783887</v>
      </c>
      <c r="G33" s="7">
        <f>VLOOKUP($A33,'2016'!$A$3:$H$138,6,FALSE)</f>
        <v>572.09288689316213</v>
      </c>
      <c r="H33" s="7">
        <f>VLOOKUP($A33,'2016'!$A$3:$H$138,7,FALSE)</f>
        <v>308.24077070619086</v>
      </c>
      <c r="I33" s="7">
        <f>VLOOKUP($A33,'2016'!$A$3:$H$138,8,FALSE)</f>
        <v>81.182580645161153</v>
      </c>
      <c r="J33" s="7">
        <f t="shared" si="0"/>
        <v>1142.8600000000001</v>
      </c>
      <c r="K33" s="20" t="str">
        <f>IFERROR(VLOOKUP($A33,#REF!,2,FALSE),"")</f>
        <v/>
      </c>
      <c r="L33" s="20" t="str">
        <f>IFERROR(VLOOKUP($A33,#REF!,3,FALSE),"")</f>
        <v/>
      </c>
      <c r="M33" s="20" t="str">
        <f>IFERROR(VLOOKUP($A33,#REF!,4,FALSE),"")</f>
        <v/>
      </c>
      <c r="N33" s="20" t="str">
        <f>IFERROR(VLOOKUP($A33,#REF!,5,FALSE),"")</f>
        <v/>
      </c>
      <c r="O33" s="20" t="str">
        <f>IFERROR(VLOOKUP($A33,#REF!,6,FALSE),"")</f>
        <v/>
      </c>
      <c r="P33" s="20">
        <f t="shared" si="1"/>
        <v>0</v>
      </c>
      <c r="Q33" s="28">
        <f t="shared" si="2"/>
        <v>-1</v>
      </c>
      <c r="R33" s="31">
        <f t="shared" si="3"/>
        <v>1306128.9796000002</v>
      </c>
      <c r="S33" s="5"/>
    </row>
    <row r="34" spans="1:19" x14ac:dyDescent="0.25">
      <c r="A34">
        <v>11</v>
      </c>
      <c r="B34">
        <v>10</v>
      </c>
      <c r="C34" t="s">
        <v>0</v>
      </c>
      <c r="D34" s="5">
        <v>5</v>
      </c>
      <c r="E34" s="7">
        <f>VLOOKUP($A34,'2016'!$A$3:$H$138,4,FALSE)</f>
        <v>170.32674941830811</v>
      </c>
      <c r="F34" s="7">
        <f>VLOOKUP($A34,'2016'!$A$3:$H$138,5,FALSE)</f>
        <v>1422.0867305425918</v>
      </c>
      <c r="G34" s="7">
        <f>VLOOKUP($A34,'2016'!$A$3:$H$138,6,FALSE)</f>
        <v>3185.1401625117578</v>
      </c>
      <c r="H34" s="7">
        <f>VLOOKUP($A34,'2016'!$A$3:$H$138,7,FALSE)</f>
        <v>1893.3271890100827</v>
      </c>
      <c r="I34" s="7">
        <f>VLOOKUP($A34,'2016'!$A$3:$H$138,8,FALSE)</f>
        <v>530.76916851726025</v>
      </c>
      <c r="J34" s="7">
        <f t="shared" si="0"/>
        <v>7201.6500000000005</v>
      </c>
      <c r="K34" s="20" t="str">
        <f>IFERROR(VLOOKUP($A34,#REF!,2,FALSE),"")</f>
        <v/>
      </c>
      <c r="L34" s="20" t="str">
        <f>IFERROR(VLOOKUP($A34,#REF!,3,FALSE),"")</f>
        <v/>
      </c>
      <c r="M34" s="20" t="str">
        <f>IFERROR(VLOOKUP($A34,#REF!,4,FALSE),"")</f>
        <v/>
      </c>
      <c r="N34" s="20" t="str">
        <f>IFERROR(VLOOKUP($A34,#REF!,5,FALSE),"")</f>
        <v/>
      </c>
      <c r="O34" s="20" t="str">
        <f>IFERROR(VLOOKUP($A34,#REF!,6,FALSE),"")</f>
        <v/>
      </c>
      <c r="P34" s="20">
        <f t="shared" si="1"/>
        <v>0</v>
      </c>
      <c r="Q34" s="28">
        <f t="shared" si="2"/>
        <v>-1</v>
      </c>
      <c r="R34" s="31">
        <f t="shared" si="3"/>
        <v>51863762.722500011</v>
      </c>
      <c r="S34" s="5"/>
    </row>
    <row r="35" spans="1:19" x14ac:dyDescent="0.25">
      <c r="A35">
        <v>13</v>
      </c>
      <c r="B35">
        <v>10</v>
      </c>
      <c r="C35" t="s">
        <v>0</v>
      </c>
      <c r="D35" s="5">
        <v>5</v>
      </c>
      <c r="E35" s="7">
        <f>VLOOKUP($A35,'2016'!$A$3:$H$138,4,FALSE)</f>
        <v>161.53663793103448</v>
      </c>
      <c r="F35" s="7">
        <f>VLOOKUP($A35,'2016'!$A$3:$H$138,5,FALSE)</f>
        <v>1232.715820942751</v>
      </c>
      <c r="G35" s="7">
        <f>VLOOKUP($A35,'2016'!$A$3:$H$138,6,FALSE)</f>
        <v>2863.8941450630491</v>
      </c>
      <c r="H35" s="7">
        <f>VLOOKUP($A35,'2016'!$A$3:$H$138,7,FALSE)</f>
        <v>1550.9338724143392</v>
      </c>
      <c r="I35" s="7">
        <f>VLOOKUP($A35,'2016'!$A$3:$H$138,8,FALSE)</f>
        <v>491.74952364882728</v>
      </c>
      <c r="J35" s="7">
        <f t="shared" si="0"/>
        <v>6300.8300000000008</v>
      </c>
      <c r="K35" s="20" t="str">
        <f>IFERROR(VLOOKUP($A35,#REF!,2,FALSE),"")</f>
        <v/>
      </c>
      <c r="L35" s="20" t="str">
        <f>IFERROR(VLOOKUP($A35,#REF!,3,FALSE),"")</f>
        <v/>
      </c>
      <c r="M35" s="20" t="str">
        <f>IFERROR(VLOOKUP($A35,#REF!,4,FALSE),"")</f>
        <v/>
      </c>
      <c r="N35" s="20" t="str">
        <f>IFERROR(VLOOKUP($A35,#REF!,5,FALSE),"")</f>
        <v/>
      </c>
      <c r="O35" s="20" t="str">
        <f>IFERROR(VLOOKUP($A35,#REF!,6,FALSE),"")</f>
        <v/>
      </c>
      <c r="P35" s="20">
        <f t="shared" si="1"/>
        <v>0</v>
      </c>
      <c r="Q35" s="28">
        <f t="shared" si="2"/>
        <v>-1</v>
      </c>
      <c r="R35" s="31">
        <f t="shared" si="3"/>
        <v>39700458.688900009</v>
      </c>
      <c r="S35" s="5"/>
    </row>
    <row r="36" spans="1:19" x14ac:dyDescent="0.25">
      <c r="A36">
        <v>14</v>
      </c>
      <c r="B36">
        <v>10</v>
      </c>
      <c r="C36" t="s">
        <v>0</v>
      </c>
      <c r="D36" s="5">
        <v>5</v>
      </c>
      <c r="E36" s="7">
        <f>VLOOKUP($A36,'2016'!$A$3:$H$138,4,FALSE)</f>
        <v>2.3863636363636362</v>
      </c>
      <c r="F36" s="7">
        <f>VLOOKUP($A36,'2016'!$A$3:$H$138,5,FALSE)</f>
        <v>67.425693101225008</v>
      </c>
      <c r="G36" s="7">
        <f>VLOOKUP($A36,'2016'!$A$3:$H$138,6,FALSE)</f>
        <v>109.18794326241135</v>
      </c>
      <c r="H36" s="7">
        <f>VLOOKUP($A36,'2016'!$A$3:$H$138,7,FALSE)</f>
        <v>50</v>
      </c>
      <c r="I36" s="7">
        <f>VLOOKUP($A36,'2016'!$A$3:$H$138,8,FALSE)</f>
        <v>0</v>
      </c>
      <c r="J36" s="7">
        <f t="shared" si="0"/>
        <v>229</v>
      </c>
      <c r="K36" s="20" t="str">
        <f>IFERROR(VLOOKUP($A36,#REF!,2,FALSE),"")</f>
        <v/>
      </c>
      <c r="L36" s="20" t="str">
        <f>IFERROR(VLOOKUP($A36,#REF!,3,FALSE),"")</f>
        <v/>
      </c>
      <c r="M36" s="20" t="str">
        <f>IFERROR(VLOOKUP($A36,#REF!,4,FALSE),"")</f>
        <v/>
      </c>
      <c r="N36" s="20" t="str">
        <f>IFERROR(VLOOKUP($A36,#REF!,5,FALSE),"")</f>
        <v/>
      </c>
      <c r="O36" s="20" t="str">
        <f>IFERROR(VLOOKUP($A36,#REF!,6,FALSE),"")</f>
        <v/>
      </c>
      <c r="P36" s="20">
        <f t="shared" si="1"/>
        <v>0</v>
      </c>
      <c r="Q36" s="28">
        <f t="shared" si="2"/>
        <v>-1</v>
      </c>
      <c r="R36" s="31">
        <f t="shared" si="3"/>
        <v>52441</v>
      </c>
      <c r="S36" s="5"/>
    </row>
    <row r="37" spans="1:19" x14ac:dyDescent="0.25">
      <c r="A37">
        <v>18</v>
      </c>
      <c r="B37">
        <v>10</v>
      </c>
      <c r="C37" t="s">
        <v>0</v>
      </c>
      <c r="D37" s="5">
        <v>5</v>
      </c>
      <c r="E37" s="7">
        <f>VLOOKUP($A37,'2016'!$A$3:$H$138,4,FALSE)</f>
        <v>0</v>
      </c>
      <c r="F37" s="7">
        <f>VLOOKUP($A37,'2016'!$A$3:$H$138,5,FALSE)</f>
        <v>20</v>
      </c>
      <c r="G37" s="7">
        <f>VLOOKUP($A37,'2016'!$A$3:$H$138,6,FALSE)</f>
        <v>65.999999999999758</v>
      </c>
      <c r="H37" s="7">
        <f>VLOOKUP($A37,'2016'!$A$3:$H$138,7,FALSE)</f>
        <v>28.000000000000242</v>
      </c>
      <c r="I37" s="7">
        <f>VLOOKUP($A37,'2016'!$A$3:$H$138,8,FALSE)</f>
        <v>0</v>
      </c>
      <c r="J37" s="7">
        <f t="shared" si="0"/>
        <v>114</v>
      </c>
      <c r="K37" s="20" t="str">
        <f>IFERROR(VLOOKUP($A37,#REF!,2,FALSE),"")</f>
        <v/>
      </c>
      <c r="L37" s="20" t="str">
        <f>IFERROR(VLOOKUP($A37,#REF!,3,FALSE),"")</f>
        <v/>
      </c>
      <c r="M37" s="20" t="str">
        <f>IFERROR(VLOOKUP($A37,#REF!,4,FALSE),"")</f>
        <v/>
      </c>
      <c r="N37" s="20" t="str">
        <f>IFERROR(VLOOKUP($A37,#REF!,5,FALSE),"")</f>
        <v/>
      </c>
      <c r="O37" s="20" t="str">
        <f>IFERROR(VLOOKUP($A37,#REF!,6,FALSE),"")</f>
        <v/>
      </c>
      <c r="P37" s="20">
        <f t="shared" si="1"/>
        <v>0</v>
      </c>
      <c r="Q37" s="28">
        <f t="shared" si="2"/>
        <v>-1</v>
      </c>
      <c r="R37" s="31">
        <f t="shared" si="3"/>
        <v>12996</v>
      </c>
      <c r="S37" s="5"/>
    </row>
    <row r="38" spans="1:19" x14ac:dyDescent="0.25">
      <c r="A38">
        <v>25</v>
      </c>
      <c r="B38">
        <v>10</v>
      </c>
      <c r="C38" t="s">
        <v>0</v>
      </c>
      <c r="D38" s="5">
        <v>5</v>
      </c>
      <c r="E38" s="7">
        <f>VLOOKUP($A38,'2016'!$A$3:$H$138,4,FALSE)</f>
        <v>0</v>
      </c>
      <c r="F38" s="7">
        <f>VLOOKUP($A38,'2016'!$A$3:$H$138,5,FALSE)</f>
        <v>49.15094339622641</v>
      </c>
      <c r="G38" s="7">
        <f>VLOOKUP($A38,'2016'!$A$3:$H$138,6,FALSE)</f>
        <v>216.82489693990772</v>
      </c>
      <c r="H38" s="7">
        <f>VLOOKUP($A38,'2016'!$A$3:$H$138,7,FALSE)</f>
        <v>79.082983193277698</v>
      </c>
      <c r="I38" s="7">
        <f>VLOOKUP($A38,'2016'!$A$3:$H$138,8,FALSE)</f>
        <v>0.94117647058817866</v>
      </c>
      <c r="J38" s="7">
        <f t="shared" si="0"/>
        <v>346</v>
      </c>
      <c r="K38" s="20" t="str">
        <f>IFERROR(VLOOKUP($A38,#REF!,2,FALSE),"")</f>
        <v/>
      </c>
      <c r="L38" s="20" t="str">
        <f>IFERROR(VLOOKUP($A38,#REF!,3,FALSE),"")</f>
        <v/>
      </c>
      <c r="M38" s="20" t="str">
        <f>IFERROR(VLOOKUP($A38,#REF!,4,FALSE),"")</f>
        <v/>
      </c>
      <c r="N38" s="20" t="str">
        <f>IFERROR(VLOOKUP($A38,#REF!,5,FALSE),"")</f>
        <v/>
      </c>
      <c r="O38" s="20" t="str">
        <f>IFERROR(VLOOKUP($A38,#REF!,6,FALSE),"")</f>
        <v/>
      </c>
      <c r="P38" s="20">
        <f t="shared" si="1"/>
        <v>0</v>
      </c>
      <c r="Q38" s="28">
        <f t="shared" si="2"/>
        <v>-1</v>
      </c>
      <c r="R38" s="31">
        <f t="shared" si="3"/>
        <v>119716</v>
      </c>
      <c r="S38" s="5"/>
    </row>
    <row r="39" spans="1:19" x14ac:dyDescent="0.25">
      <c r="A39">
        <v>27</v>
      </c>
      <c r="B39">
        <v>10</v>
      </c>
      <c r="C39" t="s">
        <v>0</v>
      </c>
      <c r="D39" s="5">
        <v>5</v>
      </c>
      <c r="E39" s="7">
        <f>VLOOKUP($A39,'2016'!$A$3:$H$138,4,FALSE)</f>
        <v>8.789775171065493</v>
      </c>
      <c r="F39" s="7">
        <f>VLOOKUP($A39,'2016'!$A$3:$H$138,5,FALSE)</f>
        <v>219.3025325212422</v>
      </c>
      <c r="G39" s="7">
        <f>VLOOKUP($A39,'2016'!$A$3:$H$138,6,FALSE)</f>
        <v>511.62170649208866</v>
      </c>
      <c r="H39" s="7">
        <f>VLOOKUP($A39,'2016'!$A$3:$H$138,7,FALSE)</f>
        <v>276.04434295846113</v>
      </c>
      <c r="I39" s="7">
        <f>VLOOKUP($A39,'2016'!$A$3:$H$138,8,FALSE)</f>
        <v>51.26164285714249</v>
      </c>
      <c r="J39" s="7">
        <f t="shared" si="0"/>
        <v>1067.02</v>
      </c>
      <c r="K39" s="20" t="str">
        <f>IFERROR(VLOOKUP($A39,#REF!,2,FALSE),"")</f>
        <v/>
      </c>
      <c r="L39" s="20" t="str">
        <f>IFERROR(VLOOKUP($A39,#REF!,3,FALSE),"")</f>
        <v/>
      </c>
      <c r="M39" s="20" t="str">
        <f>IFERROR(VLOOKUP($A39,#REF!,4,FALSE),"")</f>
        <v/>
      </c>
      <c r="N39" s="20" t="str">
        <f>IFERROR(VLOOKUP($A39,#REF!,5,FALSE),"")</f>
        <v/>
      </c>
      <c r="O39" s="20" t="str">
        <f>IFERROR(VLOOKUP($A39,#REF!,6,FALSE),"")</f>
        <v/>
      </c>
      <c r="P39" s="20">
        <f t="shared" si="1"/>
        <v>0</v>
      </c>
      <c r="Q39" s="28">
        <f t="shared" si="2"/>
        <v>-1</v>
      </c>
      <c r="R39" s="31">
        <f t="shared" si="3"/>
        <v>1138531.6804</v>
      </c>
      <c r="S39" s="5"/>
    </row>
    <row r="40" spans="1:19" x14ac:dyDescent="0.25">
      <c r="A40">
        <v>28</v>
      </c>
      <c r="B40">
        <v>10</v>
      </c>
      <c r="C40" t="s">
        <v>0</v>
      </c>
      <c r="D40" s="5">
        <v>5</v>
      </c>
      <c r="E40" s="7">
        <f>VLOOKUP($A40,'2016'!$A$3:$H$138,4,FALSE)</f>
        <v>18.127058823529417</v>
      </c>
      <c r="F40" s="7">
        <f>VLOOKUP($A40,'2016'!$A$3:$H$138,5,FALSE)</f>
        <v>300.64873065015479</v>
      </c>
      <c r="G40" s="7">
        <f>VLOOKUP($A40,'2016'!$A$3:$H$138,6,FALSE)</f>
        <v>459.79690617848843</v>
      </c>
      <c r="H40" s="7">
        <f>VLOOKUP($A40,'2016'!$A$3:$H$138,7,FALSE)</f>
        <v>287.22730434782784</v>
      </c>
      <c r="I40" s="7">
        <f>VLOOKUP($A40,'2016'!$A$3:$H$138,8,FALSE)</f>
        <v>100.56999999999952</v>
      </c>
      <c r="J40" s="7">
        <f t="shared" si="0"/>
        <v>1166.3699999999999</v>
      </c>
      <c r="K40" s="20" t="str">
        <f>IFERROR(VLOOKUP($A40,#REF!,2,FALSE),"")</f>
        <v/>
      </c>
      <c r="L40" s="20" t="str">
        <f>IFERROR(VLOOKUP($A40,#REF!,3,FALSE),"")</f>
        <v/>
      </c>
      <c r="M40" s="20" t="str">
        <f>IFERROR(VLOOKUP($A40,#REF!,4,FALSE),"")</f>
        <v/>
      </c>
      <c r="N40" s="20" t="str">
        <f>IFERROR(VLOOKUP($A40,#REF!,5,FALSE),"")</f>
        <v/>
      </c>
      <c r="O40" s="20" t="str">
        <f>IFERROR(VLOOKUP($A40,#REF!,6,FALSE),"")</f>
        <v/>
      </c>
      <c r="P40" s="20">
        <f t="shared" si="1"/>
        <v>0</v>
      </c>
      <c r="Q40" s="28">
        <f t="shared" si="2"/>
        <v>-1</v>
      </c>
      <c r="R40" s="31">
        <f t="shared" si="3"/>
        <v>1360418.9768999997</v>
      </c>
      <c r="S40" s="5"/>
    </row>
    <row r="41" spans="1:19" x14ac:dyDescent="0.25">
      <c r="A41">
        <v>30</v>
      </c>
      <c r="B41">
        <v>10</v>
      </c>
      <c r="C41" t="s">
        <v>0</v>
      </c>
      <c r="D41" s="5">
        <v>5</v>
      </c>
      <c r="E41" s="7">
        <f>VLOOKUP($A41,'2016'!$A$3:$H$138,4,FALSE)</f>
        <v>56.728661078549734</v>
      </c>
      <c r="F41" s="7">
        <f>VLOOKUP($A41,'2016'!$A$3:$H$138,5,FALSE)</f>
        <v>963.55981529939174</v>
      </c>
      <c r="G41" s="7">
        <f>VLOOKUP($A41,'2016'!$A$3:$H$138,6,FALSE)</f>
        <v>2192.2231445384541</v>
      </c>
      <c r="H41" s="7">
        <f>VLOOKUP($A41,'2016'!$A$3:$H$138,7,FALSE)</f>
        <v>1343.5618155318136</v>
      </c>
      <c r="I41" s="7">
        <f>VLOOKUP($A41,'2016'!$A$3:$H$138,8,FALSE)</f>
        <v>582.72301594605153</v>
      </c>
      <c r="J41" s="7">
        <f t="shared" si="0"/>
        <v>5138.796452394261</v>
      </c>
      <c r="K41" s="20" t="str">
        <f>IFERROR(VLOOKUP($A41,#REF!,2,FALSE),"")</f>
        <v/>
      </c>
      <c r="L41" s="20" t="str">
        <f>IFERROR(VLOOKUP($A41,#REF!,3,FALSE),"")</f>
        <v/>
      </c>
      <c r="M41" s="20" t="str">
        <f>IFERROR(VLOOKUP($A41,#REF!,4,FALSE),"")</f>
        <v/>
      </c>
      <c r="N41" s="20" t="str">
        <f>IFERROR(VLOOKUP($A41,#REF!,5,FALSE),"")</f>
        <v/>
      </c>
      <c r="O41" s="20" t="str">
        <f>IFERROR(VLOOKUP($A41,#REF!,6,FALSE),"")</f>
        <v/>
      </c>
      <c r="P41" s="20">
        <f t="shared" si="1"/>
        <v>0</v>
      </c>
      <c r="Q41" s="28">
        <f t="shared" si="2"/>
        <v>-1</v>
      </c>
      <c r="R41" s="31">
        <f t="shared" si="3"/>
        <v>26407228.979139842</v>
      </c>
      <c r="S41" s="5"/>
    </row>
    <row r="42" spans="1:19" x14ac:dyDescent="0.25">
      <c r="A42">
        <v>31</v>
      </c>
      <c r="B42">
        <v>10</v>
      </c>
      <c r="C42" t="s">
        <v>0</v>
      </c>
      <c r="D42" s="5">
        <v>5</v>
      </c>
      <c r="E42" s="7">
        <f>VLOOKUP($A42,'2016'!$A$3:$H$138,4,FALSE)</f>
        <v>6.9596296296296316</v>
      </c>
      <c r="F42" s="7">
        <f>VLOOKUP($A42,'2016'!$A$3:$H$138,5,FALSE)</f>
        <v>168.46972520908</v>
      </c>
      <c r="G42" s="7">
        <f>VLOOKUP($A42,'2016'!$A$3:$H$138,6,FALSE)</f>
        <v>59.958457661289764</v>
      </c>
      <c r="H42" s="7">
        <f>VLOOKUP($A42,'2016'!$A$3:$H$138,7,FALSE)</f>
        <v>129.57089717742002</v>
      </c>
      <c r="I42" s="7">
        <f>VLOOKUP($A42,'2016'!$A$3:$H$138,8,FALSE)</f>
        <v>0.20129032258054869</v>
      </c>
      <c r="J42" s="7">
        <f t="shared" si="0"/>
        <v>365.15999999999997</v>
      </c>
      <c r="K42" s="20" t="str">
        <f>IFERROR(VLOOKUP($A42,#REF!,2,FALSE),"")</f>
        <v/>
      </c>
      <c r="L42" s="20" t="str">
        <f>IFERROR(VLOOKUP($A42,#REF!,3,FALSE),"")</f>
        <v/>
      </c>
      <c r="M42" s="20" t="str">
        <f>IFERROR(VLOOKUP($A42,#REF!,4,FALSE),"")</f>
        <v/>
      </c>
      <c r="N42" s="20" t="str">
        <f>IFERROR(VLOOKUP($A42,#REF!,5,FALSE),"")</f>
        <v/>
      </c>
      <c r="O42" s="20" t="str">
        <f>IFERROR(VLOOKUP($A42,#REF!,6,FALSE),"")</f>
        <v/>
      </c>
      <c r="P42" s="20">
        <f t="shared" si="1"/>
        <v>0</v>
      </c>
      <c r="Q42" s="28">
        <f t="shared" si="2"/>
        <v>-1</v>
      </c>
      <c r="R42" s="31">
        <f t="shared" si="3"/>
        <v>133341.82559999998</v>
      </c>
      <c r="S42" s="5"/>
    </row>
    <row r="43" spans="1:19" x14ac:dyDescent="0.25">
      <c r="A43">
        <v>35</v>
      </c>
      <c r="B43">
        <v>10</v>
      </c>
      <c r="C43" t="s">
        <v>0</v>
      </c>
      <c r="D43" s="5">
        <v>5</v>
      </c>
      <c r="E43" s="7">
        <f>VLOOKUP($A43,'2016'!$A$3:$H$138,4,FALSE)</f>
        <v>23.456956521739116</v>
      </c>
      <c r="F43" s="7">
        <f>VLOOKUP($A43,'2016'!$A$3:$H$138,5,FALSE)</f>
        <v>254.4661204013378</v>
      </c>
      <c r="G43" s="7">
        <f>VLOOKUP($A43,'2016'!$A$3:$H$138,6,FALSE)</f>
        <v>614.11868444055824</v>
      </c>
      <c r="H43" s="7">
        <f>VLOOKUP($A43,'2016'!$A$3:$H$138,7,FALSE)</f>
        <v>474.07203173981401</v>
      </c>
      <c r="I43" s="7">
        <f>VLOOKUP($A43,'2016'!$A$3:$H$138,8,FALSE)</f>
        <v>190.51620689655104</v>
      </c>
      <c r="J43" s="7">
        <f t="shared" si="0"/>
        <v>1556.63</v>
      </c>
      <c r="K43" s="20" t="str">
        <f>IFERROR(VLOOKUP($A43,#REF!,2,FALSE),"")</f>
        <v/>
      </c>
      <c r="L43" s="20" t="str">
        <f>IFERROR(VLOOKUP($A43,#REF!,3,FALSE),"")</f>
        <v/>
      </c>
      <c r="M43" s="20" t="str">
        <f>IFERROR(VLOOKUP($A43,#REF!,4,FALSE),"")</f>
        <v/>
      </c>
      <c r="N43" s="20" t="str">
        <f>IFERROR(VLOOKUP($A43,#REF!,5,FALSE),"")</f>
        <v/>
      </c>
      <c r="O43" s="20" t="str">
        <f>IFERROR(VLOOKUP($A43,#REF!,6,FALSE),"")</f>
        <v/>
      </c>
      <c r="P43" s="20">
        <f t="shared" si="1"/>
        <v>0</v>
      </c>
      <c r="Q43" s="28">
        <f t="shared" si="2"/>
        <v>-1</v>
      </c>
      <c r="R43" s="31">
        <f t="shared" si="3"/>
        <v>2423096.9569000006</v>
      </c>
      <c r="S43" s="5"/>
    </row>
    <row r="44" spans="1:19" x14ac:dyDescent="0.25">
      <c r="A44">
        <v>41</v>
      </c>
      <c r="B44">
        <v>10</v>
      </c>
      <c r="C44" t="s">
        <v>0</v>
      </c>
      <c r="D44" s="5">
        <v>5</v>
      </c>
      <c r="E44" s="7">
        <f>VLOOKUP($A44,'2016'!$A$3:$H$138,4,FALSE)</f>
        <v>44.040083333333335</v>
      </c>
      <c r="F44" s="7">
        <f>VLOOKUP($A44,'2016'!$A$3:$H$138,5,FALSE)</f>
        <v>973.19463157349924</v>
      </c>
      <c r="G44" s="7">
        <f>VLOOKUP($A44,'2016'!$A$3:$H$138,6,FALSE)</f>
        <v>2056.0790682586053</v>
      </c>
      <c r="H44" s="7">
        <f>VLOOKUP($A44,'2016'!$A$3:$H$138,7,FALSE)</f>
        <v>1118.4643070989091</v>
      </c>
      <c r="I44" s="7">
        <f>VLOOKUP($A44,'2016'!$A$3:$H$138,8,FALSE)</f>
        <v>507.86190973565311</v>
      </c>
      <c r="J44" s="7">
        <f t="shared" si="0"/>
        <v>4699.6399999999994</v>
      </c>
      <c r="K44" s="20" t="str">
        <f>IFERROR(VLOOKUP($A44,#REF!,2,FALSE),"")</f>
        <v/>
      </c>
      <c r="L44" s="20" t="str">
        <f>IFERROR(VLOOKUP($A44,#REF!,3,FALSE),"")</f>
        <v/>
      </c>
      <c r="M44" s="20" t="str">
        <f>IFERROR(VLOOKUP($A44,#REF!,4,FALSE),"")</f>
        <v/>
      </c>
      <c r="N44" s="20" t="str">
        <f>IFERROR(VLOOKUP($A44,#REF!,5,FALSE),"")</f>
        <v/>
      </c>
      <c r="O44" s="20" t="str">
        <f>IFERROR(VLOOKUP($A44,#REF!,6,FALSE),"")</f>
        <v/>
      </c>
      <c r="P44" s="20">
        <f t="shared" si="1"/>
        <v>0</v>
      </c>
      <c r="Q44" s="28">
        <f t="shared" si="2"/>
        <v>-1</v>
      </c>
      <c r="R44" s="31">
        <f t="shared" si="3"/>
        <v>22086616.129599996</v>
      </c>
      <c r="S44" s="5"/>
    </row>
    <row r="45" spans="1:19" x14ac:dyDescent="0.25">
      <c r="A45">
        <v>44</v>
      </c>
      <c r="B45">
        <v>10</v>
      </c>
      <c r="C45" t="s">
        <v>0</v>
      </c>
      <c r="D45" s="5">
        <v>5</v>
      </c>
      <c r="E45" s="7">
        <f>VLOOKUP($A45,'2016'!$A$3:$H$138,4,FALSE)</f>
        <v>56.260999999999981</v>
      </c>
      <c r="F45" s="7">
        <f>VLOOKUP($A45,'2016'!$A$3:$H$138,5,FALSE)</f>
        <v>812.16124424506165</v>
      </c>
      <c r="G45" s="7">
        <f>VLOOKUP($A45,'2016'!$A$3:$H$138,6,FALSE)</f>
        <v>1777.6127620635466</v>
      </c>
      <c r="H45" s="7">
        <f>VLOOKUP($A45,'2016'!$A$3:$H$138,7,FALSE)</f>
        <v>998.00520142086179</v>
      </c>
      <c r="I45" s="7">
        <f>VLOOKUP($A45,'2016'!$A$3:$H$138,8,FALSE)</f>
        <v>343.86979227053058</v>
      </c>
      <c r="J45" s="7">
        <f t="shared" si="0"/>
        <v>3987.9100000000003</v>
      </c>
      <c r="K45" s="20" t="str">
        <f>IFERROR(VLOOKUP($A45,#REF!,2,FALSE),"")</f>
        <v/>
      </c>
      <c r="L45" s="20" t="str">
        <f>IFERROR(VLOOKUP($A45,#REF!,3,FALSE),"")</f>
        <v/>
      </c>
      <c r="M45" s="20" t="str">
        <f>IFERROR(VLOOKUP($A45,#REF!,4,FALSE),"")</f>
        <v/>
      </c>
      <c r="N45" s="20" t="str">
        <f>IFERROR(VLOOKUP($A45,#REF!,5,FALSE),"")</f>
        <v/>
      </c>
      <c r="O45" s="20" t="str">
        <f>IFERROR(VLOOKUP($A45,#REF!,6,FALSE),"")</f>
        <v/>
      </c>
      <c r="P45" s="20">
        <f t="shared" si="1"/>
        <v>0</v>
      </c>
      <c r="Q45" s="28">
        <f t="shared" si="2"/>
        <v>-1</v>
      </c>
      <c r="R45" s="31">
        <f t="shared" si="3"/>
        <v>15903426.168100003</v>
      </c>
      <c r="S45" s="5"/>
    </row>
    <row r="46" spans="1:19" x14ac:dyDescent="0.25">
      <c r="A46">
        <v>83</v>
      </c>
      <c r="B46">
        <v>10</v>
      </c>
      <c r="C46" t="s">
        <v>0</v>
      </c>
      <c r="D46" s="5">
        <v>5</v>
      </c>
      <c r="E46" s="7">
        <f>VLOOKUP($A46,'2016'!$A$3:$H$138,4,FALSE)</f>
        <v>0</v>
      </c>
      <c r="F46" s="7">
        <f>VLOOKUP($A46,'2016'!$A$3:$H$138,5,FALSE)</f>
        <v>39</v>
      </c>
      <c r="G46" s="7">
        <f>VLOOKUP($A46,'2016'!$A$3:$H$138,6,FALSE)</f>
        <v>85.66406249999973</v>
      </c>
      <c r="H46" s="7">
        <f>VLOOKUP($A46,'2016'!$A$3:$H$138,7,FALSE)</f>
        <v>44.64062500000027</v>
      </c>
      <c r="I46" s="7">
        <f>VLOOKUP($A46,'2016'!$A$3:$H$138,8,FALSE)</f>
        <v>0</v>
      </c>
      <c r="J46" s="7">
        <f t="shared" si="0"/>
        <v>169.3046875</v>
      </c>
      <c r="K46" s="20" t="str">
        <f>IFERROR(VLOOKUP($A46,#REF!,2,FALSE),"")</f>
        <v/>
      </c>
      <c r="L46" s="20" t="str">
        <f>IFERROR(VLOOKUP($A46,#REF!,3,FALSE),"")</f>
        <v/>
      </c>
      <c r="M46" s="20" t="str">
        <f>IFERROR(VLOOKUP($A46,#REF!,4,FALSE),"")</f>
        <v/>
      </c>
      <c r="N46" s="20" t="str">
        <f>IFERROR(VLOOKUP($A46,#REF!,5,FALSE),"")</f>
        <v/>
      </c>
      <c r="O46" s="20" t="str">
        <f>IFERROR(VLOOKUP($A46,#REF!,6,FALSE),"")</f>
        <v/>
      </c>
      <c r="P46" s="20">
        <f t="shared" si="1"/>
        <v>0</v>
      </c>
      <c r="Q46" s="28">
        <f t="shared" si="2"/>
        <v>-1</v>
      </c>
      <c r="R46" s="31">
        <f t="shared" si="3"/>
        <v>28664.077209472656</v>
      </c>
      <c r="S46" s="5"/>
    </row>
    <row r="47" spans="1:19" x14ac:dyDescent="0.25">
      <c r="A47">
        <v>84</v>
      </c>
      <c r="B47">
        <v>10</v>
      </c>
      <c r="C47" t="s">
        <v>0</v>
      </c>
      <c r="D47" s="5">
        <v>5</v>
      </c>
      <c r="E47" s="7">
        <f>VLOOKUP($A47,'2016'!$A$3:$H$138,4,FALSE)</f>
        <v>0</v>
      </c>
      <c r="F47" s="7">
        <f>VLOOKUP($A47,'2016'!$A$3:$H$138,5,FALSE)</f>
        <v>41</v>
      </c>
      <c r="G47" s="7">
        <f>VLOOKUP($A47,'2016'!$A$3:$H$138,6,FALSE)</f>
        <v>60.681037632444117</v>
      </c>
      <c r="H47" s="7">
        <f>VLOOKUP($A47,'2016'!$A$3:$H$138,7,FALSE)</f>
        <v>34.579466569236551</v>
      </c>
      <c r="I47" s="7">
        <f>VLOOKUP($A47,'2016'!$A$3:$H$138,8,FALSE)</f>
        <v>0</v>
      </c>
      <c r="J47" s="7">
        <f t="shared" si="0"/>
        <v>136.26050420168067</v>
      </c>
      <c r="K47" s="20" t="str">
        <f>IFERROR(VLOOKUP($A47,#REF!,2,FALSE),"")</f>
        <v/>
      </c>
      <c r="L47" s="20" t="str">
        <f>IFERROR(VLOOKUP($A47,#REF!,3,FALSE),"")</f>
        <v/>
      </c>
      <c r="M47" s="20" t="str">
        <f>IFERROR(VLOOKUP($A47,#REF!,4,FALSE),"")</f>
        <v/>
      </c>
      <c r="N47" s="20" t="str">
        <f>IFERROR(VLOOKUP($A47,#REF!,5,FALSE),"")</f>
        <v/>
      </c>
      <c r="O47" s="20" t="str">
        <f>IFERROR(VLOOKUP($A47,#REF!,6,FALSE),"")</f>
        <v/>
      </c>
      <c r="P47" s="20">
        <f t="shared" si="1"/>
        <v>0</v>
      </c>
      <c r="Q47" s="28">
        <f t="shared" si="2"/>
        <v>-1</v>
      </c>
      <c r="R47" s="31">
        <f t="shared" si="3"/>
        <v>18566.925005296238</v>
      </c>
      <c r="S47" s="5"/>
    </row>
    <row r="48" spans="1:19" x14ac:dyDescent="0.25">
      <c r="A48">
        <v>88</v>
      </c>
      <c r="B48">
        <v>10</v>
      </c>
      <c r="C48" t="s">
        <v>0</v>
      </c>
      <c r="D48" s="5">
        <v>5</v>
      </c>
      <c r="E48" s="7">
        <f>VLOOKUP($A48,'2016'!$A$3:$H$138,4,FALSE)</f>
        <v>1.1111111111111112</v>
      </c>
      <c r="F48" s="7">
        <f>VLOOKUP($A48,'2016'!$A$3:$H$138,5,FALSE)</f>
        <v>79.388888888888886</v>
      </c>
      <c r="G48" s="7">
        <f>VLOOKUP($A48,'2016'!$A$3:$H$138,6,FALSE)</f>
        <v>123.54054054054012</v>
      </c>
      <c r="H48" s="7">
        <f>VLOOKUP($A48,'2016'!$A$3:$H$138,7,FALSE)</f>
        <v>83.916666666667183</v>
      </c>
      <c r="I48" s="7">
        <f>VLOOKUP($A48,'2016'!$A$3:$H$138,8,FALSE)</f>
        <v>38.556306306306205</v>
      </c>
      <c r="J48" s="7">
        <f t="shared" si="0"/>
        <v>326.51351351351354</v>
      </c>
      <c r="K48" s="20" t="str">
        <f>IFERROR(VLOOKUP($A48,#REF!,2,FALSE),"")</f>
        <v/>
      </c>
      <c r="L48" s="20" t="str">
        <f>IFERROR(VLOOKUP($A48,#REF!,3,FALSE),"")</f>
        <v/>
      </c>
      <c r="M48" s="20" t="str">
        <f>IFERROR(VLOOKUP($A48,#REF!,4,FALSE),"")</f>
        <v/>
      </c>
      <c r="N48" s="20" t="str">
        <f>IFERROR(VLOOKUP($A48,#REF!,5,FALSE),"")</f>
        <v/>
      </c>
      <c r="O48" s="20" t="str">
        <f>IFERROR(VLOOKUP($A48,#REF!,6,FALSE),"")</f>
        <v/>
      </c>
      <c r="P48" s="20">
        <f t="shared" si="1"/>
        <v>0</v>
      </c>
      <c r="Q48" s="28">
        <f t="shared" si="2"/>
        <v>-1</v>
      </c>
      <c r="R48" s="31">
        <f t="shared" si="3"/>
        <v>106611.07450693939</v>
      </c>
      <c r="S48" s="5"/>
    </row>
    <row r="49" spans="1:19" x14ac:dyDescent="0.25">
      <c r="A49">
        <v>101</v>
      </c>
      <c r="B49">
        <v>10</v>
      </c>
      <c r="C49" t="s">
        <v>0</v>
      </c>
      <c r="D49" s="5">
        <v>5</v>
      </c>
      <c r="E49" s="7">
        <f>VLOOKUP($A49,'2016'!$A$3:$H$138,4,FALSE)</f>
        <v>36.427533577533588</v>
      </c>
      <c r="F49" s="7">
        <f>VLOOKUP($A49,'2016'!$A$3:$H$138,5,FALSE)</f>
        <v>485.09649594807354</v>
      </c>
      <c r="G49" s="7">
        <f>VLOOKUP($A49,'2016'!$A$3:$H$138,6,FALSE)</f>
        <v>1085.9374880942792</v>
      </c>
      <c r="H49" s="7">
        <f>VLOOKUP($A49,'2016'!$A$3:$H$138,7,FALSE)</f>
        <v>586.56217257419087</v>
      </c>
      <c r="I49" s="7">
        <f>VLOOKUP($A49,'2016'!$A$3:$H$138,8,FALSE)</f>
        <v>216.09673815632721</v>
      </c>
      <c r="J49" s="7">
        <f t="shared" si="0"/>
        <v>2410.1204283504044</v>
      </c>
      <c r="K49" s="20" t="str">
        <f>IFERROR(VLOOKUP($A49,#REF!,2,FALSE),"")</f>
        <v/>
      </c>
      <c r="L49" s="20" t="str">
        <f>IFERROR(VLOOKUP($A49,#REF!,3,FALSE),"")</f>
        <v/>
      </c>
      <c r="M49" s="20" t="str">
        <f>IFERROR(VLOOKUP($A49,#REF!,4,FALSE),"")</f>
        <v/>
      </c>
      <c r="N49" s="20" t="str">
        <f>IFERROR(VLOOKUP($A49,#REF!,5,FALSE),"")</f>
        <v/>
      </c>
      <c r="O49" s="20" t="str">
        <f>IFERROR(VLOOKUP($A49,#REF!,6,FALSE),"")</f>
        <v/>
      </c>
      <c r="P49" s="20">
        <f t="shared" si="1"/>
        <v>0</v>
      </c>
      <c r="Q49" s="28">
        <f t="shared" si="2"/>
        <v>-1</v>
      </c>
      <c r="R49" s="31">
        <f t="shared" si="3"/>
        <v>5808680.4791519362</v>
      </c>
      <c r="S49" s="5"/>
    </row>
    <row r="50" spans="1:19" x14ac:dyDescent="0.25">
      <c r="A50">
        <v>105</v>
      </c>
      <c r="B50">
        <v>10</v>
      </c>
      <c r="C50" t="s">
        <v>0</v>
      </c>
      <c r="D50" s="5">
        <v>5</v>
      </c>
      <c r="E50" s="7">
        <f>VLOOKUP($A50,'2016'!$A$3:$H$138,4,FALSE)</f>
        <v>26.999765291607392</v>
      </c>
      <c r="F50" s="7">
        <f>VLOOKUP($A50,'2016'!$A$3:$H$138,5,FALSE)</f>
        <v>257.41255469295299</v>
      </c>
      <c r="G50" s="7">
        <f>VLOOKUP($A50,'2016'!$A$3:$H$138,6,FALSE)</f>
        <v>523.23020419739009</v>
      </c>
      <c r="H50" s="7">
        <f>VLOOKUP($A50,'2016'!$A$3:$H$138,7,FALSE)</f>
        <v>241.49221378069501</v>
      </c>
      <c r="I50" s="7">
        <f>VLOOKUP($A50,'2016'!$A$3:$H$138,8,FALSE)</f>
        <v>79.992000626566025</v>
      </c>
      <c r="J50" s="7">
        <f t="shared" si="0"/>
        <v>1129.1267385892115</v>
      </c>
      <c r="K50" s="20" t="str">
        <f>IFERROR(VLOOKUP($A50,#REF!,2,FALSE),"")</f>
        <v/>
      </c>
      <c r="L50" s="20" t="str">
        <f>IFERROR(VLOOKUP($A50,#REF!,3,FALSE),"")</f>
        <v/>
      </c>
      <c r="M50" s="20" t="str">
        <f>IFERROR(VLOOKUP($A50,#REF!,4,FALSE),"")</f>
        <v/>
      </c>
      <c r="N50" s="20" t="str">
        <f>IFERROR(VLOOKUP($A50,#REF!,5,FALSE),"")</f>
        <v/>
      </c>
      <c r="O50" s="20" t="str">
        <f>IFERROR(VLOOKUP($A50,#REF!,6,FALSE),"")</f>
        <v/>
      </c>
      <c r="P50" s="20">
        <f t="shared" si="1"/>
        <v>0</v>
      </c>
      <c r="Q50" s="28">
        <f t="shared" si="2"/>
        <v>-1</v>
      </c>
      <c r="R50" s="31">
        <f t="shared" si="3"/>
        <v>1274927.1917971096</v>
      </c>
      <c r="S50" s="5"/>
    </row>
    <row r="51" spans="1:19" x14ac:dyDescent="0.25">
      <c r="A51">
        <v>115</v>
      </c>
      <c r="B51">
        <v>10</v>
      </c>
      <c r="C51" t="s">
        <v>0</v>
      </c>
      <c r="D51" s="5">
        <v>5</v>
      </c>
      <c r="E51" s="7">
        <f>VLOOKUP($A51,'2016'!$A$3:$H$138,4,FALSE)</f>
        <v>0.83799999999999564</v>
      </c>
      <c r="F51" s="7">
        <f>VLOOKUP($A51,'2016'!$A$3:$H$138,5,FALSE)</f>
        <v>225.73798669623062</v>
      </c>
      <c r="G51" s="7">
        <f>VLOOKUP($A51,'2016'!$A$3:$H$138,6,FALSE)</f>
        <v>541.02515471791014</v>
      </c>
      <c r="H51" s="7">
        <f>VLOOKUP($A51,'2016'!$A$3:$H$138,7,FALSE)</f>
        <v>218.34600144300236</v>
      </c>
      <c r="I51" s="7">
        <f>VLOOKUP($A51,'2016'!$A$3:$H$138,8,FALSE)</f>
        <v>66.892857142856926</v>
      </c>
      <c r="J51" s="7">
        <f t="shared" si="0"/>
        <v>1052.8400000000001</v>
      </c>
      <c r="K51" s="20" t="str">
        <f>IFERROR(VLOOKUP($A51,#REF!,2,FALSE),"")</f>
        <v/>
      </c>
      <c r="L51" s="20" t="str">
        <f>IFERROR(VLOOKUP($A51,#REF!,3,FALSE),"")</f>
        <v/>
      </c>
      <c r="M51" s="20" t="str">
        <f>IFERROR(VLOOKUP($A51,#REF!,4,FALSE),"")</f>
        <v/>
      </c>
      <c r="N51" s="20" t="str">
        <f>IFERROR(VLOOKUP($A51,#REF!,5,FALSE),"")</f>
        <v/>
      </c>
      <c r="O51" s="20" t="str">
        <f>IFERROR(VLOOKUP($A51,#REF!,6,FALSE),"")</f>
        <v/>
      </c>
      <c r="P51" s="20">
        <f t="shared" si="1"/>
        <v>0</v>
      </c>
      <c r="Q51" s="28">
        <f t="shared" si="2"/>
        <v>-1</v>
      </c>
      <c r="R51" s="31">
        <f t="shared" si="3"/>
        <v>1108472.0656000003</v>
      </c>
      <c r="S51" s="5"/>
    </row>
    <row r="52" spans="1:19" x14ac:dyDescent="0.25">
      <c r="A52">
        <v>302</v>
      </c>
      <c r="B52">
        <v>10</v>
      </c>
      <c r="C52" t="s">
        <v>0</v>
      </c>
      <c r="D52" s="5">
        <v>5</v>
      </c>
      <c r="E52" s="7">
        <f>VLOOKUP($A52,'2016'!$A$3:$H$138,4,FALSE)</f>
        <v>74.094693877551009</v>
      </c>
      <c r="F52" s="7">
        <f>VLOOKUP($A52,'2016'!$A$3:$H$138,5,FALSE)</f>
        <v>458.56606083943024</v>
      </c>
      <c r="G52" s="7">
        <f>VLOOKUP($A52,'2016'!$A$3:$H$138,6,FALSE)</f>
        <v>1192.7098103600165</v>
      </c>
      <c r="H52" s="7">
        <f>VLOOKUP($A52,'2016'!$A$3:$H$138,7,FALSE)</f>
        <v>615.4480686250198</v>
      </c>
      <c r="I52" s="7">
        <f>VLOOKUP($A52,'2016'!$A$3:$H$138,8,FALSE)</f>
        <v>293.42136629798239</v>
      </c>
      <c r="J52" s="7">
        <f t="shared" si="0"/>
        <v>2634.24</v>
      </c>
      <c r="K52" s="20" t="str">
        <f>IFERROR(VLOOKUP($A52,#REF!,2,FALSE),"")</f>
        <v/>
      </c>
      <c r="L52" s="20" t="str">
        <f>IFERROR(VLOOKUP($A52,#REF!,3,FALSE),"")</f>
        <v/>
      </c>
      <c r="M52" s="20" t="str">
        <f>IFERROR(VLOOKUP($A52,#REF!,4,FALSE),"")</f>
        <v/>
      </c>
      <c r="N52" s="20" t="str">
        <f>IFERROR(VLOOKUP($A52,#REF!,5,FALSE),"")</f>
        <v/>
      </c>
      <c r="O52" s="20" t="str">
        <f>IFERROR(VLOOKUP($A52,#REF!,6,FALSE),"")</f>
        <v/>
      </c>
      <c r="P52" s="20">
        <f t="shared" si="1"/>
        <v>0</v>
      </c>
      <c r="Q52" s="28">
        <f t="shared" si="2"/>
        <v>-1</v>
      </c>
      <c r="R52" s="31">
        <f t="shared" si="3"/>
        <v>6939220.3775999993</v>
      </c>
      <c r="S52" s="5"/>
    </row>
    <row r="53" spans="1:19" x14ac:dyDescent="0.25">
      <c r="A53">
        <v>303</v>
      </c>
      <c r="B53">
        <v>10</v>
      </c>
      <c r="C53" t="s">
        <v>0</v>
      </c>
      <c r="D53" s="5">
        <v>5</v>
      </c>
      <c r="E53" s="7">
        <f>VLOOKUP($A53,'2016'!$A$3:$H$138,4,FALSE)</f>
        <v>209.56815867561292</v>
      </c>
      <c r="F53" s="7">
        <f>VLOOKUP($A53,'2016'!$A$3:$H$138,5,FALSE)</f>
        <v>994.0628806646024</v>
      </c>
      <c r="G53" s="7">
        <f>VLOOKUP($A53,'2016'!$A$3:$H$138,6,FALSE)</f>
        <v>2179.2377880985009</v>
      </c>
      <c r="H53" s="7">
        <f>VLOOKUP($A53,'2016'!$A$3:$H$138,7,FALSE)</f>
        <v>1117.7773753269573</v>
      </c>
      <c r="I53" s="7">
        <f>VLOOKUP($A53,'2016'!$A$3:$H$138,8,FALSE)</f>
        <v>473.54379825653683</v>
      </c>
      <c r="J53" s="7">
        <f t="shared" si="0"/>
        <v>4974.1900010222107</v>
      </c>
      <c r="K53" s="20" t="str">
        <f>IFERROR(VLOOKUP($A53,#REF!,2,FALSE),"")</f>
        <v/>
      </c>
      <c r="L53" s="20" t="str">
        <f>IFERROR(VLOOKUP($A53,#REF!,3,FALSE),"")</f>
        <v/>
      </c>
      <c r="M53" s="20" t="str">
        <f>IFERROR(VLOOKUP($A53,#REF!,4,FALSE),"")</f>
        <v/>
      </c>
      <c r="N53" s="20" t="str">
        <f>IFERROR(VLOOKUP($A53,#REF!,5,FALSE),"")</f>
        <v/>
      </c>
      <c r="O53" s="20" t="str">
        <f>IFERROR(VLOOKUP($A53,#REF!,6,FALSE),"")</f>
        <v/>
      </c>
      <c r="P53" s="20">
        <f t="shared" si="1"/>
        <v>0</v>
      </c>
      <c r="Q53" s="28">
        <f t="shared" si="2"/>
        <v>-1</v>
      </c>
      <c r="R53" s="31">
        <f t="shared" si="3"/>
        <v>24742566.16626934</v>
      </c>
      <c r="S53" s="5"/>
    </row>
    <row r="54" spans="1:19" x14ac:dyDescent="0.25">
      <c r="A54">
        <v>304</v>
      </c>
      <c r="B54">
        <v>10</v>
      </c>
      <c r="C54" t="s">
        <v>0</v>
      </c>
      <c r="D54" s="5">
        <v>5</v>
      </c>
      <c r="E54" s="7">
        <f>VLOOKUP($A54,'2016'!$A$3:$H$138,4,FALSE)</f>
        <v>33.387849807445463</v>
      </c>
      <c r="F54" s="7">
        <f>VLOOKUP($A54,'2016'!$A$3:$H$138,5,FALSE)</f>
        <v>276.51056192478364</v>
      </c>
      <c r="G54" s="7">
        <f>VLOOKUP($A54,'2016'!$A$3:$H$138,6,FALSE)</f>
        <v>369.06042019033856</v>
      </c>
      <c r="H54" s="7">
        <f>VLOOKUP($A54,'2016'!$A$3:$H$138,7,FALSE)</f>
        <v>224.44091072675172</v>
      </c>
      <c r="I54" s="7">
        <f>VLOOKUP($A54,'2016'!$A$3:$H$138,8,FALSE)</f>
        <v>46.108290094339438</v>
      </c>
      <c r="J54" s="7">
        <f t="shared" si="0"/>
        <v>949.50803274365887</v>
      </c>
      <c r="K54" s="20" t="str">
        <f>IFERROR(VLOOKUP($A54,#REF!,2,FALSE),"")</f>
        <v/>
      </c>
      <c r="L54" s="20" t="str">
        <f>IFERROR(VLOOKUP($A54,#REF!,3,FALSE),"")</f>
        <v/>
      </c>
      <c r="M54" s="20" t="str">
        <f>IFERROR(VLOOKUP($A54,#REF!,4,FALSE),"")</f>
        <v/>
      </c>
      <c r="N54" s="20" t="str">
        <f>IFERROR(VLOOKUP($A54,#REF!,5,FALSE),"")</f>
        <v/>
      </c>
      <c r="O54" s="20" t="str">
        <f>IFERROR(VLOOKUP($A54,#REF!,6,FALSE),"")</f>
        <v/>
      </c>
      <c r="P54" s="20">
        <f t="shared" si="1"/>
        <v>0</v>
      </c>
      <c r="Q54" s="28">
        <f t="shared" si="2"/>
        <v>-1</v>
      </c>
      <c r="R54" s="31">
        <f t="shared" si="3"/>
        <v>901565.50424473314</v>
      </c>
      <c r="S54" s="5"/>
    </row>
    <row r="55" spans="1:19" x14ac:dyDescent="0.25">
      <c r="A55">
        <v>305</v>
      </c>
      <c r="B55">
        <v>10</v>
      </c>
      <c r="C55" t="s">
        <v>0</v>
      </c>
      <c r="D55" s="5">
        <v>5</v>
      </c>
      <c r="E55" s="7">
        <f>VLOOKUP($A55,'2016'!$A$3:$H$138,4,FALSE)</f>
        <v>79.1819261006208</v>
      </c>
      <c r="F55" s="7">
        <f>VLOOKUP($A55,'2016'!$A$3:$H$138,5,FALSE)</f>
        <v>458.28914475586026</v>
      </c>
      <c r="G55" s="7">
        <f>VLOOKUP($A55,'2016'!$A$3:$H$138,6,FALSE)</f>
        <v>989.82026907258296</v>
      </c>
      <c r="H55" s="7">
        <f>VLOOKUP($A55,'2016'!$A$3:$H$138,7,FALSE)</f>
        <v>490.54928072615496</v>
      </c>
      <c r="I55" s="7">
        <f>VLOOKUP($A55,'2016'!$A$3:$H$138,8,FALSE)</f>
        <v>224.39049458318175</v>
      </c>
      <c r="J55" s="7">
        <f t="shared" si="0"/>
        <v>2242.2311152384009</v>
      </c>
      <c r="K55" s="20" t="str">
        <f>IFERROR(VLOOKUP($A55,#REF!,2,FALSE),"")</f>
        <v/>
      </c>
      <c r="L55" s="20" t="str">
        <f>IFERROR(VLOOKUP($A55,#REF!,3,FALSE),"")</f>
        <v/>
      </c>
      <c r="M55" s="20" t="str">
        <f>IFERROR(VLOOKUP($A55,#REF!,4,FALSE),"")</f>
        <v/>
      </c>
      <c r="N55" s="20" t="str">
        <f>IFERROR(VLOOKUP($A55,#REF!,5,FALSE),"")</f>
        <v/>
      </c>
      <c r="O55" s="20" t="str">
        <f>IFERROR(VLOOKUP($A55,#REF!,6,FALSE),"")</f>
        <v/>
      </c>
      <c r="P55" s="20">
        <f t="shared" si="1"/>
        <v>0</v>
      </c>
      <c r="Q55" s="28">
        <f t="shared" si="2"/>
        <v>-1</v>
      </c>
      <c r="R55" s="31">
        <f t="shared" si="3"/>
        <v>5027600.3741432428</v>
      </c>
      <c r="S55" s="5"/>
    </row>
    <row r="56" spans="1:19" x14ac:dyDescent="0.25">
      <c r="A56">
        <v>306</v>
      </c>
      <c r="B56">
        <v>10</v>
      </c>
      <c r="C56" t="s">
        <v>0</v>
      </c>
      <c r="D56" s="5">
        <v>5</v>
      </c>
      <c r="E56" s="7">
        <f>VLOOKUP($A56,'2016'!$A$3:$H$138,4,FALSE)</f>
        <v>47.59869802043314</v>
      </c>
      <c r="F56" s="7">
        <f>VLOOKUP($A56,'2016'!$A$3:$H$138,5,FALSE)</f>
        <v>264.41867744087773</v>
      </c>
      <c r="G56" s="7">
        <f>VLOOKUP($A56,'2016'!$A$3:$H$138,6,FALSE)</f>
        <v>354.74337830825118</v>
      </c>
      <c r="H56" s="7">
        <f>VLOOKUP($A56,'2016'!$A$3:$H$138,7,FALSE)</f>
        <v>238.44457214621193</v>
      </c>
      <c r="I56" s="7">
        <f>VLOOKUP($A56,'2016'!$A$3:$H$138,8,FALSE)</f>
        <v>77.678837209301875</v>
      </c>
      <c r="J56" s="7">
        <f t="shared" si="0"/>
        <v>982.88416312507582</v>
      </c>
      <c r="K56" s="20" t="str">
        <f>IFERROR(VLOOKUP($A56,#REF!,2,FALSE),"")</f>
        <v/>
      </c>
      <c r="L56" s="20" t="str">
        <f>IFERROR(VLOOKUP($A56,#REF!,3,FALSE),"")</f>
        <v/>
      </c>
      <c r="M56" s="20" t="str">
        <f>IFERROR(VLOOKUP($A56,#REF!,4,FALSE),"")</f>
        <v/>
      </c>
      <c r="N56" s="20" t="str">
        <f>IFERROR(VLOOKUP($A56,#REF!,5,FALSE),"")</f>
        <v/>
      </c>
      <c r="O56" s="20" t="str">
        <f>IFERROR(VLOOKUP($A56,#REF!,6,FALSE),"")</f>
        <v/>
      </c>
      <c r="P56" s="20">
        <f t="shared" si="1"/>
        <v>0</v>
      </c>
      <c r="Q56" s="28">
        <f t="shared" si="2"/>
        <v>-1</v>
      </c>
      <c r="R56" s="31">
        <f t="shared" si="3"/>
        <v>966061.27812208061</v>
      </c>
      <c r="S56" s="5"/>
    </row>
    <row r="57" spans="1:19" x14ac:dyDescent="0.25">
      <c r="A57">
        <v>308</v>
      </c>
      <c r="B57">
        <v>10</v>
      </c>
      <c r="C57" t="s">
        <v>0</v>
      </c>
      <c r="D57" s="5">
        <v>5</v>
      </c>
      <c r="E57" s="7">
        <f>VLOOKUP($A57,'2016'!$A$3:$H$138,4,FALSE)</f>
        <v>5.7245759955816586</v>
      </c>
      <c r="F57" s="7">
        <f>VLOOKUP($A57,'2016'!$A$3:$H$138,5,FALSE)</f>
        <v>128.44046030180118</v>
      </c>
      <c r="G57" s="7">
        <f>VLOOKUP($A57,'2016'!$A$3:$H$138,6,FALSE)</f>
        <v>264.95166198115197</v>
      </c>
      <c r="H57" s="7">
        <f>VLOOKUP($A57,'2016'!$A$3:$H$138,7,FALSE)</f>
        <v>166.74953696790297</v>
      </c>
      <c r="I57" s="7">
        <f>VLOOKUP($A57,'2016'!$A$3:$H$138,8,FALSE)</f>
        <v>21.727114923833433</v>
      </c>
      <c r="J57" s="7">
        <f t="shared" si="0"/>
        <v>587.59335017027126</v>
      </c>
      <c r="K57" s="20" t="str">
        <f>IFERROR(VLOOKUP($A57,#REF!,2,FALSE),"")</f>
        <v/>
      </c>
      <c r="L57" s="20" t="str">
        <f>IFERROR(VLOOKUP($A57,#REF!,3,FALSE),"")</f>
        <v/>
      </c>
      <c r="M57" s="20" t="str">
        <f>IFERROR(VLOOKUP($A57,#REF!,4,FALSE),"")</f>
        <v/>
      </c>
      <c r="N57" s="20" t="str">
        <f>IFERROR(VLOOKUP($A57,#REF!,5,FALSE),"")</f>
        <v/>
      </c>
      <c r="O57" s="20" t="str">
        <f>IFERROR(VLOOKUP($A57,#REF!,6,FALSE),"")</f>
        <v/>
      </c>
      <c r="P57" s="20">
        <f t="shared" si="1"/>
        <v>0</v>
      </c>
      <c r="Q57" s="28">
        <f t="shared" si="2"/>
        <v>-1</v>
      </c>
      <c r="R57" s="31">
        <f t="shared" si="3"/>
        <v>345265.94516432303</v>
      </c>
      <c r="S57" s="5"/>
    </row>
    <row r="58" spans="1:19" x14ac:dyDescent="0.25">
      <c r="A58">
        <v>309</v>
      </c>
      <c r="B58">
        <v>10</v>
      </c>
      <c r="C58" t="s">
        <v>0</v>
      </c>
      <c r="D58" s="5">
        <v>5</v>
      </c>
      <c r="E58" s="7">
        <f>VLOOKUP($A58,'2016'!$A$3:$H$138,4,FALSE)</f>
        <v>58.39431992788213</v>
      </c>
      <c r="F58" s="7">
        <f>VLOOKUP($A58,'2016'!$A$3:$H$138,5,FALSE)</f>
        <v>297.98615218555028</v>
      </c>
      <c r="G58" s="7">
        <f>VLOOKUP($A58,'2016'!$A$3:$H$138,6,FALSE)</f>
        <v>712.2281102582275</v>
      </c>
      <c r="H58" s="7">
        <f>VLOOKUP($A58,'2016'!$A$3:$H$138,7,FALSE)</f>
        <v>404.69713845477122</v>
      </c>
      <c r="I58" s="7">
        <f>VLOOKUP($A58,'2016'!$A$3:$H$138,8,FALSE)</f>
        <v>147.88654439042762</v>
      </c>
      <c r="J58" s="7">
        <f t="shared" si="0"/>
        <v>1621.1922652168587</v>
      </c>
      <c r="K58" s="20" t="str">
        <f>IFERROR(VLOOKUP($A58,#REF!,2,FALSE),"")</f>
        <v/>
      </c>
      <c r="L58" s="20" t="str">
        <f>IFERROR(VLOOKUP($A58,#REF!,3,FALSE),"")</f>
        <v/>
      </c>
      <c r="M58" s="20" t="str">
        <f>IFERROR(VLOOKUP($A58,#REF!,4,FALSE),"")</f>
        <v/>
      </c>
      <c r="N58" s="20" t="str">
        <f>IFERROR(VLOOKUP($A58,#REF!,5,FALSE),"")</f>
        <v/>
      </c>
      <c r="O58" s="20" t="str">
        <f>IFERROR(VLOOKUP($A58,#REF!,6,FALSE),"")</f>
        <v/>
      </c>
      <c r="P58" s="20">
        <f t="shared" si="1"/>
        <v>0</v>
      </c>
      <c r="Q58" s="28">
        <f t="shared" si="2"/>
        <v>-1</v>
      </c>
      <c r="R58" s="31">
        <f t="shared" si="3"/>
        <v>2628264.3607989694</v>
      </c>
      <c r="S58" s="5"/>
    </row>
    <row r="59" spans="1:19" x14ac:dyDescent="0.25">
      <c r="A59">
        <v>311</v>
      </c>
      <c r="B59">
        <v>10</v>
      </c>
      <c r="C59" t="s">
        <v>0</v>
      </c>
      <c r="D59" s="5">
        <v>5</v>
      </c>
      <c r="E59" s="7">
        <f>VLOOKUP($A59,'2016'!$A$3:$H$138,4,FALSE)</f>
        <v>14.639457843855434</v>
      </c>
      <c r="F59" s="7">
        <f>VLOOKUP($A59,'2016'!$A$3:$H$138,5,FALSE)</f>
        <v>155.62876923076919</v>
      </c>
      <c r="G59" s="7">
        <f>VLOOKUP($A59,'2016'!$A$3:$H$138,6,FALSE)</f>
        <v>255.55848552652529</v>
      </c>
      <c r="H59" s="7">
        <f>VLOOKUP($A59,'2016'!$A$3:$H$138,7,FALSE)</f>
        <v>51.128000000000199</v>
      </c>
      <c r="I59" s="7">
        <f>VLOOKUP($A59,'2016'!$A$3:$H$138,8,FALSE)</f>
        <v>0</v>
      </c>
      <c r="J59" s="7">
        <f t="shared" si="0"/>
        <v>476.95471260115011</v>
      </c>
      <c r="K59" s="20" t="str">
        <f>IFERROR(VLOOKUP($A59,#REF!,2,FALSE),"")</f>
        <v/>
      </c>
      <c r="L59" s="20" t="str">
        <f>IFERROR(VLOOKUP($A59,#REF!,3,FALSE),"")</f>
        <v/>
      </c>
      <c r="M59" s="20" t="str">
        <f>IFERROR(VLOOKUP($A59,#REF!,4,FALSE),"")</f>
        <v/>
      </c>
      <c r="N59" s="20" t="str">
        <f>IFERROR(VLOOKUP($A59,#REF!,5,FALSE),"")</f>
        <v/>
      </c>
      <c r="O59" s="20" t="str">
        <f>IFERROR(VLOOKUP($A59,#REF!,6,FALSE),"")</f>
        <v/>
      </c>
      <c r="P59" s="20">
        <f t="shared" si="1"/>
        <v>0</v>
      </c>
      <c r="Q59" s="28">
        <f t="shared" si="2"/>
        <v>-1</v>
      </c>
      <c r="R59" s="31">
        <f t="shared" si="3"/>
        <v>227485.79787244569</v>
      </c>
      <c r="S59" s="5"/>
    </row>
    <row r="60" spans="1:19" x14ac:dyDescent="0.25">
      <c r="A60">
        <v>313</v>
      </c>
      <c r="B60">
        <v>10</v>
      </c>
      <c r="C60" t="s">
        <v>0</v>
      </c>
      <c r="D60" s="5">
        <v>5</v>
      </c>
      <c r="E60" s="7">
        <f>VLOOKUP($A60,'2016'!$A$3:$H$138,4,FALSE)</f>
        <v>7.1162790697674376</v>
      </c>
      <c r="F60" s="7">
        <f>VLOOKUP($A60,'2016'!$A$3:$H$138,5,FALSE)</f>
        <v>107.103783469389</v>
      </c>
      <c r="G60" s="7">
        <f>VLOOKUP($A60,'2016'!$A$3:$H$138,6,FALSE)</f>
        <v>190.62879842596723</v>
      </c>
      <c r="H60" s="7">
        <f>VLOOKUP($A60,'2016'!$A$3:$H$138,7,FALSE)</f>
        <v>92.852451879105459</v>
      </c>
      <c r="I60" s="7">
        <f>VLOOKUP($A60,'2016'!$A$3:$H$138,8,FALSE)</f>
        <v>8</v>
      </c>
      <c r="J60" s="7">
        <f t="shared" si="0"/>
        <v>405.70131284422911</v>
      </c>
      <c r="K60" s="20" t="str">
        <f>IFERROR(VLOOKUP($A60,#REF!,2,FALSE),"")</f>
        <v/>
      </c>
      <c r="L60" s="20" t="str">
        <f>IFERROR(VLOOKUP($A60,#REF!,3,FALSE),"")</f>
        <v/>
      </c>
      <c r="M60" s="20" t="str">
        <f>IFERROR(VLOOKUP($A60,#REF!,4,FALSE),"")</f>
        <v/>
      </c>
      <c r="N60" s="20" t="str">
        <f>IFERROR(VLOOKUP($A60,#REF!,5,FALSE),"")</f>
        <v/>
      </c>
      <c r="O60" s="20" t="str">
        <f>IFERROR(VLOOKUP($A60,#REF!,6,FALSE),"")</f>
        <v/>
      </c>
      <c r="P60" s="20">
        <f t="shared" si="1"/>
        <v>0</v>
      </c>
      <c r="Q60" s="28">
        <f t="shared" si="2"/>
        <v>-1</v>
      </c>
      <c r="R60" s="31">
        <f t="shared" si="3"/>
        <v>164593.55524353107</v>
      </c>
      <c r="S60" s="5"/>
    </row>
    <row r="61" spans="1:19" x14ac:dyDescent="0.25">
      <c r="A61">
        <v>315</v>
      </c>
      <c r="B61">
        <v>10</v>
      </c>
      <c r="C61" t="s">
        <v>0</v>
      </c>
      <c r="D61" s="5">
        <v>5</v>
      </c>
      <c r="E61" s="7">
        <f>VLOOKUP($A61,'2016'!$A$3:$H$138,4,FALSE)</f>
        <v>19.1833688871715</v>
      </c>
      <c r="F61" s="7">
        <f>VLOOKUP($A61,'2016'!$A$3:$H$138,5,FALSE)</f>
        <v>120.85132153972947</v>
      </c>
      <c r="G61" s="7">
        <f>VLOOKUP($A61,'2016'!$A$3:$H$138,6,FALSE)</f>
        <v>211.15547117701738</v>
      </c>
      <c r="H61" s="7">
        <f>VLOOKUP($A61,'2016'!$A$3:$H$138,7,FALSE)</f>
        <v>110.48959747108464</v>
      </c>
      <c r="I61" s="7">
        <f>VLOOKUP($A61,'2016'!$A$3:$H$138,8,FALSE)</f>
        <v>41.412050765263892</v>
      </c>
      <c r="J61" s="7">
        <f t="shared" si="0"/>
        <v>503.09180984026682</v>
      </c>
      <c r="K61" s="20" t="str">
        <f>IFERROR(VLOOKUP($A61,#REF!,2,FALSE),"")</f>
        <v/>
      </c>
      <c r="L61" s="20" t="str">
        <f>IFERROR(VLOOKUP($A61,#REF!,3,FALSE),"")</f>
        <v/>
      </c>
      <c r="M61" s="20" t="str">
        <f>IFERROR(VLOOKUP($A61,#REF!,4,FALSE),"")</f>
        <v/>
      </c>
      <c r="N61" s="20" t="str">
        <f>IFERROR(VLOOKUP($A61,#REF!,5,FALSE),"")</f>
        <v/>
      </c>
      <c r="O61" s="20" t="str">
        <f>IFERROR(VLOOKUP($A61,#REF!,6,FALSE),"")</f>
        <v/>
      </c>
      <c r="P61" s="20">
        <f t="shared" si="1"/>
        <v>0</v>
      </c>
      <c r="Q61" s="28">
        <f t="shared" si="2"/>
        <v>-1</v>
      </c>
      <c r="R61" s="31">
        <f t="shared" si="3"/>
        <v>253101.3691283552</v>
      </c>
      <c r="S61" s="5"/>
    </row>
    <row r="62" spans="1:19" x14ac:dyDescent="0.25">
      <c r="A62">
        <v>316</v>
      </c>
      <c r="B62">
        <v>10</v>
      </c>
      <c r="C62" t="s">
        <v>0</v>
      </c>
      <c r="D62" s="5">
        <v>5</v>
      </c>
      <c r="E62" s="7">
        <f>VLOOKUP($A62,'2016'!$A$3:$H$138,4,FALSE)</f>
        <v>1.9456250000000022</v>
      </c>
      <c r="F62" s="7">
        <f>VLOOKUP($A62,'2016'!$A$3:$H$138,5,FALSE)</f>
        <v>34.007708333333326</v>
      </c>
      <c r="G62" s="7">
        <f>VLOOKUP($A62,'2016'!$A$3:$H$138,6,FALSE)</f>
        <v>67.208888888888765</v>
      </c>
      <c r="H62" s="7">
        <f>VLOOKUP($A62,'2016'!$A$3:$H$138,7,FALSE)</f>
        <v>30.647777777777904</v>
      </c>
      <c r="I62" s="7">
        <f>VLOOKUP($A62,'2016'!$A$3:$H$138,8,FALSE)</f>
        <v>0</v>
      </c>
      <c r="J62" s="7">
        <f t="shared" si="0"/>
        <v>133.81</v>
      </c>
      <c r="K62" s="20" t="str">
        <f>IFERROR(VLOOKUP($A62,#REF!,2,FALSE),"")</f>
        <v/>
      </c>
      <c r="L62" s="20" t="str">
        <f>IFERROR(VLOOKUP($A62,#REF!,3,FALSE),"")</f>
        <v/>
      </c>
      <c r="M62" s="20" t="str">
        <f>IFERROR(VLOOKUP($A62,#REF!,4,FALSE),"")</f>
        <v/>
      </c>
      <c r="N62" s="20" t="str">
        <f>IFERROR(VLOOKUP($A62,#REF!,5,FALSE),"")</f>
        <v/>
      </c>
      <c r="O62" s="20" t="str">
        <f>IFERROR(VLOOKUP($A62,#REF!,6,FALSE),"")</f>
        <v/>
      </c>
      <c r="P62" s="20">
        <f t="shared" si="1"/>
        <v>0</v>
      </c>
      <c r="Q62" s="28">
        <f t="shared" si="2"/>
        <v>-1</v>
      </c>
      <c r="R62" s="31">
        <f t="shared" si="3"/>
        <v>17905.116099999999</v>
      </c>
      <c r="S62" s="5"/>
    </row>
    <row r="63" spans="1:19" x14ac:dyDescent="0.25">
      <c r="A63">
        <v>318</v>
      </c>
      <c r="B63">
        <v>10</v>
      </c>
      <c r="C63" t="s">
        <v>0</v>
      </c>
      <c r="D63" s="5">
        <v>5</v>
      </c>
      <c r="E63" s="7">
        <f>VLOOKUP($A63,'2016'!$A$3:$H$138,4,FALSE)</f>
        <v>33.205028461013512</v>
      </c>
      <c r="F63" s="7">
        <f>VLOOKUP($A63,'2016'!$A$3:$H$138,5,FALSE)</f>
        <v>151.38616800638312</v>
      </c>
      <c r="G63" s="7">
        <f>VLOOKUP($A63,'2016'!$A$3:$H$138,6,FALSE)</f>
        <v>351.84006795757807</v>
      </c>
      <c r="H63" s="7">
        <f>VLOOKUP($A63,'2016'!$A$3:$H$138,7,FALSE)</f>
        <v>194.05301636246847</v>
      </c>
      <c r="I63" s="7">
        <f>VLOOKUP($A63,'2016'!$A$3:$H$138,8,FALSE)</f>
        <v>24.58</v>
      </c>
      <c r="J63" s="7">
        <f t="shared" si="0"/>
        <v>755.06428078744318</v>
      </c>
      <c r="K63" s="20" t="str">
        <f>IFERROR(VLOOKUP($A63,#REF!,2,FALSE),"")</f>
        <v/>
      </c>
      <c r="L63" s="20" t="str">
        <f>IFERROR(VLOOKUP($A63,#REF!,3,FALSE),"")</f>
        <v/>
      </c>
      <c r="M63" s="20" t="str">
        <f>IFERROR(VLOOKUP($A63,#REF!,4,FALSE),"")</f>
        <v/>
      </c>
      <c r="N63" s="20" t="str">
        <f>IFERROR(VLOOKUP($A63,#REF!,5,FALSE),"")</f>
        <v/>
      </c>
      <c r="O63" s="20" t="str">
        <f>IFERROR(VLOOKUP($A63,#REF!,6,FALSE),"")</f>
        <v/>
      </c>
      <c r="P63" s="20">
        <f t="shared" si="1"/>
        <v>0</v>
      </c>
      <c r="Q63" s="28">
        <f t="shared" si="2"/>
        <v>-1</v>
      </c>
      <c r="R63" s="31">
        <f t="shared" si="3"/>
        <v>570122.06812105887</v>
      </c>
      <c r="S63" s="5"/>
    </row>
    <row r="64" spans="1:19" x14ac:dyDescent="0.25">
      <c r="A64">
        <v>323</v>
      </c>
      <c r="B64">
        <v>10</v>
      </c>
      <c r="C64" t="s">
        <v>0</v>
      </c>
      <c r="D64" s="5">
        <v>5</v>
      </c>
      <c r="E64" s="7">
        <f>VLOOKUP($A64,'2016'!$A$3:$H$138,4,FALSE)</f>
        <v>3.9882352941176498</v>
      </c>
      <c r="F64" s="7">
        <f>VLOOKUP($A64,'2016'!$A$3:$H$138,5,FALSE)</f>
        <v>65.215663111756768</v>
      </c>
      <c r="G64" s="7">
        <f>VLOOKUP($A64,'2016'!$A$3:$H$138,6,FALSE)</f>
        <v>85.246514149347675</v>
      </c>
      <c r="H64" s="7">
        <f>VLOOKUP($A64,'2016'!$A$3:$H$138,7,FALSE)</f>
        <v>23.117388289676711</v>
      </c>
      <c r="I64" s="7">
        <f>VLOOKUP($A64,'2016'!$A$3:$H$138,8,FALSE)</f>
        <v>0</v>
      </c>
      <c r="J64" s="7">
        <f t="shared" si="0"/>
        <v>177.56780084489881</v>
      </c>
      <c r="K64" s="20" t="str">
        <f>IFERROR(VLOOKUP($A64,#REF!,2,FALSE),"")</f>
        <v/>
      </c>
      <c r="L64" s="20" t="str">
        <f>IFERROR(VLOOKUP($A64,#REF!,3,FALSE),"")</f>
        <v/>
      </c>
      <c r="M64" s="20" t="str">
        <f>IFERROR(VLOOKUP($A64,#REF!,4,FALSE),"")</f>
        <v/>
      </c>
      <c r="N64" s="20" t="str">
        <f>IFERROR(VLOOKUP($A64,#REF!,5,FALSE),"")</f>
        <v/>
      </c>
      <c r="O64" s="20" t="str">
        <f>IFERROR(VLOOKUP($A64,#REF!,6,FALSE),"")</f>
        <v/>
      </c>
      <c r="P64" s="20">
        <f t="shared" si="1"/>
        <v>0</v>
      </c>
      <c r="Q64" s="28">
        <f t="shared" si="2"/>
        <v>-1</v>
      </c>
      <c r="R64" s="31">
        <f t="shared" si="3"/>
        <v>31530.323896893646</v>
      </c>
      <c r="S64" s="5"/>
    </row>
    <row r="65" spans="1:19" x14ac:dyDescent="0.25">
      <c r="A65">
        <v>325</v>
      </c>
      <c r="B65">
        <v>10</v>
      </c>
      <c r="C65" t="s">
        <v>0</v>
      </c>
      <c r="D65" s="5">
        <v>5</v>
      </c>
      <c r="E65" s="7">
        <f>VLOOKUP($A65,'2016'!$A$3:$H$138,4,FALSE)</f>
        <v>11.060951690821256</v>
      </c>
      <c r="F65" s="7">
        <f>VLOOKUP($A65,'2016'!$A$3:$H$138,5,FALSE)</f>
        <v>125.95724634890625</v>
      </c>
      <c r="G65" s="7">
        <f>VLOOKUP($A65,'2016'!$A$3:$H$138,6,FALSE)</f>
        <v>375.02468175519175</v>
      </c>
      <c r="H65" s="7">
        <f>VLOOKUP($A65,'2016'!$A$3:$H$138,7,FALSE)</f>
        <v>192.68093606338036</v>
      </c>
      <c r="I65" s="7">
        <f>VLOOKUP($A65,'2016'!$A$3:$H$138,8,FALSE)</f>
        <v>41.418498455689871</v>
      </c>
      <c r="J65" s="7">
        <f t="shared" si="0"/>
        <v>746.14231431398957</v>
      </c>
      <c r="K65" s="20" t="str">
        <f>IFERROR(VLOOKUP($A65,#REF!,2,FALSE),"")</f>
        <v/>
      </c>
      <c r="L65" s="20" t="str">
        <f>IFERROR(VLOOKUP($A65,#REF!,3,FALSE),"")</f>
        <v/>
      </c>
      <c r="M65" s="20" t="str">
        <f>IFERROR(VLOOKUP($A65,#REF!,4,FALSE),"")</f>
        <v/>
      </c>
      <c r="N65" s="20" t="str">
        <f>IFERROR(VLOOKUP($A65,#REF!,5,FALSE),"")</f>
        <v/>
      </c>
      <c r="O65" s="20" t="str">
        <f>IFERROR(VLOOKUP($A65,#REF!,6,FALSE),"")</f>
        <v/>
      </c>
      <c r="P65" s="20">
        <f t="shared" si="1"/>
        <v>0</v>
      </c>
      <c r="Q65" s="28">
        <f t="shared" si="2"/>
        <v>-1</v>
      </c>
      <c r="R65" s="31">
        <f t="shared" si="3"/>
        <v>556728.35320983641</v>
      </c>
      <c r="S65" s="5"/>
    </row>
    <row r="66" spans="1:19" x14ac:dyDescent="0.25">
      <c r="A66">
        <v>332</v>
      </c>
      <c r="B66">
        <v>10</v>
      </c>
      <c r="C66" t="s">
        <v>0</v>
      </c>
      <c r="D66" s="5">
        <v>5</v>
      </c>
      <c r="E66" s="7">
        <f>VLOOKUP($A66,'2016'!$A$3:$H$138,4,FALSE)</f>
        <v>48.346736980883314</v>
      </c>
      <c r="F66" s="7">
        <f>VLOOKUP($A66,'2016'!$A$3:$H$138,5,FALSE)</f>
        <v>421.89228669567149</v>
      </c>
      <c r="G66" s="7">
        <f>VLOOKUP($A66,'2016'!$A$3:$H$138,6,FALSE)</f>
        <v>652.32737859812585</v>
      </c>
      <c r="H66" s="7">
        <f>VLOOKUP($A66,'2016'!$A$3:$H$138,7,FALSE)</f>
        <v>366.64796301400196</v>
      </c>
      <c r="I66" s="7">
        <f>VLOOKUP($A66,'2016'!$A$3:$H$138,8,FALSE)</f>
        <v>87.1388888888888</v>
      </c>
      <c r="J66" s="7">
        <f t="shared" si="0"/>
        <v>1576.3532541775712</v>
      </c>
      <c r="K66" s="20" t="str">
        <f>IFERROR(VLOOKUP($A66,#REF!,2,FALSE),"")</f>
        <v/>
      </c>
      <c r="L66" s="20" t="str">
        <f>IFERROR(VLOOKUP($A66,#REF!,3,FALSE),"")</f>
        <v/>
      </c>
      <c r="M66" s="20" t="str">
        <f>IFERROR(VLOOKUP($A66,#REF!,4,FALSE),"")</f>
        <v/>
      </c>
      <c r="N66" s="20" t="str">
        <f>IFERROR(VLOOKUP($A66,#REF!,5,FALSE),"")</f>
        <v/>
      </c>
      <c r="O66" s="20" t="str">
        <f>IFERROR(VLOOKUP($A66,#REF!,6,FALSE),"")</f>
        <v/>
      </c>
      <c r="P66" s="20">
        <f t="shared" si="1"/>
        <v>0</v>
      </c>
      <c r="Q66" s="28">
        <f t="shared" si="2"/>
        <v>-1</v>
      </c>
      <c r="R66" s="31">
        <f t="shared" si="3"/>
        <v>2484889.5819562185</v>
      </c>
      <c r="S66" s="5"/>
    </row>
    <row r="67" spans="1:19" x14ac:dyDescent="0.25">
      <c r="A67">
        <v>334</v>
      </c>
      <c r="B67">
        <v>10</v>
      </c>
      <c r="C67" t="s">
        <v>0</v>
      </c>
      <c r="D67" s="5">
        <v>5</v>
      </c>
      <c r="E67" s="7">
        <f>VLOOKUP($A67,'2016'!$A$3:$H$138,4,FALSE)</f>
        <v>9.33</v>
      </c>
      <c r="F67" s="7">
        <f>VLOOKUP($A67,'2016'!$A$3:$H$138,5,FALSE)</f>
        <v>50.988846153846147</v>
      </c>
      <c r="G67" s="7">
        <f>VLOOKUP($A67,'2016'!$A$3:$H$138,6,FALSE)</f>
        <v>122.55334134615367</v>
      </c>
      <c r="H67" s="7">
        <f>VLOOKUP($A67,'2016'!$A$3:$H$138,7,FALSE)</f>
        <v>62.822256944444725</v>
      </c>
      <c r="I67" s="7">
        <f>VLOOKUP($A67,'2016'!$A$3:$H$138,8,FALSE)</f>
        <v>8.7055555555554527</v>
      </c>
      <c r="J67" s="7">
        <f t="shared" ref="J67:J130" si="4">SUM(E67:I67)</f>
        <v>254.4</v>
      </c>
      <c r="K67" s="20" t="str">
        <f>IFERROR(VLOOKUP($A67,#REF!,2,FALSE),"")</f>
        <v/>
      </c>
      <c r="L67" s="20" t="str">
        <f>IFERROR(VLOOKUP($A67,#REF!,3,FALSE),"")</f>
        <v/>
      </c>
      <c r="M67" s="20" t="str">
        <f>IFERROR(VLOOKUP($A67,#REF!,4,FALSE),"")</f>
        <v/>
      </c>
      <c r="N67" s="20" t="str">
        <f>IFERROR(VLOOKUP($A67,#REF!,5,FALSE),"")</f>
        <v/>
      </c>
      <c r="O67" s="20" t="str">
        <f>IFERROR(VLOOKUP($A67,#REF!,6,FALSE),"")</f>
        <v/>
      </c>
      <c r="P67" s="20">
        <f t="shared" ref="P67:P130" si="5">SUM(K67:O67)</f>
        <v>0</v>
      </c>
      <c r="Q67" s="28">
        <f t="shared" ref="Q67:Q130" si="6">P67/J67-1</f>
        <v>-1</v>
      </c>
      <c r="R67" s="31">
        <f t="shared" ref="R67:R130" si="7">POWER((P67-J67),2)</f>
        <v>64719.360000000001</v>
      </c>
      <c r="S67" s="5"/>
    </row>
    <row r="68" spans="1:19" x14ac:dyDescent="0.25">
      <c r="A68">
        <v>335</v>
      </c>
      <c r="B68">
        <v>10</v>
      </c>
      <c r="C68" t="s">
        <v>0</v>
      </c>
      <c r="D68" s="5">
        <v>5</v>
      </c>
      <c r="E68" s="7">
        <f>VLOOKUP($A68,'2016'!$A$3:$H$138,4,FALSE)</f>
        <v>1.6935485098847851</v>
      </c>
      <c r="F68" s="7">
        <f>VLOOKUP($A68,'2016'!$A$3:$H$138,5,FALSE)</f>
        <v>36.005230641647096</v>
      </c>
      <c r="G68" s="7">
        <f>VLOOKUP($A68,'2016'!$A$3:$H$138,6,FALSE)</f>
        <v>6.715384615384516</v>
      </c>
      <c r="H68" s="7">
        <f>VLOOKUP($A68,'2016'!$A$3:$H$138,7,FALSE)</f>
        <v>27.484615384615481</v>
      </c>
      <c r="I68" s="7">
        <f>VLOOKUP($A68,'2016'!$A$3:$H$138,8,FALSE)</f>
        <v>0</v>
      </c>
      <c r="J68" s="7">
        <f t="shared" si="4"/>
        <v>71.898779151531869</v>
      </c>
      <c r="K68" s="20" t="str">
        <f>IFERROR(VLOOKUP($A68,#REF!,2,FALSE),"")</f>
        <v/>
      </c>
      <c r="L68" s="20" t="str">
        <f>IFERROR(VLOOKUP($A68,#REF!,3,FALSE),"")</f>
        <v/>
      </c>
      <c r="M68" s="20" t="str">
        <f>IFERROR(VLOOKUP($A68,#REF!,4,FALSE),"")</f>
        <v/>
      </c>
      <c r="N68" s="20" t="str">
        <f>IFERROR(VLOOKUP($A68,#REF!,5,FALSE),"")</f>
        <v/>
      </c>
      <c r="O68" s="20" t="str">
        <f>IFERROR(VLOOKUP($A68,#REF!,6,FALSE),"")</f>
        <v/>
      </c>
      <c r="P68" s="20">
        <f t="shared" si="5"/>
        <v>0</v>
      </c>
      <c r="Q68" s="28">
        <f t="shared" si="6"/>
        <v>-1</v>
      </c>
      <c r="R68" s="31">
        <f t="shared" si="7"/>
        <v>5169.4344434807535</v>
      </c>
      <c r="S68" s="5"/>
    </row>
    <row r="69" spans="1:19" x14ac:dyDescent="0.25">
      <c r="A69">
        <v>347</v>
      </c>
      <c r="B69">
        <v>10</v>
      </c>
      <c r="C69" t="s">
        <v>0</v>
      </c>
      <c r="D69" s="5">
        <v>5</v>
      </c>
      <c r="E69" s="7">
        <f>VLOOKUP($A69,'2016'!$A$3:$H$138,4,FALSE)</f>
        <v>3.2840909090909096</v>
      </c>
      <c r="F69" s="7">
        <f>VLOOKUP($A69,'2016'!$A$3:$H$138,5,FALSE)</f>
        <v>87.438120097391774</v>
      </c>
      <c r="G69" s="7">
        <f>VLOOKUP($A69,'2016'!$A$3:$H$138,6,FALSE)</f>
        <v>216.19547101449251</v>
      </c>
      <c r="H69" s="7">
        <f>VLOOKUP($A69,'2016'!$A$3:$H$138,7,FALSE)</f>
        <v>76.875851449275729</v>
      </c>
      <c r="I69" s="7">
        <f>VLOOKUP($A69,'2016'!$A$3:$H$138,8,FALSE)</f>
        <v>2.939981884057854</v>
      </c>
      <c r="J69" s="7">
        <f t="shared" si="4"/>
        <v>386.73351535430874</v>
      </c>
      <c r="K69" s="20" t="str">
        <f>IFERROR(VLOOKUP($A69,#REF!,2,FALSE),"")</f>
        <v/>
      </c>
      <c r="L69" s="20" t="str">
        <f>IFERROR(VLOOKUP($A69,#REF!,3,FALSE),"")</f>
        <v/>
      </c>
      <c r="M69" s="20" t="str">
        <f>IFERROR(VLOOKUP($A69,#REF!,4,FALSE),"")</f>
        <v/>
      </c>
      <c r="N69" s="20" t="str">
        <f>IFERROR(VLOOKUP($A69,#REF!,5,FALSE),"")</f>
        <v/>
      </c>
      <c r="O69" s="20" t="str">
        <f>IFERROR(VLOOKUP($A69,#REF!,6,FALSE),"")</f>
        <v/>
      </c>
      <c r="P69" s="20">
        <f t="shared" si="5"/>
        <v>0</v>
      </c>
      <c r="Q69" s="28">
        <f t="shared" si="6"/>
        <v>-1</v>
      </c>
      <c r="R69" s="31">
        <f t="shared" si="7"/>
        <v>149562.81189830136</v>
      </c>
      <c r="S69" s="5"/>
    </row>
    <row r="70" spans="1:19" x14ac:dyDescent="0.25">
      <c r="A70">
        <v>351</v>
      </c>
      <c r="B70">
        <v>10</v>
      </c>
      <c r="C70" t="s">
        <v>0</v>
      </c>
      <c r="D70" s="5">
        <v>5</v>
      </c>
      <c r="E70" s="7">
        <f>VLOOKUP($A70,'2016'!$A$3:$H$138,4,FALSE)</f>
        <v>36.03142857142857</v>
      </c>
      <c r="F70" s="7">
        <f>VLOOKUP($A70,'2016'!$A$3:$H$138,5,FALSE)</f>
        <v>183.43829479895359</v>
      </c>
      <c r="G70" s="7">
        <f>VLOOKUP($A70,'2016'!$A$3:$H$138,6,FALSE)</f>
        <v>408.48810893794791</v>
      </c>
      <c r="H70" s="7">
        <f>VLOOKUP($A70,'2016'!$A$3:$H$138,7,FALSE)</f>
        <v>217.71280423449315</v>
      </c>
      <c r="I70" s="7">
        <f>VLOOKUP($A70,'2016'!$A$3:$H$138,8,FALSE)</f>
        <v>120.52294117647033</v>
      </c>
      <c r="J70" s="7">
        <f t="shared" si="4"/>
        <v>966.19357771929367</v>
      </c>
      <c r="K70" s="20" t="str">
        <f>IFERROR(VLOOKUP($A70,#REF!,2,FALSE),"")</f>
        <v/>
      </c>
      <c r="L70" s="20" t="str">
        <f>IFERROR(VLOOKUP($A70,#REF!,3,FALSE),"")</f>
        <v/>
      </c>
      <c r="M70" s="20" t="str">
        <f>IFERROR(VLOOKUP($A70,#REF!,4,FALSE),"")</f>
        <v/>
      </c>
      <c r="N70" s="20" t="str">
        <f>IFERROR(VLOOKUP($A70,#REF!,5,FALSE),"")</f>
        <v/>
      </c>
      <c r="O70" s="20" t="str">
        <f>IFERROR(VLOOKUP($A70,#REF!,6,FALSE),"")</f>
        <v/>
      </c>
      <c r="P70" s="20">
        <f t="shared" si="5"/>
        <v>0</v>
      </c>
      <c r="Q70" s="28">
        <f t="shared" si="6"/>
        <v>-1</v>
      </c>
      <c r="R70" s="31">
        <f t="shared" si="7"/>
        <v>933530.02962600882</v>
      </c>
      <c r="S70" s="5"/>
    </row>
    <row r="71" spans="1:19" x14ac:dyDescent="0.25">
      <c r="A71">
        <v>352</v>
      </c>
      <c r="B71">
        <v>10</v>
      </c>
      <c r="C71" t="s">
        <v>0</v>
      </c>
      <c r="D71" s="5">
        <v>5</v>
      </c>
      <c r="E71" s="7">
        <f>VLOOKUP($A71,'2016'!$A$3:$H$138,4,FALSE)</f>
        <v>35.928606673656937</v>
      </c>
      <c r="F71" s="7">
        <f>VLOOKUP($A71,'2016'!$A$3:$H$138,5,FALSE)</f>
        <v>211.69187177736609</v>
      </c>
      <c r="G71" s="7">
        <f>VLOOKUP($A71,'2016'!$A$3:$H$138,6,FALSE)</f>
        <v>378.23951081137909</v>
      </c>
      <c r="H71" s="7">
        <f>VLOOKUP($A71,'2016'!$A$3:$H$138,7,FALSE)</f>
        <v>215.22400917405329</v>
      </c>
      <c r="I71" s="7">
        <f>VLOOKUP($A71,'2016'!$A$3:$H$138,8,FALSE)</f>
        <v>71.457142857142472</v>
      </c>
      <c r="J71" s="7">
        <f t="shared" si="4"/>
        <v>912.54114129359789</v>
      </c>
      <c r="K71" s="20" t="str">
        <f>IFERROR(VLOOKUP($A71,#REF!,2,FALSE),"")</f>
        <v/>
      </c>
      <c r="L71" s="20" t="str">
        <f>IFERROR(VLOOKUP($A71,#REF!,3,FALSE),"")</f>
        <v/>
      </c>
      <c r="M71" s="20" t="str">
        <f>IFERROR(VLOOKUP($A71,#REF!,4,FALSE),"")</f>
        <v/>
      </c>
      <c r="N71" s="20" t="str">
        <f>IFERROR(VLOOKUP($A71,#REF!,5,FALSE),"")</f>
        <v/>
      </c>
      <c r="O71" s="20" t="str">
        <f>IFERROR(VLOOKUP($A71,#REF!,6,FALSE),"")</f>
        <v/>
      </c>
      <c r="P71" s="20">
        <f t="shared" si="5"/>
        <v>0</v>
      </c>
      <c r="Q71" s="28">
        <f t="shared" si="6"/>
        <v>-1</v>
      </c>
      <c r="R71" s="31">
        <f t="shared" si="7"/>
        <v>832731.33455342217</v>
      </c>
      <c r="S71" s="5"/>
    </row>
    <row r="72" spans="1:19" x14ac:dyDescent="0.25">
      <c r="A72">
        <v>353</v>
      </c>
      <c r="B72">
        <v>10</v>
      </c>
      <c r="C72" t="s">
        <v>0</v>
      </c>
      <c r="D72" s="5">
        <v>5</v>
      </c>
      <c r="E72" s="7">
        <f>VLOOKUP($A72,'2016'!$A$3:$H$138,4,FALSE)</f>
        <v>15.704230769230769</v>
      </c>
      <c r="F72" s="7">
        <f>VLOOKUP($A72,'2016'!$A$3:$H$138,5,FALSE)</f>
        <v>95.394340659340656</v>
      </c>
      <c r="G72" s="7">
        <f>VLOOKUP($A72,'2016'!$A$3:$H$138,6,FALSE)</f>
        <v>222.50918291385989</v>
      </c>
      <c r="H72" s="7">
        <f>VLOOKUP($A72,'2016'!$A$3:$H$138,7,FALSE)</f>
        <v>101.33891232423537</v>
      </c>
      <c r="I72" s="7">
        <f>VLOOKUP($A72,'2016'!$A$3:$H$138,8,FALSE)</f>
        <v>21.543333333333305</v>
      </c>
      <c r="J72" s="7">
        <f t="shared" si="4"/>
        <v>456.49</v>
      </c>
      <c r="K72" s="20" t="str">
        <f>IFERROR(VLOOKUP($A72,#REF!,2,FALSE),"")</f>
        <v/>
      </c>
      <c r="L72" s="20" t="str">
        <f>IFERROR(VLOOKUP($A72,#REF!,3,FALSE),"")</f>
        <v/>
      </c>
      <c r="M72" s="20" t="str">
        <f>IFERROR(VLOOKUP($A72,#REF!,4,FALSE),"")</f>
        <v/>
      </c>
      <c r="N72" s="20" t="str">
        <f>IFERROR(VLOOKUP($A72,#REF!,5,FALSE),"")</f>
        <v/>
      </c>
      <c r="O72" s="20" t="str">
        <f>IFERROR(VLOOKUP($A72,#REF!,6,FALSE),"")</f>
        <v/>
      </c>
      <c r="P72" s="20">
        <f t="shared" si="5"/>
        <v>0</v>
      </c>
      <c r="Q72" s="28">
        <f t="shared" si="6"/>
        <v>-1</v>
      </c>
      <c r="R72" s="31">
        <f t="shared" si="7"/>
        <v>208383.1201</v>
      </c>
      <c r="S72" s="5"/>
    </row>
    <row r="73" spans="1:19" x14ac:dyDescent="0.25">
      <c r="A73">
        <v>354</v>
      </c>
      <c r="B73">
        <v>10</v>
      </c>
      <c r="C73" t="s">
        <v>0</v>
      </c>
      <c r="D73" s="5">
        <v>5</v>
      </c>
      <c r="E73" s="7">
        <f>VLOOKUP($A73,'2016'!$A$3:$H$138,4,FALSE)</f>
        <v>11.298656715436394</v>
      </c>
      <c r="F73" s="7">
        <f>VLOOKUP($A73,'2016'!$A$3:$H$138,5,FALSE)</f>
        <v>214.95612039648347</v>
      </c>
      <c r="G73" s="7">
        <f>VLOOKUP($A73,'2016'!$A$3:$H$138,6,FALSE)</f>
        <v>362.80527609046402</v>
      </c>
      <c r="H73" s="7">
        <f>VLOOKUP($A73,'2016'!$A$3:$H$138,7,FALSE)</f>
        <v>174.83965180265764</v>
      </c>
      <c r="I73" s="7">
        <f>VLOOKUP($A73,'2016'!$A$3:$H$138,8,FALSE)</f>
        <v>30.85461538461535</v>
      </c>
      <c r="J73" s="7">
        <f t="shared" si="4"/>
        <v>794.75432038965687</v>
      </c>
      <c r="K73" s="20" t="str">
        <f>IFERROR(VLOOKUP($A73,#REF!,2,FALSE),"")</f>
        <v/>
      </c>
      <c r="L73" s="20" t="str">
        <f>IFERROR(VLOOKUP($A73,#REF!,3,FALSE),"")</f>
        <v/>
      </c>
      <c r="M73" s="20" t="str">
        <f>IFERROR(VLOOKUP($A73,#REF!,4,FALSE),"")</f>
        <v/>
      </c>
      <c r="N73" s="20" t="str">
        <f>IFERROR(VLOOKUP($A73,#REF!,5,FALSE),"")</f>
        <v/>
      </c>
      <c r="O73" s="20" t="str">
        <f>IFERROR(VLOOKUP($A73,#REF!,6,FALSE),"")</f>
        <v/>
      </c>
      <c r="P73" s="20">
        <f t="shared" si="5"/>
        <v>0</v>
      </c>
      <c r="Q73" s="28">
        <f t="shared" si="6"/>
        <v>-1</v>
      </c>
      <c r="R73" s="31">
        <f t="shared" si="7"/>
        <v>631634.42977802537</v>
      </c>
      <c r="S73" s="5"/>
    </row>
    <row r="74" spans="1:19" x14ac:dyDescent="0.25">
      <c r="A74">
        <v>355</v>
      </c>
      <c r="B74">
        <v>10</v>
      </c>
      <c r="C74" t="s">
        <v>0</v>
      </c>
      <c r="D74" s="5">
        <v>5</v>
      </c>
      <c r="E74" s="7">
        <f>VLOOKUP($A74,'2016'!$A$3:$H$138,4,FALSE)</f>
        <v>0</v>
      </c>
      <c r="F74" s="7">
        <f>VLOOKUP($A74,'2016'!$A$3:$H$138,5,FALSE)</f>
        <v>67.76444444444445</v>
      </c>
      <c r="G74" s="7">
        <f>VLOOKUP($A74,'2016'!$A$3:$H$138,6,FALSE)</f>
        <v>120.40698412698383</v>
      </c>
      <c r="H74" s="7">
        <f>VLOOKUP($A74,'2016'!$A$3:$H$138,7,FALSE)</f>
        <v>71.528571428571723</v>
      </c>
      <c r="I74" s="7">
        <f>VLOOKUP($A74,'2016'!$A$3:$H$138,8,FALSE)</f>
        <v>22.2</v>
      </c>
      <c r="J74" s="7">
        <f t="shared" si="4"/>
        <v>281.90000000000003</v>
      </c>
      <c r="K74" s="20" t="str">
        <f>IFERROR(VLOOKUP($A74,#REF!,2,FALSE),"")</f>
        <v/>
      </c>
      <c r="L74" s="20" t="str">
        <f>IFERROR(VLOOKUP($A74,#REF!,3,FALSE),"")</f>
        <v/>
      </c>
      <c r="M74" s="20" t="str">
        <f>IFERROR(VLOOKUP($A74,#REF!,4,FALSE),"")</f>
        <v/>
      </c>
      <c r="N74" s="20" t="str">
        <f>IFERROR(VLOOKUP($A74,#REF!,5,FALSE),"")</f>
        <v/>
      </c>
      <c r="O74" s="20" t="str">
        <f>IFERROR(VLOOKUP($A74,#REF!,6,FALSE),"")</f>
        <v/>
      </c>
      <c r="P74" s="20">
        <f t="shared" si="5"/>
        <v>0</v>
      </c>
      <c r="Q74" s="28">
        <f t="shared" si="6"/>
        <v>-1</v>
      </c>
      <c r="R74" s="31">
        <f t="shared" si="7"/>
        <v>79467.610000000015</v>
      </c>
      <c r="S74" s="5"/>
    </row>
    <row r="75" spans="1:19" x14ac:dyDescent="0.25">
      <c r="A75">
        <v>356</v>
      </c>
      <c r="B75">
        <v>10</v>
      </c>
      <c r="C75" t="s">
        <v>0</v>
      </c>
      <c r="D75" s="5">
        <v>5</v>
      </c>
      <c r="E75" s="7">
        <f>VLOOKUP($A75,'2016'!$A$3:$H$138,4,FALSE)</f>
        <v>17</v>
      </c>
      <c r="F75" s="7">
        <f>VLOOKUP($A75,'2016'!$A$3:$H$138,5,FALSE)</f>
        <v>97.27</v>
      </c>
      <c r="G75" s="7">
        <f>VLOOKUP($A75,'2016'!$A$3:$H$138,6,FALSE)</f>
        <v>203.99672049535982</v>
      </c>
      <c r="H75" s="7">
        <f>VLOOKUP($A75,'2016'!$A$3:$H$138,7,FALSE)</f>
        <v>123.34</v>
      </c>
      <c r="I75" s="7">
        <f>VLOOKUP($A75,'2016'!$A$3:$H$138,8,FALSE)</f>
        <v>46.439961285341482</v>
      </c>
      <c r="J75" s="7">
        <f t="shared" si="4"/>
        <v>488.04668178070131</v>
      </c>
      <c r="K75" s="20" t="str">
        <f>IFERROR(VLOOKUP($A75,#REF!,2,FALSE),"")</f>
        <v/>
      </c>
      <c r="L75" s="20" t="str">
        <f>IFERROR(VLOOKUP($A75,#REF!,3,FALSE),"")</f>
        <v/>
      </c>
      <c r="M75" s="20" t="str">
        <f>IFERROR(VLOOKUP($A75,#REF!,4,FALSE),"")</f>
        <v/>
      </c>
      <c r="N75" s="20" t="str">
        <f>IFERROR(VLOOKUP($A75,#REF!,5,FALSE),"")</f>
        <v/>
      </c>
      <c r="O75" s="20" t="str">
        <f>IFERROR(VLOOKUP($A75,#REF!,6,FALSE),"")</f>
        <v/>
      </c>
      <c r="P75" s="20">
        <f t="shared" si="5"/>
        <v>0</v>
      </c>
      <c r="Q75" s="28">
        <f t="shared" si="6"/>
        <v>-1</v>
      </c>
      <c r="R75" s="31">
        <f t="shared" si="7"/>
        <v>238189.56359715312</v>
      </c>
      <c r="S75" s="5"/>
    </row>
    <row r="76" spans="1:19" x14ac:dyDescent="0.25">
      <c r="A76">
        <v>357</v>
      </c>
      <c r="B76">
        <v>10</v>
      </c>
      <c r="C76" t="s">
        <v>0</v>
      </c>
      <c r="D76" s="5">
        <v>5</v>
      </c>
      <c r="E76" s="7">
        <f>VLOOKUP($A76,'2016'!$A$3:$H$138,4,FALSE)</f>
        <v>0</v>
      </c>
      <c r="F76" s="7">
        <f>VLOOKUP($A76,'2016'!$A$3:$H$138,5,FALSE)</f>
        <v>67.966027818652861</v>
      </c>
      <c r="G76" s="7">
        <f>VLOOKUP($A76,'2016'!$A$3:$H$138,6,FALSE)</f>
        <v>171.33341463414635</v>
      </c>
      <c r="H76" s="7">
        <f>VLOOKUP($A76,'2016'!$A$3:$H$138,7,FALSE)</f>
        <v>58.43</v>
      </c>
      <c r="I76" s="7">
        <f>VLOOKUP($A76,'2016'!$A$3:$H$138,8,FALSE)</f>
        <v>0</v>
      </c>
      <c r="J76" s="7">
        <f t="shared" si="4"/>
        <v>297.72944245279922</v>
      </c>
      <c r="K76" s="20" t="str">
        <f>IFERROR(VLOOKUP($A76,#REF!,2,FALSE),"")</f>
        <v/>
      </c>
      <c r="L76" s="20" t="str">
        <f>IFERROR(VLOOKUP($A76,#REF!,3,FALSE),"")</f>
        <v/>
      </c>
      <c r="M76" s="20" t="str">
        <f>IFERROR(VLOOKUP($A76,#REF!,4,FALSE),"")</f>
        <v/>
      </c>
      <c r="N76" s="20" t="str">
        <f>IFERROR(VLOOKUP($A76,#REF!,5,FALSE),"")</f>
        <v/>
      </c>
      <c r="O76" s="20" t="str">
        <f>IFERROR(VLOOKUP($A76,#REF!,6,FALSE),"")</f>
        <v/>
      </c>
      <c r="P76" s="20">
        <f t="shared" si="5"/>
        <v>0</v>
      </c>
      <c r="Q76" s="28">
        <f t="shared" si="6"/>
        <v>-1</v>
      </c>
      <c r="R76" s="31">
        <f t="shared" si="7"/>
        <v>88642.820903254687</v>
      </c>
      <c r="S76" s="5"/>
    </row>
    <row r="77" spans="1:19" x14ac:dyDescent="0.25">
      <c r="A77">
        <v>358</v>
      </c>
      <c r="B77">
        <v>10</v>
      </c>
      <c r="C77" t="s">
        <v>0</v>
      </c>
      <c r="D77" s="5">
        <v>5</v>
      </c>
      <c r="E77" s="7">
        <f>VLOOKUP($A77,'2016'!$A$3:$H$138,4,FALSE)</f>
        <v>0</v>
      </c>
      <c r="F77" s="7">
        <f>VLOOKUP($A77,'2016'!$A$3:$H$138,5,FALSE)</f>
        <v>39.439034843526571</v>
      </c>
      <c r="G77" s="7">
        <f>VLOOKUP($A77,'2016'!$A$3:$H$138,6,FALSE)</f>
        <v>70.11</v>
      </c>
      <c r="H77" s="7">
        <f>VLOOKUP($A77,'2016'!$A$3:$H$138,7,FALSE)</f>
        <v>40.75</v>
      </c>
      <c r="I77" s="7">
        <f>VLOOKUP($A77,'2016'!$A$3:$H$138,8,FALSE)</f>
        <v>9.73</v>
      </c>
      <c r="J77" s="7">
        <f t="shared" si="4"/>
        <v>160.02903484352655</v>
      </c>
      <c r="K77" s="20" t="str">
        <f>IFERROR(VLOOKUP($A77,#REF!,2,FALSE),"")</f>
        <v/>
      </c>
      <c r="L77" s="20" t="str">
        <f>IFERROR(VLOOKUP($A77,#REF!,3,FALSE),"")</f>
        <v/>
      </c>
      <c r="M77" s="20" t="str">
        <f>IFERROR(VLOOKUP($A77,#REF!,4,FALSE),"")</f>
        <v/>
      </c>
      <c r="N77" s="20" t="str">
        <f>IFERROR(VLOOKUP($A77,#REF!,5,FALSE),"")</f>
        <v/>
      </c>
      <c r="O77" s="20" t="str">
        <f>IFERROR(VLOOKUP($A77,#REF!,6,FALSE),"")</f>
        <v/>
      </c>
      <c r="P77" s="20">
        <f t="shared" si="5"/>
        <v>0</v>
      </c>
      <c r="Q77" s="28">
        <f t="shared" si="6"/>
        <v>-1</v>
      </c>
      <c r="R77" s="31">
        <f t="shared" si="7"/>
        <v>25609.291992950632</v>
      </c>
      <c r="S77" s="5"/>
    </row>
    <row r="78" spans="1:19" x14ac:dyDescent="0.25">
      <c r="A78">
        <v>359</v>
      </c>
      <c r="B78">
        <v>10</v>
      </c>
      <c r="C78" t="s">
        <v>0</v>
      </c>
      <c r="D78" s="5">
        <v>5</v>
      </c>
      <c r="E78" s="7">
        <f>VLOOKUP($A78,'2016'!$A$3:$H$138,4,FALSE)</f>
        <v>4.8863262161083805</v>
      </c>
      <c r="F78" s="7">
        <f>VLOOKUP($A78,'2016'!$A$3:$H$138,5,FALSE)</f>
        <v>24.287915603597536</v>
      </c>
      <c r="G78" s="7">
        <f>VLOOKUP($A78,'2016'!$A$3:$H$138,6,FALSE)</f>
        <v>69.329268292682713</v>
      </c>
      <c r="H78" s="7">
        <f>VLOOKUP($A78,'2016'!$A$3:$H$138,7,FALSE)</f>
        <v>25.670731707317291</v>
      </c>
      <c r="I78" s="7">
        <f>VLOOKUP($A78,'2016'!$A$3:$H$138,8,FALSE)</f>
        <v>9.25</v>
      </c>
      <c r="J78" s="7">
        <f t="shared" si="4"/>
        <v>133.42424181970591</v>
      </c>
      <c r="K78" s="20" t="str">
        <f>IFERROR(VLOOKUP($A78,#REF!,2,FALSE),"")</f>
        <v/>
      </c>
      <c r="L78" s="20" t="str">
        <f>IFERROR(VLOOKUP($A78,#REF!,3,FALSE),"")</f>
        <v/>
      </c>
      <c r="M78" s="20" t="str">
        <f>IFERROR(VLOOKUP($A78,#REF!,4,FALSE),"")</f>
        <v/>
      </c>
      <c r="N78" s="20" t="str">
        <f>IFERROR(VLOOKUP($A78,#REF!,5,FALSE),"")</f>
        <v/>
      </c>
      <c r="O78" s="20" t="str">
        <f>IFERROR(VLOOKUP($A78,#REF!,6,FALSE),"")</f>
        <v/>
      </c>
      <c r="P78" s="20">
        <f t="shared" si="5"/>
        <v>0</v>
      </c>
      <c r="Q78" s="28">
        <f t="shared" si="6"/>
        <v>-1</v>
      </c>
      <c r="R78" s="31">
        <f t="shared" si="7"/>
        <v>17802.02830516336</v>
      </c>
      <c r="S78" s="5"/>
    </row>
    <row r="79" spans="1:19" x14ac:dyDescent="0.25">
      <c r="A79">
        <v>371</v>
      </c>
      <c r="B79">
        <v>10</v>
      </c>
      <c r="C79" t="s">
        <v>0</v>
      </c>
      <c r="D79" s="5">
        <v>5</v>
      </c>
      <c r="E79" s="7">
        <f>VLOOKUP($A79,'2016'!$A$3:$H$138,4,FALSE)</f>
        <v>6.8378378378378359</v>
      </c>
      <c r="F79" s="7">
        <f>VLOOKUP($A79,'2016'!$A$3:$H$138,5,FALSE)</f>
        <v>18.138906348208671</v>
      </c>
      <c r="G79" s="7">
        <f>VLOOKUP($A79,'2016'!$A$3:$H$138,6,FALSE)</f>
        <v>3.023255813953496</v>
      </c>
      <c r="H79" s="7">
        <f>VLOOKUP($A79,'2016'!$A$3:$H$138,7,FALSE)</f>
        <v>0</v>
      </c>
      <c r="I79" s="7">
        <f>VLOOKUP($A79,'2016'!$A$3:$H$138,8,FALSE)</f>
        <v>0</v>
      </c>
      <c r="J79" s="7">
        <f t="shared" si="4"/>
        <v>28.000000000000004</v>
      </c>
      <c r="K79" s="20" t="str">
        <f>IFERROR(VLOOKUP($A79,#REF!,2,FALSE),"")</f>
        <v/>
      </c>
      <c r="L79" s="20" t="str">
        <f>IFERROR(VLOOKUP($A79,#REF!,3,FALSE),"")</f>
        <v/>
      </c>
      <c r="M79" s="20" t="str">
        <f>IFERROR(VLOOKUP($A79,#REF!,4,FALSE),"")</f>
        <v/>
      </c>
      <c r="N79" s="20" t="str">
        <f>IFERROR(VLOOKUP($A79,#REF!,5,FALSE),"")</f>
        <v/>
      </c>
      <c r="O79" s="20" t="str">
        <f>IFERROR(VLOOKUP($A79,#REF!,6,FALSE),"")</f>
        <v/>
      </c>
      <c r="P79" s="20">
        <f t="shared" si="5"/>
        <v>0</v>
      </c>
      <c r="Q79" s="28">
        <f t="shared" si="6"/>
        <v>-1</v>
      </c>
      <c r="R79" s="31">
        <f t="shared" si="7"/>
        <v>784.00000000000023</v>
      </c>
      <c r="S79" s="5"/>
    </row>
    <row r="80" spans="1:19" x14ac:dyDescent="0.25">
      <c r="A80">
        <v>388</v>
      </c>
      <c r="B80">
        <v>10</v>
      </c>
      <c r="C80" t="s">
        <v>0</v>
      </c>
      <c r="D80" s="5">
        <v>5</v>
      </c>
      <c r="E80" s="7">
        <f>VLOOKUP($A80,'2016'!$A$3:$H$138,4,FALSE)</f>
        <v>17.255813953488378</v>
      </c>
      <c r="F80" s="7">
        <f>VLOOKUP($A80,'2016'!$A$3:$H$138,5,FALSE)</f>
        <v>82.514186046511625</v>
      </c>
      <c r="G80" s="7">
        <f>VLOOKUP($A80,'2016'!$A$3:$H$138,6,FALSE)</f>
        <v>301.47212258064474</v>
      </c>
      <c r="H80" s="7">
        <f>VLOOKUP($A80,'2016'!$A$3:$H$138,7,FALSE)</f>
        <v>179.64787741935532</v>
      </c>
      <c r="I80" s="7">
        <f>VLOOKUP($A80,'2016'!$A$3:$H$138,8,FALSE)</f>
        <v>88.53</v>
      </c>
      <c r="J80" s="7">
        <f t="shared" si="4"/>
        <v>669.42000000000007</v>
      </c>
      <c r="K80" s="20" t="str">
        <f>IFERROR(VLOOKUP($A80,#REF!,2,FALSE),"")</f>
        <v/>
      </c>
      <c r="L80" s="20" t="str">
        <f>IFERROR(VLOOKUP($A80,#REF!,3,FALSE),"")</f>
        <v/>
      </c>
      <c r="M80" s="20" t="str">
        <f>IFERROR(VLOOKUP($A80,#REF!,4,FALSE),"")</f>
        <v/>
      </c>
      <c r="N80" s="20" t="str">
        <f>IFERROR(VLOOKUP($A80,#REF!,5,FALSE),"")</f>
        <v/>
      </c>
      <c r="O80" s="20" t="str">
        <f>IFERROR(VLOOKUP($A80,#REF!,6,FALSE),"")</f>
        <v/>
      </c>
      <c r="P80" s="20">
        <f t="shared" si="5"/>
        <v>0</v>
      </c>
      <c r="Q80" s="28">
        <f t="shared" si="6"/>
        <v>-1</v>
      </c>
      <c r="R80" s="31">
        <f t="shared" si="7"/>
        <v>448123.13640000008</v>
      </c>
      <c r="S80" s="5"/>
    </row>
    <row r="81" spans="1:19" x14ac:dyDescent="0.25">
      <c r="A81">
        <v>389</v>
      </c>
      <c r="B81">
        <v>10</v>
      </c>
      <c r="C81" t="s">
        <v>0</v>
      </c>
      <c r="D81" s="5">
        <v>5</v>
      </c>
      <c r="E81" s="7">
        <f>VLOOKUP($A81,'2016'!$A$3:$H$138,4,FALSE)</f>
        <v>0</v>
      </c>
      <c r="F81" s="7">
        <f>VLOOKUP($A81,'2016'!$A$3:$H$138,5,FALSE)</f>
        <v>24.72169607733499</v>
      </c>
      <c r="G81" s="7">
        <f>VLOOKUP($A81,'2016'!$A$3:$H$138,6,FALSE)</f>
        <v>83.342604980838146</v>
      </c>
      <c r="H81" s="7">
        <f>VLOOKUP($A81,'2016'!$A$3:$H$138,7,FALSE)</f>
        <v>34.38009039003002</v>
      </c>
      <c r="I81" s="7">
        <f>VLOOKUP($A81,'2016'!$A$3:$H$138,8,FALSE)</f>
        <v>23.720673389105144</v>
      </c>
      <c r="J81" s="7">
        <f t="shared" si="4"/>
        <v>166.16506483730828</v>
      </c>
      <c r="K81" s="20" t="str">
        <f>IFERROR(VLOOKUP($A81,#REF!,2,FALSE),"")</f>
        <v/>
      </c>
      <c r="L81" s="20" t="str">
        <f>IFERROR(VLOOKUP($A81,#REF!,3,FALSE),"")</f>
        <v/>
      </c>
      <c r="M81" s="20" t="str">
        <f>IFERROR(VLOOKUP($A81,#REF!,4,FALSE),"")</f>
        <v/>
      </c>
      <c r="N81" s="20" t="str">
        <f>IFERROR(VLOOKUP($A81,#REF!,5,FALSE),"")</f>
        <v/>
      </c>
      <c r="O81" s="20" t="str">
        <f>IFERROR(VLOOKUP($A81,#REF!,6,FALSE),"")</f>
        <v/>
      </c>
      <c r="P81" s="20">
        <f t="shared" si="5"/>
        <v>0</v>
      </c>
      <c r="Q81" s="28">
        <f t="shared" si="6"/>
        <v>-1</v>
      </c>
      <c r="R81" s="31">
        <f t="shared" si="7"/>
        <v>27610.828772386863</v>
      </c>
      <c r="S81" s="5"/>
    </row>
    <row r="82" spans="1:19" x14ac:dyDescent="0.25">
      <c r="A82">
        <v>392</v>
      </c>
      <c r="B82">
        <v>10</v>
      </c>
      <c r="C82" t="s">
        <v>0</v>
      </c>
      <c r="D82" s="5">
        <v>5</v>
      </c>
      <c r="E82" s="7">
        <f>VLOOKUP($A82,'2016'!$A$3:$H$138,4,FALSE)</f>
        <v>2.699999999999998</v>
      </c>
      <c r="F82" s="7">
        <f>VLOOKUP($A82,'2016'!$A$3:$H$138,5,FALSE)</f>
        <v>38.32</v>
      </c>
      <c r="G82" s="7">
        <f>VLOOKUP($A82,'2016'!$A$3:$H$138,6,FALSE)</f>
        <v>58.449999999999847</v>
      </c>
      <c r="H82" s="7">
        <f>VLOOKUP($A82,'2016'!$A$3:$H$138,7,FALSE)</f>
        <v>22.810000000000151</v>
      </c>
      <c r="I82" s="7">
        <f>VLOOKUP($A82,'2016'!$A$3:$H$138,8,FALSE)</f>
        <v>0</v>
      </c>
      <c r="J82" s="7">
        <f t="shared" si="4"/>
        <v>122.28</v>
      </c>
      <c r="K82" s="20" t="str">
        <f>IFERROR(VLOOKUP($A82,#REF!,2,FALSE),"")</f>
        <v/>
      </c>
      <c r="L82" s="20" t="str">
        <f>IFERROR(VLOOKUP($A82,#REF!,3,FALSE),"")</f>
        <v/>
      </c>
      <c r="M82" s="20" t="str">
        <f>IFERROR(VLOOKUP($A82,#REF!,4,FALSE),"")</f>
        <v/>
      </c>
      <c r="N82" s="20" t="str">
        <f>IFERROR(VLOOKUP($A82,#REF!,5,FALSE),"")</f>
        <v/>
      </c>
      <c r="O82" s="20" t="str">
        <f>IFERROR(VLOOKUP($A82,#REF!,6,FALSE),"")</f>
        <v/>
      </c>
      <c r="P82" s="20">
        <f t="shared" si="5"/>
        <v>0</v>
      </c>
      <c r="Q82" s="28">
        <f t="shared" si="6"/>
        <v>-1</v>
      </c>
      <c r="R82" s="31">
        <f t="shared" si="7"/>
        <v>14952.3984</v>
      </c>
      <c r="S82" s="5"/>
    </row>
    <row r="83" spans="1:19" x14ac:dyDescent="0.25">
      <c r="A83">
        <v>395</v>
      </c>
      <c r="B83">
        <v>10</v>
      </c>
      <c r="C83" t="s">
        <v>0</v>
      </c>
      <c r="D83" s="5">
        <v>5</v>
      </c>
      <c r="E83" s="7">
        <f>VLOOKUP($A83,'2016'!$A$3:$H$138,4,FALSE)</f>
        <v>0</v>
      </c>
      <c r="F83" s="7">
        <f>VLOOKUP($A83,'2016'!$A$3:$H$138,5,FALSE)</f>
        <v>23.456103896103897</v>
      </c>
      <c r="G83" s="7">
        <f>VLOOKUP($A83,'2016'!$A$3:$H$138,6,FALSE)</f>
        <v>69.818571428571346</v>
      </c>
      <c r="H83" s="7">
        <f>VLOOKUP($A83,'2016'!$A$3:$H$138,7,FALSE)</f>
        <v>49.915973009061013</v>
      </c>
      <c r="I83" s="7">
        <f>VLOOKUP($A83,'2016'!$A$3:$H$138,8,FALSE)</f>
        <v>42.437183209357279</v>
      </c>
      <c r="J83" s="7">
        <f t="shared" si="4"/>
        <v>185.62783154309352</v>
      </c>
      <c r="K83" s="20" t="str">
        <f>IFERROR(VLOOKUP($A83,#REF!,2,FALSE),"")</f>
        <v/>
      </c>
      <c r="L83" s="20" t="str">
        <f>IFERROR(VLOOKUP($A83,#REF!,3,FALSE),"")</f>
        <v/>
      </c>
      <c r="M83" s="20" t="str">
        <f>IFERROR(VLOOKUP($A83,#REF!,4,FALSE),"")</f>
        <v/>
      </c>
      <c r="N83" s="20" t="str">
        <f>IFERROR(VLOOKUP($A83,#REF!,5,FALSE),"")</f>
        <v/>
      </c>
      <c r="O83" s="20" t="str">
        <f>IFERROR(VLOOKUP($A83,#REF!,6,FALSE),"")</f>
        <v/>
      </c>
      <c r="P83" s="20">
        <f t="shared" si="5"/>
        <v>0</v>
      </c>
      <c r="Q83" s="28">
        <f t="shared" si="6"/>
        <v>-1</v>
      </c>
      <c r="R83" s="31">
        <f t="shared" si="7"/>
        <v>34457.691843391105</v>
      </c>
      <c r="S83" s="5"/>
    </row>
    <row r="84" spans="1:19" x14ac:dyDescent="0.25">
      <c r="A84">
        <v>444</v>
      </c>
      <c r="B84">
        <v>10</v>
      </c>
      <c r="C84" t="s">
        <v>0</v>
      </c>
      <c r="D84" s="5">
        <v>5</v>
      </c>
      <c r="E84" s="7">
        <f>VLOOKUP($A84,'2016'!$A$3:$H$138,4,FALSE)</f>
        <v>0</v>
      </c>
      <c r="F84" s="7">
        <f>VLOOKUP($A84,'2016'!$A$3:$H$138,5,FALSE)</f>
        <v>26.399999999999981</v>
      </c>
      <c r="G84" s="7">
        <f>VLOOKUP($A84,'2016'!$A$3:$H$138,6,FALSE)</f>
        <v>2.0000000000000195</v>
      </c>
      <c r="H84" s="7">
        <f>VLOOKUP($A84,'2016'!$A$3:$H$138,7,FALSE)</f>
        <v>22.2</v>
      </c>
      <c r="I84" s="7">
        <f>VLOOKUP($A84,'2016'!$A$3:$H$138,8,FALSE)</f>
        <v>0</v>
      </c>
      <c r="J84" s="7">
        <f t="shared" si="4"/>
        <v>50.599999999999994</v>
      </c>
      <c r="K84" s="20" t="str">
        <f>IFERROR(VLOOKUP($A84,#REF!,2,FALSE),"")</f>
        <v/>
      </c>
      <c r="L84" s="20" t="str">
        <f>IFERROR(VLOOKUP($A84,#REF!,3,FALSE),"")</f>
        <v/>
      </c>
      <c r="M84" s="20" t="str">
        <f>IFERROR(VLOOKUP($A84,#REF!,4,FALSE),"")</f>
        <v/>
      </c>
      <c r="N84" s="20" t="str">
        <f>IFERROR(VLOOKUP($A84,#REF!,5,FALSE),"")</f>
        <v/>
      </c>
      <c r="O84" s="20" t="str">
        <f>IFERROR(VLOOKUP($A84,#REF!,6,FALSE),"")</f>
        <v/>
      </c>
      <c r="P84" s="20">
        <f t="shared" si="5"/>
        <v>0</v>
      </c>
      <c r="Q84" s="28">
        <f t="shared" si="6"/>
        <v>-1</v>
      </c>
      <c r="R84" s="31">
        <f t="shared" si="7"/>
        <v>2560.3599999999992</v>
      </c>
      <c r="S84" s="5"/>
    </row>
    <row r="85" spans="1:19" x14ac:dyDescent="0.25">
      <c r="A85">
        <v>445</v>
      </c>
      <c r="B85">
        <v>10</v>
      </c>
      <c r="C85" t="s">
        <v>0</v>
      </c>
      <c r="D85" s="5">
        <v>5</v>
      </c>
      <c r="E85" s="7">
        <f>VLOOKUP($A85,'2016'!$A$3:$H$138,4,FALSE)</f>
        <v>0</v>
      </c>
      <c r="F85" s="7">
        <f>VLOOKUP($A85,'2016'!$A$3:$H$138,5,FALSE)</f>
        <v>60.320000000000007</v>
      </c>
      <c r="G85" s="7">
        <f>VLOOKUP($A85,'2016'!$A$3:$H$138,6,FALSE)</f>
        <v>1.3999999999999955</v>
      </c>
      <c r="H85" s="7">
        <f>VLOOKUP($A85,'2016'!$A$3:$H$138,7,FALSE)</f>
        <v>45.73</v>
      </c>
      <c r="I85" s="7">
        <f>VLOOKUP($A85,'2016'!$A$3:$H$138,8,FALSE)</f>
        <v>0</v>
      </c>
      <c r="J85" s="7">
        <f t="shared" si="4"/>
        <v>107.45</v>
      </c>
      <c r="K85" s="20" t="str">
        <f>IFERROR(VLOOKUP($A85,#REF!,2,FALSE),"")</f>
        <v/>
      </c>
      <c r="L85" s="20" t="str">
        <f>IFERROR(VLOOKUP($A85,#REF!,3,FALSE),"")</f>
        <v/>
      </c>
      <c r="M85" s="20" t="str">
        <f>IFERROR(VLOOKUP($A85,#REF!,4,FALSE),"")</f>
        <v/>
      </c>
      <c r="N85" s="20" t="str">
        <f>IFERROR(VLOOKUP($A85,#REF!,5,FALSE),"")</f>
        <v/>
      </c>
      <c r="O85" s="20" t="str">
        <f>IFERROR(VLOOKUP($A85,#REF!,6,FALSE),"")</f>
        <v/>
      </c>
      <c r="P85" s="20">
        <f t="shared" si="5"/>
        <v>0</v>
      </c>
      <c r="Q85" s="28">
        <f t="shared" si="6"/>
        <v>-1</v>
      </c>
      <c r="R85" s="31">
        <f t="shared" si="7"/>
        <v>11545.502500000001</v>
      </c>
      <c r="S85" s="5"/>
    </row>
    <row r="86" spans="1:19" x14ac:dyDescent="0.25">
      <c r="A86">
        <v>446</v>
      </c>
      <c r="B86">
        <v>10</v>
      </c>
      <c r="C86" t="s">
        <v>0</v>
      </c>
      <c r="D86" s="5">
        <v>5</v>
      </c>
      <c r="E86" s="7">
        <f>VLOOKUP($A86,'2016'!$A$3:$H$138,4,FALSE)</f>
        <v>0</v>
      </c>
      <c r="F86" s="7">
        <f>VLOOKUP($A86,'2016'!$A$3:$H$138,5,FALSE)</f>
        <v>4</v>
      </c>
      <c r="G86" s="7">
        <f>VLOOKUP($A86,'2016'!$A$3:$H$138,6,FALSE)</f>
        <v>0</v>
      </c>
      <c r="H86" s="7">
        <f>VLOOKUP($A86,'2016'!$A$3:$H$138,7,FALSE)</f>
        <v>7.5</v>
      </c>
      <c r="I86" s="7">
        <f>VLOOKUP($A86,'2016'!$A$3:$H$138,8,FALSE)</f>
        <v>0</v>
      </c>
      <c r="J86" s="7">
        <f t="shared" si="4"/>
        <v>11.5</v>
      </c>
      <c r="K86" s="20" t="str">
        <f>IFERROR(VLOOKUP($A86,#REF!,2,FALSE),"")</f>
        <v/>
      </c>
      <c r="L86" s="20" t="str">
        <f>IFERROR(VLOOKUP($A86,#REF!,3,FALSE),"")</f>
        <v/>
      </c>
      <c r="M86" s="20" t="str">
        <f>IFERROR(VLOOKUP($A86,#REF!,4,FALSE),"")</f>
        <v/>
      </c>
      <c r="N86" s="20" t="str">
        <f>IFERROR(VLOOKUP($A86,#REF!,5,FALSE),"")</f>
        <v/>
      </c>
      <c r="O86" s="20" t="str">
        <f>IFERROR(VLOOKUP($A86,#REF!,6,FALSE),"")</f>
        <v/>
      </c>
      <c r="P86" s="20">
        <f t="shared" si="5"/>
        <v>0</v>
      </c>
      <c r="Q86" s="28">
        <f t="shared" si="6"/>
        <v>-1</v>
      </c>
      <c r="R86" s="31">
        <f t="shared" si="7"/>
        <v>132.25</v>
      </c>
      <c r="S86" s="5"/>
    </row>
    <row r="87" spans="1:19" x14ac:dyDescent="0.25">
      <c r="A87">
        <v>701</v>
      </c>
      <c r="B87">
        <v>10</v>
      </c>
      <c r="C87" t="s">
        <v>0</v>
      </c>
      <c r="D87" s="5">
        <v>5</v>
      </c>
      <c r="E87" s="7">
        <f>VLOOKUP($A87,'2016'!$A$3:$H$138,4,FALSE)</f>
        <v>21.859999999999978</v>
      </c>
      <c r="F87" s="7">
        <f>VLOOKUP($A87,'2016'!$A$3:$H$138,5,FALSE)</f>
        <v>449.1447270615563</v>
      </c>
      <c r="G87" s="7">
        <f>VLOOKUP($A87,'2016'!$A$3:$H$138,6,FALSE)</f>
        <v>1055.8490837206834</v>
      </c>
      <c r="H87" s="7">
        <f>VLOOKUP($A87,'2016'!$A$3:$H$138,7,FALSE)</f>
        <v>412.02540490403544</v>
      </c>
      <c r="I87" s="7">
        <f>VLOOKUP($A87,'2016'!$A$3:$H$138,8,FALSE)</f>
        <v>83.360784313725162</v>
      </c>
      <c r="J87" s="7">
        <f t="shared" si="4"/>
        <v>2022.2400000000002</v>
      </c>
      <c r="K87" s="20" t="str">
        <f>IFERROR(VLOOKUP($A87,#REF!,2,FALSE),"")</f>
        <v/>
      </c>
      <c r="L87" s="20" t="str">
        <f>IFERROR(VLOOKUP($A87,#REF!,3,FALSE),"")</f>
        <v/>
      </c>
      <c r="M87" s="20" t="str">
        <f>IFERROR(VLOOKUP($A87,#REF!,4,FALSE),"")</f>
        <v/>
      </c>
      <c r="N87" s="20" t="str">
        <f>IFERROR(VLOOKUP($A87,#REF!,5,FALSE),"")</f>
        <v/>
      </c>
      <c r="O87" s="20" t="str">
        <f>IFERROR(VLOOKUP($A87,#REF!,6,FALSE),"")</f>
        <v/>
      </c>
      <c r="P87" s="20">
        <f t="shared" si="5"/>
        <v>0</v>
      </c>
      <c r="Q87" s="28">
        <f t="shared" si="6"/>
        <v>-1</v>
      </c>
      <c r="R87" s="31">
        <f t="shared" si="7"/>
        <v>4089454.6176000009</v>
      </c>
      <c r="S87" s="5"/>
    </row>
    <row r="88" spans="1:19" x14ac:dyDescent="0.25">
      <c r="A88">
        <v>704</v>
      </c>
      <c r="B88">
        <v>10</v>
      </c>
      <c r="C88" t="s">
        <v>0</v>
      </c>
      <c r="D88" s="5">
        <v>5</v>
      </c>
      <c r="E88" s="7">
        <f>VLOOKUP($A88,'2016'!$A$3:$H$138,4,FALSE)</f>
        <v>44.65588235294117</v>
      </c>
      <c r="F88" s="7">
        <f>VLOOKUP($A88,'2016'!$A$3:$H$138,5,FALSE)</f>
        <v>374.45788453089801</v>
      </c>
      <c r="G88" s="7">
        <f>VLOOKUP($A88,'2016'!$A$3:$H$138,6,FALSE)</f>
        <v>842.98771663264301</v>
      </c>
      <c r="H88" s="7">
        <f>VLOOKUP($A88,'2016'!$A$3:$H$138,7,FALSE)</f>
        <v>393.1169093406611</v>
      </c>
      <c r="I88" s="7">
        <f>VLOOKUP($A88,'2016'!$A$3:$H$138,8,FALSE)</f>
        <v>100.72160714285677</v>
      </c>
      <c r="J88" s="7">
        <f t="shared" si="4"/>
        <v>1755.94</v>
      </c>
      <c r="K88" s="20" t="str">
        <f>IFERROR(VLOOKUP($A88,#REF!,2,FALSE),"")</f>
        <v/>
      </c>
      <c r="L88" s="20" t="str">
        <f>IFERROR(VLOOKUP($A88,#REF!,3,FALSE),"")</f>
        <v/>
      </c>
      <c r="M88" s="20" t="str">
        <f>IFERROR(VLOOKUP($A88,#REF!,4,FALSE),"")</f>
        <v/>
      </c>
      <c r="N88" s="20" t="str">
        <f>IFERROR(VLOOKUP($A88,#REF!,5,FALSE),"")</f>
        <v/>
      </c>
      <c r="O88" s="20" t="str">
        <f>IFERROR(VLOOKUP($A88,#REF!,6,FALSE),"")</f>
        <v/>
      </c>
      <c r="P88" s="20">
        <f t="shared" si="5"/>
        <v>0</v>
      </c>
      <c r="Q88" s="28">
        <f t="shared" si="6"/>
        <v>-1</v>
      </c>
      <c r="R88" s="31">
        <f t="shared" si="7"/>
        <v>3083325.2836000002</v>
      </c>
      <c r="S88" s="5"/>
    </row>
    <row r="89" spans="1:19" x14ac:dyDescent="0.25">
      <c r="A89">
        <v>705</v>
      </c>
      <c r="B89">
        <v>10</v>
      </c>
      <c r="C89" t="s">
        <v>0</v>
      </c>
      <c r="D89" s="5">
        <v>5</v>
      </c>
      <c r="E89" s="7">
        <f>VLOOKUP($A89,'2016'!$A$3:$H$138,4,FALSE)</f>
        <v>0</v>
      </c>
      <c r="F89" s="7">
        <f>VLOOKUP($A89,'2016'!$A$3:$H$138,5,FALSE)</f>
        <v>158.38</v>
      </c>
      <c r="G89" s="7">
        <f>VLOOKUP($A89,'2016'!$A$3:$H$138,6,FALSE)</f>
        <v>488.71826923076839</v>
      </c>
      <c r="H89" s="7">
        <f>VLOOKUP($A89,'2016'!$A$3:$H$138,7,FALSE)</f>
        <v>241.06173076923147</v>
      </c>
      <c r="I89" s="7">
        <f>VLOOKUP($A89,'2016'!$A$3:$H$138,8,FALSE)</f>
        <v>42.54</v>
      </c>
      <c r="J89" s="7">
        <f t="shared" si="4"/>
        <v>930.69999999999982</v>
      </c>
      <c r="K89" s="20" t="str">
        <f>IFERROR(VLOOKUP($A89,#REF!,2,FALSE),"")</f>
        <v/>
      </c>
      <c r="L89" s="20" t="str">
        <f>IFERROR(VLOOKUP($A89,#REF!,3,FALSE),"")</f>
        <v/>
      </c>
      <c r="M89" s="20" t="str">
        <f>IFERROR(VLOOKUP($A89,#REF!,4,FALSE),"")</f>
        <v/>
      </c>
      <c r="N89" s="20" t="str">
        <f>IFERROR(VLOOKUP($A89,#REF!,5,FALSE),"")</f>
        <v/>
      </c>
      <c r="O89" s="20" t="str">
        <f>IFERROR(VLOOKUP($A89,#REF!,6,FALSE),"")</f>
        <v/>
      </c>
      <c r="P89" s="20">
        <f t="shared" si="5"/>
        <v>0</v>
      </c>
      <c r="Q89" s="28">
        <f t="shared" si="6"/>
        <v>-1</v>
      </c>
      <c r="R89" s="31">
        <f t="shared" si="7"/>
        <v>866202.48999999964</v>
      </c>
      <c r="S89" s="5"/>
    </row>
    <row r="90" spans="1:19" x14ac:dyDescent="0.25">
      <c r="A90">
        <v>707</v>
      </c>
      <c r="B90">
        <v>10</v>
      </c>
      <c r="C90" t="s">
        <v>0</v>
      </c>
      <c r="D90" s="5">
        <v>5</v>
      </c>
      <c r="E90" s="7">
        <f>VLOOKUP($A90,'2016'!$A$3:$H$138,4,FALSE)</f>
        <v>0</v>
      </c>
      <c r="F90" s="7">
        <f>VLOOKUP($A90,'2016'!$A$3:$H$138,5,FALSE)</f>
        <v>7.16</v>
      </c>
      <c r="G90" s="7">
        <f>VLOOKUP($A90,'2016'!$A$3:$H$138,6,FALSE)</f>
        <v>183.7</v>
      </c>
      <c r="H90" s="7">
        <f>VLOOKUP($A90,'2016'!$A$3:$H$138,7,FALSE)</f>
        <v>49.55</v>
      </c>
      <c r="I90" s="7">
        <f>VLOOKUP($A90,'2016'!$A$3:$H$138,8,FALSE)</f>
        <v>4.21</v>
      </c>
      <c r="J90" s="7">
        <f t="shared" si="4"/>
        <v>244.61999999999998</v>
      </c>
      <c r="K90" s="20" t="str">
        <f>IFERROR(VLOOKUP($A90,#REF!,2,FALSE),"")</f>
        <v/>
      </c>
      <c r="L90" s="20" t="str">
        <f>IFERROR(VLOOKUP($A90,#REF!,3,FALSE),"")</f>
        <v/>
      </c>
      <c r="M90" s="20" t="str">
        <f>IFERROR(VLOOKUP($A90,#REF!,4,FALSE),"")</f>
        <v/>
      </c>
      <c r="N90" s="20" t="str">
        <f>IFERROR(VLOOKUP($A90,#REF!,5,FALSE),"")</f>
        <v/>
      </c>
      <c r="O90" s="20" t="str">
        <f>IFERROR(VLOOKUP($A90,#REF!,6,FALSE),"")</f>
        <v/>
      </c>
      <c r="P90" s="20">
        <f t="shared" si="5"/>
        <v>0</v>
      </c>
      <c r="Q90" s="28">
        <f t="shared" si="6"/>
        <v>-1</v>
      </c>
      <c r="R90" s="31">
        <f t="shared" si="7"/>
        <v>59838.944399999986</v>
      </c>
      <c r="S90" s="5"/>
    </row>
    <row r="91" spans="1:19" x14ac:dyDescent="0.25">
      <c r="A91">
        <v>709</v>
      </c>
      <c r="B91">
        <v>10</v>
      </c>
      <c r="C91" t="s">
        <v>0</v>
      </c>
      <c r="D91" s="5">
        <v>5</v>
      </c>
      <c r="E91" s="7">
        <f>VLOOKUP($A91,'2016'!$A$3:$H$138,4,FALSE)</f>
        <v>50.481456521739098</v>
      </c>
      <c r="F91" s="7">
        <f>VLOOKUP($A91,'2016'!$A$3:$H$138,5,FALSE)</f>
        <v>881.02605115589915</v>
      </c>
      <c r="G91" s="7">
        <f>VLOOKUP($A91,'2016'!$A$3:$H$138,6,FALSE)</f>
        <v>1545.400462765135</v>
      </c>
      <c r="H91" s="7">
        <f>VLOOKUP($A91,'2016'!$A$3:$H$138,7,FALSE)</f>
        <v>739.39341539022928</v>
      </c>
      <c r="I91" s="7">
        <f>VLOOKUP($A91,'2016'!$A$3:$H$138,8,FALSE)</f>
        <v>156.21066239316133</v>
      </c>
      <c r="J91" s="7">
        <f t="shared" si="4"/>
        <v>3372.5120482261636</v>
      </c>
      <c r="K91" s="20" t="str">
        <f>IFERROR(VLOOKUP($A91,#REF!,2,FALSE),"")</f>
        <v/>
      </c>
      <c r="L91" s="20" t="str">
        <f>IFERROR(VLOOKUP($A91,#REF!,3,FALSE),"")</f>
        <v/>
      </c>
      <c r="M91" s="20" t="str">
        <f>IFERROR(VLOOKUP($A91,#REF!,4,FALSE),"")</f>
        <v/>
      </c>
      <c r="N91" s="20" t="str">
        <f>IFERROR(VLOOKUP($A91,#REF!,5,FALSE),"")</f>
        <v/>
      </c>
      <c r="O91" s="20" t="str">
        <f>IFERROR(VLOOKUP($A91,#REF!,6,FALSE),"")</f>
        <v/>
      </c>
      <c r="P91" s="20">
        <f t="shared" si="5"/>
        <v>0</v>
      </c>
      <c r="Q91" s="28">
        <f t="shared" si="6"/>
        <v>-1</v>
      </c>
      <c r="R91" s="31">
        <f t="shared" si="7"/>
        <v>11373837.515430633</v>
      </c>
      <c r="S91" s="5"/>
    </row>
    <row r="92" spans="1:19" x14ac:dyDescent="0.25">
      <c r="A92">
        <v>712</v>
      </c>
      <c r="B92">
        <v>10</v>
      </c>
      <c r="C92" t="s">
        <v>0</v>
      </c>
      <c r="D92" s="5">
        <v>5</v>
      </c>
      <c r="E92" s="7">
        <f>VLOOKUP($A92,'2016'!$A$3:$H$138,4,FALSE)</f>
        <v>38.021538461538441</v>
      </c>
      <c r="F92" s="7">
        <f>VLOOKUP($A92,'2016'!$A$3:$H$138,5,FALSE)</f>
        <v>478.08443956043953</v>
      </c>
      <c r="G92" s="7">
        <f>VLOOKUP($A92,'2016'!$A$3:$H$138,6,FALSE)</f>
        <v>1183.410307692305</v>
      </c>
      <c r="H92" s="7">
        <f>VLOOKUP($A92,'2016'!$A$3:$H$138,7,FALSE)</f>
        <v>531.58621428571746</v>
      </c>
      <c r="I92" s="7">
        <f>VLOOKUP($A92,'2016'!$A$3:$H$138,8,FALSE)</f>
        <v>146.57749999999905</v>
      </c>
      <c r="J92" s="7">
        <f t="shared" si="4"/>
        <v>2377.6799999999994</v>
      </c>
      <c r="K92" s="20" t="str">
        <f>IFERROR(VLOOKUP($A92,#REF!,2,FALSE),"")</f>
        <v/>
      </c>
      <c r="L92" s="20" t="str">
        <f>IFERROR(VLOOKUP($A92,#REF!,3,FALSE),"")</f>
        <v/>
      </c>
      <c r="M92" s="20" t="str">
        <f>IFERROR(VLOOKUP($A92,#REF!,4,FALSE),"")</f>
        <v/>
      </c>
      <c r="N92" s="20" t="str">
        <f>IFERROR(VLOOKUP($A92,#REF!,5,FALSE),"")</f>
        <v/>
      </c>
      <c r="O92" s="20" t="str">
        <f>IFERROR(VLOOKUP($A92,#REF!,6,FALSE),"")</f>
        <v/>
      </c>
      <c r="P92" s="20">
        <f t="shared" si="5"/>
        <v>0</v>
      </c>
      <c r="Q92" s="28">
        <f t="shared" si="6"/>
        <v>-1</v>
      </c>
      <c r="R92" s="31">
        <f t="shared" si="7"/>
        <v>5653362.1823999975</v>
      </c>
      <c r="S92" s="5"/>
    </row>
    <row r="93" spans="1:19" x14ac:dyDescent="0.25">
      <c r="A93">
        <v>815</v>
      </c>
      <c r="B93">
        <v>10</v>
      </c>
      <c r="C93" t="s">
        <v>0</v>
      </c>
      <c r="D93" s="5">
        <v>5</v>
      </c>
      <c r="E93" s="7">
        <f>VLOOKUP($A93,'2016'!$A$3:$H$138,4,FALSE)</f>
        <v>26.380999999999979</v>
      </c>
      <c r="F93" s="7">
        <f>VLOOKUP($A93,'2016'!$A$3:$H$138,5,FALSE)</f>
        <v>155.13240659340664</v>
      </c>
      <c r="G93" s="7">
        <f>VLOOKUP($A93,'2016'!$A$3:$H$138,6,FALSE)</f>
        <v>503.28890109890023</v>
      </c>
      <c r="H93" s="7">
        <f>VLOOKUP($A93,'2016'!$A$3:$H$138,7,FALSE)</f>
        <v>198.557692307693</v>
      </c>
      <c r="I93" s="7">
        <f>VLOOKUP($A93,'2016'!$A$3:$H$138,8,FALSE)</f>
        <v>64.84</v>
      </c>
      <c r="J93" s="7">
        <f t="shared" si="4"/>
        <v>948.19999999999993</v>
      </c>
      <c r="K93" s="20" t="str">
        <f>IFERROR(VLOOKUP($A93,#REF!,2,FALSE),"")</f>
        <v/>
      </c>
      <c r="L93" s="20" t="str">
        <f>IFERROR(VLOOKUP($A93,#REF!,3,FALSE),"")</f>
        <v/>
      </c>
      <c r="M93" s="20" t="str">
        <f>IFERROR(VLOOKUP($A93,#REF!,4,FALSE),"")</f>
        <v/>
      </c>
      <c r="N93" s="20" t="str">
        <f>IFERROR(VLOOKUP($A93,#REF!,5,FALSE),"")</f>
        <v/>
      </c>
      <c r="O93" s="20" t="str">
        <f>IFERROR(VLOOKUP($A93,#REF!,6,FALSE),"")</f>
        <v/>
      </c>
      <c r="P93" s="20">
        <f t="shared" si="5"/>
        <v>0</v>
      </c>
      <c r="Q93" s="28">
        <f t="shared" si="6"/>
        <v>-1</v>
      </c>
      <c r="R93" s="31">
        <f t="shared" si="7"/>
        <v>899083.23999999987</v>
      </c>
      <c r="S93" s="5"/>
    </row>
    <row r="94" spans="1:19" x14ac:dyDescent="0.25">
      <c r="A94">
        <v>816</v>
      </c>
      <c r="B94">
        <v>10</v>
      </c>
      <c r="C94" t="s">
        <v>0</v>
      </c>
      <c r="D94" s="5">
        <v>5</v>
      </c>
      <c r="E94" s="7">
        <f>VLOOKUP($A94,'2016'!$A$3:$H$138,4,FALSE)</f>
        <v>33.353999999999999</v>
      </c>
      <c r="F94" s="7">
        <f>VLOOKUP($A94,'2016'!$A$3:$H$138,5,FALSE)</f>
        <v>214.10672192513371</v>
      </c>
      <c r="G94" s="7">
        <f>VLOOKUP($A94,'2016'!$A$3:$H$138,6,FALSE)</f>
        <v>614.47593582887646</v>
      </c>
      <c r="H94" s="7">
        <f>VLOOKUP($A94,'2016'!$A$3:$H$138,7,FALSE)</f>
        <v>257.01690474599008</v>
      </c>
      <c r="I94" s="7">
        <f>VLOOKUP($A94,'2016'!$A$3:$H$138,8,FALSE)</f>
        <v>11.506437499999743</v>
      </c>
      <c r="J94" s="7">
        <f t="shared" si="4"/>
        <v>1130.46</v>
      </c>
      <c r="K94" s="20" t="str">
        <f>IFERROR(VLOOKUP($A94,#REF!,2,FALSE),"")</f>
        <v/>
      </c>
      <c r="L94" s="20" t="str">
        <f>IFERROR(VLOOKUP($A94,#REF!,3,FALSE),"")</f>
        <v/>
      </c>
      <c r="M94" s="20" t="str">
        <f>IFERROR(VLOOKUP($A94,#REF!,4,FALSE),"")</f>
        <v/>
      </c>
      <c r="N94" s="20" t="str">
        <f>IFERROR(VLOOKUP($A94,#REF!,5,FALSE),"")</f>
        <v/>
      </c>
      <c r="O94" s="20" t="str">
        <f>IFERROR(VLOOKUP($A94,#REF!,6,FALSE),"")</f>
        <v/>
      </c>
      <c r="P94" s="20">
        <f t="shared" si="5"/>
        <v>0</v>
      </c>
      <c r="Q94" s="28">
        <f t="shared" si="6"/>
        <v>-1</v>
      </c>
      <c r="R94" s="31">
        <f t="shared" si="7"/>
        <v>1277939.8116000001</v>
      </c>
      <c r="S94" s="5"/>
    </row>
    <row r="95" spans="1:19" x14ac:dyDescent="0.25">
      <c r="A95">
        <v>832</v>
      </c>
      <c r="B95">
        <v>10</v>
      </c>
      <c r="C95" t="s">
        <v>0</v>
      </c>
      <c r="D95" s="5">
        <v>5</v>
      </c>
      <c r="E95" s="7">
        <f>VLOOKUP($A95,'2016'!$A$3:$H$138,4,FALSE)</f>
        <v>0</v>
      </c>
      <c r="F95" s="7">
        <f>VLOOKUP($A95,'2016'!$A$3:$H$138,5,FALSE)</f>
        <v>65.459999999999994</v>
      </c>
      <c r="G95" s="7">
        <f>VLOOKUP($A95,'2016'!$A$3:$H$138,6,FALSE)</f>
        <v>90.21</v>
      </c>
      <c r="H95" s="7">
        <f>VLOOKUP($A95,'2016'!$A$3:$H$138,7,FALSE)</f>
        <v>38.81</v>
      </c>
      <c r="I95" s="7">
        <f>VLOOKUP($A95,'2016'!$A$3:$H$138,8,FALSE)</f>
        <v>0</v>
      </c>
      <c r="J95" s="7">
        <f t="shared" si="4"/>
        <v>194.48</v>
      </c>
      <c r="K95" s="20" t="str">
        <f>IFERROR(VLOOKUP($A95,#REF!,2,FALSE),"")</f>
        <v/>
      </c>
      <c r="L95" s="20" t="str">
        <f>IFERROR(VLOOKUP($A95,#REF!,3,FALSE),"")</f>
        <v/>
      </c>
      <c r="M95" s="20" t="str">
        <f>IFERROR(VLOOKUP($A95,#REF!,4,FALSE),"")</f>
        <v/>
      </c>
      <c r="N95" s="20" t="str">
        <f>IFERROR(VLOOKUP($A95,#REF!,5,FALSE),"")</f>
        <v/>
      </c>
      <c r="O95" s="20" t="str">
        <f>IFERROR(VLOOKUP($A95,#REF!,6,FALSE),"")</f>
        <v/>
      </c>
      <c r="P95" s="20">
        <f t="shared" si="5"/>
        <v>0</v>
      </c>
      <c r="Q95" s="28">
        <f t="shared" si="6"/>
        <v>-1</v>
      </c>
      <c r="R95" s="31">
        <f t="shared" si="7"/>
        <v>37822.470399999998</v>
      </c>
      <c r="S95" s="5"/>
    </row>
    <row r="96" spans="1:19" x14ac:dyDescent="0.25">
      <c r="A96">
        <v>833</v>
      </c>
      <c r="B96">
        <v>10</v>
      </c>
      <c r="C96" t="s">
        <v>0</v>
      </c>
      <c r="D96" s="5">
        <v>5</v>
      </c>
      <c r="E96" s="7">
        <f>VLOOKUP($A96,'2016'!$A$3:$H$138,4,FALSE)</f>
        <v>13.333333333333311</v>
      </c>
      <c r="F96" s="7">
        <f>VLOOKUP($A96,'2016'!$A$3:$H$138,5,FALSE)</f>
        <v>113.9569892473118</v>
      </c>
      <c r="G96" s="7">
        <f>VLOOKUP($A96,'2016'!$A$3:$H$138,6,FALSE)</f>
        <v>258.86432637571119</v>
      </c>
      <c r="H96" s="7">
        <f>VLOOKUP($A96,'2016'!$A$3:$H$138,7,FALSE)</f>
        <v>129.84535104364372</v>
      </c>
      <c r="I96" s="7">
        <f>VLOOKUP($A96,'2016'!$A$3:$H$138,8,FALSE)</f>
        <v>0</v>
      </c>
      <c r="J96" s="7">
        <f t="shared" si="4"/>
        <v>516</v>
      </c>
      <c r="K96" s="20" t="str">
        <f>IFERROR(VLOOKUP($A96,#REF!,2,FALSE),"")</f>
        <v/>
      </c>
      <c r="L96" s="20" t="str">
        <f>IFERROR(VLOOKUP($A96,#REF!,3,FALSE),"")</f>
        <v/>
      </c>
      <c r="M96" s="20" t="str">
        <f>IFERROR(VLOOKUP($A96,#REF!,4,FALSE),"")</f>
        <v/>
      </c>
      <c r="N96" s="20" t="str">
        <f>IFERROR(VLOOKUP($A96,#REF!,5,FALSE),"")</f>
        <v/>
      </c>
      <c r="O96" s="20" t="str">
        <f>IFERROR(VLOOKUP($A96,#REF!,6,FALSE),"")</f>
        <v/>
      </c>
      <c r="P96" s="20">
        <f t="shared" si="5"/>
        <v>0</v>
      </c>
      <c r="Q96" s="28">
        <f t="shared" si="6"/>
        <v>-1</v>
      </c>
      <c r="R96" s="31">
        <f t="shared" si="7"/>
        <v>266256</v>
      </c>
      <c r="S96" s="5"/>
    </row>
    <row r="97" spans="1:19" x14ac:dyDescent="0.25">
      <c r="A97">
        <v>834</v>
      </c>
      <c r="B97">
        <v>10</v>
      </c>
      <c r="C97" t="s">
        <v>0</v>
      </c>
      <c r="D97" s="5">
        <v>5</v>
      </c>
      <c r="E97" s="7">
        <f>VLOOKUP($A97,'2016'!$A$3:$H$138,4,FALSE)</f>
        <v>0</v>
      </c>
      <c r="F97" s="7">
        <f>VLOOKUP($A97,'2016'!$A$3:$H$138,5,FALSE)</f>
        <v>37.33</v>
      </c>
      <c r="G97" s="7">
        <f>VLOOKUP($A97,'2016'!$A$3:$H$138,6,FALSE)</f>
        <v>52.446461538461392</v>
      </c>
      <c r="H97" s="7">
        <f>VLOOKUP($A97,'2016'!$A$3:$H$138,7,FALSE)</f>
        <v>1.527866722028648E-13</v>
      </c>
      <c r="I97" s="7">
        <f>VLOOKUP($A97,'2016'!$A$3:$H$138,8,FALSE)</f>
        <v>0</v>
      </c>
      <c r="J97" s="7">
        <f t="shared" si="4"/>
        <v>89.776461538461547</v>
      </c>
      <c r="K97" s="20" t="str">
        <f>IFERROR(VLOOKUP($A97,#REF!,2,FALSE),"")</f>
        <v/>
      </c>
      <c r="L97" s="20" t="str">
        <f>IFERROR(VLOOKUP($A97,#REF!,3,FALSE),"")</f>
        <v/>
      </c>
      <c r="M97" s="20" t="str">
        <f>IFERROR(VLOOKUP($A97,#REF!,4,FALSE),"")</f>
        <v/>
      </c>
      <c r="N97" s="20" t="str">
        <f>IFERROR(VLOOKUP($A97,#REF!,5,FALSE),"")</f>
        <v/>
      </c>
      <c r="O97" s="20" t="str">
        <f>IFERROR(VLOOKUP($A97,#REF!,6,FALSE),"")</f>
        <v/>
      </c>
      <c r="P97" s="20">
        <f t="shared" si="5"/>
        <v>0</v>
      </c>
      <c r="Q97" s="28">
        <f t="shared" si="6"/>
        <v>-1</v>
      </c>
      <c r="R97" s="31">
        <f t="shared" si="7"/>
        <v>8059.8130463668658</v>
      </c>
      <c r="S97" s="5"/>
    </row>
    <row r="98" spans="1:19" x14ac:dyDescent="0.25">
      <c r="A98">
        <v>848</v>
      </c>
      <c r="B98">
        <v>10</v>
      </c>
      <c r="C98" t="s">
        <v>0</v>
      </c>
      <c r="D98" s="5">
        <v>5</v>
      </c>
      <c r="E98" s="7">
        <f>VLOOKUP($A98,'2016'!$A$3:$H$138,4,FALSE)</f>
        <v>55.052166666666658</v>
      </c>
      <c r="F98" s="7">
        <f>VLOOKUP($A98,'2016'!$A$3:$H$138,5,FALSE)</f>
        <v>256.97401754385965</v>
      </c>
      <c r="G98" s="7">
        <f>VLOOKUP($A98,'2016'!$A$3:$H$138,6,FALSE)</f>
        <v>596.3902965587032</v>
      </c>
      <c r="H98" s="7">
        <f>VLOOKUP($A98,'2016'!$A$3:$H$138,7,FALSE)</f>
        <v>316.06718589743753</v>
      </c>
      <c r="I98" s="7">
        <f>VLOOKUP($A98,'2016'!$A$3:$H$138,8,FALSE)</f>
        <v>100.29633333333294</v>
      </c>
      <c r="J98" s="7">
        <f t="shared" si="4"/>
        <v>1324.78</v>
      </c>
      <c r="K98" s="20" t="str">
        <f>IFERROR(VLOOKUP($A98,#REF!,2,FALSE),"")</f>
        <v/>
      </c>
      <c r="L98" s="20" t="str">
        <f>IFERROR(VLOOKUP($A98,#REF!,3,FALSE),"")</f>
        <v/>
      </c>
      <c r="M98" s="20" t="str">
        <f>IFERROR(VLOOKUP($A98,#REF!,4,FALSE),"")</f>
        <v/>
      </c>
      <c r="N98" s="20" t="str">
        <f>IFERROR(VLOOKUP($A98,#REF!,5,FALSE),"")</f>
        <v/>
      </c>
      <c r="O98" s="20" t="str">
        <f>IFERROR(VLOOKUP($A98,#REF!,6,FALSE),"")</f>
        <v/>
      </c>
      <c r="P98" s="20">
        <f t="shared" si="5"/>
        <v>0</v>
      </c>
      <c r="Q98" s="28">
        <f t="shared" si="6"/>
        <v>-1</v>
      </c>
      <c r="R98" s="31">
        <f t="shared" si="7"/>
        <v>1755042.0484</v>
      </c>
      <c r="S98" s="5"/>
    </row>
    <row r="99" spans="1:19" x14ac:dyDescent="0.25">
      <c r="A99">
        <v>851</v>
      </c>
      <c r="B99">
        <v>10</v>
      </c>
      <c r="C99" t="s">
        <v>0</v>
      </c>
      <c r="D99" s="5">
        <v>5</v>
      </c>
      <c r="E99" s="7">
        <f>VLOOKUP($A99,'2016'!$A$3:$H$138,4,FALSE)</f>
        <v>22.000000000000011</v>
      </c>
      <c r="F99" s="7">
        <f>VLOOKUP($A99,'2016'!$A$3:$H$138,5,FALSE)</f>
        <v>98.222222222222229</v>
      </c>
      <c r="G99" s="7">
        <f>VLOOKUP($A99,'2016'!$A$3:$H$138,6,FALSE)</f>
        <v>111.77777777777776</v>
      </c>
      <c r="H99" s="7">
        <f>VLOOKUP($A99,'2016'!$A$3:$H$138,7,FALSE)</f>
        <v>98</v>
      </c>
      <c r="I99" s="7">
        <f>VLOOKUP($A99,'2016'!$A$3:$H$138,8,FALSE)</f>
        <v>0</v>
      </c>
      <c r="J99" s="7">
        <f t="shared" si="4"/>
        <v>330</v>
      </c>
      <c r="K99" s="20" t="str">
        <f>IFERROR(VLOOKUP($A99,#REF!,2,FALSE),"")</f>
        <v/>
      </c>
      <c r="L99" s="20" t="str">
        <f>IFERROR(VLOOKUP($A99,#REF!,3,FALSE),"")</f>
        <v/>
      </c>
      <c r="M99" s="20" t="str">
        <f>IFERROR(VLOOKUP($A99,#REF!,4,FALSE),"")</f>
        <v/>
      </c>
      <c r="N99" s="20" t="str">
        <f>IFERROR(VLOOKUP($A99,#REF!,5,FALSE),"")</f>
        <v/>
      </c>
      <c r="O99" s="20" t="str">
        <f>IFERROR(VLOOKUP($A99,#REF!,6,FALSE),"")</f>
        <v/>
      </c>
      <c r="P99" s="20">
        <f t="shared" si="5"/>
        <v>0</v>
      </c>
      <c r="Q99" s="28">
        <f t="shared" si="6"/>
        <v>-1</v>
      </c>
      <c r="R99" s="31">
        <f t="shared" si="7"/>
        <v>108900</v>
      </c>
      <c r="S99" s="5"/>
    </row>
    <row r="100" spans="1:19" x14ac:dyDescent="0.25">
      <c r="A100">
        <v>854</v>
      </c>
      <c r="B100">
        <v>10</v>
      </c>
      <c r="C100" t="s">
        <v>0</v>
      </c>
      <c r="D100" s="5">
        <v>5</v>
      </c>
      <c r="E100" s="7">
        <f>VLOOKUP($A100,'2016'!$A$3:$H$138,4,FALSE)</f>
        <v>6.56</v>
      </c>
      <c r="F100" s="7">
        <f>VLOOKUP($A100,'2016'!$A$3:$H$138,5,FALSE)</f>
        <v>142.67499999999998</v>
      </c>
      <c r="G100" s="7">
        <f>VLOOKUP($A100,'2016'!$A$3:$H$138,6,FALSE)</f>
        <v>507.91318181818156</v>
      </c>
      <c r="H100" s="7">
        <f>VLOOKUP($A100,'2016'!$A$3:$H$138,7,FALSE)</f>
        <v>178.51931818181865</v>
      </c>
      <c r="I100" s="7">
        <f>VLOOKUP($A100,'2016'!$A$3:$H$138,8,FALSE)</f>
        <v>48.592499999999788</v>
      </c>
      <c r="J100" s="7">
        <f t="shared" si="4"/>
        <v>884.26</v>
      </c>
      <c r="K100" s="20" t="str">
        <f>IFERROR(VLOOKUP($A100,#REF!,2,FALSE),"")</f>
        <v/>
      </c>
      <c r="L100" s="20" t="str">
        <f>IFERROR(VLOOKUP($A100,#REF!,3,FALSE),"")</f>
        <v/>
      </c>
      <c r="M100" s="20" t="str">
        <f>IFERROR(VLOOKUP($A100,#REF!,4,FALSE),"")</f>
        <v/>
      </c>
      <c r="N100" s="20" t="str">
        <f>IFERROR(VLOOKUP($A100,#REF!,5,FALSE),"")</f>
        <v/>
      </c>
      <c r="O100" s="20" t="str">
        <f>IFERROR(VLOOKUP($A100,#REF!,6,FALSE),"")</f>
        <v/>
      </c>
      <c r="P100" s="20">
        <f t="shared" si="5"/>
        <v>0</v>
      </c>
      <c r="Q100" s="28">
        <f t="shared" si="6"/>
        <v>-1</v>
      </c>
      <c r="R100" s="31">
        <f t="shared" si="7"/>
        <v>781915.7476</v>
      </c>
      <c r="S100" s="5"/>
    </row>
    <row r="101" spans="1:19" x14ac:dyDescent="0.25">
      <c r="A101" s="1">
        <v>855</v>
      </c>
      <c r="B101" s="1">
        <v>10</v>
      </c>
      <c r="C101" s="1" t="s">
        <v>0</v>
      </c>
      <c r="D101" s="1">
        <v>5</v>
      </c>
      <c r="E101" s="29">
        <f>VLOOKUP($A101,'2016'!$A$3:$H$138,4,FALSE)</f>
        <v>18.71</v>
      </c>
      <c r="F101" s="29">
        <f>VLOOKUP($A101,'2016'!$A$3:$H$138,5,FALSE)</f>
        <v>219.78</v>
      </c>
      <c r="G101" s="29">
        <f>VLOOKUP($A101,'2016'!$A$3:$H$138,6,FALSE)</f>
        <v>441.30999999999995</v>
      </c>
      <c r="H101" s="29">
        <f>VLOOKUP($A101,'2016'!$A$3:$H$138,7,FALSE)</f>
        <v>209.48999999999995</v>
      </c>
      <c r="I101" s="29">
        <f>VLOOKUP($A101,'2016'!$A$3:$H$138,8,FALSE)</f>
        <v>85.95</v>
      </c>
      <c r="J101" s="29">
        <f t="shared" si="4"/>
        <v>975.24</v>
      </c>
      <c r="K101" s="30" t="str">
        <f>IFERROR(VLOOKUP($A101,#REF!,2,FALSE),"")</f>
        <v/>
      </c>
      <c r="L101" s="30" t="str">
        <f>IFERROR(VLOOKUP($A101,#REF!,3,FALSE),"")</f>
        <v/>
      </c>
      <c r="M101" s="30" t="str">
        <f>IFERROR(VLOOKUP($A101,#REF!,4,FALSE),"")</f>
        <v/>
      </c>
      <c r="N101" s="30" t="str">
        <f>IFERROR(VLOOKUP($A101,#REF!,5,FALSE),"")</f>
        <v/>
      </c>
      <c r="O101" s="30" t="str">
        <f>IFERROR(VLOOKUP($A101,#REF!,6,FALSE),"")</f>
        <v/>
      </c>
      <c r="P101" s="30">
        <f t="shared" si="5"/>
        <v>0</v>
      </c>
      <c r="Q101" s="28">
        <f t="shared" si="6"/>
        <v>-1</v>
      </c>
      <c r="R101" s="31">
        <f t="shared" si="7"/>
        <v>951093.05760000006</v>
      </c>
      <c r="S101" s="5"/>
    </row>
    <row r="102" spans="1:19" x14ac:dyDescent="0.25">
      <c r="A102">
        <v>856</v>
      </c>
      <c r="B102">
        <v>10</v>
      </c>
      <c r="C102" t="s">
        <v>0</v>
      </c>
      <c r="D102" s="5">
        <v>5</v>
      </c>
      <c r="E102" s="7">
        <f>VLOOKUP($A102,'2016'!$A$3:$H$138,4,FALSE)</f>
        <v>78.586660965013536</v>
      </c>
      <c r="F102" s="7">
        <f>VLOOKUP($A102,'2016'!$A$3:$H$138,5,FALSE)</f>
        <v>469.68094596332122</v>
      </c>
      <c r="G102" s="7">
        <f>VLOOKUP($A102,'2016'!$A$3:$H$138,6,FALSE)</f>
        <v>1070.126568937671</v>
      </c>
      <c r="H102" s="7">
        <f>VLOOKUP($A102,'2016'!$A$3:$H$138,7,FALSE)</f>
        <v>600.29093310617952</v>
      </c>
      <c r="I102" s="7">
        <f>VLOOKUP($A102,'2016'!$A$3:$H$138,8,FALSE)</f>
        <v>189.92489102781479</v>
      </c>
      <c r="J102" s="7">
        <f t="shared" si="4"/>
        <v>2408.61</v>
      </c>
      <c r="K102" s="20" t="str">
        <f>IFERROR(VLOOKUP($A102,#REF!,2,FALSE),"")</f>
        <v/>
      </c>
      <c r="L102" s="20" t="str">
        <f>IFERROR(VLOOKUP($A102,#REF!,3,FALSE),"")</f>
        <v/>
      </c>
      <c r="M102" s="20" t="str">
        <f>IFERROR(VLOOKUP($A102,#REF!,4,FALSE),"")</f>
        <v/>
      </c>
      <c r="N102" s="20" t="str">
        <f>IFERROR(VLOOKUP($A102,#REF!,5,FALSE),"")</f>
        <v/>
      </c>
      <c r="O102" s="20" t="str">
        <f>IFERROR(VLOOKUP($A102,#REF!,6,FALSE),"")</f>
        <v/>
      </c>
      <c r="P102" s="20">
        <f t="shared" si="5"/>
        <v>0</v>
      </c>
      <c r="Q102" s="28">
        <f t="shared" si="6"/>
        <v>-1</v>
      </c>
      <c r="R102" s="31">
        <f t="shared" si="7"/>
        <v>5801402.132100001</v>
      </c>
      <c r="S102" s="5"/>
    </row>
    <row r="103" spans="1:19" x14ac:dyDescent="0.25">
      <c r="A103">
        <v>864</v>
      </c>
      <c r="B103">
        <v>10</v>
      </c>
      <c r="C103" t="s">
        <v>0</v>
      </c>
      <c r="D103" s="5">
        <v>5</v>
      </c>
      <c r="E103" s="7">
        <f>VLOOKUP($A103,'2016'!$A$3:$H$138,4,FALSE)</f>
        <v>37.354210526315804</v>
      </c>
      <c r="F103" s="7">
        <f>VLOOKUP($A103,'2016'!$A$3:$H$138,5,FALSE)</f>
        <v>270.41131328320802</v>
      </c>
      <c r="G103" s="7">
        <f>VLOOKUP($A103,'2016'!$A$3:$H$138,6,FALSE)</f>
        <v>602.30841418614943</v>
      </c>
      <c r="H103" s="7">
        <f>VLOOKUP($A103,'2016'!$A$3:$H$138,7,FALSE)</f>
        <v>301.31342556066511</v>
      </c>
      <c r="I103" s="7">
        <f>VLOOKUP($A103,'2016'!$A$3:$H$138,8,FALSE)</f>
        <v>155.9126364436616</v>
      </c>
      <c r="J103" s="7">
        <f t="shared" si="4"/>
        <v>1367.3</v>
      </c>
      <c r="K103" s="20" t="str">
        <f>IFERROR(VLOOKUP($A103,#REF!,2,FALSE),"")</f>
        <v/>
      </c>
      <c r="L103" s="20" t="str">
        <f>IFERROR(VLOOKUP($A103,#REF!,3,FALSE),"")</f>
        <v/>
      </c>
      <c r="M103" s="20" t="str">
        <f>IFERROR(VLOOKUP($A103,#REF!,4,FALSE),"")</f>
        <v/>
      </c>
      <c r="N103" s="20" t="str">
        <f>IFERROR(VLOOKUP($A103,#REF!,5,FALSE),"")</f>
        <v/>
      </c>
      <c r="O103" s="20" t="str">
        <f>IFERROR(VLOOKUP($A103,#REF!,6,FALSE),"")</f>
        <v/>
      </c>
      <c r="P103" s="20">
        <f t="shared" si="5"/>
        <v>0</v>
      </c>
      <c r="Q103" s="28">
        <f t="shared" si="6"/>
        <v>-1</v>
      </c>
      <c r="R103" s="31">
        <f t="shared" si="7"/>
        <v>1869509.2899999998</v>
      </c>
      <c r="S103" s="5"/>
    </row>
    <row r="104" spans="1:19" x14ac:dyDescent="0.25">
      <c r="A104">
        <v>871</v>
      </c>
      <c r="B104">
        <v>10</v>
      </c>
      <c r="C104" t="s">
        <v>0</v>
      </c>
      <c r="D104" s="5">
        <v>5</v>
      </c>
      <c r="E104" s="7">
        <f>VLOOKUP($A104,'2016'!$A$3:$H$138,4,FALSE)</f>
        <v>4.43</v>
      </c>
      <c r="F104" s="7">
        <f>VLOOKUP($A104,'2016'!$A$3:$H$138,5,FALSE)</f>
        <v>36.39</v>
      </c>
      <c r="G104" s="7">
        <f>VLOOKUP($A104,'2016'!$A$3:$H$138,6,FALSE)</f>
        <v>103.89666666666645</v>
      </c>
      <c r="H104" s="7">
        <f>VLOOKUP($A104,'2016'!$A$3:$H$138,7,FALSE)</f>
        <v>47.923333333333574</v>
      </c>
      <c r="I104" s="7">
        <f>VLOOKUP($A104,'2016'!$A$3:$H$138,8,FALSE)</f>
        <v>20.88</v>
      </c>
      <c r="J104" s="7">
        <f t="shared" si="4"/>
        <v>213.52</v>
      </c>
      <c r="K104" s="20" t="str">
        <f>IFERROR(VLOOKUP($A104,#REF!,2,FALSE),"")</f>
        <v/>
      </c>
      <c r="L104" s="20" t="str">
        <f>IFERROR(VLOOKUP($A104,#REF!,3,FALSE),"")</f>
        <v/>
      </c>
      <c r="M104" s="20" t="str">
        <f>IFERROR(VLOOKUP($A104,#REF!,4,FALSE),"")</f>
        <v/>
      </c>
      <c r="N104" s="20" t="str">
        <f>IFERROR(VLOOKUP($A104,#REF!,5,FALSE),"")</f>
        <v/>
      </c>
      <c r="O104" s="20" t="str">
        <f>IFERROR(VLOOKUP($A104,#REF!,6,FALSE),"")</f>
        <v/>
      </c>
      <c r="P104" s="20">
        <f t="shared" si="5"/>
        <v>0</v>
      </c>
      <c r="Q104" s="28">
        <f t="shared" si="6"/>
        <v>-1</v>
      </c>
      <c r="R104" s="31">
        <f t="shared" si="7"/>
        <v>45590.790400000005</v>
      </c>
      <c r="S104" s="5"/>
    </row>
    <row r="105" spans="1:19" x14ac:dyDescent="0.25">
      <c r="A105" s="1">
        <v>872</v>
      </c>
      <c r="B105" s="1">
        <v>10</v>
      </c>
      <c r="C105" s="1" t="s">
        <v>0</v>
      </c>
      <c r="D105" s="1">
        <v>5</v>
      </c>
      <c r="E105" s="29">
        <f>VLOOKUP($A105,'2016'!$A$3:$H$138,4,FALSE)</f>
        <v>0</v>
      </c>
      <c r="F105" s="29">
        <f>VLOOKUP($A105,'2016'!$A$3:$H$138,5,FALSE)</f>
        <v>24.593333333333344</v>
      </c>
      <c r="G105" s="29">
        <f>VLOOKUP($A105,'2016'!$A$3:$H$138,6,FALSE)</f>
        <v>86.776666666666642</v>
      </c>
      <c r="H105" s="29">
        <f>VLOOKUP($A105,'2016'!$A$3:$H$138,7,FALSE)</f>
        <v>36.819130434782743</v>
      </c>
      <c r="I105" s="29">
        <f>VLOOKUP($A105,'2016'!$A$3:$H$138,8,FALSE)</f>
        <v>30.360869565217257</v>
      </c>
      <c r="J105" s="29">
        <f t="shared" si="4"/>
        <v>178.54999999999998</v>
      </c>
      <c r="K105" s="30" t="str">
        <f>IFERROR(VLOOKUP($A105,#REF!,2,FALSE),"")</f>
        <v/>
      </c>
      <c r="L105" s="30" t="str">
        <f>IFERROR(VLOOKUP($A105,#REF!,3,FALSE),"")</f>
        <v/>
      </c>
      <c r="M105" s="30" t="str">
        <f>IFERROR(VLOOKUP($A105,#REF!,4,FALSE),"")</f>
        <v/>
      </c>
      <c r="N105" s="30" t="str">
        <f>IFERROR(VLOOKUP($A105,#REF!,5,FALSE),"")</f>
        <v/>
      </c>
      <c r="O105" s="30" t="str">
        <f>IFERROR(VLOOKUP($A105,#REF!,6,FALSE),"")</f>
        <v/>
      </c>
      <c r="P105" s="30">
        <f t="shared" si="5"/>
        <v>0</v>
      </c>
      <c r="Q105" s="28">
        <f t="shared" si="6"/>
        <v>-1</v>
      </c>
      <c r="R105" s="31">
        <f t="shared" si="7"/>
        <v>31880.102499999994</v>
      </c>
      <c r="S105" s="5"/>
    </row>
    <row r="106" spans="1:19" x14ac:dyDescent="0.25">
      <c r="A106">
        <v>874</v>
      </c>
      <c r="B106">
        <v>10</v>
      </c>
      <c r="C106" t="s">
        <v>0</v>
      </c>
      <c r="D106" s="5">
        <v>5</v>
      </c>
      <c r="E106" s="7">
        <f>VLOOKUP($A106,'2016'!$A$3:$H$138,4,FALSE)</f>
        <v>18.759999999999987</v>
      </c>
      <c r="F106" s="7">
        <f>VLOOKUP($A106,'2016'!$A$3:$H$138,5,FALSE)</f>
        <v>151.7521568627451</v>
      </c>
      <c r="G106" s="7">
        <f>VLOOKUP($A106,'2016'!$A$3:$H$138,6,FALSE)</f>
        <v>410.91747276688409</v>
      </c>
      <c r="H106" s="7">
        <f>VLOOKUP($A106,'2016'!$A$3:$H$138,7,FALSE)</f>
        <v>172.99037037037101</v>
      </c>
      <c r="I106" s="7">
        <f>VLOOKUP($A106,'2016'!$A$3:$H$138,8,FALSE)</f>
        <v>55.879999999999825</v>
      </c>
      <c r="J106" s="7">
        <f t="shared" si="4"/>
        <v>810.3</v>
      </c>
      <c r="K106" s="20" t="str">
        <f>IFERROR(VLOOKUP($A106,#REF!,2,FALSE),"")</f>
        <v/>
      </c>
      <c r="L106" s="20" t="str">
        <f>IFERROR(VLOOKUP($A106,#REF!,3,FALSE),"")</f>
        <v/>
      </c>
      <c r="M106" s="20" t="str">
        <f>IFERROR(VLOOKUP($A106,#REF!,4,FALSE),"")</f>
        <v/>
      </c>
      <c r="N106" s="20" t="str">
        <f>IFERROR(VLOOKUP($A106,#REF!,5,FALSE),"")</f>
        <v/>
      </c>
      <c r="O106" s="20" t="str">
        <f>IFERROR(VLOOKUP($A106,#REF!,6,FALSE),"")</f>
        <v/>
      </c>
      <c r="P106" s="20">
        <f t="shared" si="5"/>
        <v>0</v>
      </c>
      <c r="Q106" s="28">
        <f t="shared" si="6"/>
        <v>-1</v>
      </c>
      <c r="R106" s="31">
        <f t="shared" si="7"/>
        <v>656586.09</v>
      </c>
      <c r="S106" s="5"/>
    </row>
    <row r="107" spans="1:19" x14ac:dyDescent="0.25">
      <c r="A107">
        <v>875</v>
      </c>
      <c r="B107">
        <v>10</v>
      </c>
      <c r="C107" t="s">
        <v>0</v>
      </c>
      <c r="D107" s="5">
        <v>5</v>
      </c>
      <c r="E107" s="7">
        <f>VLOOKUP($A107,'2016'!$A$3:$H$138,4,FALSE)</f>
        <v>0</v>
      </c>
      <c r="F107" s="7">
        <f>VLOOKUP($A107,'2016'!$A$3:$H$138,5,FALSE)</f>
        <v>102.71529411764709</v>
      </c>
      <c r="G107" s="7">
        <f>VLOOKUP($A107,'2016'!$A$3:$H$138,6,FALSE)</f>
        <v>351.18891640866832</v>
      </c>
      <c r="H107" s="7">
        <f>VLOOKUP($A107,'2016'!$A$3:$H$138,7,FALSE)</f>
        <v>182.86507518797075</v>
      </c>
      <c r="I107" s="7">
        <f>VLOOKUP($A107,'2016'!$A$3:$H$138,8,FALSE)</f>
        <v>59.850714285713877</v>
      </c>
      <c r="J107" s="7">
        <f t="shared" si="4"/>
        <v>696.62000000000012</v>
      </c>
      <c r="K107" s="20" t="str">
        <f>IFERROR(VLOOKUP($A107,#REF!,2,FALSE),"")</f>
        <v/>
      </c>
      <c r="L107" s="20" t="str">
        <f>IFERROR(VLOOKUP($A107,#REF!,3,FALSE),"")</f>
        <v/>
      </c>
      <c r="M107" s="20" t="str">
        <f>IFERROR(VLOOKUP($A107,#REF!,4,FALSE),"")</f>
        <v/>
      </c>
      <c r="N107" s="20" t="str">
        <f>IFERROR(VLOOKUP($A107,#REF!,5,FALSE),"")</f>
        <v/>
      </c>
      <c r="O107" s="20" t="str">
        <f>IFERROR(VLOOKUP($A107,#REF!,6,FALSE),"")</f>
        <v/>
      </c>
      <c r="P107" s="20">
        <f t="shared" si="5"/>
        <v>0</v>
      </c>
      <c r="Q107" s="28">
        <f t="shared" si="6"/>
        <v>-1</v>
      </c>
      <c r="R107" s="31">
        <f t="shared" si="7"/>
        <v>485279.42440000019</v>
      </c>
      <c r="S107" s="5"/>
    </row>
    <row r="108" spans="1:19" x14ac:dyDescent="0.25">
      <c r="A108">
        <v>901</v>
      </c>
      <c r="B108">
        <v>10</v>
      </c>
      <c r="C108" t="s">
        <v>0</v>
      </c>
      <c r="D108" s="5">
        <v>5</v>
      </c>
      <c r="E108" s="7">
        <f>VLOOKUP($A108,'2016'!$A$3:$H$138,4,FALSE)</f>
        <v>99.785850389496474</v>
      </c>
      <c r="F108" s="7">
        <f>VLOOKUP($A108,'2016'!$A$3:$H$138,5,FALSE)</f>
        <v>525.87021172230482</v>
      </c>
      <c r="G108" s="7">
        <f>VLOOKUP($A108,'2016'!$A$3:$H$138,6,FALSE)</f>
        <v>1049.3432319485669</v>
      </c>
      <c r="H108" s="7">
        <f>VLOOKUP($A108,'2016'!$A$3:$H$138,7,FALSE)</f>
        <v>606.47688347586416</v>
      </c>
      <c r="I108" s="7">
        <f>VLOOKUP($A108,'2016'!$A$3:$H$138,8,FALSE)</f>
        <v>290.04382246376764</v>
      </c>
      <c r="J108" s="7">
        <f t="shared" si="4"/>
        <v>2571.52</v>
      </c>
      <c r="K108" s="20" t="str">
        <f>IFERROR(VLOOKUP($A108,#REF!,2,FALSE),"")</f>
        <v/>
      </c>
      <c r="L108" s="20" t="str">
        <f>IFERROR(VLOOKUP($A108,#REF!,3,FALSE),"")</f>
        <v/>
      </c>
      <c r="M108" s="20" t="str">
        <f>IFERROR(VLOOKUP($A108,#REF!,4,FALSE),"")</f>
        <v/>
      </c>
      <c r="N108" s="20" t="str">
        <f>IFERROR(VLOOKUP($A108,#REF!,5,FALSE),"")</f>
        <v/>
      </c>
      <c r="O108" s="20" t="str">
        <f>IFERROR(VLOOKUP($A108,#REF!,6,FALSE),"")</f>
        <v/>
      </c>
      <c r="P108" s="20">
        <f t="shared" si="5"/>
        <v>0</v>
      </c>
      <c r="Q108" s="28">
        <f t="shared" si="6"/>
        <v>-1</v>
      </c>
      <c r="R108" s="31">
        <f t="shared" si="7"/>
        <v>6612715.1103999997</v>
      </c>
      <c r="S108" s="5"/>
    </row>
    <row r="109" spans="1:19" x14ac:dyDescent="0.25">
      <c r="A109">
        <v>904</v>
      </c>
      <c r="B109">
        <v>10</v>
      </c>
      <c r="C109" t="s">
        <v>0</v>
      </c>
      <c r="D109" s="5">
        <v>5</v>
      </c>
      <c r="E109" s="7">
        <f>VLOOKUP($A109,'2016'!$A$3:$H$138,4,FALSE)</f>
        <v>0</v>
      </c>
      <c r="F109" s="7">
        <f>VLOOKUP($A109,'2016'!$A$3:$H$138,5,FALSE)</f>
        <v>0</v>
      </c>
      <c r="G109" s="7">
        <f>VLOOKUP($A109,'2016'!$A$3:$H$138,6,FALSE)</f>
        <v>79.946232727272587</v>
      </c>
      <c r="H109" s="7">
        <f>VLOOKUP($A109,'2016'!$A$3:$H$138,7,FALSE)</f>
        <v>55.272727272727401</v>
      </c>
      <c r="I109" s="7">
        <f>VLOOKUP($A109,'2016'!$A$3:$H$138,8,FALSE)</f>
        <v>0</v>
      </c>
      <c r="J109" s="7">
        <f t="shared" si="4"/>
        <v>135.21895999999998</v>
      </c>
      <c r="K109" s="20" t="str">
        <f>IFERROR(VLOOKUP($A109,#REF!,2,FALSE),"")</f>
        <v/>
      </c>
      <c r="L109" s="20" t="str">
        <f>IFERROR(VLOOKUP($A109,#REF!,3,FALSE),"")</f>
        <v/>
      </c>
      <c r="M109" s="20" t="str">
        <f>IFERROR(VLOOKUP($A109,#REF!,4,FALSE),"")</f>
        <v/>
      </c>
      <c r="N109" s="20" t="str">
        <f>IFERROR(VLOOKUP($A109,#REF!,5,FALSE),"")</f>
        <v/>
      </c>
      <c r="O109" s="20" t="str">
        <f>IFERROR(VLOOKUP($A109,#REF!,6,FALSE),"")</f>
        <v/>
      </c>
      <c r="P109" s="20">
        <f t="shared" si="5"/>
        <v>0</v>
      </c>
      <c r="Q109" s="28">
        <f t="shared" si="6"/>
        <v>-1</v>
      </c>
      <c r="R109" s="31">
        <f t="shared" si="7"/>
        <v>18284.167143481594</v>
      </c>
      <c r="S109" s="5"/>
    </row>
    <row r="110" spans="1:19" x14ac:dyDescent="0.25">
      <c r="A110">
        <v>905</v>
      </c>
      <c r="B110">
        <v>10</v>
      </c>
      <c r="C110" t="s">
        <v>0</v>
      </c>
      <c r="D110" s="5">
        <v>5</v>
      </c>
      <c r="E110" s="7">
        <f>VLOOKUP($A110,'2016'!$A$3:$H$138,4,FALSE)</f>
        <v>173.12633333333332</v>
      </c>
      <c r="F110" s="7">
        <f>VLOOKUP($A110,'2016'!$A$3:$H$138,5,FALSE)</f>
        <v>450.97249783549779</v>
      </c>
      <c r="G110" s="7">
        <f>VLOOKUP($A110,'2016'!$A$3:$H$138,6,FALSE)</f>
        <v>614.98390635129624</v>
      </c>
      <c r="H110" s="7">
        <f>VLOOKUP($A110,'2016'!$A$3:$H$138,7,FALSE)</f>
        <v>475.55000322061409</v>
      </c>
      <c r="I110" s="7">
        <f>VLOOKUP($A110,'2016'!$A$3:$H$138,8,FALSE)</f>
        <v>102.32725925925853</v>
      </c>
      <c r="J110" s="7">
        <f t="shared" si="4"/>
        <v>1816.96</v>
      </c>
      <c r="K110" s="20" t="str">
        <f>IFERROR(VLOOKUP($A110,#REF!,2,FALSE),"")</f>
        <v/>
      </c>
      <c r="L110" s="20" t="str">
        <f>IFERROR(VLOOKUP($A110,#REF!,3,FALSE),"")</f>
        <v/>
      </c>
      <c r="M110" s="20" t="str">
        <f>IFERROR(VLOOKUP($A110,#REF!,4,FALSE),"")</f>
        <v/>
      </c>
      <c r="N110" s="20" t="str">
        <f>IFERROR(VLOOKUP($A110,#REF!,5,FALSE),"")</f>
        <v/>
      </c>
      <c r="O110" s="20" t="str">
        <f>IFERROR(VLOOKUP($A110,#REF!,6,FALSE),"")</f>
        <v/>
      </c>
      <c r="P110" s="20">
        <f t="shared" si="5"/>
        <v>0</v>
      </c>
      <c r="Q110" s="28">
        <f t="shared" si="6"/>
        <v>-1</v>
      </c>
      <c r="R110" s="31">
        <f t="shared" si="7"/>
        <v>3301343.6416000002</v>
      </c>
      <c r="S110" s="5"/>
    </row>
    <row r="111" spans="1:19" x14ac:dyDescent="0.25">
      <c r="A111">
        <v>906</v>
      </c>
      <c r="B111">
        <v>10</v>
      </c>
      <c r="C111" t="s">
        <v>0</v>
      </c>
      <c r="D111" s="5">
        <v>5</v>
      </c>
      <c r="E111" s="7">
        <f>VLOOKUP($A111,'2016'!$A$3:$H$138,4,FALSE)</f>
        <v>168.63</v>
      </c>
      <c r="F111" s="7">
        <f>VLOOKUP($A111,'2016'!$A$3:$H$138,5,FALSE)</f>
        <v>423.12902173913045</v>
      </c>
      <c r="G111" s="7">
        <f>VLOOKUP($A111,'2016'!$A$3:$H$138,6,FALSE)</f>
        <v>1314.4265726664626</v>
      </c>
      <c r="H111" s="7">
        <f>VLOOKUP($A111,'2016'!$A$3:$H$138,7,FALSE)</f>
        <v>651.85450789619756</v>
      </c>
      <c r="I111" s="7">
        <f>VLOOKUP($A111,'2016'!$A$3:$H$138,8,FALSE)</f>
        <v>219.04451634227703</v>
      </c>
      <c r="J111" s="7">
        <f t="shared" si="4"/>
        <v>2777.0846186440676</v>
      </c>
      <c r="K111" s="20" t="str">
        <f>IFERROR(VLOOKUP($A111,#REF!,2,FALSE),"")</f>
        <v/>
      </c>
      <c r="L111" s="20" t="str">
        <f>IFERROR(VLOOKUP($A111,#REF!,3,FALSE),"")</f>
        <v/>
      </c>
      <c r="M111" s="20" t="str">
        <f>IFERROR(VLOOKUP($A111,#REF!,4,FALSE),"")</f>
        <v/>
      </c>
      <c r="N111" s="20" t="str">
        <f>IFERROR(VLOOKUP($A111,#REF!,5,FALSE),"")</f>
        <v/>
      </c>
      <c r="O111" s="20" t="str">
        <f>IFERROR(VLOOKUP($A111,#REF!,6,FALSE),"")</f>
        <v/>
      </c>
      <c r="P111" s="20">
        <f t="shared" si="5"/>
        <v>0</v>
      </c>
      <c r="Q111" s="28">
        <f t="shared" si="6"/>
        <v>-1</v>
      </c>
      <c r="R111" s="31">
        <f t="shared" si="7"/>
        <v>7712198.979109467</v>
      </c>
      <c r="S111" s="5"/>
    </row>
    <row r="112" spans="1:19" x14ac:dyDescent="0.25">
      <c r="A112">
        <v>907</v>
      </c>
      <c r="B112">
        <v>10</v>
      </c>
      <c r="C112" t="s">
        <v>0</v>
      </c>
      <c r="D112" s="5">
        <v>5</v>
      </c>
      <c r="E112" s="7">
        <f>VLOOKUP($A112,'2016'!$A$3:$H$138,4,FALSE)</f>
        <v>155.72363636363639</v>
      </c>
      <c r="F112" s="7">
        <f>VLOOKUP($A112,'2016'!$A$3:$H$138,5,FALSE)</f>
        <v>620.44617647058817</v>
      </c>
      <c r="G112" s="7">
        <f>VLOOKUP($A112,'2016'!$A$3:$H$138,6,FALSE)</f>
        <v>1763.0498235294101</v>
      </c>
      <c r="H112" s="7">
        <f>VLOOKUP($A112,'2016'!$A$3:$H$138,7,FALSE)</f>
        <v>771.40346428571684</v>
      </c>
      <c r="I112" s="7">
        <f>VLOOKUP($A112,'2016'!$A$3:$H$138,8,FALSE)</f>
        <v>255.67056460488567</v>
      </c>
      <c r="J112" s="7">
        <f t="shared" si="4"/>
        <v>3566.2936652542376</v>
      </c>
      <c r="K112" s="20" t="str">
        <f>IFERROR(VLOOKUP($A112,#REF!,2,FALSE),"")</f>
        <v/>
      </c>
      <c r="L112" s="20" t="str">
        <f>IFERROR(VLOOKUP($A112,#REF!,3,FALSE),"")</f>
        <v/>
      </c>
      <c r="M112" s="20" t="str">
        <f>IFERROR(VLOOKUP($A112,#REF!,4,FALSE),"")</f>
        <v/>
      </c>
      <c r="N112" s="20" t="str">
        <f>IFERROR(VLOOKUP($A112,#REF!,5,FALSE),"")</f>
        <v/>
      </c>
      <c r="O112" s="20" t="str">
        <f>IFERROR(VLOOKUP($A112,#REF!,6,FALSE),"")</f>
        <v/>
      </c>
      <c r="P112" s="20">
        <f t="shared" si="5"/>
        <v>0</v>
      </c>
      <c r="Q112" s="28">
        <f t="shared" si="6"/>
        <v>-1</v>
      </c>
      <c r="R112" s="31">
        <f t="shared" si="7"/>
        <v>12718450.506832505</v>
      </c>
      <c r="S112" s="5"/>
    </row>
    <row r="113" spans="1:19" x14ac:dyDescent="0.25">
      <c r="A113">
        <v>916</v>
      </c>
      <c r="B113">
        <v>10</v>
      </c>
      <c r="C113" t="s">
        <v>0</v>
      </c>
      <c r="D113" s="5">
        <v>5</v>
      </c>
      <c r="E113" s="7">
        <f>VLOOKUP($A113,'2016'!$A$3:$H$138,4,FALSE)</f>
        <v>6.58</v>
      </c>
      <c r="F113" s="7">
        <f>VLOOKUP($A113,'2016'!$A$3:$H$138,5,FALSE)</f>
        <v>55.04804347826088</v>
      </c>
      <c r="G113" s="7">
        <f>VLOOKUP($A113,'2016'!$A$3:$H$138,6,FALSE)</f>
        <v>137.40034480012696</v>
      </c>
      <c r="H113" s="7">
        <f>VLOOKUP($A113,'2016'!$A$3:$H$138,7,FALSE)</f>
        <v>93.060842490843015</v>
      </c>
      <c r="I113" s="7">
        <f>VLOOKUP($A113,'2016'!$A$3:$H$138,8,FALSE)</f>
        <v>26.620769230769138</v>
      </c>
      <c r="J113" s="7">
        <f t="shared" si="4"/>
        <v>318.71000000000004</v>
      </c>
      <c r="K113" s="20" t="str">
        <f>IFERROR(VLOOKUP($A113,#REF!,2,FALSE),"")</f>
        <v/>
      </c>
      <c r="L113" s="20" t="str">
        <f>IFERROR(VLOOKUP($A113,#REF!,3,FALSE),"")</f>
        <v/>
      </c>
      <c r="M113" s="20" t="str">
        <f>IFERROR(VLOOKUP($A113,#REF!,4,FALSE),"")</f>
        <v/>
      </c>
      <c r="N113" s="20" t="str">
        <f>IFERROR(VLOOKUP($A113,#REF!,5,FALSE),"")</f>
        <v/>
      </c>
      <c r="O113" s="20" t="str">
        <f>IFERROR(VLOOKUP($A113,#REF!,6,FALSE),"")</f>
        <v/>
      </c>
      <c r="P113" s="20">
        <f t="shared" si="5"/>
        <v>0</v>
      </c>
      <c r="Q113" s="28">
        <f t="shared" si="6"/>
        <v>-1</v>
      </c>
      <c r="R113" s="31">
        <f t="shared" si="7"/>
        <v>101576.06410000002</v>
      </c>
      <c r="S113" s="5"/>
    </row>
    <row r="114" spans="1:19" x14ac:dyDescent="0.25">
      <c r="A114">
        <v>917</v>
      </c>
      <c r="B114">
        <v>10</v>
      </c>
      <c r="C114" t="s">
        <v>0</v>
      </c>
      <c r="D114" s="5">
        <v>5</v>
      </c>
      <c r="E114" s="7">
        <f>VLOOKUP($A114,'2016'!$A$3:$H$138,4,FALSE)</f>
        <v>6.27</v>
      </c>
      <c r="F114" s="7">
        <f>VLOOKUP($A114,'2016'!$A$3:$H$138,5,FALSE)</f>
        <v>66.995999999999995</v>
      </c>
      <c r="G114" s="7">
        <f>VLOOKUP($A114,'2016'!$A$3:$H$138,6,FALSE)</f>
        <v>134.64494339622624</v>
      </c>
      <c r="H114" s="7">
        <f>VLOOKUP($A114,'2016'!$A$3:$H$138,7,FALSE)</f>
        <v>92.740943396226726</v>
      </c>
      <c r="I114" s="7">
        <f>VLOOKUP($A114,'2016'!$A$3:$H$138,8,FALSE)</f>
        <v>43.178113207547028</v>
      </c>
      <c r="J114" s="7">
        <f t="shared" si="4"/>
        <v>343.83</v>
      </c>
      <c r="K114" s="20" t="str">
        <f>IFERROR(VLOOKUP($A114,#REF!,2,FALSE),"")</f>
        <v/>
      </c>
      <c r="L114" s="20" t="str">
        <f>IFERROR(VLOOKUP($A114,#REF!,3,FALSE),"")</f>
        <v/>
      </c>
      <c r="M114" s="20" t="str">
        <f>IFERROR(VLOOKUP($A114,#REF!,4,FALSE),"")</f>
        <v/>
      </c>
      <c r="N114" s="20" t="str">
        <f>IFERROR(VLOOKUP($A114,#REF!,5,FALSE),"")</f>
        <v/>
      </c>
      <c r="O114" s="20" t="str">
        <f>IFERROR(VLOOKUP($A114,#REF!,6,FALSE),"")</f>
        <v/>
      </c>
      <c r="P114" s="20">
        <f t="shared" si="5"/>
        <v>0</v>
      </c>
      <c r="Q114" s="28">
        <f t="shared" si="6"/>
        <v>-1</v>
      </c>
      <c r="R114" s="31">
        <f t="shared" si="7"/>
        <v>118219.06889999998</v>
      </c>
      <c r="S114" s="5"/>
    </row>
    <row r="115" spans="1:19" x14ac:dyDescent="0.25">
      <c r="A115">
        <v>921</v>
      </c>
      <c r="B115">
        <v>10</v>
      </c>
      <c r="C115" t="s">
        <v>0</v>
      </c>
      <c r="D115" s="5">
        <v>5</v>
      </c>
      <c r="E115" s="7">
        <f>VLOOKUP($A115,'2016'!$A$3:$H$138,4,FALSE)</f>
        <v>0.83333333333333282</v>
      </c>
      <c r="F115" s="7">
        <f>VLOOKUP($A115,'2016'!$A$3:$H$138,5,FALSE)</f>
        <v>187.67607500378682</v>
      </c>
      <c r="G115" s="7">
        <f>VLOOKUP($A115,'2016'!$A$3:$H$138,6,FALSE)</f>
        <v>456.95215255868828</v>
      </c>
      <c r="H115" s="7">
        <f>VLOOKUP($A115,'2016'!$A$3:$H$138,7,FALSE)</f>
        <v>267.74602734567441</v>
      </c>
      <c r="I115" s="7">
        <f>VLOOKUP($A115,'2016'!$A$3:$H$138,8,FALSE)</f>
        <v>23.957652916073624</v>
      </c>
      <c r="J115" s="7">
        <f t="shared" si="4"/>
        <v>937.16524115755647</v>
      </c>
      <c r="K115" s="20" t="str">
        <f>IFERROR(VLOOKUP($A115,#REF!,2,FALSE),"")</f>
        <v/>
      </c>
      <c r="L115" s="20" t="str">
        <f>IFERROR(VLOOKUP($A115,#REF!,3,FALSE),"")</f>
        <v/>
      </c>
      <c r="M115" s="20" t="str">
        <f>IFERROR(VLOOKUP($A115,#REF!,4,FALSE),"")</f>
        <v/>
      </c>
      <c r="N115" s="20" t="str">
        <f>IFERROR(VLOOKUP($A115,#REF!,5,FALSE),"")</f>
        <v/>
      </c>
      <c r="O115" s="20" t="str">
        <f>IFERROR(VLOOKUP($A115,#REF!,6,FALSE),"")</f>
        <v/>
      </c>
      <c r="P115" s="20">
        <f t="shared" si="5"/>
        <v>0</v>
      </c>
      <c r="Q115" s="28">
        <f t="shared" si="6"/>
        <v>-1</v>
      </c>
      <c r="R115" s="31">
        <f t="shared" si="7"/>
        <v>878278.68923390098</v>
      </c>
      <c r="S115" s="5"/>
    </row>
    <row r="116" spans="1:19" x14ac:dyDescent="0.25">
      <c r="A116">
        <v>923</v>
      </c>
      <c r="B116">
        <v>10</v>
      </c>
      <c r="C116" t="s">
        <v>0</v>
      </c>
      <c r="D116" s="5">
        <v>5</v>
      </c>
      <c r="E116" s="7">
        <f>VLOOKUP($A116,'2016'!$A$3:$H$138,4,FALSE)</f>
        <v>12.319215686274502</v>
      </c>
      <c r="F116" s="7">
        <f>VLOOKUP($A116,'2016'!$A$3:$H$138,5,FALSE)</f>
        <v>222.39997755950412</v>
      </c>
      <c r="G116" s="7">
        <f>VLOOKUP($A116,'2016'!$A$3:$H$138,6,FALSE)</f>
        <v>369.94497342088778</v>
      </c>
      <c r="H116" s="7">
        <f>VLOOKUP($A116,'2016'!$A$3:$H$138,7,FALSE)</f>
        <v>246.35464540121572</v>
      </c>
      <c r="I116" s="7">
        <f>VLOOKUP($A116,'2016'!$A$3:$H$138,8,FALSE)</f>
        <v>7.5711879321179572</v>
      </c>
      <c r="J116" s="7">
        <f t="shared" si="4"/>
        <v>858.59000000000015</v>
      </c>
      <c r="K116" s="20" t="str">
        <f>IFERROR(VLOOKUP($A116,#REF!,2,FALSE),"")</f>
        <v/>
      </c>
      <c r="L116" s="20" t="str">
        <f>IFERROR(VLOOKUP($A116,#REF!,3,FALSE),"")</f>
        <v/>
      </c>
      <c r="M116" s="20" t="str">
        <f>IFERROR(VLOOKUP($A116,#REF!,4,FALSE),"")</f>
        <v/>
      </c>
      <c r="N116" s="20" t="str">
        <f>IFERROR(VLOOKUP($A116,#REF!,5,FALSE),"")</f>
        <v/>
      </c>
      <c r="O116" s="20" t="str">
        <f>IFERROR(VLOOKUP($A116,#REF!,6,FALSE),"")</f>
        <v/>
      </c>
      <c r="P116" s="20">
        <f t="shared" si="5"/>
        <v>0</v>
      </c>
      <c r="Q116" s="28">
        <f t="shared" si="6"/>
        <v>-1</v>
      </c>
      <c r="R116" s="31">
        <f t="shared" si="7"/>
        <v>737176.78810000024</v>
      </c>
      <c r="S116" s="5"/>
    </row>
    <row r="117" spans="1:19" x14ac:dyDescent="0.25">
      <c r="A117">
        <v>928</v>
      </c>
      <c r="B117">
        <v>10</v>
      </c>
      <c r="C117" t="s">
        <v>0</v>
      </c>
      <c r="D117" s="5">
        <v>5</v>
      </c>
      <c r="E117" s="7">
        <f>VLOOKUP($A117,'2016'!$A$3:$H$138,4,FALSE)</f>
        <v>17.921944444444435</v>
      </c>
      <c r="F117" s="7">
        <f>VLOOKUP($A117,'2016'!$A$3:$H$138,5,FALSE)</f>
        <v>196.87694444444443</v>
      </c>
      <c r="G117" s="7">
        <f>VLOOKUP($A117,'2016'!$A$3:$H$138,6,FALSE)</f>
        <v>484.06192506459877</v>
      </c>
      <c r="H117" s="7">
        <f>VLOOKUP($A117,'2016'!$A$3:$H$138,7,FALSE)</f>
        <v>228.32953692370572</v>
      </c>
      <c r="I117" s="7">
        <f>VLOOKUP($A117,'2016'!$A$3:$H$138,8,FALSE)</f>
        <v>47.289649122806665</v>
      </c>
      <c r="J117" s="7">
        <f t="shared" si="4"/>
        <v>974.48</v>
      </c>
      <c r="K117" s="20" t="str">
        <f>IFERROR(VLOOKUP($A117,#REF!,2,FALSE),"")</f>
        <v/>
      </c>
      <c r="L117" s="20" t="str">
        <f>IFERROR(VLOOKUP($A117,#REF!,3,FALSE),"")</f>
        <v/>
      </c>
      <c r="M117" s="20" t="str">
        <f>IFERROR(VLOOKUP($A117,#REF!,4,FALSE),"")</f>
        <v/>
      </c>
      <c r="N117" s="20" t="str">
        <f>IFERROR(VLOOKUP($A117,#REF!,5,FALSE),"")</f>
        <v/>
      </c>
      <c r="O117" s="20" t="str">
        <f>IFERROR(VLOOKUP($A117,#REF!,6,FALSE),"")</f>
        <v/>
      </c>
      <c r="P117" s="20">
        <f t="shared" si="5"/>
        <v>0</v>
      </c>
      <c r="Q117" s="28">
        <f t="shared" si="6"/>
        <v>-1</v>
      </c>
      <c r="R117" s="31">
        <f t="shared" si="7"/>
        <v>949611.27040000004</v>
      </c>
      <c r="S117" s="5"/>
    </row>
    <row r="118" spans="1:19" x14ac:dyDescent="0.25">
      <c r="A118">
        <v>929</v>
      </c>
      <c r="B118">
        <v>10</v>
      </c>
      <c r="C118" t="s">
        <v>0</v>
      </c>
      <c r="D118" s="5">
        <v>5</v>
      </c>
      <c r="E118" s="7">
        <f>VLOOKUP($A118,'2016'!$A$3:$H$138,4,FALSE)</f>
        <v>164.04551319648093</v>
      </c>
      <c r="F118" s="7">
        <f>VLOOKUP($A118,'2016'!$A$3:$H$138,5,FALSE)</f>
        <v>1147.0849658858401</v>
      </c>
      <c r="G118" s="7">
        <f>VLOOKUP($A118,'2016'!$A$3:$H$138,6,FALSE)</f>
        <v>3683.521279112651</v>
      </c>
      <c r="H118" s="7">
        <f>VLOOKUP($A118,'2016'!$A$3:$H$138,7,FALSE)</f>
        <v>1564.020455539164</v>
      </c>
      <c r="I118" s="7">
        <f>VLOOKUP($A118,'2016'!$A$3:$H$138,8,FALSE)</f>
        <v>681.49679669646025</v>
      </c>
      <c r="J118" s="7">
        <f t="shared" si="4"/>
        <v>7240.1690104305962</v>
      </c>
      <c r="K118" s="20" t="str">
        <f>IFERROR(VLOOKUP($A118,#REF!,2,FALSE),"")</f>
        <v/>
      </c>
      <c r="L118" s="20" t="str">
        <f>IFERROR(VLOOKUP($A118,#REF!,3,FALSE),"")</f>
        <v/>
      </c>
      <c r="M118" s="20" t="str">
        <f>IFERROR(VLOOKUP($A118,#REF!,4,FALSE),"")</f>
        <v/>
      </c>
      <c r="N118" s="20" t="str">
        <f>IFERROR(VLOOKUP($A118,#REF!,5,FALSE),"")</f>
        <v/>
      </c>
      <c r="O118" s="20" t="str">
        <f>IFERROR(VLOOKUP($A118,#REF!,6,FALSE),"")</f>
        <v/>
      </c>
      <c r="P118" s="20">
        <f t="shared" si="5"/>
        <v>0</v>
      </c>
      <c r="Q118" s="28">
        <f t="shared" si="6"/>
        <v>-1</v>
      </c>
      <c r="R118" s="31">
        <f t="shared" si="7"/>
        <v>52420047.299599558</v>
      </c>
      <c r="S118" s="5"/>
    </row>
    <row r="119" spans="1:19" x14ac:dyDescent="0.25">
      <c r="A119">
        <v>932</v>
      </c>
      <c r="B119">
        <v>10</v>
      </c>
      <c r="C119" t="s">
        <v>0</v>
      </c>
      <c r="D119" s="5">
        <v>5</v>
      </c>
      <c r="E119" s="7">
        <f>VLOOKUP($A119,'2016'!$A$3:$H$138,4,FALSE)</f>
        <v>88.98310559006211</v>
      </c>
      <c r="F119" s="7">
        <f>VLOOKUP($A119,'2016'!$A$3:$H$138,5,FALSE)</f>
        <v>567.56791968466337</v>
      </c>
      <c r="G119" s="7">
        <f>VLOOKUP($A119,'2016'!$A$3:$H$138,6,FALSE)</f>
        <v>2110.1038462791566</v>
      </c>
      <c r="H119" s="7">
        <f>VLOOKUP($A119,'2016'!$A$3:$H$138,7,FALSE)</f>
        <v>906.08935293747004</v>
      </c>
      <c r="I119" s="7">
        <f>VLOOKUP($A119,'2016'!$A$3:$H$138,8,FALSE)</f>
        <v>248.59577550864785</v>
      </c>
      <c r="J119" s="7">
        <f t="shared" si="4"/>
        <v>3921.3399999999997</v>
      </c>
      <c r="K119" s="20" t="str">
        <f>IFERROR(VLOOKUP($A119,#REF!,2,FALSE),"")</f>
        <v/>
      </c>
      <c r="L119" s="20" t="str">
        <f>IFERROR(VLOOKUP($A119,#REF!,3,FALSE),"")</f>
        <v/>
      </c>
      <c r="M119" s="20" t="str">
        <f>IFERROR(VLOOKUP($A119,#REF!,4,FALSE),"")</f>
        <v/>
      </c>
      <c r="N119" s="20" t="str">
        <f>IFERROR(VLOOKUP($A119,#REF!,5,FALSE),"")</f>
        <v/>
      </c>
      <c r="O119" s="20" t="str">
        <f>IFERROR(VLOOKUP($A119,#REF!,6,FALSE),"")</f>
        <v/>
      </c>
      <c r="P119" s="20">
        <f t="shared" si="5"/>
        <v>0</v>
      </c>
      <c r="Q119" s="28">
        <f t="shared" si="6"/>
        <v>-1</v>
      </c>
      <c r="R119" s="31">
        <f t="shared" si="7"/>
        <v>15376907.395599997</v>
      </c>
      <c r="S119" s="5"/>
    </row>
    <row r="120" spans="1:19" x14ac:dyDescent="0.25">
      <c r="A120">
        <v>933</v>
      </c>
      <c r="B120">
        <v>10</v>
      </c>
      <c r="C120" t="s">
        <v>0</v>
      </c>
      <c r="D120" s="5">
        <v>5</v>
      </c>
      <c r="E120" s="7">
        <f>VLOOKUP($A120,'2016'!$A$3:$H$138,4,FALSE)</f>
        <v>95.915060568086886</v>
      </c>
      <c r="F120" s="7">
        <f>VLOOKUP($A120,'2016'!$A$3:$H$138,5,FALSE)</f>
        <v>505.09039397736768</v>
      </c>
      <c r="G120" s="7">
        <f>VLOOKUP($A120,'2016'!$A$3:$H$138,6,FALSE)</f>
        <v>1322.5782440846808</v>
      </c>
      <c r="H120" s="7">
        <f>VLOOKUP($A120,'2016'!$A$3:$H$138,7,FALSE)</f>
        <v>666.53959140796928</v>
      </c>
      <c r="I120" s="7">
        <f>VLOOKUP($A120,'2016'!$A$3:$H$138,8,FALSE)</f>
        <v>247.64745679953197</v>
      </c>
      <c r="J120" s="7">
        <f t="shared" si="4"/>
        <v>2837.7707468376366</v>
      </c>
      <c r="K120" s="20" t="str">
        <f>IFERROR(VLOOKUP($A120,#REF!,2,FALSE),"")</f>
        <v/>
      </c>
      <c r="L120" s="20" t="str">
        <f>IFERROR(VLOOKUP($A120,#REF!,3,FALSE),"")</f>
        <v/>
      </c>
      <c r="M120" s="20" t="str">
        <f>IFERROR(VLOOKUP($A120,#REF!,4,FALSE),"")</f>
        <v/>
      </c>
      <c r="N120" s="20" t="str">
        <f>IFERROR(VLOOKUP($A120,#REF!,5,FALSE),"")</f>
        <v/>
      </c>
      <c r="O120" s="20" t="str">
        <f>IFERROR(VLOOKUP($A120,#REF!,6,FALSE),"")</f>
        <v/>
      </c>
      <c r="P120" s="20">
        <f t="shared" si="5"/>
        <v>0</v>
      </c>
      <c r="Q120" s="28">
        <f t="shared" si="6"/>
        <v>-1</v>
      </c>
      <c r="R120" s="31">
        <f t="shared" si="7"/>
        <v>8052942.8116074381</v>
      </c>
      <c r="S120" s="5"/>
    </row>
    <row r="121" spans="1:19" x14ac:dyDescent="0.25">
      <c r="A121">
        <v>934</v>
      </c>
      <c r="B121">
        <v>10</v>
      </c>
      <c r="C121" t="s">
        <v>0</v>
      </c>
      <c r="D121" s="5">
        <v>5</v>
      </c>
      <c r="E121" s="7">
        <f>VLOOKUP($A121,'2016'!$A$3:$H$138,4,FALSE)</f>
        <v>86.004999999999981</v>
      </c>
      <c r="F121" s="7">
        <f>VLOOKUP($A121,'2016'!$A$3:$H$138,5,FALSE)</f>
        <v>608.27264448924734</v>
      </c>
      <c r="G121" s="7">
        <f>VLOOKUP($A121,'2016'!$A$3:$H$138,6,FALSE)</f>
        <v>1168.9421947801575</v>
      </c>
      <c r="H121" s="7">
        <f>VLOOKUP($A121,'2016'!$A$3:$H$138,7,FALSE)</f>
        <v>628.79799681982558</v>
      </c>
      <c r="I121" s="7">
        <f>VLOOKUP($A121,'2016'!$A$3:$H$138,8,FALSE)</f>
        <v>227.97089896535286</v>
      </c>
      <c r="J121" s="7">
        <f t="shared" si="4"/>
        <v>2719.9887350545832</v>
      </c>
      <c r="K121" s="20" t="str">
        <f>IFERROR(VLOOKUP($A121,#REF!,2,FALSE),"")</f>
        <v/>
      </c>
      <c r="L121" s="20" t="str">
        <f>IFERROR(VLOOKUP($A121,#REF!,3,FALSE),"")</f>
        <v/>
      </c>
      <c r="M121" s="20" t="str">
        <f>IFERROR(VLOOKUP($A121,#REF!,4,FALSE),"")</f>
        <v/>
      </c>
      <c r="N121" s="20" t="str">
        <f>IFERROR(VLOOKUP($A121,#REF!,5,FALSE),"")</f>
        <v/>
      </c>
      <c r="O121" s="20" t="str">
        <f>IFERROR(VLOOKUP($A121,#REF!,6,FALSE),"")</f>
        <v/>
      </c>
      <c r="P121" s="20">
        <f t="shared" si="5"/>
        <v>0</v>
      </c>
      <c r="Q121" s="28">
        <f t="shared" si="6"/>
        <v>-1</v>
      </c>
      <c r="R121" s="31">
        <f t="shared" si="7"/>
        <v>7398338.7188238315</v>
      </c>
      <c r="S121" s="5"/>
    </row>
    <row r="122" spans="1:19" x14ac:dyDescent="0.25">
      <c r="A122">
        <v>936</v>
      </c>
      <c r="B122">
        <v>10</v>
      </c>
      <c r="C122" t="s">
        <v>0</v>
      </c>
      <c r="D122" s="5">
        <v>5</v>
      </c>
      <c r="E122" s="7">
        <f>VLOOKUP($A122,'2016'!$A$3:$H$138,4,FALSE)</f>
        <v>26.881273809523808</v>
      </c>
      <c r="F122" s="7">
        <f>VLOOKUP($A122,'2016'!$A$3:$H$138,5,FALSE)</f>
        <v>303.77553369907696</v>
      </c>
      <c r="G122" s="7">
        <f>VLOOKUP($A122,'2016'!$A$3:$H$138,6,FALSE)</f>
        <v>807.96805052156651</v>
      </c>
      <c r="H122" s="7">
        <f>VLOOKUP($A122,'2016'!$A$3:$H$138,7,FALSE)</f>
        <v>419.91571044528558</v>
      </c>
      <c r="I122" s="7">
        <f>VLOOKUP($A122,'2016'!$A$3:$H$138,8,FALSE)</f>
        <v>176.39943152454714</v>
      </c>
      <c r="J122" s="7">
        <f t="shared" si="4"/>
        <v>1734.94</v>
      </c>
      <c r="K122" s="20" t="str">
        <f>IFERROR(VLOOKUP($A122,#REF!,2,FALSE),"")</f>
        <v/>
      </c>
      <c r="L122" s="20" t="str">
        <f>IFERROR(VLOOKUP($A122,#REF!,3,FALSE),"")</f>
        <v/>
      </c>
      <c r="M122" s="20" t="str">
        <f>IFERROR(VLOOKUP($A122,#REF!,4,FALSE),"")</f>
        <v/>
      </c>
      <c r="N122" s="20" t="str">
        <f>IFERROR(VLOOKUP($A122,#REF!,5,FALSE),"")</f>
        <v/>
      </c>
      <c r="O122" s="20" t="str">
        <f>IFERROR(VLOOKUP($A122,#REF!,6,FALSE),"")</f>
        <v/>
      </c>
      <c r="P122" s="20">
        <f t="shared" si="5"/>
        <v>0</v>
      </c>
      <c r="Q122" s="28">
        <f t="shared" si="6"/>
        <v>-1</v>
      </c>
      <c r="R122" s="31">
        <f t="shared" si="7"/>
        <v>3010016.8036000002</v>
      </c>
      <c r="S122" s="5"/>
    </row>
    <row r="123" spans="1:19" x14ac:dyDescent="0.25">
      <c r="A123">
        <v>944</v>
      </c>
      <c r="B123">
        <v>10</v>
      </c>
      <c r="C123" t="s">
        <v>0</v>
      </c>
      <c r="D123" s="5">
        <v>5</v>
      </c>
      <c r="E123" s="7">
        <f>VLOOKUP($A123,'2016'!$A$3:$H$138,4,FALSE)</f>
        <v>3</v>
      </c>
      <c r="F123" s="7">
        <f>VLOOKUP($A123,'2016'!$A$3:$H$138,5,FALSE)</f>
        <v>56</v>
      </c>
      <c r="G123" s="7">
        <f>VLOOKUP($A123,'2016'!$A$3:$H$138,6,FALSE)</f>
        <v>88.374999999999801</v>
      </c>
      <c r="H123" s="7">
        <f>VLOOKUP($A123,'2016'!$A$3:$H$138,7,FALSE)</f>
        <v>69.625000000000313</v>
      </c>
      <c r="I123" s="7">
        <f>VLOOKUP($A123,'2016'!$A$3:$H$138,8,FALSE)</f>
        <v>1.9999999999999085</v>
      </c>
      <c r="J123" s="7">
        <f t="shared" si="4"/>
        <v>219.00000000000003</v>
      </c>
      <c r="K123" s="20" t="str">
        <f>IFERROR(VLOOKUP($A123,#REF!,2,FALSE),"")</f>
        <v/>
      </c>
      <c r="L123" s="20" t="str">
        <f>IFERROR(VLOOKUP($A123,#REF!,3,FALSE),"")</f>
        <v/>
      </c>
      <c r="M123" s="20" t="str">
        <f>IFERROR(VLOOKUP($A123,#REF!,4,FALSE),"")</f>
        <v/>
      </c>
      <c r="N123" s="20" t="str">
        <f>IFERROR(VLOOKUP($A123,#REF!,5,FALSE),"")</f>
        <v/>
      </c>
      <c r="O123" s="20" t="str">
        <f>IFERROR(VLOOKUP($A123,#REF!,6,FALSE),"")</f>
        <v/>
      </c>
      <c r="P123" s="20">
        <f t="shared" si="5"/>
        <v>0</v>
      </c>
      <c r="Q123" s="28">
        <f t="shared" si="6"/>
        <v>-1</v>
      </c>
      <c r="R123" s="31">
        <f t="shared" si="7"/>
        <v>47961.000000000015</v>
      </c>
      <c r="S123" s="5"/>
    </row>
    <row r="124" spans="1:19" x14ac:dyDescent="0.25">
      <c r="A124">
        <v>945</v>
      </c>
      <c r="B124">
        <v>10</v>
      </c>
      <c r="C124" t="s">
        <v>0</v>
      </c>
      <c r="D124" s="5">
        <v>5</v>
      </c>
      <c r="E124" s="7">
        <f>VLOOKUP($A124,'2016'!$A$3:$H$138,4,FALSE)</f>
        <v>8.012987012987006</v>
      </c>
      <c r="F124" s="7">
        <f>VLOOKUP($A124,'2016'!$A$3:$H$138,5,FALSE)</f>
        <v>191</v>
      </c>
      <c r="G124" s="7">
        <f>VLOOKUP($A124,'2016'!$A$3:$H$138,6,FALSE)</f>
        <v>288</v>
      </c>
      <c r="H124" s="7">
        <f>VLOOKUP($A124,'2016'!$A$3:$H$138,7,FALSE)</f>
        <v>157</v>
      </c>
      <c r="I124" s="7">
        <f>VLOOKUP($A124,'2016'!$A$3:$H$138,8,FALSE)</f>
        <v>8.8291866028704611</v>
      </c>
      <c r="J124" s="7">
        <f t="shared" si="4"/>
        <v>652.8421736158574</v>
      </c>
      <c r="K124" s="20" t="str">
        <f>IFERROR(VLOOKUP($A124,#REF!,2,FALSE),"")</f>
        <v/>
      </c>
      <c r="L124" s="20" t="str">
        <f>IFERROR(VLOOKUP($A124,#REF!,3,FALSE),"")</f>
        <v/>
      </c>
      <c r="M124" s="20" t="str">
        <f>IFERROR(VLOOKUP($A124,#REF!,4,FALSE),"")</f>
        <v/>
      </c>
      <c r="N124" s="20" t="str">
        <f>IFERROR(VLOOKUP($A124,#REF!,5,FALSE),"")</f>
        <v/>
      </c>
      <c r="O124" s="20" t="str">
        <f>IFERROR(VLOOKUP($A124,#REF!,6,FALSE),"")</f>
        <v/>
      </c>
      <c r="P124" s="20">
        <f t="shared" si="5"/>
        <v>0</v>
      </c>
      <c r="Q124" s="28">
        <f t="shared" si="6"/>
        <v>-1</v>
      </c>
      <c r="R124" s="31">
        <f t="shared" si="7"/>
        <v>426202.9036514773</v>
      </c>
      <c r="S124" s="5"/>
    </row>
    <row r="125" spans="1:19" x14ac:dyDescent="0.25">
      <c r="A125">
        <v>955</v>
      </c>
      <c r="B125">
        <v>10</v>
      </c>
      <c r="C125" t="s">
        <v>0</v>
      </c>
      <c r="D125" s="5">
        <v>5</v>
      </c>
      <c r="E125" s="7">
        <f>VLOOKUP($A125,'2016'!$A$3:$H$138,4,FALSE)</f>
        <v>111.12909090909089</v>
      </c>
      <c r="F125" s="7">
        <f>VLOOKUP($A125,'2016'!$A$3:$H$138,5,FALSE)</f>
        <v>873.86628534601232</v>
      </c>
      <c r="G125" s="7">
        <f>VLOOKUP($A125,'2016'!$A$3:$H$138,6,FALSE)</f>
        <v>2168.5142789173078</v>
      </c>
      <c r="H125" s="7">
        <f>VLOOKUP($A125,'2016'!$A$3:$H$138,7,FALSE)</f>
        <v>1116.5351071643104</v>
      </c>
      <c r="I125" s="7">
        <f>VLOOKUP($A125,'2016'!$A$3:$H$138,8,FALSE)</f>
        <v>411.74523766327854</v>
      </c>
      <c r="J125" s="7">
        <f t="shared" si="4"/>
        <v>4681.79</v>
      </c>
      <c r="K125" s="20" t="str">
        <f>IFERROR(VLOOKUP($A125,#REF!,2,FALSE),"")</f>
        <v/>
      </c>
      <c r="L125" s="20" t="str">
        <f>IFERROR(VLOOKUP($A125,#REF!,3,FALSE),"")</f>
        <v/>
      </c>
      <c r="M125" s="20" t="str">
        <f>IFERROR(VLOOKUP($A125,#REF!,4,FALSE),"")</f>
        <v/>
      </c>
      <c r="N125" s="20" t="str">
        <f>IFERROR(VLOOKUP($A125,#REF!,5,FALSE),"")</f>
        <v/>
      </c>
      <c r="O125" s="20" t="str">
        <f>IFERROR(VLOOKUP($A125,#REF!,6,FALSE),"")</f>
        <v/>
      </c>
      <c r="P125" s="20">
        <f t="shared" si="5"/>
        <v>0</v>
      </c>
      <c r="Q125" s="28">
        <f t="shared" si="6"/>
        <v>-1</v>
      </c>
      <c r="R125" s="31">
        <f t="shared" si="7"/>
        <v>21919157.6041</v>
      </c>
      <c r="S125" s="5"/>
    </row>
    <row r="126" spans="1:19" x14ac:dyDescent="0.25">
      <c r="A126">
        <v>961</v>
      </c>
      <c r="B126">
        <v>10</v>
      </c>
      <c r="C126" t="s">
        <v>0</v>
      </c>
      <c r="D126" s="5">
        <v>5</v>
      </c>
      <c r="E126" s="7">
        <f>VLOOKUP($A126,'2016'!$A$3:$H$138,4,FALSE)</f>
        <v>52.268960373907753</v>
      </c>
      <c r="F126" s="7">
        <f>VLOOKUP($A126,'2016'!$A$3:$H$138,5,FALSE)</f>
        <v>383.2000790997763</v>
      </c>
      <c r="G126" s="7">
        <f>VLOOKUP($A126,'2016'!$A$3:$H$138,6,FALSE)</f>
        <v>938.86492971398957</v>
      </c>
      <c r="H126" s="7">
        <f>VLOOKUP($A126,'2016'!$A$3:$H$138,7,FALSE)</f>
        <v>513.1793783733026</v>
      </c>
      <c r="I126" s="7">
        <f>VLOOKUP($A126,'2016'!$A$3:$H$138,8,FALSE)</f>
        <v>147.32665243902355</v>
      </c>
      <c r="J126" s="7">
        <f t="shared" si="4"/>
        <v>2034.8399999999997</v>
      </c>
      <c r="K126" s="20" t="str">
        <f>IFERROR(VLOOKUP($A126,#REF!,2,FALSE),"")</f>
        <v/>
      </c>
      <c r="L126" s="20" t="str">
        <f>IFERROR(VLOOKUP($A126,#REF!,3,FALSE),"")</f>
        <v/>
      </c>
      <c r="M126" s="20" t="str">
        <f>IFERROR(VLOOKUP($A126,#REF!,4,FALSE),"")</f>
        <v/>
      </c>
      <c r="N126" s="20" t="str">
        <f>IFERROR(VLOOKUP($A126,#REF!,5,FALSE),"")</f>
        <v/>
      </c>
      <c r="O126" s="20" t="str">
        <f>IFERROR(VLOOKUP($A126,#REF!,6,FALSE),"")</f>
        <v/>
      </c>
      <c r="P126" s="20">
        <f t="shared" si="5"/>
        <v>0</v>
      </c>
      <c r="Q126" s="28">
        <f t="shared" si="6"/>
        <v>-1</v>
      </c>
      <c r="R126" s="31">
        <f t="shared" si="7"/>
        <v>4140573.8255999987</v>
      </c>
      <c r="S126" s="5"/>
    </row>
    <row r="127" spans="1:19" x14ac:dyDescent="0.25">
      <c r="A127">
        <v>962</v>
      </c>
      <c r="B127">
        <v>10</v>
      </c>
      <c r="C127" t="s">
        <v>0</v>
      </c>
      <c r="D127" s="5">
        <v>5</v>
      </c>
      <c r="E127" s="7">
        <f>VLOOKUP($A127,'2016'!$A$3:$H$138,4,FALSE)</f>
        <v>30.108722689075631</v>
      </c>
      <c r="F127" s="7">
        <f>VLOOKUP($A127,'2016'!$A$3:$H$138,5,FALSE)</f>
        <v>267.80416192630895</v>
      </c>
      <c r="G127" s="7">
        <f>VLOOKUP($A127,'2016'!$A$3:$H$138,6,FALSE)</f>
        <v>693.72072165639111</v>
      </c>
      <c r="H127" s="7">
        <f>VLOOKUP($A127,'2016'!$A$3:$H$138,7,FALSE)</f>
        <v>341.51137442320533</v>
      </c>
      <c r="I127" s="7">
        <f>VLOOKUP($A127,'2016'!$A$3:$H$138,8,FALSE)</f>
        <v>98.475019305018918</v>
      </c>
      <c r="J127" s="7">
        <f t="shared" si="4"/>
        <v>1431.62</v>
      </c>
      <c r="K127" s="20" t="str">
        <f>IFERROR(VLOOKUP($A127,#REF!,2,FALSE),"")</f>
        <v/>
      </c>
      <c r="L127" s="20" t="str">
        <f>IFERROR(VLOOKUP($A127,#REF!,3,FALSE),"")</f>
        <v/>
      </c>
      <c r="M127" s="20" t="str">
        <f>IFERROR(VLOOKUP($A127,#REF!,4,FALSE),"")</f>
        <v/>
      </c>
      <c r="N127" s="20" t="str">
        <f>IFERROR(VLOOKUP($A127,#REF!,5,FALSE),"")</f>
        <v/>
      </c>
      <c r="O127" s="20" t="str">
        <f>IFERROR(VLOOKUP($A127,#REF!,6,FALSE),"")</f>
        <v/>
      </c>
      <c r="P127" s="20">
        <f t="shared" si="5"/>
        <v>0</v>
      </c>
      <c r="Q127" s="28">
        <f t="shared" si="6"/>
        <v>-1</v>
      </c>
      <c r="R127" s="31">
        <f t="shared" si="7"/>
        <v>2049535.8243999996</v>
      </c>
      <c r="S127" s="5"/>
    </row>
    <row r="128" spans="1:19" x14ac:dyDescent="0.25">
      <c r="A128">
        <v>963</v>
      </c>
      <c r="B128">
        <v>10</v>
      </c>
      <c r="C128" t="s">
        <v>0</v>
      </c>
      <c r="D128" s="5">
        <v>5</v>
      </c>
      <c r="E128" s="7">
        <f>VLOOKUP($A128,'2016'!$A$3:$H$138,4,FALSE)</f>
        <v>7.9706578947368349</v>
      </c>
      <c r="F128" s="7">
        <f>VLOOKUP($A128,'2016'!$A$3:$H$138,5,FALSE)</f>
        <v>115.06780364372472</v>
      </c>
      <c r="G128" s="7">
        <f>VLOOKUP($A128,'2016'!$A$3:$H$138,6,FALSE)</f>
        <v>381.50015915119309</v>
      </c>
      <c r="H128" s="7">
        <f>VLOOKUP($A128,'2016'!$A$3:$H$138,7,FALSE)</f>
        <v>195.11637931034571</v>
      </c>
      <c r="I128" s="7">
        <f>VLOOKUP($A128,'2016'!$A$3:$H$138,8,FALSE)</f>
        <v>54.73499999999968</v>
      </c>
      <c r="J128" s="7">
        <f t="shared" si="4"/>
        <v>754.39</v>
      </c>
      <c r="K128" s="20" t="str">
        <f>IFERROR(VLOOKUP($A128,#REF!,2,FALSE),"")</f>
        <v/>
      </c>
      <c r="L128" s="20" t="str">
        <f>IFERROR(VLOOKUP($A128,#REF!,3,FALSE),"")</f>
        <v/>
      </c>
      <c r="M128" s="20" t="str">
        <f>IFERROR(VLOOKUP($A128,#REF!,4,FALSE),"")</f>
        <v/>
      </c>
      <c r="N128" s="20" t="str">
        <f>IFERROR(VLOOKUP($A128,#REF!,5,FALSE),"")</f>
        <v/>
      </c>
      <c r="O128" s="20" t="str">
        <f>IFERROR(VLOOKUP($A128,#REF!,6,FALSE),"")</f>
        <v/>
      </c>
      <c r="P128" s="20">
        <f t="shared" si="5"/>
        <v>0</v>
      </c>
      <c r="Q128" s="28">
        <f t="shared" si="6"/>
        <v>-1</v>
      </c>
      <c r="R128" s="31">
        <f t="shared" si="7"/>
        <v>569104.27209999994</v>
      </c>
      <c r="S128" s="5"/>
    </row>
    <row r="129" spans="1:19" x14ac:dyDescent="0.25">
      <c r="A129">
        <v>964</v>
      </c>
      <c r="B129">
        <v>10</v>
      </c>
      <c r="C129" t="s">
        <v>0</v>
      </c>
      <c r="D129" s="5">
        <v>5</v>
      </c>
      <c r="E129" s="7">
        <f>VLOOKUP($A129,'2016'!$A$3:$H$138,4,FALSE)</f>
        <v>5.8965517241379191</v>
      </c>
      <c r="F129" s="7">
        <f>VLOOKUP($A129,'2016'!$A$3:$H$138,5,FALSE)</f>
        <v>137.70344827586212</v>
      </c>
      <c r="G129" s="7">
        <f>VLOOKUP($A129,'2016'!$A$3:$H$138,6,FALSE)</f>
        <v>288.87365591397821</v>
      </c>
      <c r="H129" s="7">
        <f>VLOOKUP($A129,'2016'!$A$3:$H$138,7,FALSE)</f>
        <v>173.70537634408635</v>
      </c>
      <c r="I129" s="7">
        <f>VLOOKUP($A129,'2016'!$A$3:$H$138,8,FALSE)</f>
        <v>32.074193548387015</v>
      </c>
      <c r="J129" s="7">
        <f t="shared" si="4"/>
        <v>638.25322580645161</v>
      </c>
      <c r="K129" s="20" t="str">
        <f>IFERROR(VLOOKUP($A129,#REF!,2,FALSE),"")</f>
        <v/>
      </c>
      <c r="L129" s="20" t="str">
        <f>IFERROR(VLOOKUP($A129,#REF!,3,FALSE),"")</f>
        <v/>
      </c>
      <c r="M129" s="20" t="str">
        <f>IFERROR(VLOOKUP($A129,#REF!,4,FALSE),"")</f>
        <v/>
      </c>
      <c r="N129" s="20" t="str">
        <f>IFERROR(VLOOKUP($A129,#REF!,5,FALSE),"")</f>
        <v/>
      </c>
      <c r="O129" s="20" t="str">
        <f>IFERROR(VLOOKUP($A129,#REF!,6,FALSE),"")</f>
        <v/>
      </c>
      <c r="P129" s="20">
        <f t="shared" si="5"/>
        <v>0</v>
      </c>
      <c r="Q129" s="28">
        <f t="shared" si="6"/>
        <v>-1</v>
      </c>
      <c r="R129" s="31">
        <f t="shared" si="7"/>
        <v>407367.18025234132</v>
      </c>
      <c r="S129" s="5"/>
    </row>
    <row r="130" spans="1:19" x14ac:dyDescent="0.25">
      <c r="A130">
        <v>965</v>
      </c>
      <c r="B130">
        <v>10</v>
      </c>
      <c r="C130" t="s">
        <v>0</v>
      </c>
      <c r="D130" s="5">
        <v>5</v>
      </c>
      <c r="E130" s="7">
        <f>VLOOKUP($A130,'2016'!$A$3:$H$138,4,FALSE)</f>
        <v>13</v>
      </c>
      <c r="F130" s="7">
        <f>VLOOKUP($A130,'2016'!$A$3:$H$138,5,FALSE)</f>
        <v>58.916666666666693</v>
      </c>
      <c r="G130" s="7">
        <f>VLOOKUP($A130,'2016'!$A$3:$H$138,6,FALSE)</f>
        <v>105.04761904761889</v>
      </c>
      <c r="H130" s="7">
        <f>VLOOKUP($A130,'2016'!$A$3:$H$138,7,FALSE)</f>
        <v>73.920329670329878</v>
      </c>
      <c r="I130" s="7">
        <f>VLOOKUP($A130,'2016'!$A$3:$H$138,8,FALSE)</f>
        <v>21.115384615384542</v>
      </c>
      <c r="J130" s="7">
        <f t="shared" si="4"/>
        <v>272</v>
      </c>
      <c r="K130" s="20" t="str">
        <f>IFERROR(VLOOKUP($A130,#REF!,2,FALSE),"")</f>
        <v/>
      </c>
      <c r="L130" s="20" t="str">
        <f>IFERROR(VLOOKUP($A130,#REF!,3,FALSE),"")</f>
        <v/>
      </c>
      <c r="M130" s="20" t="str">
        <f>IFERROR(VLOOKUP($A130,#REF!,4,FALSE),"")</f>
        <v/>
      </c>
      <c r="N130" s="20" t="str">
        <f>IFERROR(VLOOKUP($A130,#REF!,5,FALSE),"")</f>
        <v/>
      </c>
      <c r="O130" s="20" t="str">
        <f>IFERROR(VLOOKUP($A130,#REF!,6,FALSE),"")</f>
        <v/>
      </c>
      <c r="P130" s="20">
        <f t="shared" si="5"/>
        <v>0</v>
      </c>
      <c r="Q130" s="28">
        <f t="shared" si="6"/>
        <v>-1</v>
      </c>
      <c r="R130" s="31">
        <f t="shared" si="7"/>
        <v>73984</v>
      </c>
      <c r="S130" s="5"/>
    </row>
    <row r="131" spans="1:19" x14ac:dyDescent="0.25">
      <c r="A131">
        <v>967</v>
      </c>
      <c r="B131">
        <v>10</v>
      </c>
      <c r="C131" t="s">
        <v>0</v>
      </c>
      <c r="D131" s="5">
        <v>5</v>
      </c>
      <c r="E131" s="7">
        <f>VLOOKUP($A131,'2016'!$A$3:$H$138,4,FALSE)</f>
        <v>1.94</v>
      </c>
      <c r="F131" s="7">
        <f>VLOOKUP($A131,'2016'!$A$3:$H$138,5,FALSE)</f>
        <v>52.55</v>
      </c>
      <c r="G131" s="7">
        <f>VLOOKUP($A131,'2016'!$A$3:$H$138,6,FALSE)</f>
        <v>103.0765116279068</v>
      </c>
      <c r="H131" s="7">
        <f>VLOOKUP($A131,'2016'!$A$3:$H$138,7,FALSE)</f>
        <v>45.823488372093188</v>
      </c>
      <c r="I131" s="7">
        <f>VLOOKUP($A131,'2016'!$A$3:$H$138,8,FALSE)</f>
        <v>17.600000000000001</v>
      </c>
      <c r="J131" s="7">
        <f>SUM(E131:I131)</f>
        <v>220.98999999999995</v>
      </c>
      <c r="K131" s="20" t="str">
        <f>IFERROR(VLOOKUP($A131,#REF!,2,FALSE),"")</f>
        <v/>
      </c>
      <c r="L131" s="20" t="str">
        <f>IFERROR(VLOOKUP($A131,#REF!,3,FALSE),"")</f>
        <v/>
      </c>
      <c r="M131" s="20" t="str">
        <f>IFERROR(VLOOKUP($A131,#REF!,4,FALSE),"")</f>
        <v/>
      </c>
      <c r="N131" s="20" t="str">
        <f>IFERROR(VLOOKUP($A131,#REF!,5,FALSE),"")</f>
        <v/>
      </c>
      <c r="O131" s="20" t="str">
        <f>IFERROR(VLOOKUP($A131,#REF!,6,FALSE),"")</f>
        <v/>
      </c>
      <c r="P131" s="20">
        <f>SUM(K131:O131)</f>
        <v>0</v>
      </c>
      <c r="Q131" s="28">
        <f t="shared" ref="Q131:Q135" si="8">P131/J131-1</f>
        <v>-1</v>
      </c>
      <c r="R131" s="31">
        <f t="shared" ref="R131:R135" si="9">POWER((P131-J131),2)</f>
        <v>48836.580099999977</v>
      </c>
      <c r="S131" s="5"/>
    </row>
    <row r="132" spans="1:19" x14ac:dyDescent="0.25">
      <c r="A132">
        <v>968</v>
      </c>
      <c r="B132">
        <v>10</v>
      </c>
      <c r="C132" t="s">
        <v>0</v>
      </c>
      <c r="D132" s="5">
        <v>5</v>
      </c>
      <c r="E132" s="7">
        <f>VLOOKUP($A132,'2016'!$A$3:$H$138,4,FALSE)</f>
        <v>14.573023255813951</v>
      </c>
      <c r="F132" s="7">
        <f>VLOOKUP($A132,'2016'!$A$3:$H$138,5,FALSE)</f>
        <v>37.081657595249872</v>
      </c>
      <c r="G132" s="7">
        <f>VLOOKUP($A132,'2016'!$A$3:$H$138,6,FALSE)</f>
        <v>100.36531914893618</v>
      </c>
      <c r="H132" s="7">
        <f>VLOOKUP($A132,'2016'!$A$3:$H$138,7,FALSE)</f>
        <v>43.980909090909151</v>
      </c>
      <c r="I132" s="7">
        <f>VLOOKUP($A132,'2016'!$A$3:$H$138,8,FALSE)</f>
        <v>11.849090909090849</v>
      </c>
      <c r="J132" s="7">
        <f>SUM(E132:I132)</f>
        <v>207.85</v>
      </c>
      <c r="K132" s="20" t="str">
        <f>IFERROR(VLOOKUP($A132,#REF!,2,FALSE),"")</f>
        <v/>
      </c>
      <c r="L132" s="20" t="str">
        <f>IFERROR(VLOOKUP($A132,#REF!,3,FALSE),"")</f>
        <v/>
      </c>
      <c r="M132" s="20" t="str">
        <f>IFERROR(VLOOKUP($A132,#REF!,4,FALSE),"")</f>
        <v/>
      </c>
      <c r="N132" s="20" t="str">
        <f>IFERROR(VLOOKUP($A132,#REF!,5,FALSE),"")</f>
        <v/>
      </c>
      <c r="O132" s="20" t="str">
        <f>IFERROR(VLOOKUP($A132,#REF!,6,FALSE),"")</f>
        <v/>
      </c>
      <c r="P132" s="20">
        <f>SUM(K132:O132)</f>
        <v>0</v>
      </c>
      <c r="Q132" s="28">
        <f t="shared" si="8"/>
        <v>-1</v>
      </c>
      <c r="R132" s="31">
        <f t="shared" si="9"/>
        <v>43201.622499999998</v>
      </c>
      <c r="S132" s="5"/>
    </row>
    <row r="133" spans="1:19" x14ac:dyDescent="0.25">
      <c r="A133">
        <v>972</v>
      </c>
      <c r="B133">
        <v>10</v>
      </c>
      <c r="C133" t="s">
        <v>0</v>
      </c>
      <c r="D133" s="5">
        <v>5</v>
      </c>
      <c r="E133" s="7">
        <f>VLOOKUP($A133,'2016'!$A$3:$H$138,4,FALSE)</f>
        <v>0</v>
      </c>
      <c r="F133" s="7">
        <f>VLOOKUP($A133,'2016'!$A$3:$H$138,5,FALSE)</f>
        <v>73.619047619047635</v>
      </c>
      <c r="G133" s="7">
        <f>VLOOKUP($A133,'2016'!$A$3:$H$138,6,FALSE)</f>
        <v>8.3809523809523583</v>
      </c>
      <c r="H133" s="7">
        <f>VLOOKUP($A133,'2016'!$A$3:$H$138,7,FALSE)</f>
        <v>58</v>
      </c>
      <c r="I133" s="7">
        <f>VLOOKUP($A133,'2016'!$A$3:$H$138,8,FALSE)</f>
        <v>0</v>
      </c>
      <c r="J133" s="7">
        <f>SUM(E133:I133)</f>
        <v>140</v>
      </c>
      <c r="K133" s="20" t="str">
        <f>IFERROR(VLOOKUP($A133,#REF!,2,FALSE),"")</f>
        <v/>
      </c>
      <c r="L133" s="20" t="str">
        <f>IFERROR(VLOOKUP($A133,#REF!,3,FALSE),"")</f>
        <v/>
      </c>
      <c r="M133" s="20" t="str">
        <f>IFERROR(VLOOKUP($A133,#REF!,4,FALSE),"")</f>
        <v/>
      </c>
      <c r="N133" s="20" t="str">
        <f>IFERROR(VLOOKUP($A133,#REF!,5,FALSE),"")</f>
        <v/>
      </c>
      <c r="O133" s="20" t="str">
        <f>IFERROR(VLOOKUP($A133,#REF!,6,FALSE),"")</f>
        <v/>
      </c>
      <c r="P133" s="20">
        <f>SUM(K133:O133)</f>
        <v>0</v>
      </c>
      <c r="Q133" s="28">
        <f t="shared" si="8"/>
        <v>-1</v>
      </c>
      <c r="R133" s="31">
        <f t="shared" si="9"/>
        <v>19600</v>
      </c>
      <c r="S133" s="5"/>
    </row>
    <row r="134" spans="1:19" x14ac:dyDescent="0.25">
      <c r="A134">
        <v>973</v>
      </c>
      <c r="B134">
        <v>10</v>
      </c>
      <c r="C134" t="s">
        <v>0</v>
      </c>
      <c r="D134" s="5">
        <v>5</v>
      </c>
      <c r="E134" s="7">
        <f>VLOOKUP($A134,'2016'!$A$3:$H$138,4,FALSE)</f>
        <v>0</v>
      </c>
      <c r="F134" s="7">
        <f>VLOOKUP($A134,'2016'!$A$3:$H$138,5,FALSE)</f>
        <v>49</v>
      </c>
      <c r="G134" s="7">
        <f>VLOOKUP($A134,'2016'!$A$3:$H$138,6,FALSE)</f>
        <v>0</v>
      </c>
      <c r="H134" s="7">
        <f>VLOOKUP($A134,'2016'!$A$3:$H$138,7,FALSE)</f>
        <v>50</v>
      </c>
      <c r="I134" s="7">
        <f>VLOOKUP($A134,'2016'!$A$3:$H$138,8,FALSE)</f>
        <v>0</v>
      </c>
      <c r="J134" s="7">
        <f>SUM(E134:I134)</f>
        <v>99</v>
      </c>
      <c r="K134" s="20" t="str">
        <f>IFERROR(VLOOKUP($A134,#REF!,2,FALSE),"")</f>
        <v/>
      </c>
      <c r="L134" s="20" t="str">
        <f>IFERROR(VLOOKUP($A134,#REF!,3,FALSE),"")</f>
        <v/>
      </c>
      <c r="M134" s="20" t="str">
        <f>IFERROR(VLOOKUP($A134,#REF!,4,FALSE),"")</f>
        <v/>
      </c>
      <c r="N134" s="20" t="str">
        <f>IFERROR(VLOOKUP($A134,#REF!,5,FALSE),"")</f>
        <v/>
      </c>
      <c r="O134" s="20" t="str">
        <f>IFERROR(VLOOKUP($A134,#REF!,6,FALSE),"")</f>
        <v/>
      </c>
      <c r="P134" s="20">
        <f>SUM(K134:O134)</f>
        <v>0</v>
      </c>
      <c r="Q134" s="28">
        <f t="shared" si="8"/>
        <v>-1</v>
      </c>
      <c r="R134" s="31">
        <f t="shared" si="9"/>
        <v>9801</v>
      </c>
      <c r="S134" s="5"/>
    </row>
    <row r="135" spans="1:19" x14ac:dyDescent="0.25">
      <c r="A135">
        <v>978</v>
      </c>
      <c r="B135">
        <v>10</v>
      </c>
      <c r="C135" t="s">
        <v>0</v>
      </c>
      <c r="D135" s="5">
        <v>5</v>
      </c>
      <c r="E135" s="7">
        <f>VLOOKUP($A135,'2016'!$A$3:$H$138,4,FALSE)</f>
        <v>0</v>
      </c>
      <c r="F135" s="7">
        <f>VLOOKUP($A135,'2016'!$A$3:$H$138,5,FALSE)</f>
        <v>51</v>
      </c>
      <c r="G135" s="7">
        <f>VLOOKUP($A135,'2016'!$A$3:$H$138,6,FALSE)</f>
        <v>0</v>
      </c>
      <c r="H135" s="7">
        <f>VLOOKUP($A135,'2016'!$A$3:$H$138,7,FALSE)</f>
        <v>45</v>
      </c>
      <c r="I135" s="7">
        <f>VLOOKUP($A135,'2016'!$A$3:$H$138,8,FALSE)</f>
        <v>0</v>
      </c>
      <c r="J135" s="7">
        <f>SUM(E135:I135)</f>
        <v>96</v>
      </c>
      <c r="K135" s="20" t="str">
        <f>IFERROR(VLOOKUP($A135,#REF!,2,FALSE),"")</f>
        <v/>
      </c>
      <c r="L135" s="20" t="str">
        <f>IFERROR(VLOOKUP($A135,#REF!,3,FALSE),"")</f>
        <v/>
      </c>
      <c r="M135" s="20" t="str">
        <f>IFERROR(VLOOKUP($A135,#REF!,4,FALSE),"")</f>
        <v/>
      </c>
      <c r="N135" s="20" t="str">
        <f>IFERROR(VLOOKUP($A135,#REF!,5,FALSE),"")</f>
        <v/>
      </c>
      <c r="O135" s="20" t="str">
        <f>IFERROR(VLOOKUP($A135,#REF!,6,FALSE),"")</f>
        <v/>
      </c>
      <c r="P135" s="20">
        <f>SUM(K135:O135)</f>
        <v>0</v>
      </c>
      <c r="Q135" s="28">
        <f t="shared" si="8"/>
        <v>-1</v>
      </c>
      <c r="R135" s="31">
        <f t="shared" si="9"/>
        <v>9216</v>
      </c>
      <c r="S135" s="5"/>
    </row>
    <row r="136" spans="1:19" x14ac:dyDescent="0.25">
      <c r="A136">
        <v>979</v>
      </c>
      <c r="B136">
        <v>10</v>
      </c>
      <c r="C136" t="s">
        <v>0</v>
      </c>
      <c r="D136">
        <v>5</v>
      </c>
      <c r="E136" s="7">
        <f>VLOOKUP($A136,'2016'!$A$3:$H$138,4,FALSE)</f>
        <v>0</v>
      </c>
      <c r="F136" s="7">
        <f>VLOOKUP($A136,'2016'!$A$3:$H$138,5,FALSE)</f>
        <v>37</v>
      </c>
      <c r="G136" s="7">
        <f>VLOOKUP($A136,'2016'!$A$3:$H$138,6,FALSE)</f>
        <v>0</v>
      </c>
      <c r="H136" s="7">
        <f>VLOOKUP($A136,'2016'!$A$3:$H$138,7,FALSE)</f>
        <v>40</v>
      </c>
      <c r="I136" s="7">
        <f>VLOOKUP($A136,'2016'!$A$3:$H$138,8,FALSE)</f>
        <v>0</v>
      </c>
      <c r="J136" s="7">
        <f t="shared" ref="J136:J137" si="10">SUM(E136:I136)</f>
        <v>77</v>
      </c>
      <c r="K136" s="20" t="str">
        <f>IFERROR(VLOOKUP($A136,#REF!,2,FALSE),"")</f>
        <v/>
      </c>
      <c r="L136" s="20" t="str">
        <f>IFERROR(VLOOKUP($A136,#REF!,3,FALSE),"")</f>
        <v/>
      </c>
      <c r="M136" s="20" t="str">
        <f>IFERROR(VLOOKUP($A136,#REF!,4,FALSE),"")</f>
        <v/>
      </c>
      <c r="N136" s="20" t="str">
        <f>IFERROR(VLOOKUP($A136,#REF!,5,FALSE),"")</f>
        <v/>
      </c>
      <c r="O136" s="20" t="str">
        <f>IFERROR(VLOOKUP($A136,#REF!,6,FALSE),"")</f>
        <v/>
      </c>
      <c r="P136" s="20">
        <f t="shared" ref="P136:P137" si="11">SUM(K136:O136)</f>
        <v>0</v>
      </c>
      <c r="Q136" s="28">
        <f t="shared" ref="Q136:Q137" si="12">P136/J136-1</f>
        <v>-1</v>
      </c>
      <c r="R136" s="31">
        <f t="shared" ref="R136:R137" si="13">POWER((P136-J136),2)</f>
        <v>5929</v>
      </c>
      <c r="S136" s="5"/>
    </row>
    <row r="137" spans="1:19" x14ac:dyDescent="0.25">
      <c r="A137">
        <v>992</v>
      </c>
      <c r="B137">
        <v>10</v>
      </c>
      <c r="C137" t="s">
        <v>0</v>
      </c>
      <c r="D137">
        <v>5</v>
      </c>
      <c r="E137" s="7">
        <f>VLOOKUP($A137,'2016'!$A$3:$H$138,4,FALSE)</f>
        <v>49.118750000000013</v>
      </c>
      <c r="F137" s="7">
        <f>VLOOKUP($A137,'2016'!$A$3:$H$138,5,FALSE)</f>
        <v>180.21273936170215</v>
      </c>
      <c r="G137" s="7">
        <f>VLOOKUP($A137,'2016'!$A$3:$H$138,6,FALSE)</f>
        <v>549.64371063829742</v>
      </c>
      <c r="H137" s="7">
        <f>VLOOKUP($A137,'2016'!$A$3:$H$138,7,FALSE)</f>
        <v>215.88600000000065</v>
      </c>
      <c r="I137" s="7">
        <f>VLOOKUP($A137,'2016'!$A$3:$H$138,8,FALSE)</f>
        <v>176.54879999999983</v>
      </c>
      <c r="J137" s="7">
        <f t="shared" si="10"/>
        <v>1171.4100000000001</v>
      </c>
      <c r="K137" s="20" t="str">
        <f>IFERROR(VLOOKUP($A137,#REF!,2,FALSE),"")</f>
        <v/>
      </c>
      <c r="L137" s="20" t="str">
        <f>IFERROR(VLOOKUP($A137,#REF!,3,FALSE),"")</f>
        <v/>
      </c>
      <c r="M137" s="20" t="str">
        <f>IFERROR(VLOOKUP($A137,#REF!,4,FALSE),"")</f>
        <v/>
      </c>
      <c r="N137" s="20" t="str">
        <f>IFERROR(VLOOKUP($A137,#REF!,5,FALSE),"")</f>
        <v/>
      </c>
      <c r="O137" s="20" t="str">
        <f>IFERROR(VLOOKUP($A137,#REF!,6,FALSE),"")</f>
        <v/>
      </c>
      <c r="P137" s="20">
        <f t="shared" si="11"/>
        <v>0</v>
      </c>
      <c r="Q137" s="28">
        <f t="shared" si="12"/>
        <v>-1</v>
      </c>
      <c r="R137" s="31">
        <f t="shared" si="13"/>
        <v>1372201.3881000001</v>
      </c>
      <c r="S137" s="5"/>
    </row>
  </sheetData>
  <conditionalFormatting sqref="J1:J1048576">
    <cfRule type="cellIs" dxfId="0" priority="1" operator="lessThan">
      <formula>70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U137"/>
  <sheetViews>
    <sheetView workbookViewId="0">
      <pane ySplit="1" topLeftCell="A2" activePane="bottomLeft" state="frozen"/>
      <selection activeCell="X7" sqref="X7"/>
      <selection pane="bottomLeft" activeCell="X7" sqref="X7"/>
    </sheetView>
  </sheetViews>
  <sheetFormatPr defaultRowHeight="15" x14ac:dyDescent="0.25"/>
  <cols>
    <col min="1" max="2" width="9.140625" style="5"/>
    <col min="3" max="3" width="15" style="5" customWidth="1"/>
    <col min="4" max="4" width="9.140625" style="5"/>
    <col min="5" max="10" width="7.7109375" style="7" customWidth="1"/>
    <col min="11" max="15" width="7.7109375" style="20" customWidth="1"/>
    <col min="16" max="16" width="7.7109375" style="27" customWidth="1"/>
    <col min="17" max="17" width="9.140625" style="5"/>
    <col min="18" max="18" width="14.7109375" style="32" customWidth="1"/>
    <col min="19" max="16384" width="9.140625" style="5"/>
  </cols>
  <sheetData>
    <row r="1" spans="1:21" x14ac:dyDescent="0.25">
      <c r="A1" s="5" t="s">
        <v>2</v>
      </c>
      <c r="B1" s="5" t="s">
        <v>3</v>
      </c>
      <c r="C1" s="5" t="s">
        <v>4</v>
      </c>
      <c r="D1" s="5" t="s">
        <v>20</v>
      </c>
      <c r="E1" s="7" t="s">
        <v>21</v>
      </c>
      <c r="F1" s="7" t="s">
        <v>22</v>
      </c>
      <c r="G1" s="7" t="s">
        <v>23</v>
      </c>
      <c r="H1" s="7" t="s">
        <v>24</v>
      </c>
      <c r="I1" s="7" t="s">
        <v>25</v>
      </c>
      <c r="J1" s="7" t="s">
        <v>26</v>
      </c>
      <c r="K1" s="20" t="s">
        <v>21</v>
      </c>
      <c r="L1" s="20" t="s">
        <v>22</v>
      </c>
      <c r="M1" s="20" t="s">
        <v>23</v>
      </c>
      <c r="N1" s="20" t="s">
        <v>24</v>
      </c>
      <c r="O1" s="20" t="s">
        <v>25</v>
      </c>
      <c r="P1" s="20" t="s">
        <v>26</v>
      </c>
      <c r="Q1" s="2" t="s">
        <v>27</v>
      </c>
      <c r="R1" s="31" t="s">
        <v>28</v>
      </c>
      <c r="S1" s="2">
        <f>SUM(J2:J137)</f>
        <v>1617610.6372729833</v>
      </c>
      <c r="T1" s="2">
        <f>SUM(P2:P137)</f>
        <v>0</v>
      </c>
      <c r="U1" s="28">
        <f>T1/S1-1</f>
        <v>-1</v>
      </c>
    </row>
    <row r="2" spans="1:21" x14ac:dyDescent="0.25">
      <c r="A2" s="18">
        <v>398</v>
      </c>
      <c r="B2" s="18">
        <v>4</v>
      </c>
      <c r="C2" s="18" t="s">
        <v>13</v>
      </c>
      <c r="D2" s="18">
        <v>1</v>
      </c>
      <c r="E2" s="19">
        <f>VLOOKUP($A2,'2016'!$A$3:$M$138,9,FALSE)</f>
        <v>3400.5878222163342</v>
      </c>
      <c r="F2" s="19">
        <f>VLOOKUP($A2,'2016'!$A$3:$M$138,10,FALSE)</f>
        <v>39093.184108910056</v>
      </c>
      <c r="G2" s="19">
        <f>VLOOKUP($A2,'2016'!$A$3:$M$138,11,FALSE)</f>
        <v>20105.041468705818</v>
      </c>
      <c r="H2" s="19">
        <f>VLOOKUP($A2,'2016'!$A$3:$M$138,12,FALSE)</f>
        <v>48388.058295557006</v>
      </c>
      <c r="I2" s="19">
        <f>VLOOKUP($A2,'2016'!$A$3:$M$138,13,FALSE)</f>
        <v>7451.255716314623</v>
      </c>
      <c r="J2" s="19">
        <f>SUM(E2:I2)</f>
        <v>118438.12741170384</v>
      </c>
      <c r="K2" s="21" t="str">
        <f>IFERROR(VLOOKUP($A2,#REF!,7,FALSE),"")</f>
        <v/>
      </c>
      <c r="L2" s="21" t="str">
        <f>IFERROR(VLOOKUP($A2,#REF!,8,FALSE),"")</f>
        <v/>
      </c>
      <c r="M2" s="21" t="str">
        <f>IFERROR(VLOOKUP($A2,#REF!,9,FALSE),"")</f>
        <v/>
      </c>
      <c r="N2" s="21" t="str">
        <f>IFERROR(VLOOKUP($A2,#REF!,10,FALSE),"")</f>
        <v/>
      </c>
      <c r="O2" s="21" t="str">
        <f>IFERROR(VLOOKUP($A2,#REF!,11,FALSE),"")</f>
        <v/>
      </c>
      <c r="P2" s="21">
        <f>SUM(K2:O2)</f>
        <v>0</v>
      </c>
      <c r="Q2" s="28">
        <f>P2/J2-1</f>
        <v>-1</v>
      </c>
      <c r="R2" s="33">
        <f>POWER((P2-J2),2)</f>
        <v>14027590024.790993</v>
      </c>
    </row>
    <row r="3" spans="1:21" x14ac:dyDescent="0.25">
      <c r="A3" s="10">
        <v>399</v>
      </c>
      <c r="B3" s="10">
        <v>5</v>
      </c>
      <c r="C3" s="10" t="s">
        <v>14</v>
      </c>
      <c r="D3" s="10">
        <v>2</v>
      </c>
      <c r="E3" s="11">
        <f>VLOOKUP($A3,'2016'!$A$3:$M$138,9,FALSE)</f>
        <v>2931.9152830188686</v>
      </c>
      <c r="F3" s="11">
        <f>VLOOKUP($A3,'2016'!$A$3:$M$138,10,FALSE)</f>
        <v>15473.950188679244</v>
      </c>
      <c r="G3" s="11">
        <f>VLOOKUP($A3,'2016'!$A$3:$M$138,11,FALSE)</f>
        <v>28316.459622641494</v>
      </c>
      <c r="H3" s="11">
        <f>VLOOKUP($A3,'2016'!$A$3:$M$138,12,FALSE)</f>
        <v>18886.206603773619</v>
      </c>
      <c r="I3" s="11">
        <f>VLOOKUP($A3,'2016'!$A$3:$M$138,13,FALSE)</f>
        <v>8274.1883018867811</v>
      </c>
      <c r="J3" s="11">
        <f t="shared" ref="J3:J66" si="0">SUM(E3:I3)</f>
        <v>73882.720000000001</v>
      </c>
      <c r="K3" s="22" t="str">
        <f>IFERROR(VLOOKUP($A3,#REF!,7,FALSE),"")</f>
        <v/>
      </c>
      <c r="L3" s="22" t="str">
        <f>IFERROR(VLOOKUP($A3,#REF!,8,FALSE),"")</f>
        <v/>
      </c>
      <c r="M3" s="22" t="str">
        <f>IFERROR(VLOOKUP($A3,#REF!,9,FALSE),"")</f>
        <v/>
      </c>
      <c r="N3" s="22" t="str">
        <f>IFERROR(VLOOKUP($A3,#REF!,10,FALSE),"")</f>
        <v/>
      </c>
      <c r="O3" s="22" t="str">
        <f>IFERROR(VLOOKUP($A3,#REF!,11,FALSE),"")</f>
        <v/>
      </c>
      <c r="P3" s="22">
        <f t="shared" ref="P3:P66" si="1">SUM(K3:O3)</f>
        <v>0</v>
      </c>
      <c r="Q3" s="28">
        <f t="shared" ref="Q3:Q66" si="2">P3/J3-1</f>
        <v>-1</v>
      </c>
      <c r="R3" s="33">
        <f t="shared" ref="R3:R66" si="3">POWER((P3-J3),2)</f>
        <v>5458656314.5984001</v>
      </c>
    </row>
    <row r="4" spans="1:21" x14ac:dyDescent="0.25">
      <c r="A4" s="16">
        <v>510</v>
      </c>
      <c r="B4" s="16">
        <v>5</v>
      </c>
      <c r="C4" s="16" t="s">
        <v>14</v>
      </c>
      <c r="D4" s="16">
        <v>2</v>
      </c>
      <c r="E4" s="17">
        <f>VLOOKUP($A4,'2016'!$A$3:$M$138,9,FALSE)</f>
        <v>20115.601641577061</v>
      </c>
      <c r="F4" s="17">
        <f>VLOOKUP($A4,'2016'!$A$3:$M$138,10,FALSE)</f>
        <v>63661.031247311803</v>
      </c>
      <c r="G4" s="17">
        <f>VLOOKUP($A4,'2016'!$A$3:$M$138,11,FALSE)</f>
        <v>113411.91242245938</v>
      </c>
      <c r="H4" s="17">
        <f>VLOOKUP($A4,'2016'!$A$3:$M$138,12,FALSE)</f>
        <v>82707.204553063653</v>
      </c>
      <c r="I4" s="17">
        <f>VLOOKUP($A4,'2016'!$A$3:$M$138,13,FALSE)</f>
        <v>32146.675777777673</v>
      </c>
      <c r="J4" s="17">
        <f t="shared" si="0"/>
        <v>312042.42564218957</v>
      </c>
      <c r="K4" s="23" t="str">
        <f>IFERROR(VLOOKUP($A4,#REF!,7,FALSE),"")</f>
        <v/>
      </c>
      <c r="L4" s="23" t="str">
        <f>IFERROR(VLOOKUP($A4,#REF!,8,FALSE),"")</f>
        <v/>
      </c>
      <c r="M4" s="23" t="str">
        <f>IFERROR(VLOOKUP($A4,#REF!,9,FALSE),"")</f>
        <v/>
      </c>
      <c r="N4" s="23" t="str">
        <f>IFERROR(VLOOKUP($A4,#REF!,10,FALSE),"")</f>
        <v/>
      </c>
      <c r="O4" s="23" t="str">
        <f>IFERROR(VLOOKUP($A4,#REF!,11,FALSE),"")</f>
        <v/>
      </c>
      <c r="P4" s="23">
        <f t="shared" si="1"/>
        <v>0</v>
      </c>
      <c r="Q4" s="28">
        <f t="shared" si="2"/>
        <v>-1</v>
      </c>
      <c r="R4" s="33">
        <f t="shared" si="3"/>
        <v>97370475400.661407</v>
      </c>
    </row>
    <row r="5" spans="1:21" x14ac:dyDescent="0.25">
      <c r="A5" s="14">
        <v>520</v>
      </c>
      <c r="B5" s="14">
        <v>5</v>
      </c>
      <c r="C5" s="14" t="s">
        <v>14</v>
      </c>
      <c r="D5" s="14">
        <v>2</v>
      </c>
      <c r="E5" s="15">
        <f>VLOOKUP($A5,'2016'!$A$3:$M$138,9,FALSE)</f>
        <v>5429.6671698113214</v>
      </c>
      <c r="F5" s="15">
        <f>VLOOKUP($A5,'2016'!$A$3:$M$138,10,FALSE)</f>
        <v>26119.409433962264</v>
      </c>
      <c r="G5" s="15">
        <f>VLOOKUP($A5,'2016'!$A$3:$M$138,11,FALSE)</f>
        <v>48821.427547169755</v>
      </c>
      <c r="H5" s="15">
        <f>VLOOKUP($A5,'2016'!$A$3:$M$138,12,FALSE)</f>
        <v>32385.773584905754</v>
      </c>
      <c r="I5" s="15">
        <f>VLOOKUP($A5,'2016'!$A$3:$M$138,13,FALSE)</f>
        <v>14643.872264150914</v>
      </c>
      <c r="J5" s="15">
        <f t="shared" si="0"/>
        <v>127400.15</v>
      </c>
      <c r="K5" s="24" t="str">
        <f>IFERROR(VLOOKUP($A5,#REF!,7,FALSE),"")</f>
        <v/>
      </c>
      <c r="L5" s="24" t="str">
        <f>IFERROR(VLOOKUP($A5,#REF!,8,FALSE),"")</f>
        <v/>
      </c>
      <c r="M5" s="24" t="str">
        <f>IFERROR(VLOOKUP($A5,#REF!,9,FALSE),"")</f>
        <v/>
      </c>
      <c r="N5" s="24" t="str">
        <f>IFERROR(VLOOKUP($A5,#REF!,10,FALSE),"")</f>
        <v/>
      </c>
      <c r="O5" s="24" t="str">
        <f>IFERROR(VLOOKUP($A5,#REF!,11,FALSE),"")</f>
        <v/>
      </c>
      <c r="P5" s="24">
        <f t="shared" si="1"/>
        <v>0</v>
      </c>
      <c r="Q5" s="28">
        <f t="shared" si="2"/>
        <v>-1</v>
      </c>
      <c r="R5" s="33">
        <f t="shared" si="3"/>
        <v>16230798220.022499</v>
      </c>
    </row>
    <row r="6" spans="1:21" x14ac:dyDescent="0.25">
      <c r="A6" s="12">
        <v>530</v>
      </c>
      <c r="B6" s="12">
        <v>5</v>
      </c>
      <c r="C6" s="12" t="s">
        <v>14</v>
      </c>
      <c r="D6" s="12">
        <v>2</v>
      </c>
      <c r="E6" s="13">
        <f>VLOOKUP($A6,'2016'!$A$3:$M$138,9,FALSE)</f>
        <v>4645.7594029850743</v>
      </c>
      <c r="F6" s="13">
        <f>VLOOKUP($A6,'2016'!$A$3:$M$138,10,FALSE)</f>
        <v>33698.409552238809</v>
      </c>
      <c r="G6" s="13">
        <f>VLOOKUP($A6,'2016'!$A$3:$M$138,11,FALSE)</f>
        <v>72664.740298507386</v>
      </c>
      <c r="H6" s="13">
        <f>VLOOKUP($A6,'2016'!$A$3:$M$138,12,FALSE)</f>
        <v>47205.91656716432</v>
      </c>
      <c r="I6" s="13">
        <f>VLOOKUP($A6,'2016'!$A$3:$M$138,13,FALSE)</f>
        <v>21031.51417910443</v>
      </c>
      <c r="J6" s="13">
        <f t="shared" si="0"/>
        <v>179246.34000000003</v>
      </c>
      <c r="K6" s="25" t="str">
        <f>IFERROR(VLOOKUP($A6,#REF!,7,FALSE),"")</f>
        <v/>
      </c>
      <c r="L6" s="25" t="str">
        <f>IFERROR(VLOOKUP($A6,#REF!,8,FALSE),"")</f>
        <v/>
      </c>
      <c r="M6" s="25" t="str">
        <f>IFERROR(VLOOKUP($A6,#REF!,9,FALSE),"")</f>
        <v/>
      </c>
      <c r="N6" s="25" t="str">
        <f>IFERROR(VLOOKUP($A6,#REF!,10,FALSE),"")</f>
        <v/>
      </c>
      <c r="O6" s="25" t="str">
        <f>IFERROR(VLOOKUP($A6,#REF!,11,FALSE),"")</f>
        <v/>
      </c>
      <c r="P6" s="25">
        <f t="shared" si="1"/>
        <v>0</v>
      </c>
      <c r="Q6" s="28">
        <f t="shared" si="2"/>
        <v>-1</v>
      </c>
      <c r="R6" s="33">
        <f t="shared" si="3"/>
        <v>32129250403.395611</v>
      </c>
    </row>
    <row r="7" spans="1:21" x14ac:dyDescent="0.25">
      <c r="A7" s="5">
        <v>10</v>
      </c>
      <c r="B7" s="5">
        <v>9</v>
      </c>
      <c r="C7" s="5" t="s">
        <v>10</v>
      </c>
      <c r="D7" s="5">
        <v>3</v>
      </c>
      <c r="E7" s="7">
        <f>VLOOKUP($A7,'2016'!$A$3:$M$138,9,FALSE)</f>
        <v>371.14096616541343</v>
      </c>
      <c r="F7" s="7">
        <f>VLOOKUP($A7,'2016'!$A$3:$M$138,10,FALSE)</f>
        <v>2719.3538338345857</v>
      </c>
      <c r="G7" s="7">
        <f>VLOOKUP($A7,'2016'!$A$3:$M$138,11,FALSE)</f>
        <v>5447.3801819921446</v>
      </c>
      <c r="H7" s="7">
        <f>VLOOKUP($A7,'2016'!$A$3:$M$138,12,FALSE)</f>
        <v>3274.7624075468675</v>
      </c>
      <c r="I7" s="7">
        <f>VLOOKUP($A7,'2016'!$A$3:$M$138,13,FALSE)</f>
        <v>1653.812610460988</v>
      </c>
      <c r="J7" s="7">
        <f t="shared" si="0"/>
        <v>13466.449999999997</v>
      </c>
      <c r="K7" s="20" t="str">
        <f>IFERROR(VLOOKUP($A7,#REF!,7,FALSE),"")</f>
        <v/>
      </c>
      <c r="L7" s="20" t="str">
        <f>IFERROR(VLOOKUP($A7,#REF!,8,FALSE),"")</f>
        <v/>
      </c>
      <c r="M7" s="20" t="str">
        <f>IFERROR(VLOOKUP($A7,#REF!,9,FALSE),"")</f>
        <v/>
      </c>
      <c r="N7" s="20" t="str">
        <f>IFERROR(VLOOKUP($A7,#REF!,10,FALSE),"")</f>
        <v/>
      </c>
      <c r="O7" s="20" t="str">
        <f>IFERROR(VLOOKUP($A7,#REF!,11,FALSE),"")</f>
        <v/>
      </c>
      <c r="P7" s="20">
        <f t="shared" si="1"/>
        <v>0</v>
      </c>
      <c r="Q7" s="28">
        <f t="shared" si="2"/>
        <v>-1</v>
      </c>
      <c r="R7" s="33">
        <f t="shared" si="3"/>
        <v>181345275.60249993</v>
      </c>
    </row>
    <row r="8" spans="1:21" x14ac:dyDescent="0.25">
      <c r="A8" s="5">
        <v>20</v>
      </c>
      <c r="B8" s="5">
        <v>9</v>
      </c>
      <c r="C8" s="5" t="s">
        <v>10</v>
      </c>
      <c r="D8" s="5">
        <v>3</v>
      </c>
      <c r="E8" s="7">
        <f>VLOOKUP($A8,'2016'!$A$3:$M$138,9,FALSE)</f>
        <v>431.64548721089818</v>
      </c>
      <c r="F8" s="7">
        <f>VLOOKUP($A8,'2016'!$A$3:$M$138,10,FALSE)</f>
        <v>5053.558512370606</v>
      </c>
      <c r="G8" s="7">
        <f>VLOOKUP($A8,'2016'!$A$3:$M$138,11,FALSE)</f>
        <v>8566.1477696714537</v>
      </c>
      <c r="H8" s="7">
        <f>VLOOKUP($A8,'2016'!$A$3:$M$138,12,FALSE)</f>
        <v>4904.4296368288569</v>
      </c>
      <c r="I8" s="7">
        <f>VLOOKUP($A8,'2016'!$A$3:$M$138,13,FALSE)</f>
        <v>1341.743917548979</v>
      </c>
      <c r="J8" s="7">
        <f t="shared" si="0"/>
        <v>20297.525323630791</v>
      </c>
      <c r="K8" s="20" t="str">
        <f>IFERROR(VLOOKUP($A8,#REF!,7,FALSE),"")</f>
        <v/>
      </c>
      <c r="L8" s="20" t="str">
        <f>IFERROR(VLOOKUP($A8,#REF!,8,FALSE),"")</f>
        <v/>
      </c>
      <c r="M8" s="20" t="str">
        <f>IFERROR(VLOOKUP($A8,#REF!,9,FALSE),"")</f>
        <v/>
      </c>
      <c r="N8" s="20" t="str">
        <f>IFERROR(VLOOKUP($A8,#REF!,10,FALSE),"")</f>
        <v/>
      </c>
      <c r="O8" s="20" t="str">
        <f>IFERROR(VLOOKUP($A8,#REF!,11,FALSE),"")</f>
        <v/>
      </c>
      <c r="P8" s="20">
        <f t="shared" si="1"/>
        <v>0</v>
      </c>
      <c r="Q8" s="28">
        <f t="shared" si="2"/>
        <v>-1</v>
      </c>
      <c r="R8" s="33">
        <f t="shared" si="3"/>
        <v>411989534.26343322</v>
      </c>
    </row>
    <row r="9" spans="1:21" x14ac:dyDescent="0.25">
      <c r="A9" s="5">
        <v>50</v>
      </c>
      <c r="B9" s="5">
        <v>9</v>
      </c>
      <c r="C9" s="5" t="s">
        <v>10</v>
      </c>
      <c r="D9" s="5">
        <v>3</v>
      </c>
      <c r="E9" s="7">
        <f>VLOOKUP($A9,'2016'!$A$3:$M$138,9,FALSE)</f>
        <v>468.39814800680011</v>
      </c>
      <c r="F9" s="7">
        <f>VLOOKUP($A9,'2016'!$A$3:$M$138,10,FALSE)</f>
        <v>2374.4192248309682</v>
      </c>
      <c r="G9" s="7">
        <f>VLOOKUP($A9,'2016'!$A$3:$M$138,11,FALSE)</f>
        <v>1985.8193997374781</v>
      </c>
      <c r="H9" s="7">
        <f>VLOOKUP($A9,'2016'!$A$3:$M$138,12,FALSE)</f>
        <v>1927.8102041689403</v>
      </c>
      <c r="I9" s="7">
        <f>VLOOKUP($A9,'2016'!$A$3:$M$138,13,FALSE)</f>
        <v>49.613023255812699</v>
      </c>
      <c r="J9" s="7">
        <f t="shared" si="0"/>
        <v>6806.0599999999986</v>
      </c>
      <c r="K9" s="20" t="str">
        <f>IFERROR(VLOOKUP($A9,#REF!,7,FALSE),"")</f>
        <v/>
      </c>
      <c r="L9" s="20" t="str">
        <f>IFERROR(VLOOKUP($A9,#REF!,8,FALSE),"")</f>
        <v/>
      </c>
      <c r="M9" s="20" t="str">
        <f>IFERROR(VLOOKUP($A9,#REF!,9,FALSE),"")</f>
        <v/>
      </c>
      <c r="N9" s="20" t="str">
        <f>IFERROR(VLOOKUP($A9,#REF!,10,FALSE),"")</f>
        <v/>
      </c>
      <c r="O9" s="20" t="str">
        <f>IFERROR(VLOOKUP($A9,#REF!,11,FALSE),"")</f>
        <v/>
      </c>
      <c r="P9" s="20">
        <f t="shared" si="1"/>
        <v>0</v>
      </c>
      <c r="Q9" s="28">
        <f t="shared" si="2"/>
        <v>-1</v>
      </c>
      <c r="R9" s="33">
        <f t="shared" si="3"/>
        <v>46322452.723599978</v>
      </c>
    </row>
    <row r="10" spans="1:21" x14ac:dyDescent="0.25">
      <c r="A10" s="5">
        <v>60</v>
      </c>
      <c r="B10" s="5">
        <v>9</v>
      </c>
      <c r="C10" s="5" t="s">
        <v>10</v>
      </c>
      <c r="D10" s="5">
        <v>3</v>
      </c>
      <c r="E10" s="7">
        <f>VLOOKUP($A10,'2016'!$A$3:$M$138,9,FALSE)</f>
        <v>633.05900000000008</v>
      </c>
      <c r="F10" s="7">
        <f>VLOOKUP($A10,'2016'!$A$3:$M$138,10,FALSE)</f>
        <v>1324.9009999999998</v>
      </c>
      <c r="G10" s="7">
        <f>VLOOKUP($A10,'2016'!$A$3:$M$138,11,FALSE)</f>
        <v>21.349230769228146</v>
      </c>
      <c r="H10" s="7">
        <f>VLOOKUP($A10,'2016'!$A$3:$M$138,12,FALSE)</f>
        <v>1328.3507692307719</v>
      </c>
      <c r="I10" s="7">
        <f>VLOOKUP($A10,'2016'!$A$3:$M$138,13,FALSE)</f>
        <v>0</v>
      </c>
      <c r="J10" s="7">
        <f t="shared" si="0"/>
        <v>3307.66</v>
      </c>
      <c r="K10" s="20" t="str">
        <f>IFERROR(VLOOKUP($A10,#REF!,7,FALSE),"")</f>
        <v/>
      </c>
      <c r="L10" s="20" t="str">
        <f>IFERROR(VLOOKUP($A10,#REF!,8,FALSE),"")</f>
        <v/>
      </c>
      <c r="M10" s="20" t="str">
        <f>IFERROR(VLOOKUP($A10,#REF!,9,FALSE),"")</f>
        <v/>
      </c>
      <c r="N10" s="20" t="str">
        <f>IFERROR(VLOOKUP($A10,#REF!,10,FALSE),"")</f>
        <v/>
      </c>
      <c r="O10" s="20" t="str">
        <f>IFERROR(VLOOKUP($A10,#REF!,11,FALSE),"")</f>
        <v/>
      </c>
      <c r="P10" s="20">
        <f t="shared" si="1"/>
        <v>0</v>
      </c>
      <c r="Q10" s="28">
        <f t="shared" si="2"/>
        <v>-1</v>
      </c>
      <c r="R10" s="33">
        <f t="shared" si="3"/>
        <v>10940614.6756</v>
      </c>
    </row>
    <row r="11" spans="1:21" x14ac:dyDescent="0.25">
      <c r="A11" s="5">
        <v>110</v>
      </c>
      <c r="B11" s="5">
        <v>9</v>
      </c>
      <c r="C11" s="5" t="s">
        <v>10</v>
      </c>
      <c r="D11" s="5">
        <v>3</v>
      </c>
      <c r="E11" s="7">
        <f>VLOOKUP($A11,'2016'!$A$3:$M$138,9,FALSE)</f>
        <v>0</v>
      </c>
      <c r="F11" s="7">
        <f>VLOOKUP($A11,'2016'!$A$3:$M$138,10,FALSE)</f>
        <v>1540.7099999999998</v>
      </c>
      <c r="G11" s="7">
        <f>VLOOKUP($A11,'2016'!$A$3:$M$138,11,FALSE)</f>
        <v>0</v>
      </c>
      <c r="H11" s="7">
        <f>VLOOKUP($A11,'2016'!$A$3:$M$138,12,FALSE)</f>
        <v>1544.41</v>
      </c>
      <c r="I11" s="7">
        <f>VLOOKUP($A11,'2016'!$A$3:$M$138,13,FALSE)</f>
        <v>0</v>
      </c>
      <c r="J11" s="7">
        <f t="shared" si="0"/>
        <v>3085.12</v>
      </c>
      <c r="K11" s="20" t="str">
        <f>IFERROR(VLOOKUP($A11,#REF!,7,FALSE),"")</f>
        <v/>
      </c>
      <c r="L11" s="20" t="str">
        <f>IFERROR(VLOOKUP($A11,#REF!,8,FALSE),"")</f>
        <v/>
      </c>
      <c r="M11" s="20" t="str">
        <f>IFERROR(VLOOKUP($A11,#REF!,9,FALSE),"")</f>
        <v/>
      </c>
      <c r="N11" s="20" t="str">
        <f>IFERROR(VLOOKUP($A11,#REF!,10,FALSE),"")</f>
        <v/>
      </c>
      <c r="O11" s="20" t="str">
        <f>IFERROR(VLOOKUP($A11,#REF!,11,FALSE),"")</f>
        <v/>
      </c>
      <c r="P11" s="20">
        <f t="shared" si="1"/>
        <v>0</v>
      </c>
      <c r="Q11" s="28">
        <f t="shared" si="2"/>
        <v>-1</v>
      </c>
      <c r="R11" s="33">
        <f t="shared" si="3"/>
        <v>9517965.4144000001</v>
      </c>
    </row>
    <row r="12" spans="1:21" x14ac:dyDescent="0.25">
      <c r="A12" s="5">
        <v>120</v>
      </c>
      <c r="B12" s="5">
        <v>9</v>
      </c>
      <c r="C12" s="5" t="s">
        <v>10</v>
      </c>
      <c r="D12" s="5">
        <v>3</v>
      </c>
      <c r="E12" s="7">
        <f>VLOOKUP($A12,'2016'!$A$3:$M$138,9,FALSE)</f>
        <v>134.62173997545005</v>
      </c>
      <c r="F12" s="7">
        <f>VLOOKUP($A12,'2016'!$A$3:$M$138,10,FALSE)</f>
        <v>1974.0267453605509</v>
      </c>
      <c r="G12" s="7">
        <f>VLOOKUP($A12,'2016'!$A$3:$M$138,11,FALSE)</f>
        <v>4445.7789365377394</v>
      </c>
      <c r="H12" s="7">
        <f>VLOOKUP($A12,'2016'!$A$3:$M$138,12,FALSE)</f>
        <v>2215.3361592459541</v>
      </c>
      <c r="I12" s="7">
        <f>VLOOKUP($A12,'2016'!$A$3:$M$138,13,FALSE)</f>
        <v>1072.7117751542014</v>
      </c>
      <c r="J12" s="7">
        <f t="shared" si="0"/>
        <v>9842.4753562738952</v>
      </c>
      <c r="K12" s="20" t="str">
        <f>IFERROR(VLOOKUP($A12,#REF!,7,FALSE),"")</f>
        <v/>
      </c>
      <c r="L12" s="20" t="str">
        <f>IFERROR(VLOOKUP($A12,#REF!,8,FALSE),"")</f>
        <v/>
      </c>
      <c r="M12" s="20" t="str">
        <f>IFERROR(VLOOKUP($A12,#REF!,9,FALSE),"")</f>
        <v/>
      </c>
      <c r="N12" s="20" t="str">
        <f>IFERROR(VLOOKUP($A12,#REF!,10,FALSE),"")</f>
        <v/>
      </c>
      <c r="O12" s="20" t="str">
        <f>IFERROR(VLOOKUP($A12,#REF!,11,FALSE),"")</f>
        <v/>
      </c>
      <c r="P12" s="20">
        <f t="shared" si="1"/>
        <v>0</v>
      </c>
      <c r="Q12" s="28">
        <f t="shared" si="2"/>
        <v>-1</v>
      </c>
      <c r="R12" s="33">
        <f t="shared" si="3"/>
        <v>96874321.138858944</v>
      </c>
    </row>
    <row r="13" spans="1:21" x14ac:dyDescent="0.25">
      <c r="A13" s="5">
        <v>150</v>
      </c>
      <c r="B13" s="5">
        <v>9</v>
      </c>
      <c r="C13" s="5" t="s">
        <v>10</v>
      </c>
      <c r="D13" s="5">
        <v>3</v>
      </c>
      <c r="E13" s="7">
        <f>VLOOKUP($A13,'2016'!$A$3:$M$138,9,FALSE)</f>
        <v>0</v>
      </c>
      <c r="F13" s="7">
        <f>VLOOKUP($A13,'2016'!$A$3:$M$138,10,FALSE)</f>
        <v>7161.1232026794933</v>
      </c>
      <c r="G13" s="7">
        <f>VLOOKUP($A13,'2016'!$A$3:$M$138,11,FALSE)</f>
        <v>9868.338448569335</v>
      </c>
      <c r="H13" s="7">
        <f>VLOOKUP($A13,'2016'!$A$3:$M$138,12,FALSE)</f>
        <v>7202.8815352924948</v>
      </c>
      <c r="I13" s="7">
        <f>VLOOKUP($A13,'2016'!$A$3:$M$138,13,FALSE)</f>
        <v>1959.8668134586792</v>
      </c>
      <c r="J13" s="7">
        <f t="shared" si="0"/>
        <v>26192.210000000003</v>
      </c>
      <c r="K13" s="20" t="str">
        <f>IFERROR(VLOOKUP($A13,#REF!,7,FALSE),"")</f>
        <v/>
      </c>
      <c r="L13" s="20" t="str">
        <f>IFERROR(VLOOKUP($A13,#REF!,8,FALSE),"")</f>
        <v/>
      </c>
      <c r="M13" s="20" t="str">
        <f>IFERROR(VLOOKUP($A13,#REF!,9,FALSE),"")</f>
        <v/>
      </c>
      <c r="N13" s="20" t="str">
        <f>IFERROR(VLOOKUP($A13,#REF!,10,FALSE),"")</f>
        <v/>
      </c>
      <c r="O13" s="20" t="str">
        <f>IFERROR(VLOOKUP($A13,#REF!,11,FALSE),"")</f>
        <v/>
      </c>
      <c r="P13" s="20">
        <f t="shared" si="1"/>
        <v>0</v>
      </c>
      <c r="Q13" s="28">
        <f t="shared" si="2"/>
        <v>-1</v>
      </c>
      <c r="R13" s="33">
        <f t="shared" si="3"/>
        <v>686031864.68410015</v>
      </c>
    </row>
    <row r="14" spans="1:21" x14ac:dyDescent="0.25">
      <c r="A14" s="5">
        <v>950</v>
      </c>
      <c r="B14" s="5">
        <v>9</v>
      </c>
      <c r="C14" s="5" t="s">
        <v>10</v>
      </c>
      <c r="D14" s="5">
        <v>3</v>
      </c>
      <c r="E14" s="7">
        <f>VLOOKUP($A14,'2016'!$A$3:$M$138,9,FALSE)</f>
        <v>1701.5885714285716</v>
      </c>
      <c r="F14" s="7">
        <f>VLOOKUP($A14,'2016'!$A$3:$M$138,10,FALSE)</f>
        <v>3304.6642857142856</v>
      </c>
      <c r="G14" s="7">
        <f>VLOOKUP($A14,'2016'!$A$3:$M$138,11,FALSE)</f>
        <v>2611.2971428571323</v>
      </c>
      <c r="H14" s="7">
        <f>VLOOKUP($A14,'2016'!$A$3:$M$138,12,FALSE)</f>
        <v>2345.2700000000109</v>
      </c>
      <c r="I14" s="7">
        <f>VLOOKUP($A14,'2016'!$A$3:$M$138,13,FALSE)</f>
        <v>224.37</v>
      </c>
      <c r="J14" s="7">
        <f t="shared" si="0"/>
        <v>10187.190000000002</v>
      </c>
      <c r="K14" s="20" t="str">
        <f>IFERROR(VLOOKUP($A14,#REF!,7,FALSE),"")</f>
        <v/>
      </c>
      <c r="L14" s="20" t="str">
        <f>IFERROR(VLOOKUP($A14,#REF!,8,FALSE),"")</f>
        <v/>
      </c>
      <c r="M14" s="20" t="str">
        <f>IFERROR(VLOOKUP($A14,#REF!,9,FALSE),"")</f>
        <v/>
      </c>
      <c r="N14" s="20" t="str">
        <f>IFERROR(VLOOKUP($A14,#REF!,10,FALSE),"")</f>
        <v/>
      </c>
      <c r="O14" s="20" t="str">
        <f>IFERROR(VLOOKUP($A14,#REF!,11,FALSE),"")</f>
        <v/>
      </c>
      <c r="P14" s="20">
        <f t="shared" si="1"/>
        <v>0</v>
      </c>
      <c r="Q14" s="28">
        <f t="shared" si="2"/>
        <v>-1</v>
      </c>
      <c r="R14" s="33">
        <f t="shared" si="3"/>
        <v>103778840.09610005</v>
      </c>
    </row>
    <row r="15" spans="1:21" x14ac:dyDescent="0.25">
      <c r="A15" s="5">
        <v>870</v>
      </c>
      <c r="B15" s="5">
        <v>8</v>
      </c>
      <c r="C15" s="5" t="s">
        <v>15</v>
      </c>
      <c r="D15" s="5">
        <v>3</v>
      </c>
      <c r="E15" s="7">
        <f>VLOOKUP($A15,'2016'!$A$3:$M$138,9,FALSE)</f>
        <v>0</v>
      </c>
      <c r="F15" s="7">
        <f>VLOOKUP($A15,'2016'!$A$3:$M$138,10,FALSE)</f>
        <v>323.86</v>
      </c>
      <c r="G15" s="7">
        <f>VLOOKUP($A15,'2016'!$A$3:$M$138,11,FALSE)</f>
        <v>0</v>
      </c>
      <c r="H15" s="7">
        <f>VLOOKUP($A15,'2016'!$A$3:$M$138,12,FALSE)</f>
        <v>322.45999999999998</v>
      </c>
      <c r="I15" s="7">
        <f>VLOOKUP($A15,'2016'!$A$3:$M$138,13,FALSE)</f>
        <v>0</v>
      </c>
      <c r="J15" s="7">
        <f t="shared" si="0"/>
        <v>646.31999999999994</v>
      </c>
      <c r="K15" s="20" t="str">
        <f>IFERROR(VLOOKUP($A15,#REF!,7,FALSE),"")</f>
        <v/>
      </c>
      <c r="L15" s="20" t="str">
        <f>IFERROR(VLOOKUP($A15,#REF!,8,FALSE),"")</f>
        <v/>
      </c>
      <c r="M15" s="20" t="str">
        <f>IFERROR(VLOOKUP($A15,#REF!,9,FALSE),"")</f>
        <v/>
      </c>
      <c r="N15" s="20" t="str">
        <f>IFERROR(VLOOKUP($A15,#REF!,10,FALSE),"")</f>
        <v/>
      </c>
      <c r="O15" s="20" t="str">
        <f>IFERROR(VLOOKUP($A15,#REF!,11,FALSE),"")</f>
        <v/>
      </c>
      <c r="P15" s="20">
        <f t="shared" si="1"/>
        <v>0</v>
      </c>
      <c r="Q15" s="28">
        <f t="shared" si="2"/>
        <v>-1</v>
      </c>
      <c r="R15" s="33">
        <f t="shared" si="3"/>
        <v>417729.54239999992</v>
      </c>
    </row>
    <row r="16" spans="1:21" x14ac:dyDescent="0.25">
      <c r="A16" s="8">
        <v>235</v>
      </c>
      <c r="B16" s="8">
        <v>6</v>
      </c>
      <c r="C16" s="8" t="s">
        <v>12</v>
      </c>
      <c r="D16" s="8">
        <v>4</v>
      </c>
      <c r="E16" s="9">
        <f>VLOOKUP($A16,'2016'!$A$3:$M$138,9,FALSE)</f>
        <v>3579.8673264010754</v>
      </c>
      <c r="F16" s="9">
        <f>VLOOKUP($A16,'2016'!$A$3:$M$138,10,FALSE)</f>
        <v>20321.968535270287</v>
      </c>
      <c r="G16" s="9">
        <f>VLOOKUP($A16,'2016'!$A$3:$M$138,11,FALSE)</f>
        <v>31183.483768700669</v>
      </c>
      <c r="H16" s="9">
        <f>VLOOKUP($A16,'2016'!$A$3:$M$138,12,FALSE)</f>
        <v>23386.157900091359</v>
      </c>
      <c r="I16" s="9">
        <f>VLOOKUP($A16,'2016'!$A$3:$M$138,13,FALSE)</f>
        <v>9959.8924695366059</v>
      </c>
      <c r="J16" s="9">
        <f t="shared" si="0"/>
        <v>88431.37</v>
      </c>
      <c r="K16" s="26" t="str">
        <f>IFERROR(VLOOKUP($A16,#REF!,7,FALSE),"")</f>
        <v/>
      </c>
      <c r="L16" s="26" t="str">
        <f>IFERROR(VLOOKUP($A16,#REF!,8,FALSE),"")</f>
        <v/>
      </c>
      <c r="M16" s="26" t="str">
        <f>IFERROR(VLOOKUP($A16,#REF!,9,FALSE),"")</f>
        <v/>
      </c>
      <c r="N16" s="26" t="str">
        <f>IFERROR(VLOOKUP($A16,#REF!,10,FALSE),"")</f>
        <v/>
      </c>
      <c r="O16" s="26" t="str">
        <f>IFERROR(VLOOKUP($A16,#REF!,11,FALSE),"")</f>
        <v/>
      </c>
      <c r="P16" s="26">
        <f t="shared" si="1"/>
        <v>0</v>
      </c>
      <c r="Q16" s="28">
        <f t="shared" si="2"/>
        <v>-1</v>
      </c>
      <c r="R16" s="33">
        <f t="shared" si="3"/>
        <v>7820107200.0768995</v>
      </c>
    </row>
    <row r="17" spans="1:18" x14ac:dyDescent="0.25">
      <c r="A17" s="8">
        <v>237</v>
      </c>
      <c r="B17" s="8">
        <v>6</v>
      </c>
      <c r="C17" s="8" t="s">
        <v>12</v>
      </c>
      <c r="D17" s="8">
        <v>4</v>
      </c>
      <c r="E17" s="9">
        <f>VLOOKUP($A17,'2016'!$A$3:$M$138,9,FALSE)</f>
        <v>75.683595605422937</v>
      </c>
      <c r="F17" s="9">
        <f>VLOOKUP($A17,'2016'!$A$3:$M$138,10,FALSE)</f>
        <v>2752.4322438127674</v>
      </c>
      <c r="G17" s="9">
        <f>VLOOKUP($A17,'2016'!$A$3:$M$138,11,FALSE)</f>
        <v>1136.7917475655358</v>
      </c>
      <c r="H17" s="9">
        <f>VLOOKUP($A17,'2016'!$A$3:$M$138,12,FALSE)</f>
        <v>2893.0408117090874</v>
      </c>
      <c r="I17" s="9">
        <f>VLOOKUP($A17,'2016'!$A$3:$M$138,13,FALSE)</f>
        <v>394.14160130718648</v>
      </c>
      <c r="J17" s="9">
        <f t="shared" si="0"/>
        <v>7252.09</v>
      </c>
      <c r="K17" s="26" t="str">
        <f>IFERROR(VLOOKUP($A17,#REF!,7,FALSE),"")</f>
        <v/>
      </c>
      <c r="L17" s="26" t="str">
        <f>IFERROR(VLOOKUP($A17,#REF!,8,FALSE),"")</f>
        <v/>
      </c>
      <c r="M17" s="26" t="str">
        <f>IFERROR(VLOOKUP($A17,#REF!,9,FALSE),"")</f>
        <v/>
      </c>
      <c r="N17" s="26" t="str">
        <f>IFERROR(VLOOKUP($A17,#REF!,10,FALSE),"")</f>
        <v/>
      </c>
      <c r="O17" s="26" t="str">
        <f>IFERROR(VLOOKUP($A17,#REF!,11,FALSE),"")</f>
        <v/>
      </c>
      <c r="P17" s="26">
        <f t="shared" si="1"/>
        <v>0</v>
      </c>
      <c r="Q17" s="28">
        <f t="shared" si="2"/>
        <v>-1</v>
      </c>
      <c r="R17" s="33">
        <f t="shared" si="3"/>
        <v>52592809.368100002</v>
      </c>
    </row>
    <row r="18" spans="1:18" x14ac:dyDescent="0.25">
      <c r="A18" s="8">
        <v>280</v>
      </c>
      <c r="B18" s="8">
        <v>6</v>
      </c>
      <c r="C18" s="8" t="s">
        <v>12</v>
      </c>
      <c r="D18" s="8">
        <v>4</v>
      </c>
      <c r="E18" s="9">
        <f>VLOOKUP($A18,'2016'!$A$3:$M$138,9,FALSE)</f>
        <v>1085.5262264150945</v>
      </c>
      <c r="F18" s="9">
        <f>VLOOKUP($A18,'2016'!$A$3:$M$138,10,FALSE)</f>
        <v>7041.7537735849073</v>
      </c>
      <c r="G18" s="9">
        <f>VLOOKUP($A18,'2016'!$A$3:$M$138,11,FALSE)</f>
        <v>439.35295081966416</v>
      </c>
      <c r="H18" s="9">
        <f>VLOOKUP($A18,'2016'!$A$3:$M$138,12,FALSE)</f>
        <v>7050.3170491803357</v>
      </c>
      <c r="I18" s="9">
        <f>VLOOKUP($A18,'2016'!$A$3:$M$138,13,FALSE)</f>
        <v>0</v>
      </c>
      <c r="J18" s="9">
        <f t="shared" si="0"/>
        <v>15616.95</v>
      </c>
      <c r="K18" s="26" t="str">
        <f>IFERROR(VLOOKUP($A18,#REF!,7,FALSE),"")</f>
        <v/>
      </c>
      <c r="L18" s="26" t="str">
        <f>IFERROR(VLOOKUP($A18,#REF!,8,FALSE),"")</f>
        <v/>
      </c>
      <c r="M18" s="26" t="str">
        <f>IFERROR(VLOOKUP($A18,#REF!,9,FALSE),"")</f>
        <v/>
      </c>
      <c r="N18" s="26" t="str">
        <f>IFERROR(VLOOKUP($A18,#REF!,10,FALSE),"")</f>
        <v/>
      </c>
      <c r="O18" s="26" t="str">
        <f>IFERROR(VLOOKUP($A18,#REF!,11,FALSE),"")</f>
        <v/>
      </c>
      <c r="P18" s="26">
        <f t="shared" si="1"/>
        <v>0</v>
      </c>
      <c r="Q18" s="28">
        <f t="shared" si="2"/>
        <v>-1</v>
      </c>
      <c r="R18" s="33">
        <f t="shared" si="3"/>
        <v>243889127.30250001</v>
      </c>
    </row>
    <row r="19" spans="1:18" x14ac:dyDescent="0.25">
      <c r="A19" s="8">
        <v>290</v>
      </c>
      <c r="B19" s="8">
        <v>6</v>
      </c>
      <c r="C19" s="8" t="s">
        <v>12</v>
      </c>
      <c r="D19" s="8">
        <v>4</v>
      </c>
      <c r="E19" s="9">
        <f>VLOOKUP($A19,'2016'!$A$3:$M$138,9,FALSE)</f>
        <v>638.70000000000005</v>
      </c>
      <c r="F19" s="9">
        <f>VLOOKUP($A19,'2016'!$A$3:$M$138,10,FALSE)</f>
        <v>6671.75</v>
      </c>
      <c r="G19" s="9">
        <f>VLOOKUP($A19,'2016'!$A$3:$M$138,11,FALSE)</f>
        <v>413.07061224488945</v>
      </c>
      <c r="H19" s="9">
        <f>VLOOKUP($A19,'2016'!$A$3:$M$138,12,FALSE)</f>
        <v>6052.2493877551115</v>
      </c>
      <c r="I19" s="9">
        <f>VLOOKUP($A19,'2016'!$A$3:$M$138,13,FALSE)</f>
        <v>0</v>
      </c>
      <c r="J19" s="9">
        <f t="shared" si="0"/>
        <v>13775.77</v>
      </c>
      <c r="K19" s="26" t="str">
        <f>IFERROR(VLOOKUP($A19,#REF!,7,FALSE),"")</f>
        <v/>
      </c>
      <c r="L19" s="26" t="str">
        <f>IFERROR(VLOOKUP($A19,#REF!,8,FALSE),"")</f>
        <v/>
      </c>
      <c r="M19" s="26" t="str">
        <f>IFERROR(VLOOKUP($A19,#REF!,9,FALSE),"")</f>
        <v/>
      </c>
      <c r="N19" s="26" t="str">
        <f>IFERROR(VLOOKUP($A19,#REF!,10,FALSE),"")</f>
        <v/>
      </c>
      <c r="O19" s="26" t="str">
        <f>IFERROR(VLOOKUP($A19,#REF!,11,FALSE),"")</f>
        <v/>
      </c>
      <c r="P19" s="26">
        <f t="shared" si="1"/>
        <v>0</v>
      </c>
      <c r="Q19" s="28">
        <f t="shared" si="2"/>
        <v>-1</v>
      </c>
      <c r="R19" s="33">
        <f t="shared" si="3"/>
        <v>189771839.09290001</v>
      </c>
    </row>
    <row r="20" spans="1:18" x14ac:dyDescent="0.25">
      <c r="A20" s="8">
        <v>201</v>
      </c>
      <c r="B20" s="8">
        <v>7</v>
      </c>
      <c r="C20" s="8" t="s">
        <v>11</v>
      </c>
      <c r="D20" s="8">
        <v>4</v>
      </c>
      <c r="E20" s="9">
        <f>VLOOKUP($A20,'2016'!$A$3:$M$138,9,FALSE)</f>
        <v>3.6519999999999975</v>
      </c>
      <c r="F20" s="9">
        <f>VLOOKUP($A20,'2016'!$A$3:$M$138,10,FALSE)</f>
        <v>435.92633333333328</v>
      </c>
      <c r="G20" s="9">
        <f>VLOOKUP($A20,'2016'!$A$3:$M$138,11,FALSE)</f>
        <v>3111.2335227272661</v>
      </c>
      <c r="H20" s="9">
        <f>VLOOKUP($A20,'2016'!$A$3:$M$138,12,FALSE)</f>
        <v>3352.1382416911169</v>
      </c>
      <c r="I20" s="9">
        <f>VLOOKUP($A20,'2016'!$A$3:$M$138,13,FALSE)</f>
        <v>1395.6299022482847</v>
      </c>
      <c r="J20" s="9">
        <f t="shared" si="0"/>
        <v>8298.5800000000017</v>
      </c>
      <c r="K20" s="26" t="str">
        <f>IFERROR(VLOOKUP($A20,#REF!,7,FALSE),"")</f>
        <v/>
      </c>
      <c r="L20" s="26" t="str">
        <f>IFERROR(VLOOKUP($A20,#REF!,8,FALSE),"")</f>
        <v/>
      </c>
      <c r="M20" s="26" t="str">
        <f>IFERROR(VLOOKUP($A20,#REF!,9,FALSE),"")</f>
        <v/>
      </c>
      <c r="N20" s="26" t="str">
        <f>IFERROR(VLOOKUP($A20,#REF!,10,FALSE),"")</f>
        <v/>
      </c>
      <c r="O20" s="26" t="str">
        <f>IFERROR(VLOOKUP($A20,#REF!,11,FALSE),"")</f>
        <v/>
      </c>
      <c r="P20" s="26">
        <f t="shared" si="1"/>
        <v>0</v>
      </c>
      <c r="Q20" s="28">
        <f t="shared" si="2"/>
        <v>-1</v>
      </c>
      <c r="R20" s="33">
        <f t="shared" si="3"/>
        <v>68866430.016400024</v>
      </c>
    </row>
    <row r="21" spans="1:18" x14ac:dyDescent="0.25">
      <c r="A21" s="8">
        <v>202</v>
      </c>
      <c r="B21" s="8">
        <v>7</v>
      </c>
      <c r="C21" s="8" t="s">
        <v>11</v>
      </c>
      <c r="D21" s="8">
        <v>4</v>
      </c>
      <c r="E21" s="9">
        <f>VLOOKUP($A21,'2016'!$A$3:$M$138,9,FALSE)</f>
        <v>10.176923076923057</v>
      </c>
      <c r="F21" s="9">
        <f>VLOOKUP($A21,'2016'!$A$3:$M$138,10,FALSE)</f>
        <v>1947.6916145574855</v>
      </c>
      <c r="G21" s="9">
        <f>VLOOKUP($A21,'2016'!$A$3:$M$138,11,FALSE)</f>
        <v>5123.707219941346</v>
      </c>
      <c r="H21" s="9">
        <f>VLOOKUP($A21,'2016'!$A$3:$M$138,12,FALSE)</f>
        <v>1667.1387585532805</v>
      </c>
      <c r="I21" s="9">
        <f>VLOOKUP($A21,'2016'!$A$3:$M$138,13,FALSE)</f>
        <v>721.79548387096565</v>
      </c>
      <c r="J21" s="9">
        <f t="shared" si="0"/>
        <v>9470.510000000002</v>
      </c>
      <c r="K21" s="26" t="str">
        <f>IFERROR(VLOOKUP($A21,#REF!,7,FALSE),"")</f>
        <v/>
      </c>
      <c r="L21" s="26" t="str">
        <f>IFERROR(VLOOKUP($A21,#REF!,8,FALSE),"")</f>
        <v/>
      </c>
      <c r="M21" s="26" t="str">
        <f>IFERROR(VLOOKUP($A21,#REF!,9,FALSE),"")</f>
        <v/>
      </c>
      <c r="N21" s="26" t="str">
        <f>IFERROR(VLOOKUP($A21,#REF!,10,FALSE),"")</f>
        <v/>
      </c>
      <c r="O21" s="26" t="str">
        <f>IFERROR(VLOOKUP($A21,#REF!,11,FALSE),"")</f>
        <v/>
      </c>
      <c r="P21" s="26">
        <f t="shared" si="1"/>
        <v>0</v>
      </c>
      <c r="Q21" s="28">
        <f t="shared" si="2"/>
        <v>-1</v>
      </c>
      <c r="R21" s="33">
        <f t="shared" si="3"/>
        <v>89690559.660100043</v>
      </c>
    </row>
    <row r="22" spans="1:18" x14ac:dyDescent="0.25">
      <c r="A22" s="8">
        <v>204</v>
      </c>
      <c r="B22" s="8">
        <v>7</v>
      </c>
      <c r="C22" s="8" t="s">
        <v>11</v>
      </c>
      <c r="D22" s="8">
        <v>4</v>
      </c>
      <c r="E22" s="9">
        <f>VLOOKUP($A22,'2016'!$A$3:$M$138,9,FALSE)</f>
        <v>5.31</v>
      </c>
      <c r="F22" s="9">
        <f>VLOOKUP($A22,'2016'!$A$3:$M$138,10,FALSE)</f>
        <v>202.63200000000001</v>
      </c>
      <c r="G22" s="9">
        <f>VLOOKUP($A22,'2016'!$A$3:$M$138,11,FALSE)</f>
        <v>517.40533333333281</v>
      </c>
      <c r="H22" s="9">
        <f>VLOOKUP($A22,'2016'!$A$3:$M$138,12,FALSE)</f>
        <v>292.06189743589886</v>
      </c>
      <c r="I22" s="9">
        <f>VLOOKUP($A22,'2016'!$A$3:$M$138,13,FALSE)</f>
        <v>171.78076923076839</v>
      </c>
      <c r="J22" s="9">
        <f t="shared" si="0"/>
        <v>1189.19</v>
      </c>
      <c r="K22" s="26" t="str">
        <f>IFERROR(VLOOKUP($A22,#REF!,7,FALSE),"")</f>
        <v/>
      </c>
      <c r="L22" s="26" t="str">
        <f>IFERROR(VLOOKUP($A22,#REF!,8,FALSE),"")</f>
        <v/>
      </c>
      <c r="M22" s="26" t="str">
        <f>IFERROR(VLOOKUP($A22,#REF!,9,FALSE),"")</f>
        <v/>
      </c>
      <c r="N22" s="26" t="str">
        <f>IFERROR(VLOOKUP($A22,#REF!,10,FALSE),"")</f>
        <v/>
      </c>
      <c r="O22" s="26" t="str">
        <f>IFERROR(VLOOKUP($A22,#REF!,11,FALSE),"")</f>
        <v/>
      </c>
      <c r="P22" s="26">
        <f t="shared" si="1"/>
        <v>0</v>
      </c>
      <c r="Q22" s="28">
        <f t="shared" si="2"/>
        <v>-1</v>
      </c>
      <c r="R22" s="33">
        <f t="shared" si="3"/>
        <v>1414172.8561000002</v>
      </c>
    </row>
    <row r="23" spans="1:18" x14ac:dyDescent="0.25">
      <c r="A23" s="8">
        <v>215</v>
      </c>
      <c r="B23" s="8">
        <v>7</v>
      </c>
      <c r="C23" s="8" t="s">
        <v>11</v>
      </c>
      <c r="D23" s="8">
        <v>4</v>
      </c>
      <c r="E23" s="9">
        <f>VLOOKUP($A23,'2016'!$A$3:$M$138,9,FALSE)</f>
        <v>783.55435321532798</v>
      </c>
      <c r="F23" s="9">
        <f>VLOOKUP($A23,'2016'!$A$3:$M$138,10,FALSE)</f>
        <v>4426.3554427030404</v>
      </c>
      <c r="G23" s="9">
        <f>VLOOKUP($A23,'2016'!$A$3:$M$138,11,FALSE)</f>
        <v>9426.9211300075458</v>
      </c>
      <c r="H23" s="9">
        <f>VLOOKUP($A23,'2016'!$A$3:$M$138,12,FALSE)</f>
        <v>5860.9870958226993</v>
      </c>
      <c r="I23" s="9">
        <f>VLOOKUP($A23,'2016'!$A$3:$M$138,13,FALSE)</f>
        <v>3336.5143625388446</v>
      </c>
      <c r="J23" s="9">
        <f t="shared" si="0"/>
        <v>23834.33238428746</v>
      </c>
      <c r="K23" s="26" t="str">
        <f>IFERROR(VLOOKUP($A23,#REF!,7,FALSE),"")</f>
        <v/>
      </c>
      <c r="L23" s="26" t="str">
        <f>IFERROR(VLOOKUP($A23,#REF!,8,FALSE),"")</f>
        <v/>
      </c>
      <c r="M23" s="26" t="str">
        <f>IFERROR(VLOOKUP($A23,#REF!,9,FALSE),"")</f>
        <v/>
      </c>
      <c r="N23" s="26" t="str">
        <f>IFERROR(VLOOKUP($A23,#REF!,10,FALSE),"")</f>
        <v/>
      </c>
      <c r="O23" s="26" t="str">
        <f>IFERROR(VLOOKUP($A23,#REF!,11,FALSE),"")</f>
        <v/>
      </c>
      <c r="P23" s="26">
        <f t="shared" si="1"/>
        <v>0</v>
      </c>
      <c r="Q23" s="28">
        <f t="shared" si="2"/>
        <v>-1</v>
      </c>
      <c r="R23" s="33">
        <f t="shared" si="3"/>
        <v>568075400.20469391</v>
      </c>
    </row>
    <row r="24" spans="1:18" x14ac:dyDescent="0.25">
      <c r="A24" s="8">
        <v>350</v>
      </c>
      <c r="B24" s="8">
        <v>7</v>
      </c>
      <c r="C24" s="8" t="s">
        <v>11</v>
      </c>
      <c r="D24" s="8">
        <v>4</v>
      </c>
      <c r="E24" s="9">
        <f>VLOOKUP($A24,'2016'!$A$3:$M$138,9,FALSE)</f>
        <v>87.183587021057306</v>
      </c>
      <c r="F24" s="9">
        <f>VLOOKUP($A24,'2016'!$A$3:$M$138,10,FALSE)</f>
        <v>1070.6294659877362</v>
      </c>
      <c r="G24" s="9">
        <f>VLOOKUP($A24,'2016'!$A$3:$M$138,11,FALSE)</f>
        <v>2397.767120903688</v>
      </c>
      <c r="H24" s="9">
        <f>VLOOKUP($A24,'2016'!$A$3:$M$138,12,FALSE)</f>
        <v>1005.7996036283801</v>
      </c>
      <c r="I24" s="9">
        <f>VLOOKUP($A24,'2016'!$A$3:$M$138,13,FALSE)</f>
        <v>212.43831202350648</v>
      </c>
      <c r="J24" s="9">
        <f t="shared" si="0"/>
        <v>4773.8180895643682</v>
      </c>
      <c r="K24" s="26" t="str">
        <f>IFERROR(VLOOKUP($A24,#REF!,7,FALSE),"")</f>
        <v/>
      </c>
      <c r="L24" s="26" t="str">
        <f>IFERROR(VLOOKUP($A24,#REF!,8,FALSE),"")</f>
        <v/>
      </c>
      <c r="M24" s="26" t="str">
        <f>IFERROR(VLOOKUP($A24,#REF!,9,FALSE),"")</f>
        <v/>
      </c>
      <c r="N24" s="26" t="str">
        <f>IFERROR(VLOOKUP($A24,#REF!,10,FALSE),"")</f>
        <v/>
      </c>
      <c r="O24" s="26" t="str">
        <f>IFERROR(VLOOKUP($A24,#REF!,11,FALSE),"")</f>
        <v/>
      </c>
      <c r="P24" s="26">
        <f t="shared" si="1"/>
        <v>0</v>
      </c>
      <c r="Q24" s="28">
        <f t="shared" si="2"/>
        <v>-1</v>
      </c>
      <c r="R24" s="33">
        <f t="shared" si="3"/>
        <v>22789339.152251992</v>
      </c>
    </row>
    <row r="25" spans="1:18" x14ac:dyDescent="0.25">
      <c r="A25" s="5">
        <v>1</v>
      </c>
      <c r="B25" s="5">
        <v>10</v>
      </c>
      <c r="C25" s="5" t="s">
        <v>0</v>
      </c>
      <c r="D25" s="5">
        <v>5</v>
      </c>
      <c r="E25" s="7">
        <f>VLOOKUP($A25,'2016'!$A$3:$M$138,9,FALSE)</f>
        <v>226.03021664098608</v>
      </c>
      <c r="F25" s="7">
        <f>VLOOKUP($A25,'2016'!$A$3:$M$138,10,FALSE)</f>
        <v>1469.3117869364994</v>
      </c>
      <c r="G25" s="7">
        <f>VLOOKUP($A25,'2016'!$A$3:$M$138,11,FALSE)</f>
        <v>4588.2222368802368</v>
      </c>
      <c r="H25" s="7">
        <f>VLOOKUP($A25,'2016'!$A$3:$M$138,12,FALSE)</f>
        <v>2201.1120383894831</v>
      </c>
      <c r="I25" s="7">
        <f>VLOOKUP($A25,'2016'!$A$3:$M$138,13,FALSE)</f>
        <v>1194.493721152794</v>
      </c>
      <c r="J25" s="7">
        <f t="shared" si="0"/>
        <v>9679.1699999999983</v>
      </c>
      <c r="K25" s="20" t="str">
        <f>IFERROR(VLOOKUP($A25,#REF!,7,FALSE),"")</f>
        <v/>
      </c>
      <c r="L25" s="20" t="str">
        <f>IFERROR(VLOOKUP($A25,#REF!,8,FALSE),"")</f>
        <v/>
      </c>
      <c r="M25" s="20" t="str">
        <f>IFERROR(VLOOKUP($A25,#REF!,9,FALSE),"")</f>
        <v/>
      </c>
      <c r="N25" s="20" t="str">
        <f>IFERROR(VLOOKUP($A25,#REF!,10,FALSE),"")</f>
        <v/>
      </c>
      <c r="O25" s="20" t="str">
        <f>IFERROR(VLOOKUP($A25,#REF!,11,FALSE),"")</f>
        <v/>
      </c>
      <c r="P25" s="20">
        <f t="shared" si="1"/>
        <v>0</v>
      </c>
      <c r="Q25" s="28">
        <f t="shared" si="2"/>
        <v>-1</v>
      </c>
      <c r="R25" s="33">
        <f t="shared" si="3"/>
        <v>93686331.888899967</v>
      </c>
    </row>
    <row r="26" spans="1:18" x14ac:dyDescent="0.25">
      <c r="A26" s="5">
        <v>2</v>
      </c>
      <c r="B26" s="5">
        <v>10</v>
      </c>
      <c r="C26" s="5" t="s">
        <v>0</v>
      </c>
      <c r="D26" s="5">
        <v>5</v>
      </c>
      <c r="E26" s="7">
        <f>VLOOKUP($A26,'2016'!$A$3:$M$138,9,FALSE)</f>
        <v>116.15054187192115</v>
      </c>
      <c r="F26" s="7">
        <f>VLOOKUP($A26,'2016'!$A$3:$M$138,10,FALSE)</f>
        <v>1310.4886473172678</v>
      </c>
      <c r="G26" s="7">
        <f>VLOOKUP($A26,'2016'!$A$3:$M$138,11,FALSE)</f>
        <v>2667.3895912986104</v>
      </c>
      <c r="H26" s="7">
        <f>VLOOKUP($A26,'2016'!$A$3:$M$138,12,FALSE)</f>
        <v>1721.7970168259988</v>
      </c>
      <c r="I26" s="7">
        <f>VLOOKUP($A26,'2016'!$A$3:$M$138,13,FALSE)</f>
        <v>764.44420268620013</v>
      </c>
      <c r="J26" s="7">
        <f t="shared" si="0"/>
        <v>6580.2699999999977</v>
      </c>
      <c r="K26" s="20" t="str">
        <f>IFERROR(VLOOKUP($A26,#REF!,7,FALSE),"")</f>
        <v/>
      </c>
      <c r="L26" s="20" t="str">
        <f>IFERROR(VLOOKUP($A26,#REF!,8,FALSE),"")</f>
        <v/>
      </c>
      <c r="M26" s="20" t="str">
        <f>IFERROR(VLOOKUP($A26,#REF!,9,FALSE),"")</f>
        <v/>
      </c>
      <c r="N26" s="20" t="str">
        <f>IFERROR(VLOOKUP($A26,#REF!,10,FALSE),"")</f>
        <v/>
      </c>
      <c r="O26" s="20" t="str">
        <f>IFERROR(VLOOKUP($A26,#REF!,11,FALSE),"")</f>
        <v/>
      </c>
      <c r="P26" s="20">
        <f t="shared" si="1"/>
        <v>0</v>
      </c>
      <c r="Q26" s="28">
        <f t="shared" si="2"/>
        <v>-1</v>
      </c>
      <c r="R26" s="33">
        <f t="shared" si="3"/>
        <v>43299953.27289997</v>
      </c>
    </row>
    <row r="27" spans="1:18" x14ac:dyDescent="0.25">
      <c r="A27" s="5">
        <v>3</v>
      </c>
      <c r="B27" s="5">
        <v>10</v>
      </c>
      <c r="C27" s="5" t="s">
        <v>0</v>
      </c>
      <c r="D27" s="5">
        <v>5</v>
      </c>
      <c r="E27" s="7">
        <f>VLOOKUP($A27,'2016'!$A$3:$M$138,9,FALSE)</f>
        <v>236.22543068088595</v>
      </c>
      <c r="F27" s="7">
        <f>VLOOKUP($A27,'2016'!$A$3:$M$138,10,FALSE)</f>
        <v>1911.8952346494304</v>
      </c>
      <c r="G27" s="7">
        <f>VLOOKUP($A27,'2016'!$A$3:$M$138,11,FALSE)</f>
        <v>4828.5376703340135</v>
      </c>
      <c r="H27" s="7">
        <f>VLOOKUP($A27,'2016'!$A$3:$M$138,12,FALSE)</f>
        <v>2363.4899555203206</v>
      </c>
      <c r="I27" s="7">
        <f>VLOOKUP($A27,'2016'!$A$3:$M$138,13,FALSE)</f>
        <v>1024.1417088153498</v>
      </c>
      <c r="J27" s="7">
        <f t="shared" si="0"/>
        <v>10364.290000000001</v>
      </c>
      <c r="K27" s="20" t="str">
        <f>IFERROR(VLOOKUP($A27,#REF!,7,FALSE),"")</f>
        <v/>
      </c>
      <c r="L27" s="20" t="str">
        <f>IFERROR(VLOOKUP($A27,#REF!,8,FALSE),"")</f>
        <v/>
      </c>
      <c r="M27" s="20" t="str">
        <f>IFERROR(VLOOKUP($A27,#REF!,9,FALSE),"")</f>
        <v/>
      </c>
      <c r="N27" s="20" t="str">
        <f>IFERROR(VLOOKUP($A27,#REF!,10,FALSE),"")</f>
        <v/>
      </c>
      <c r="O27" s="20" t="str">
        <f>IFERROR(VLOOKUP($A27,#REF!,11,FALSE),"")</f>
        <v/>
      </c>
      <c r="P27" s="20">
        <f t="shared" si="1"/>
        <v>0</v>
      </c>
      <c r="Q27" s="28">
        <f t="shared" si="2"/>
        <v>-1</v>
      </c>
      <c r="R27" s="33">
        <f t="shared" si="3"/>
        <v>107418507.20410001</v>
      </c>
    </row>
    <row r="28" spans="1:18" x14ac:dyDescent="0.25">
      <c r="A28" s="5">
        <v>4</v>
      </c>
      <c r="B28" s="5">
        <v>10</v>
      </c>
      <c r="C28" s="5" t="s">
        <v>0</v>
      </c>
      <c r="D28" s="5">
        <v>5</v>
      </c>
      <c r="E28" s="7">
        <f>VLOOKUP($A28,'2016'!$A$3:$M$138,9,FALSE)</f>
        <v>170.03400000000002</v>
      </c>
      <c r="F28" s="7">
        <f>VLOOKUP($A28,'2016'!$A$3:$M$138,10,FALSE)</f>
        <v>1176.3778</v>
      </c>
      <c r="G28" s="7">
        <f>VLOOKUP($A28,'2016'!$A$3:$M$138,11,FALSE)</f>
        <v>2681.0321121978286</v>
      </c>
      <c r="H28" s="7">
        <f>VLOOKUP($A28,'2016'!$A$3:$M$138,12,FALSE)</f>
        <v>1731.101752281254</v>
      </c>
      <c r="I28" s="7">
        <f>VLOOKUP($A28,'2016'!$A$3:$M$138,13,FALSE)</f>
        <v>889.39433552091725</v>
      </c>
      <c r="J28" s="7">
        <f t="shared" si="0"/>
        <v>6647.9400000000005</v>
      </c>
      <c r="K28" s="20" t="str">
        <f>IFERROR(VLOOKUP($A28,#REF!,7,FALSE),"")</f>
        <v/>
      </c>
      <c r="L28" s="20" t="str">
        <f>IFERROR(VLOOKUP($A28,#REF!,8,FALSE),"")</f>
        <v/>
      </c>
      <c r="M28" s="20" t="str">
        <f>IFERROR(VLOOKUP($A28,#REF!,9,FALSE),"")</f>
        <v/>
      </c>
      <c r="N28" s="20" t="str">
        <f>IFERROR(VLOOKUP($A28,#REF!,10,FALSE),"")</f>
        <v/>
      </c>
      <c r="O28" s="20" t="str">
        <f>IFERROR(VLOOKUP($A28,#REF!,11,FALSE),"")</f>
        <v/>
      </c>
      <c r="P28" s="20">
        <f t="shared" si="1"/>
        <v>0</v>
      </c>
      <c r="Q28" s="28">
        <f t="shared" si="2"/>
        <v>-1</v>
      </c>
      <c r="R28" s="33">
        <f t="shared" si="3"/>
        <v>44195106.243600003</v>
      </c>
    </row>
    <row r="29" spans="1:18" x14ac:dyDescent="0.25">
      <c r="A29" s="5">
        <v>5</v>
      </c>
      <c r="B29" s="5">
        <v>10</v>
      </c>
      <c r="C29" s="5" t="s">
        <v>0</v>
      </c>
      <c r="D29" s="5">
        <v>5</v>
      </c>
      <c r="E29" s="7">
        <f>VLOOKUP($A29,'2016'!$A$3:$M$138,9,FALSE)</f>
        <v>141.38297368421044</v>
      </c>
      <c r="F29" s="7">
        <f>VLOOKUP($A29,'2016'!$A$3:$M$138,10,FALSE)</f>
        <v>1049.7076929824561</v>
      </c>
      <c r="G29" s="7">
        <f>VLOOKUP($A29,'2016'!$A$3:$M$138,11,FALSE)</f>
        <v>2195.2325273132637</v>
      </c>
      <c r="H29" s="7">
        <f>VLOOKUP($A29,'2016'!$A$3:$M$138,12,FALSE)</f>
        <v>1252.4710917343568</v>
      </c>
      <c r="I29" s="7">
        <f>VLOOKUP($A29,'2016'!$A$3:$M$138,13,FALSE)</f>
        <v>407.00571428571334</v>
      </c>
      <c r="J29" s="7">
        <f t="shared" si="0"/>
        <v>5045.8</v>
      </c>
      <c r="K29" s="20" t="str">
        <f>IFERROR(VLOOKUP($A29,#REF!,7,FALSE),"")</f>
        <v/>
      </c>
      <c r="L29" s="20" t="str">
        <f>IFERROR(VLOOKUP($A29,#REF!,8,FALSE),"")</f>
        <v/>
      </c>
      <c r="M29" s="20" t="str">
        <f>IFERROR(VLOOKUP($A29,#REF!,9,FALSE),"")</f>
        <v/>
      </c>
      <c r="N29" s="20" t="str">
        <f>IFERROR(VLOOKUP($A29,#REF!,10,FALSE),"")</f>
        <v/>
      </c>
      <c r="O29" s="20" t="str">
        <f>IFERROR(VLOOKUP($A29,#REF!,11,FALSE),"")</f>
        <v/>
      </c>
      <c r="P29" s="20">
        <f t="shared" si="1"/>
        <v>0</v>
      </c>
      <c r="Q29" s="28">
        <f t="shared" si="2"/>
        <v>-1</v>
      </c>
      <c r="R29" s="33">
        <f t="shared" si="3"/>
        <v>25460097.640000001</v>
      </c>
    </row>
    <row r="30" spans="1:18" x14ac:dyDescent="0.25">
      <c r="A30" s="5">
        <v>6</v>
      </c>
      <c r="B30" s="5">
        <v>10</v>
      </c>
      <c r="C30" s="5" t="s">
        <v>0</v>
      </c>
      <c r="D30" s="5">
        <v>5</v>
      </c>
      <c r="E30" s="7">
        <f>VLOOKUP($A30,'2016'!$A$3:$M$138,9,FALSE)</f>
        <v>43.552105263157877</v>
      </c>
      <c r="F30" s="7">
        <f>VLOOKUP($A30,'2016'!$A$3:$M$138,10,FALSE)</f>
        <v>604.96834928229669</v>
      </c>
      <c r="G30" s="7">
        <f>VLOOKUP($A30,'2016'!$A$3:$M$138,11,FALSE)</f>
        <v>1592.0614707419002</v>
      </c>
      <c r="H30" s="7">
        <f>VLOOKUP($A30,'2016'!$A$3:$M$138,12,FALSE)</f>
        <v>849.8480747126456</v>
      </c>
      <c r="I30" s="7">
        <f>VLOOKUP($A30,'2016'!$A$3:$M$138,13,FALSE)</f>
        <v>376.88999999999993</v>
      </c>
      <c r="J30" s="7">
        <f t="shared" si="0"/>
        <v>3467.32</v>
      </c>
      <c r="K30" s="20" t="str">
        <f>IFERROR(VLOOKUP($A30,#REF!,7,FALSE),"")</f>
        <v/>
      </c>
      <c r="L30" s="20" t="str">
        <f>IFERROR(VLOOKUP($A30,#REF!,8,FALSE),"")</f>
        <v/>
      </c>
      <c r="M30" s="20" t="str">
        <f>IFERROR(VLOOKUP($A30,#REF!,9,FALSE),"")</f>
        <v/>
      </c>
      <c r="N30" s="20" t="str">
        <f>IFERROR(VLOOKUP($A30,#REF!,10,FALSE),"")</f>
        <v/>
      </c>
      <c r="O30" s="20" t="str">
        <f>IFERROR(VLOOKUP($A30,#REF!,11,FALSE),"")</f>
        <v/>
      </c>
      <c r="P30" s="20">
        <f t="shared" si="1"/>
        <v>0</v>
      </c>
      <c r="Q30" s="28">
        <f t="shared" si="2"/>
        <v>-1</v>
      </c>
      <c r="R30" s="33">
        <f t="shared" si="3"/>
        <v>12022307.982400002</v>
      </c>
    </row>
    <row r="31" spans="1:18" x14ac:dyDescent="0.25">
      <c r="A31" s="5">
        <v>7</v>
      </c>
      <c r="B31" s="5">
        <v>10</v>
      </c>
      <c r="C31" s="5" t="s">
        <v>0</v>
      </c>
      <c r="D31" s="5">
        <v>5</v>
      </c>
      <c r="E31" s="7">
        <f>VLOOKUP($A31,'2016'!$A$3:$M$138,9,FALSE)</f>
        <v>519.88841016544598</v>
      </c>
      <c r="F31" s="7">
        <f>VLOOKUP($A31,'2016'!$A$3:$M$138,10,FALSE)</f>
        <v>3839.0230423799235</v>
      </c>
      <c r="G31" s="7">
        <f>VLOOKUP($A31,'2016'!$A$3:$M$138,11,FALSE)</f>
        <v>9609.7073553134269</v>
      </c>
      <c r="H31" s="7">
        <f>VLOOKUP($A31,'2016'!$A$3:$M$138,12,FALSE)</f>
        <v>5218.0221897108277</v>
      </c>
      <c r="I31" s="7">
        <f>VLOOKUP($A31,'2016'!$A$3:$M$138,13,FALSE)</f>
        <v>2859.1967317072731</v>
      </c>
      <c r="J31" s="7">
        <f t="shared" si="0"/>
        <v>22045.837729276896</v>
      </c>
      <c r="K31" s="20" t="str">
        <f>IFERROR(VLOOKUP($A31,#REF!,7,FALSE),"")</f>
        <v/>
      </c>
      <c r="L31" s="20" t="str">
        <f>IFERROR(VLOOKUP($A31,#REF!,8,FALSE),"")</f>
        <v/>
      </c>
      <c r="M31" s="20" t="str">
        <f>IFERROR(VLOOKUP($A31,#REF!,9,FALSE),"")</f>
        <v/>
      </c>
      <c r="N31" s="20" t="str">
        <f>IFERROR(VLOOKUP($A31,#REF!,10,FALSE),"")</f>
        <v/>
      </c>
      <c r="O31" s="20" t="str">
        <f>IFERROR(VLOOKUP($A31,#REF!,11,FALSE),"")</f>
        <v/>
      </c>
      <c r="P31" s="20">
        <f t="shared" si="1"/>
        <v>0</v>
      </c>
      <c r="Q31" s="28">
        <f t="shared" si="2"/>
        <v>-1</v>
      </c>
      <c r="R31" s="33">
        <f t="shared" si="3"/>
        <v>486018961.18560869</v>
      </c>
    </row>
    <row r="32" spans="1:18" x14ac:dyDescent="0.25">
      <c r="A32" s="5">
        <v>8</v>
      </c>
      <c r="B32" s="5">
        <v>10</v>
      </c>
      <c r="C32" s="5" t="s">
        <v>0</v>
      </c>
      <c r="D32" s="5">
        <v>5</v>
      </c>
      <c r="E32" s="7">
        <f>VLOOKUP($A32,'2016'!$A$3:$M$138,9,FALSE)</f>
        <v>85.974736842105301</v>
      </c>
      <c r="F32" s="7">
        <f>VLOOKUP($A32,'2016'!$A$3:$M$138,10,FALSE)</f>
        <v>548.86359649122801</v>
      </c>
      <c r="G32" s="7">
        <f>VLOOKUP($A32,'2016'!$A$3:$M$138,11,FALSE)</f>
        <v>1595.4519333333308</v>
      </c>
      <c r="H32" s="7">
        <f>VLOOKUP($A32,'2016'!$A$3:$M$138,12,FALSE)</f>
        <v>967.93473333333679</v>
      </c>
      <c r="I32" s="7">
        <f>VLOOKUP($A32,'2016'!$A$3:$M$138,13,FALSE)</f>
        <v>484.76078680202943</v>
      </c>
      <c r="J32" s="7">
        <f t="shared" si="0"/>
        <v>3682.9857868020304</v>
      </c>
      <c r="K32" s="20" t="str">
        <f>IFERROR(VLOOKUP($A32,#REF!,7,FALSE),"")</f>
        <v/>
      </c>
      <c r="L32" s="20" t="str">
        <f>IFERROR(VLOOKUP($A32,#REF!,8,FALSE),"")</f>
        <v/>
      </c>
      <c r="M32" s="20" t="str">
        <f>IFERROR(VLOOKUP($A32,#REF!,9,FALSE),"")</f>
        <v/>
      </c>
      <c r="N32" s="20" t="str">
        <f>IFERROR(VLOOKUP($A32,#REF!,10,FALSE),"")</f>
        <v/>
      </c>
      <c r="O32" s="20" t="str">
        <f>IFERROR(VLOOKUP($A32,#REF!,11,FALSE),"")</f>
        <v/>
      </c>
      <c r="P32" s="20">
        <f t="shared" si="1"/>
        <v>0</v>
      </c>
      <c r="Q32" s="28">
        <f t="shared" si="2"/>
        <v>-1</v>
      </c>
      <c r="R32" s="33">
        <f t="shared" si="3"/>
        <v>13564384.305785771</v>
      </c>
    </row>
    <row r="33" spans="1:18" x14ac:dyDescent="0.25">
      <c r="A33" s="5">
        <v>9</v>
      </c>
      <c r="B33" s="5">
        <v>10</v>
      </c>
      <c r="C33" s="5" t="s">
        <v>0</v>
      </c>
      <c r="D33" s="5">
        <v>5</v>
      </c>
      <c r="E33" s="7">
        <f>VLOOKUP($A33,'2016'!$A$3:$M$138,9,FALSE)</f>
        <v>16.981176470588245</v>
      </c>
      <c r="F33" s="7">
        <f>VLOOKUP($A33,'2016'!$A$3:$M$138,10,FALSE)</f>
        <v>460.33503042596351</v>
      </c>
      <c r="G33" s="7">
        <f>VLOOKUP($A33,'2016'!$A$3:$M$138,11,FALSE)</f>
        <v>1618.4797544934079</v>
      </c>
      <c r="H33" s="7">
        <f>VLOOKUP($A33,'2016'!$A$3:$M$138,12,FALSE)</f>
        <v>852.85597409391187</v>
      </c>
      <c r="I33" s="7">
        <f>VLOOKUP($A33,'2016'!$A$3:$M$138,13,FALSE)</f>
        <v>216.95806451612867</v>
      </c>
      <c r="J33" s="7">
        <f t="shared" si="0"/>
        <v>3165.61</v>
      </c>
      <c r="K33" s="20" t="str">
        <f>IFERROR(VLOOKUP($A33,#REF!,7,FALSE),"")</f>
        <v/>
      </c>
      <c r="L33" s="20" t="str">
        <f>IFERROR(VLOOKUP($A33,#REF!,8,FALSE),"")</f>
        <v/>
      </c>
      <c r="M33" s="20" t="str">
        <f>IFERROR(VLOOKUP($A33,#REF!,9,FALSE),"")</f>
        <v/>
      </c>
      <c r="N33" s="20" t="str">
        <f>IFERROR(VLOOKUP($A33,#REF!,10,FALSE),"")</f>
        <v/>
      </c>
      <c r="O33" s="20" t="str">
        <f>IFERROR(VLOOKUP($A33,#REF!,11,FALSE),"")</f>
        <v/>
      </c>
      <c r="P33" s="20">
        <f t="shared" si="1"/>
        <v>0</v>
      </c>
      <c r="Q33" s="28">
        <f t="shared" si="2"/>
        <v>-1</v>
      </c>
      <c r="R33" s="33">
        <f t="shared" si="3"/>
        <v>10021086.6721</v>
      </c>
    </row>
    <row r="34" spans="1:18" x14ac:dyDescent="0.25">
      <c r="A34" s="5">
        <v>11</v>
      </c>
      <c r="B34" s="5">
        <v>10</v>
      </c>
      <c r="C34" s="5" t="s">
        <v>0</v>
      </c>
      <c r="D34" s="5">
        <v>5</v>
      </c>
      <c r="E34" s="7">
        <f>VLOOKUP($A34,'2016'!$A$3:$M$138,9,FALSE)</f>
        <v>717.85002410314644</v>
      </c>
      <c r="F34" s="7">
        <f>VLOOKUP($A34,'2016'!$A$3:$M$138,10,FALSE)</f>
        <v>4983.7449738021742</v>
      </c>
      <c r="G34" s="7">
        <f>VLOOKUP($A34,'2016'!$A$3:$M$138,11,FALSE)</f>
        <v>9612.0413375160024</v>
      </c>
      <c r="H34" s="7">
        <f>VLOOKUP($A34,'2016'!$A$3:$M$138,12,FALSE)</f>
        <v>5919.8803035020028</v>
      </c>
      <c r="I34" s="7">
        <f>VLOOKUP($A34,'2016'!$A$3:$M$138,13,FALSE)</f>
        <v>2143.7533610766723</v>
      </c>
      <c r="J34" s="7">
        <f t="shared" si="0"/>
        <v>23377.27</v>
      </c>
      <c r="K34" s="20" t="str">
        <f>IFERROR(VLOOKUP($A34,#REF!,7,FALSE),"")</f>
        <v/>
      </c>
      <c r="L34" s="20" t="str">
        <f>IFERROR(VLOOKUP($A34,#REF!,8,FALSE),"")</f>
        <v/>
      </c>
      <c r="M34" s="20" t="str">
        <f>IFERROR(VLOOKUP($A34,#REF!,9,FALSE),"")</f>
        <v/>
      </c>
      <c r="N34" s="20" t="str">
        <f>IFERROR(VLOOKUP($A34,#REF!,10,FALSE),"")</f>
        <v/>
      </c>
      <c r="O34" s="20" t="str">
        <f>IFERROR(VLOOKUP($A34,#REF!,11,FALSE),"")</f>
        <v/>
      </c>
      <c r="P34" s="20">
        <f t="shared" si="1"/>
        <v>0</v>
      </c>
      <c r="Q34" s="28">
        <f t="shared" si="2"/>
        <v>-1</v>
      </c>
      <c r="R34" s="33">
        <f t="shared" si="3"/>
        <v>546496752.65289998</v>
      </c>
    </row>
    <row r="35" spans="1:18" x14ac:dyDescent="0.25">
      <c r="A35" s="5">
        <v>13</v>
      </c>
      <c r="B35" s="5">
        <v>10</v>
      </c>
      <c r="C35" s="5" t="s">
        <v>0</v>
      </c>
      <c r="D35" s="5">
        <v>5</v>
      </c>
      <c r="E35" s="7">
        <f>VLOOKUP($A35,'2016'!$A$3:$M$138,9,FALSE)</f>
        <v>489.97895905172413</v>
      </c>
      <c r="F35" s="7">
        <f>VLOOKUP($A35,'2016'!$A$3:$M$138,10,FALSE)</f>
        <v>3280.2269630490814</v>
      </c>
      <c r="G35" s="7">
        <f>VLOOKUP($A35,'2016'!$A$3:$M$138,11,FALSE)</f>
        <v>7430.8343115137213</v>
      </c>
      <c r="H35" s="7">
        <f>VLOOKUP($A35,'2016'!$A$3:$M$138,12,FALSE)</f>
        <v>4256.6920005470683</v>
      </c>
      <c r="I35" s="7">
        <f>VLOOKUP($A35,'2016'!$A$3:$M$138,13,FALSE)</f>
        <v>1426.4377658384058</v>
      </c>
      <c r="J35" s="7">
        <f t="shared" si="0"/>
        <v>16884.170000000002</v>
      </c>
      <c r="K35" s="20" t="str">
        <f>IFERROR(VLOOKUP($A35,#REF!,7,FALSE),"")</f>
        <v/>
      </c>
      <c r="L35" s="20" t="str">
        <f>IFERROR(VLOOKUP($A35,#REF!,8,FALSE),"")</f>
        <v/>
      </c>
      <c r="M35" s="20" t="str">
        <f>IFERROR(VLOOKUP($A35,#REF!,9,FALSE),"")</f>
        <v/>
      </c>
      <c r="N35" s="20" t="str">
        <f>IFERROR(VLOOKUP($A35,#REF!,10,FALSE),"")</f>
        <v/>
      </c>
      <c r="O35" s="20" t="str">
        <f>IFERROR(VLOOKUP($A35,#REF!,11,FALSE),"")</f>
        <v/>
      </c>
      <c r="P35" s="20">
        <f t="shared" si="1"/>
        <v>0</v>
      </c>
      <c r="Q35" s="28">
        <f t="shared" si="2"/>
        <v>-1</v>
      </c>
      <c r="R35" s="33">
        <f t="shared" si="3"/>
        <v>285075196.58890009</v>
      </c>
    </row>
    <row r="36" spans="1:18" x14ac:dyDescent="0.25">
      <c r="A36" s="5">
        <v>14</v>
      </c>
      <c r="B36" s="5">
        <v>10</v>
      </c>
      <c r="C36" s="5" t="s">
        <v>0</v>
      </c>
      <c r="D36" s="5">
        <v>5</v>
      </c>
      <c r="E36" s="7">
        <f>VLOOKUP($A36,'2016'!$A$3:$M$138,9,FALSE)</f>
        <v>3.773863636363636</v>
      </c>
      <c r="F36" s="7">
        <f>VLOOKUP($A36,'2016'!$A$3:$M$138,10,FALSE)</f>
        <v>114.23672590264346</v>
      </c>
      <c r="G36" s="7">
        <f>VLOOKUP($A36,'2016'!$A$3:$M$138,11,FALSE)</f>
        <v>215.6494104609929</v>
      </c>
      <c r="H36" s="7">
        <f>VLOOKUP($A36,'2016'!$A$3:$M$138,12,FALSE)</f>
        <v>100.94999999999999</v>
      </c>
      <c r="I36" s="7">
        <f>VLOOKUP($A36,'2016'!$A$3:$M$138,13,FALSE)</f>
        <v>0</v>
      </c>
      <c r="J36" s="7">
        <f t="shared" si="0"/>
        <v>434.60999999999996</v>
      </c>
      <c r="K36" s="20" t="str">
        <f>IFERROR(VLOOKUP($A36,#REF!,7,FALSE),"")</f>
        <v/>
      </c>
      <c r="L36" s="20" t="str">
        <f>IFERROR(VLOOKUP($A36,#REF!,8,FALSE),"")</f>
        <v/>
      </c>
      <c r="M36" s="20" t="str">
        <f>IFERROR(VLOOKUP($A36,#REF!,9,FALSE),"")</f>
        <v/>
      </c>
      <c r="N36" s="20" t="str">
        <f>IFERROR(VLOOKUP($A36,#REF!,10,FALSE),"")</f>
        <v/>
      </c>
      <c r="O36" s="20" t="str">
        <f>IFERROR(VLOOKUP($A36,#REF!,11,FALSE),"")</f>
        <v/>
      </c>
      <c r="P36" s="20">
        <f t="shared" si="1"/>
        <v>0</v>
      </c>
      <c r="Q36" s="28">
        <f t="shared" si="2"/>
        <v>-1</v>
      </c>
      <c r="R36" s="33">
        <f t="shared" si="3"/>
        <v>188885.85209999996</v>
      </c>
    </row>
    <row r="37" spans="1:18" x14ac:dyDescent="0.25">
      <c r="A37" s="5">
        <v>18</v>
      </c>
      <c r="B37" s="5">
        <v>10</v>
      </c>
      <c r="C37" s="5" t="s">
        <v>0</v>
      </c>
      <c r="D37" s="5">
        <v>5</v>
      </c>
      <c r="E37" s="7">
        <f>VLOOKUP($A37,'2016'!$A$3:$M$138,9,FALSE)</f>
        <v>0</v>
      </c>
      <c r="F37" s="7">
        <f>VLOOKUP($A37,'2016'!$A$3:$M$138,10,FALSE)</f>
        <v>47.26</v>
      </c>
      <c r="G37" s="7">
        <f>VLOOKUP($A37,'2016'!$A$3:$M$138,11,FALSE)</f>
        <v>172.1799999999995</v>
      </c>
      <c r="H37" s="7">
        <f>VLOOKUP($A37,'2016'!$A$3:$M$138,12,FALSE)</f>
        <v>74.520000000000493</v>
      </c>
      <c r="I37" s="7">
        <f>VLOOKUP($A37,'2016'!$A$3:$M$138,13,FALSE)</f>
        <v>0</v>
      </c>
      <c r="J37" s="7">
        <f t="shared" si="0"/>
        <v>293.95999999999998</v>
      </c>
      <c r="K37" s="20" t="str">
        <f>IFERROR(VLOOKUP($A37,#REF!,7,FALSE),"")</f>
        <v/>
      </c>
      <c r="L37" s="20" t="str">
        <f>IFERROR(VLOOKUP($A37,#REF!,8,FALSE),"")</f>
        <v/>
      </c>
      <c r="M37" s="20" t="str">
        <f>IFERROR(VLOOKUP($A37,#REF!,9,FALSE),"")</f>
        <v/>
      </c>
      <c r="N37" s="20" t="str">
        <f>IFERROR(VLOOKUP($A37,#REF!,10,FALSE),"")</f>
        <v/>
      </c>
      <c r="O37" s="20" t="str">
        <f>IFERROR(VLOOKUP($A37,#REF!,11,FALSE),"")</f>
        <v/>
      </c>
      <c r="P37" s="20">
        <f t="shared" si="1"/>
        <v>0</v>
      </c>
      <c r="Q37" s="28">
        <f t="shared" si="2"/>
        <v>-1</v>
      </c>
      <c r="R37" s="33">
        <f t="shared" si="3"/>
        <v>86412.481599999985</v>
      </c>
    </row>
    <row r="38" spans="1:18" x14ac:dyDescent="0.25">
      <c r="A38" s="5">
        <v>25</v>
      </c>
      <c r="B38" s="5">
        <v>10</v>
      </c>
      <c r="C38" s="5" t="s">
        <v>0</v>
      </c>
      <c r="D38" s="5">
        <v>5</v>
      </c>
      <c r="E38" s="7">
        <f>VLOOKUP($A38,'2016'!$A$3:$M$138,9,FALSE)</f>
        <v>0</v>
      </c>
      <c r="F38" s="7">
        <f>VLOOKUP($A38,'2016'!$A$3:$M$138,10,FALSE)</f>
        <v>169.81490566037732</v>
      </c>
      <c r="G38" s="7">
        <f>VLOOKUP($A38,'2016'!$A$3:$M$138,11,FALSE)</f>
        <v>857.1012638074086</v>
      </c>
      <c r="H38" s="7">
        <f>VLOOKUP($A38,'2016'!$A$3:$M$138,12,FALSE)</f>
        <v>342.25088935574365</v>
      </c>
      <c r="I38" s="7">
        <f>VLOOKUP($A38,'2016'!$A$3:$M$138,13,FALSE)</f>
        <v>4.9129411764702926</v>
      </c>
      <c r="J38" s="7">
        <f t="shared" si="0"/>
        <v>1374.08</v>
      </c>
      <c r="K38" s="20" t="str">
        <f>IFERROR(VLOOKUP($A38,#REF!,7,FALSE),"")</f>
        <v/>
      </c>
      <c r="L38" s="20" t="str">
        <f>IFERROR(VLOOKUP($A38,#REF!,8,FALSE),"")</f>
        <v/>
      </c>
      <c r="M38" s="20" t="str">
        <f>IFERROR(VLOOKUP($A38,#REF!,9,FALSE),"")</f>
        <v/>
      </c>
      <c r="N38" s="20" t="str">
        <f>IFERROR(VLOOKUP($A38,#REF!,10,FALSE),"")</f>
        <v/>
      </c>
      <c r="O38" s="20" t="str">
        <f>IFERROR(VLOOKUP($A38,#REF!,11,FALSE),"")</f>
        <v/>
      </c>
      <c r="P38" s="20">
        <f t="shared" si="1"/>
        <v>0</v>
      </c>
      <c r="Q38" s="28">
        <f t="shared" si="2"/>
        <v>-1</v>
      </c>
      <c r="R38" s="33">
        <f t="shared" si="3"/>
        <v>1888095.8463999997</v>
      </c>
    </row>
    <row r="39" spans="1:18" x14ac:dyDescent="0.25">
      <c r="A39" s="5">
        <v>27</v>
      </c>
      <c r="B39" s="5">
        <v>10</v>
      </c>
      <c r="C39" s="5" t="s">
        <v>0</v>
      </c>
      <c r="D39" s="5">
        <v>5</v>
      </c>
      <c r="E39" s="7">
        <f>VLOOKUP($A39,'2016'!$A$3:$M$138,9,FALSE)</f>
        <v>31.254936461388066</v>
      </c>
      <c r="F39" s="7">
        <f>VLOOKUP($A39,'2016'!$A$3:$M$138,10,FALSE)</f>
        <v>667.28942251297099</v>
      </c>
      <c r="G39" s="7">
        <f>VLOOKUP($A39,'2016'!$A$3:$M$138,11,FALSE)</f>
        <v>1450.5572296781208</v>
      </c>
      <c r="H39" s="7">
        <f>VLOOKUP($A39,'2016'!$A$3:$M$138,12,FALSE)</f>
        <v>818.17237466798463</v>
      </c>
      <c r="I39" s="7">
        <f>VLOOKUP($A39,'2016'!$A$3:$M$138,13,FALSE)</f>
        <v>171.88603667953544</v>
      </c>
      <c r="J39" s="7">
        <f t="shared" si="0"/>
        <v>3139.16</v>
      </c>
      <c r="K39" s="20" t="str">
        <f>IFERROR(VLOOKUP($A39,#REF!,7,FALSE),"")</f>
        <v/>
      </c>
      <c r="L39" s="20" t="str">
        <f>IFERROR(VLOOKUP($A39,#REF!,8,FALSE),"")</f>
        <v/>
      </c>
      <c r="M39" s="20" t="str">
        <f>IFERROR(VLOOKUP($A39,#REF!,9,FALSE),"")</f>
        <v/>
      </c>
      <c r="N39" s="20" t="str">
        <f>IFERROR(VLOOKUP($A39,#REF!,10,FALSE),"")</f>
        <v/>
      </c>
      <c r="O39" s="20" t="str">
        <f>IFERROR(VLOOKUP($A39,#REF!,11,FALSE),"")</f>
        <v/>
      </c>
      <c r="P39" s="20">
        <f t="shared" si="1"/>
        <v>0</v>
      </c>
      <c r="Q39" s="28">
        <f t="shared" si="2"/>
        <v>-1</v>
      </c>
      <c r="R39" s="33">
        <f t="shared" si="3"/>
        <v>9854325.5055999998</v>
      </c>
    </row>
    <row r="40" spans="1:18" x14ac:dyDescent="0.25">
      <c r="A40" s="5">
        <v>28</v>
      </c>
      <c r="B40" s="5">
        <v>10</v>
      </c>
      <c r="C40" s="5" t="s">
        <v>0</v>
      </c>
      <c r="D40" s="5">
        <v>5</v>
      </c>
      <c r="E40" s="7">
        <f>VLOOKUP($A40,'2016'!$A$3:$M$138,9,FALSE)</f>
        <v>43.110588235294131</v>
      </c>
      <c r="F40" s="7">
        <f>VLOOKUP($A40,'2016'!$A$3:$M$138,10,FALSE)</f>
        <v>638.77256965944264</v>
      </c>
      <c r="G40" s="7">
        <f>VLOOKUP($A40,'2016'!$A$3:$M$138,11,FALSE)</f>
        <v>929.9769290617827</v>
      </c>
      <c r="H40" s="7">
        <f>VLOOKUP($A40,'2016'!$A$3:$M$138,12,FALSE)</f>
        <v>578.90167774936413</v>
      </c>
      <c r="I40" s="7">
        <f>VLOOKUP($A40,'2016'!$A$3:$M$138,13,FALSE)</f>
        <v>213.6382352941167</v>
      </c>
      <c r="J40" s="7">
        <f t="shared" si="0"/>
        <v>2404.4</v>
      </c>
      <c r="K40" s="20" t="str">
        <f>IFERROR(VLOOKUP($A40,#REF!,7,FALSE),"")</f>
        <v/>
      </c>
      <c r="L40" s="20" t="str">
        <f>IFERROR(VLOOKUP($A40,#REF!,8,FALSE),"")</f>
        <v/>
      </c>
      <c r="M40" s="20" t="str">
        <f>IFERROR(VLOOKUP($A40,#REF!,9,FALSE),"")</f>
        <v/>
      </c>
      <c r="N40" s="20" t="str">
        <f>IFERROR(VLOOKUP($A40,#REF!,10,FALSE),"")</f>
        <v/>
      </c>
      <c r="O40" s="20" t="str">
        <f>IFERROR(VLOOKUP($A40,#REF!,11,FALSE),"")</f>
        <v/>
      </c>
      <c r="P40" s="20">
        <f t="shared" si="1"/>
        <v>0</v>
      </c>
      <c r="Q40" s="28">
        <f t="shared" si="2"/>
        <v>-1</v>
      </c>
      <c r="R40" s="33">
        <f t="shared" si="3"/>
        <v>5781139.3600000003</v>
      </c>
    </row>
    <row r="41" spans="1:18" x14ac:dyDescent="0.25">
      <c r="A41" s="5">
        <v>30</v>
      </c>
      <c r="B41" s="5">
        <v>10</v>
      </c>
      <c r="C41" s="5" t="s">
        <v>0</v>
      </c>
      <c r="D41" s="5">
        <v>5</v>
      </c>
      <c r="E41" s="7">
        <f>VLOOKUP($A41,'2016'!$A$3:$M$138,9,FALSE)</f>
        <v>456.65765890152443</v>
      </c>
      <c r="F41" s="7">
        <f>VLOOKUP($A41,'2016'!$A$3:$M$138,10,FALSE)</f>
        <v>6981.7290707888133</v>
      </c>
      <c r="G41" s="7">
        <f>VLOOKUP($A41,'2016'!$A$3:$M$138,11,FALSE)</f>
        <v>13435.971137122697</v>
      </c>
      <c r="H41" s="7">
        <f>VLOOKUP($A41,'2016'!$A$3:$M$138,12,FALSE)</f>
        <v>8116.3925194333215</v>
      </c>
      <c r="I41" s="7">
        <f>VLOOKUP($A41,'2016'!$A$3:$M$138,13,FALSE)</f>
        <v>3472.8097069155565</v>
      </c>
      <c r="J41" s="7">
        <f t="shared" si="0"/>
        <v>32463.560093161912</v>
      </c>
      <c r="K41" s="20" t="str">
        <f>IFERROR(VLOOKUP($A41,#REF!,7,FALSE),"")</f>
        <v/>
      </c>
      <c r="L41" s="20" t="str">
        <f>IFERROR(VLOOKUP($A41,#REF!,8,FALSE),"")</f>
        <v/>
      </c>
      <c r="M41" s="20" t="str">
        <f>IFERROR(VLOOKUP($A41,#REF!,9,FALSE),"")</f>
        <v/>
      </c>
      <c r="N41" s="20" t="str">
        <f>IFERROR(VLOOKUP($A41,#REF!,10,FALSE),"")</f>
        <v/>
      </c>
      <c r="O41" s="20" t="str">
        <f>IFERROR(VLOOKUP($A41,#REF!,11,FALSE),"")</f>
        <v/>
      </c>
      <c r="P41" s="20">
        <f t="shared" si="1"/>
        <v>0</v>
      </c>
      <c r="Q41" s="28">
        <f t="shared" si="2"/>
        <v>-1</v>
      </c>
      <c r="R41" s="33">
        <f t="shared" si="3"/>
        <v>1053882733.9223347</v>
      </c>
    </row>
    <row r="42" spans="1:18" x14ac:dyDescent="0.25">
      <c r="A42" s="5">
        <v>31</v>
      </c>
      <c r="B42" s="5">
        <v>10</v>
      </c>
      <c r="C42" s="5" t="s">
        <v>0</v>
      </c>
      <c r="D42" s="5">
        <v>5</v>
      </c>
      <c r="E42" s="7">
        <f>VLOOKUP($A42,'2016'!$A$3:$M$138,9,FALSE)</f>
        <v>28.017407407407415</v>
      </c>
      <c r="F42" s="7">
        <f>VLOOKUP($A42,'2016'!$A$3:$M$138,10,FALSE)</f>
        <v>627.29420549581835</v>
      </c>
      <c r="G42" s="7">
        <f>VLOOKUP($A42,'2016'!$A$3:$M$138,11,FALSE)</f>
        <v>241.11994959677222</v>
      </c>
      <c r="H42" s="7">
        <f>VLOOKUP($A42,'2016'!$A$3:$M$138,12,FALSE)</f>
        <v>502.67779233871215</v>
      </c>
      <c r="I42" s="7">
        <f>VLOOKUP($A42,'2016'!$A$3:$M$138,13,FALSE)</f>
        <v>0.95064516128986687</v>
      </c>
      <c r="J42" s="7">
        <f t="shared" si="0"/>
        <v>1400.0600000000002</v>
      </c>
      <c r="K42" s="20" t="str">
        <f>IFERROR(VLOOKUP($A42,#REF!,7,FALSE),"")</f>
        <v/>
      </c>
      <c r="L42" s="20" t="str">
        <f>IFERROR(VLOOKUP($A42,#REF!,8,FALSE),"")</f>
        <v/>
      </c>
      <c r="M42" s="20" t="str">
        <f>IFERROR(VLOOKUP($A42,#REF!,9,FALSE),"")</f>
        <v/>
      </c>
      <c r="N42" s="20" t="str">
        <f>IFERROR(VLOOKUP($A42,#REF!,10,FALSE),"")</f>
        <v/>
      </c>
      <c r="O42" s="20" t="str">
        <f>IFERROR(VLOOKUP($A42,#REF!,11,FALSE),"")</f>
        <v/>
      </c>
      <c r="P42" s="20">
        <f t="shared" si="1"/>
        <v>0</v>
      </c>
      <c r="Q42" s="28">
        <f t="shared" si="2"/>
        <v>-1</v>
      </c>
      <c r="R42" s="33">
        <f t="shared" si="3"/>
        <v>1960168.0036000004</v>
      </c>
    </row>
    <row r="43" spans="1:18" x14ac:dyDescent="0.25">
      <c r="A43" s="5">
        <v>35</v>
      </c>
      <c r="B43" s="5">
        <v>10</v>
      </c>
      <c r="C43" s="5" t="s">
        <v>0</v>
      </c>
      <c r="D43" s="5">
        <v>5</v>
      </c>
      <c r="E43" s="7">
        <f>VLOOKUP($A43,'2016'!$A$3:$M$138,9,FALSE)</f>
        <v>59.133043478260838</v>
      </c>
      <c r="F43" s="7">
        <f>VLOOKUP($A43,'2016'!$A$3:$M$138,10,FALSE)</f>
        <v>553.53349498327771</v>
      </c>
      <c r="G43" s="7">
        <f>VLOOKUP($A43,'2016'!$A$3:$M$138,11,FALSE)</f>
        <v>1188.2537456293683</v>
      </c>
      <c r="H43" s="7">
        <f>VLOOKUP($A43,'2016'!$A$3:$M$138,12,FALSE)</f>
        <v>994.00247452978442</v>
      </c>
      <c r="I43" s="7">
        <f>VLOOKUP($A43,'2016'!$A$3:$M$138,13,FALSE)</f>
        <v>431.63724137930882</v>
      </c>
      <c r="J43" s="7">
        <f t="shared" si="0"/>
        <v>3226.56</v>
      </c>
      <c r="K43" s="20" t="str">
        <f>IFERROR(VLOOKUP($A43,#REF!,7,FALSE),"")</f>
        <v/>
      </c>
      <c r="L43" s="20" t="str">
        <f>IFERROR(VLOOKUP($A43,#REF!,8,FALSE),"")</f>
        <v/>
      </c>
      <c r="M43" s="20" t="str">
        <f>IFERROR(VLOOKUP($A43,#REF!,9,FALSE),"")</f>
        <v/>
      </c>
      <c r="N43" s="20" t="str">
        <f>IFERROR(VLOOKUP($A43,#REF!,10,FALSE),"")</f>
        <v/>
      </c>
      <c r="O43" s="20" t="str">
        <f>IFERROR(VLOOKUP($A43,#REF!,11,FALSE),"")</f>
        <v/>
      </c>
      <c r="P43" s="20">
        <f t="shared" si="1"/>
        <v>0</v>
      </c>
      <c r="Q43" s="28">
        <f t="shared" si="2"/>
        <v>-1</v>
      </c>
      <c r="R43" s="33">
        <f t="shared" si="3"/>
        <v>10410689.433599999</v>
      </c>
    </row>
    <row r="44" spans="1:18" x14ac:dyDescent="0.25">
      <c r="A44" s="5">
        <v>41</v>
      </c>
      <c r="B44" s="5">
        <v>10</v>
      </c>
      <c r="C44" s="5" t="s">
        <v>0</v>
      </c>
      <c r="D44" s="5">
        <v>5</v>
      </c>
      <c r="E44" s="7">
        <f>VLOOKUP($A44,'2016'!$A$3:$M$138,9,FALSE)</f>
        <v>275.23673648648651</v>
      </c>
      <c r="F44" s="7">
        <f>VLOOKUP($A44,'2016'!$A$3:$M$138,10,FALSE)</f>
        <v>4170.9017109255228</v>
      </c>
      <c r="G44" s="7">
        <f>VLOOKUP($A44,'2016'!$A$3:$M$138,11,FALSE)</f>
        <v>8461.2951270217072</v>
      </c>
      <c r="H44" s="7">
        <f>VLOOKUP($A44,'2016'!$A$3:$M$138,12,FALSE)</f>
        <v>4942.3106255447983</v>
      </c>
      <c r="I44" s="7">
        <f>VLOOKUP($A44,'2016'!$A$3:$M$138,13,FALSE)</f>
        <v>2559.7958000214853</v>
      </c>
      <c r="J44" s="7">
        <f t="shared" si="0"/>
        <v>20409.54</v>
      </c>
      <c r="K44" s="20" t="str">
        <f>IFERROR(VLOOKUP($A44,#REF!,7,FALSE),"")</f>
        <v/>
      </c>
      <c r="L44" s="20" t="str">
        <f>IFERROR(VLOOKUP($A44,#REF!,8,FALSE),"")</f>
        <v/>
      </c>
      <c r="M44" s="20" t="str">
        <f>IFERROR(VLOOKUP($A44,#REF!,9,FALSE),"")</f>
        <v/>
      </c>
      <c r="N44" s="20" t="str">
        <f>IFERROR(VLOOKUP($A44,#REF!,10,FALSE),"")</f>
        <v/>
      </c>
      <c r="O44" s="20" t="str">
        <f>IFERROR(VLOOKUP($A44,#REF!,11,FALSE),"")</f>
        <v/>
      </c>
      <c r="P44" s="20">
        <f t="shared" si="1"/>
        <v>0</v>
      </c>
      <c r="Q44" s="28">
        <f t="shared" si="2"/>
        <v>-1</v>
      </c>
      <c r="R44" s="33">
        <f t="shared" si="3"/>
        <v>416549323.01160002</v>
      </c>
    </row>
    <row r="45" spans="1:18" x14ac:dyDescent="0.25">
      <c r="A45" s="5">
        <v>44</v>
      </c>
      <c r="B45" s="5">
        <v>10</v>
      </c>
      <c r="C45" s="5" t="s">
        <v>0</v>
      </c>
      <c r="D45" s="5">
        <v>5</v>
      </c>
      <c r="E45" s="7">
        <f>VLOOKUP($A45,'2016'!$A$3:$M$138,9,FALSE)</f>
        <v>244.37649999999994</v>
      </c>
      <c r="F45" s="7">
        <f>VLOOKUP($A45,'2016'!$A$3:$M$138,10,FALSE)</f>
        <v>3026.317049072728</v>
      </c>
      <c r="G45" s="7">
        <f>VLOOKUP($A45,'2016'!$A$3:$M$138,11,FALSE)</f>
        <v>6656.1499846868519</v>
      </c>
      <c r="H45" s="7">
        <f>VLOOKUP($A45,'2016'!$A$3:$M$138,12,FALSE)</f>
        <v>3765.6379445012926</v>
      </c>
      <c r="I45" s="7">
        <f>VLOOKUP($A45,'2016'!$A$3:$M$138,13,FALSE)</f>
        <v>1541.6885217391266</v>
      </c>
      <c r="J45" s="7">
        <f t="shared" si="0"/>
        <v>15234.17</v>
      </c>
      <c r="K45" s="20" t="str">
        <f>IFERROR(VLOOKUP($A45,#REF!,7,FALSE),"")</f>
        <v/>
      </c>
      <c r="L45" s="20" t="str">
        <f>IFERROR(VLOOKUP($A45,#REF!,8,FALSE),"")</f>
        <v/>
      </c>
      <c r="M45" s="20" t="str">
        <f>IFERROR(VLOOKUP($A45,#REF!,9,FALSE),"")</f>
        <v/>
      </c>
      <c r="N45" s="20" t="str">
        <f>IFERROR(VLOOKUP($A45,#REF!,10,FALSE),"")</f>
        <v/>
      </c>
      <c r="O45" s="20" t="str">
        <f>IFERROR(VLOOKUP($A45,#REF!,11,FALSE),"")</f>
        <v/>
      </c>
      <c r="P45" s="20">
        <f t="shared" si="1"/>
        <v>0</v>
      </c>
      <c r="Q45" s="28">
        <f t="shared" si="2"/>
        <v>-1</v>
      </c>
      <c r="R45" s="33">
        <f t="shared" si="3"/>
        <v>232079935.5889</v>
      </c>
    </row>
    <row r="46" spans="1:18" x14ac:dyDescent="0.25">
      <c r="A46" s="5">
        <v>83</v>
      </c>
      <c r="B46" s="5">
        <v>10</v>
      </c>
      <c r="C46" s="5" t="s">
        <v>0</v>
      </c>
      <c r="D46" s="5">
        <v>5</v>
      </c>
      <c r="E46" s="7">
        <f>VLOOKUP($A46,'2016'!$A$3:$M$138,9,FALSE)</f>
        <v>0</v>
      </c>
      <c r="F46" s="7">
        <f>VLOOKUP($A46,'2016'!$A$3:$M$138,10,FALSE)</f>
        <v>102.3</v>
      </c>
      <c r="G46" s="7">
        <f>VLOOKUP($A46,'2016'!$A$3:$M$138,11,FALSE)</f>
        <v>175.48890624999945</v>
      </c>
      <c r="H46" s="7">
        <f>VLOOKUP($A46,'2016'!$A$3:$M$138,12,FALSE)</f>
        <v>95.878359375000542</v>
      </c>
      <c r="I46" s="7">
        <f>VLOOKUP($A46,'2016'!$A$3:$M$138,13,FALSE)</f>
        <v>0</v>
      </c>
      <c r="J46" s="7">
        <f t="shared" si="0"/>
        <v>373.66726562500003</v>
      </c>
      <c r="K46" s="20" t="str">
        <f>IFERROR(VLOOKUP($A46,#REF!,7,FALSE),"")</f>
        <v/>
      </c>
      <c r="L46" s="20" t="str">
        <f>IFERROR(VLOOKUP($A46,#REF!,8,FALSE),"")</f>
        <v/>
      </c>
      <c r="M46" s="20" t="str">
        <f>IFERROR(VLOOKUP($A46,#REF!,9,FALSE),"")</f>
        <v/>
      </c>
      <c r="N46" s="20" t="str">
        <f>IFERROR(VLOOKUP($A46,#REF!,10,FALSE),"")</f>
        <v/>
      </c>
      <c r="O46" s="20" t="str">
        <f>IFERROR(VLOOKUP($A46,#REF!,11,FALSE),"")</f>
        <v/>
      </c>
      <c r="P46" s="20">
        <f t="shared" si="1"/>
        <v>0</v>
      </c>
      <c r="Q46" s="28">
        <f t="shared" si="2"/>
        <v>-1</v>
      </c>
      <c r="R46" s="33">
        <f t="shared" si="3"/>
        <v>139627.22539966434</v>
      </c>
    </row>
    <row r="47" spans="1:18" x14ac:dyDescent="0.25">
      <c r="A47" s="5">
        <v>84</v>
      </c>
      <c r="B47" s="5">
        <v>10</v>
      </c>
      <c r="C47" s="5" t="s">
        <v>0</v>
      </c>
      <c r="D47" s="5">
        <v>5</v>
      </c>
      <c r="E47" s="7">
        <f>VLOOKUP($A47,'2016'!$A$3:$M$138,9,FALSE)</f>
        <v>0</v>
      </c>
      <c r="F47" s="7">
        <f>VLOOKUP($A47,'2016'!$A$3:$M$138,10,FALSE)</f>
        <v>136.87</v>
      </c>
      <c r="G47" s="7">
        <f>VLOOKUP($A47,'2016'!$A$3:$M$138,11,FALSE)</f>
        <v>236.62639386189213</v>
      </c>
      <c r="H47" s="7">
        <f>VLOOKUP($A47,'2016'!$A$3:$M$138,12,FALSE)</f>
        <v>113.36856412130116</v>
      </c>
      <c r="I47" s="7">
        <f>VLOOKUP($A47,'2016'!$A$3:$M$138,13,FALSE)</f>
        <v>0</v>
      </c>
      <c r="J47" s="7">
        <f t="shared" si="0"/>
        <v>486.86495798319328</v>
      </c>
      <c r="K47" s="20" t="str">
        <f>IFERROR(VLOOKUP($A47,#REF!,7,FALSE),"")</f>
        <v/>
      </c>
      <c r="L47" s="20" t="str">
        <f>IFERROR(VLOOKUP($A47,#REF!,8,FALSE),"")</f>
        <v/>
      </c>
      <c r="M47" s="20" t="str">
        <f>IFERROR(VLOOKUP($A47,#REF!,9,FALSE),"")</f>
        <v/>
      </c>
      <c r="N47" s="20" t="str">
        <f>IFERROR(VLOOKUP($A47,#REF!,10,FALSE),"")</f>
        <v/>
      </c>
      <c r="O47" s="20" t="str">
        <f>IFERROR(VLOOKUP($A47,#REF!,11,FALSE),"")</f>
        <v/>
      </c>
      <c r="P47" s="20">
        <f t="shared" si="1"/>
        <v>0</v>
      </c>
      <c r="Q47" s="28">
        <f t="shared" si="2"/>
        <v>-1</v>
      </c>
      <c r="R47" s="33">
        <f t="shared" si="3"/>
        <v>237037.48731197655</v>
      </c>
    </row>
    <row r="48" spans="1:18" x14ac:dyDescent="0.25">
      <c r="A48" s="5">
        <v>88</v>
      </c>
      <c r="B48" s="5">
        <v>10</v>
      </c>
      <c r="C48" s="5" t="s">
        <v>0</v>
      </c>
      <c r="D48" s="5">
        <v>5</v>
      </c>
      <c r="E48" s="7">
        <f>VLOOKUP($A48,'2016'!$A$3:$M$138,9,FALSE)</f>
        <v>0.98333333333333339</v>
      </c>
      <c r="F48" s="7">
        <f>VLOOKUP($A48,'2016'!$A$3:$M$138,10,FALSE)</f>
        <v>153.67666666666668</v>
      </c>
      <c r="G48" s="7">
        <f>VLOOKUP($A48,'2016'!$A$3:$M$138,11,FALSE)</f>
        <v>215.1962530712525</v>
      </c>
      <c r="H48" s="7">
        <f>VLOOKUP($A48,'2016'!$A$3:$M$138,12,FALSE)</f>
        <v>117.31003071253143</v>
      </c>
      <c r="I48" s="7">
        <f>VLOOKUP($A48,'2016'!$A$3:$M$138,13,FALSE)</f>
        <v>74.876824324324232</v>
      </c>
      <c r="J48" s="7">
        <f t="shared" si="0"/>
        <v>562.04310810810819</v>
      </c>
      <c r="K48" s="20" t="str">
        <f>IFERROR(VLOOKUP($A48,#REF!,7,FALSE),"")</f>
        <v/>
      </c>
      <c r="L48" s="20" t="str">
        <f>IFERROR(VLOOKUP($A48,#REF!,8,FALSE),"")</f>
        <v/>
      </c>
      <c r="M48" s="20" t="str">
        <f>IFERROR(VLOOKUP($A48,#REF!,9,FALSE),"")</f>
        <v/>
      </c>
      <c r="N48" s="20" t="str">
        <f>IFERROR(VLOOKUP($A48,#REF!,10,FALSE),"")</f>
        <v/>
      </c>
      <c r="O48" s="20" t="str">
        <f>IFERROR(VLOOKUP($A48,#REF!,11,FALSE),"")</f>
        <v/>
      </c>
      <c r="P48" s="20">
        <f t="shared" si="1"/>
        <v>0</v>
      </c>
      <c r="Q48" s="28">
        <f t="shared" si="2"/>
        <v>-1</v>
      </c>
      <c r="R48" s="33">
        <f t="shared" si="3"/>
        <v>315892.45537182258</v>
      </c>
    </row>
    <row r="49" spans="1:18" x14ac:dyDescent="0.25">
      <c r="A49" s="5">
        <v>101</v>
      </c>
      <c r="B49" s="5">
        <v>10</v>
      </c>
      <c r="C49" s="5" t="s">
        <v>0</v>
      </c>
      <c r="D49" s="5">
        <v>5</v>
      </c>
      <c r="E49" s="7">
        <f>VLOOKUP($A49,'2016'!$A$3:$M$138,9,FALSE)</f>
        <v>273.92975030525037</v>
      </c>
      <c r="F49" s="7">
        <f>VLOOKUP($A49,'2016'!$A$3:$M$138,10,FALSE)</f>
        <v>3315.1969243855719</v>
      </c>
      <c r="G49" s="7">
        <f>VLOOKUP($A49,'2016'!$A$3:$M$138,11,FALSE)</f>
        <v>7581.4168539171797</v>
      </c>
      <c r="H49" s="7">
        <f>VLOOKUP($A49,'2016'!$A$3:$M$138,12,FALSE)</f>
        <v>3966.8243533963118</v>
      </c>
      <c r="I49" s="7">
        <f>VLOOKUP($A49,'2016'!$A$3:$M$138,13,FALSE)</f>
        <v>1648.8405008753537</v>
      </c>
      <c r="J49" s="7">
        <f t="shared" si="0"/>
        <v>16786.208382879668</v>
      </c>
      <c r="K49" s="20" t="str">
        <f>IFERROR(VLOOKUP($A49,#REF!,7,FALSE),"")</f>
        <v/>
      </c>
      <c r="L49" s="20" t="str">
        <f>IFERROR(VLOOKUP($A49,#REF!,8,FALSE),"")</f>
        <v/>
      </c>
      <c r="M49" s="20" t="str">
        <f>IFERROR(VLOOKUP($A49,#REF!,9,FALSE),"")</f>
        <v/>
      </c>
      <c r="N49" s="20" t="str">
        <f>IFERROR(VLOOKUP($A49,#REF!,10,FALSE),"")</f>
        <v/>
      </c>
      <c r="O49" s="20" t="str">
        <f>IFERROR(VLOOKUP($A49,#REF!,11,FALSE),"")</f>
        <v/>
      </c>
      <c r="P49" s="20">
        <f t="shared" si="1"/>
        <v>0</v>
      </c>
      <c r="Q49" s="28">
        <f t="shared" si="2"/>
        <v>-1</v>
      </c>
      <c r="R49" s="33">
        <f t="shared" si="3"/>
        <v>281776791.87345964</v>
      </c>
    </row>
    <row r="50" spans="1:18" x14ac:dyDescent="0.25">
      <c r="A50" s="5">
        <v>105</v>
      </c>
      <c r="B50" s="5">
        <v>10</v>
      </c>
      <c r="C50" s="5" t="s">
        <v>0</v>
      </c>
      <c r="D50" s="5">
        <v>5</v>
      </c>
      <c r="E50" s="7">
        <f>VLOOKUP($A50,'2016'!$A$3:$M$138,9,FALSE)</f>
        <v>153.34312944523469</v>
      </c>
      <c r="F50" s="7">
        <f>VLOOKUP($A50,'2016'!$A$3:$M$138,10,FALSE)</f>
        <v>1102.8117502272012</v>
      </c>
      <c r="G50" s="7">
        <f>VLOOKUP($A50,'2016'!$A$3:$M$138,11,FALSE)</f>
        <v>1980.3370044603696</v>
      </c>
      <c r="H50" s="7">
        <f>VLOOKUP($A50,'2016'!$A$3:$M$138,12,FALSE)</f>
        <v>928.49322817857592</v>
      </c>
      <c r="I50" s="7">
        <f>VLOOKUP($A50,'2016'!$A$3:$M$138,13,FALSE)</f>
        <v>336.94248934836895</v>
      </c>
      <c r="J50" s="7">
        <f t="shared" si="0"/>
        <v>4501.9276016597505</v>
      </c>
      <c r="K50" s="20" t="str">
        <f>IFERROR(VLOOKUP($A50,#REF!,7,FALSE),"")</f>
        <v/>
      </c>
      <c r="L50" s="20" t="str">
        <f>IFERROR(VLOOKUP($A50,#REF!,8,FALSE),"")</f>
        <v/>
      </c>
      <c r="M50" s="20" t="str">
        <f>IFERROR(VLOOKUP($A50,#REF!,9,FALSE),"")</f>
        <v/>
      </c>
      <c r="N50" s="20" t="str">
        <f>IFERROR(VLOOKUP($A50,#REF!,10,FALSE),"")</f>
        <v/>
      </c>
      <c r="O50" s="20" t="str">
        <f>IFERROR(VLOOKUP($A50,#REF!,11,FALSE),"")</f>
        <v/>
      </c>
      <c r="P50" s="20">
        <f t="shared" si="1"/>
        <v>0</v>
      </c>
      <c r="Q50" s="28">
        <f t="shared" si="2"/>
        <v>-1</v>
      </c>
      <c r="R50" s="33">
        <f t="shared" si="3"/>
        <v>20267352.130585913</v>
      </c>
    </row>
    <row r="51" spans="1:18" x14ac:dyDescent="0.25">
      <c r="A51" s="5">
        <v>115</v>
      </c>
      <c r="B51" s="5">
        <v>10</v>
      </c>
      <c r="C51" s="5" t="s">
        <v>0</v>
      </c>
      <c r="D51" s="5">
        <v>5</v>
      </c>
      <c r="E51" s="7">
        <f>VLOOKUP($A51,'2016'!$A$3:$M$138,9,FALSE)</f>
        <v>2.7459999999999853</v>
      </c>
      <c r="F51" s="7">
        <f>VLOOKUP($A51,'2016'!$A$3:$M$138,10,FALSE)</f>
        <v>959.50944345898017</v>
      </c>
      <c r="G51" s="7">
        <f>VLOOKUP($A51,'2016'!$A$3:$M$138,11,FALSE)</f>
        <v>2444.4556084890692</v>
      </c>
      <c r="H51" s="7">
        <f>VLOOKUP($A51,'2016'!$A$3:$M$138,12,FALSE)</f>
        <v>978.19656709957098</v>
      </c>
      <c r="I51" s="7">
        <f>VLOOKUP($A51,'2016'!$A$3:$M$138,13,FALSE)</f>
        <v>335.12238095238001</v>
      </c>
      <c r="J51" s="7">
        <f t="shared" si="0"/>
        <v>4720.0300000000007</v>
      </c>
      <c r="K51" s="20" t="str">
        <f>IFERROR(VLOOKUP($A51,#REF!,7,FALSE),"")</f>
        <v/>
      </c>
      <c r="L51" s="20" t="str">
        <f>IFERROR(VLOOKUP($A51,#REF!,8,FALSE),"")</f>
        <v/>
      </c>
      <c r="M51" s="20" t="str">
        <f>IFERROR(VLOOKUP($A51,#REF!,9,FALSE),"")</f>
        <v/>
      </c>
      <c r="N51" s="20" t="str">
        <f>IFERROR(VLOOKUP($A51,#REF!,10,FALSE),"")</f>
        <v/>
      </c>
      <c r="O51" s="20" t="str">
        <f>IFERROR(VLOOKUP($A51,#REF!,11,FALSE),"")</f>
        <v/>
      </c>
      <c r="P51" s="20">
        <f t="shared" si="1"/>
        <v>0</v>
      </c>
      <c r="Q51" s="28">
        <f t="shared" si="2"/>
        <v>-1</v>
      </c>
      <c r="R51" s="33">
        <f t="shared" si="3"/>
        <v>22278683.200900007</v>
      </c>
    </row>
    <row r="52" spans="1:18" x14ac:dyDescent="0.25">
      <c r="A52" s="5">
        <v>302</v>
      </c>
      <c r="B52" s="5">
        <v>10</v>
      </c>
      <c r="C52" s="5" t="s">
        <v>0</v>
      </c>
      <c r="D52" s="5">
        <v>5</v>
      </c>
      <c r="E52" s="7">
        <f>VLOOKUP($A52,'2016'!$A$3:$M$138,9,FALSE)</f>
        <v>260.98396217023395</v>
      </c>
      <c r="F52" s="7">
        <f>VLOOKUP($A52,'2016'!$A$3:$M$138,10,FALSE)</f>
        <v>1684.4299925467474</v>
      </c>
      <c r="G52" s="7">
        <f>VLOOKUP($A52,'2016'!$A$3:$M$138,11,FALSE)</f>
        <v>4298.2106762413077</v>
      </c>
      <c r="H52" s="7">
        <f>VLOOKUP($A52,'2016'!$A$3:$M$138,12,FALSE)</f>
        <v>2172.5140808179017</v>
      </c>
      <c r="I52" s="7">
        <f>VLOOKUP($A52,'2016'!$A$3:$M$138,13,FALSE)</f>
        <v>1213.4912882238095</v>
      </c>
      <c r="J52" s="7">
        <f t="shared" si="0"/>
        <v>9629.630000000001</v>
      </c>
      <c r="K52" s="20" t="str">
        <f>IFERROR(VLOOKUP($A52,#REF!,7,FALSE),"")</f>
        <v/>
      </c>
      <c r="L52" s="20" t="str">
        <f>IFERROR(VLOOKUP($A52,#REF!,8,FALSE),"")</f>
        <v/>
      </c>
      <c r="M52" s="20" t="str">
        <f>IFERROR(VLOOKUP($A52,#REF!,9,FALSE),"")</f>
        <v/>
      </c>
      <c r="N52" s="20" t="str">
        <f>IFERROR(VLOOKUP($A52,#REF!,10,FALSE),"")</f>
        <v/>
      </c>
      <c r="O52" s="20" t="str">
        <f>IFERROR(VLOOKUP($A52,#REF!,11,FALSE),"")</f>
        <v/>
      </c>
      <c r="P52" s="20">
        <f t="shared" si="1"/>
        <v>0</v>
      </c>
      <c r="Q52" s="28">
        <f t="shared" si="2"/>
        <v>-1</v>
      </c>
      <c r="R52" s="33">
        <f t="shared" si="3"/>
        <v>92729773.93690002</v>
      </c>
    </row>
    <row r="53" spans="1:18" x14ac:dyDescent="0.25">
      <c r="A53" s="5">
        <v>303</v>
      </c>
      <c r="B53" s="5">
        <v>10</v>
      </c>
      <c r="C53" s="5" t="s">
        <v>0</v>
      </c>
      <c r="D53" s="5">
        <v>5</v>
      </c>
      <c r="E53" s="7">
        <f>VLOOKUP($A53,'2016'!$A$3:$M$138,9,FALSE)</f>
        <v>778.11098955104876</v>
      </c>
      <c r="F53" s="7">
        <f>VLOOKUP($A53,'2016'!$A$3:$M$138,10,FALSE)</f>
        <v>2964.7306383148557</v>
      </c>
      <c r="G53" s="7">
        <f>VLOOKUP($A53,'2016'!$A$3:$M$138,11,FALSE)</f>
        <v>6547.9821574266743</v>
      </c>
      <c r="H53" s="7">
        <f>VLOOKUP($A53,'2016'!$A$3:$M$138,12,FALSE)</f>
        <v>3364.6947635463066</v>
      </c>
      <c r="I53" s="7">
        <f>VLOOKUP($A53,'2016'!$A$3:$M$138,13,FALSE)</f>
        <v>1716.909887920295</v>
      </c>
      <c r="J53" s="7">
        <f t="shared" si="0"/>
        <v>15372.428436759181</v>
      </c>
      <c r="K53" s="20" t="str">
        <f>IFERROR(VLOOKUP($A53,#REF!,7,FALSE),"")</f>
        <v/>
      </c>
      <c r="L53" s="20" t="str">
        <f>IFERROR(VLOOKUP($A53,#REF!,8,FALSE),"")</f>
        <v/>
      </c>
      <c r="M53" s="20" t="str">
        <f>IFERROR(VLOOKUP($A53,#REF!,9,FALSE),"")</f>
        <v/>
      </c>
      <c r="N53" s="20" t="str">
        <f>IFERROR(VLOOKUP($A53,#REF!,10,FALSE),"")</f>
        <v/>
      </c>
      <c r="O53" s="20" t="str">
        <f>IFERROR(VLOOKUP($A53,#REF!,11,FALSE),"")</f>
        <v/>
      </c>
      <c r="P53" s="20">
        <f t="shared" si="1"/>
        <v>0</v>
      </c>
      <c r="Q53" s="28">
        <f t="shared" si="2"/>
        <v>-1</v>
      </c>
      <c r="R53" s="33">
        <f t="shared" si="3"/>
        <v>236311556.0432823</v>
      </c>
    </row>
    <row r="54" spans="1:18" x14ac:dyDescent="0.25">
      <c r="A54" s="5">
        <v>304</v>
      </c>
      <c r="B54" s="5">
        <v>10</v>
      </c>
      <c r="C54" s="5" t="s">
        <v>0</v>
      </c>
      <c r="D54" s="5">
        <v>5</v>
      </c>
      <c r="E54" s="7">
        <f>VLOOKUP($A54,'2016'!$A$3:$M$138,9,FALSE)</f>
        <v>186.13452121831818</v>
      </c>
      <c r="F54" s="7">
        <f>VLOOKUP($A54,'2016'!$A$3:$M$138,10,FALSE)</f>
        <v>1308.0904765042492</v>
      </c>
      <c r="G54" s="7">
        <f>VLOOKUP($A54,'2016'!$A$3:$M$138,11,FALSE)</f>
        <v>1653.1963127242302</v>
      </c>
      <c r="H54" s="7">
        <f>VLOOKUP($A54,'2016'!$A$3:$M$138,12,FALSE)</f>
        <v>1129.4391305499028</v>
      </c>
      <c r="I54" s="7">
        <f>VLOOKUP($A54,'2016'!$A$3:$M$138,13,FALSE)</f>
        <v>229.9797641509424</v>
      </c>
      <c r="J54" s="7">
        <f t="shared" si="0"/>
        <v>4506.8402051476423</v>
      </c>
      <c r="K54" s="20" t="str">
        <f>IFERROR(VLOOKUP($A54,#REF!,7,FALSE),"")</f>
        <v/>
      </c>
      <c r="L54" s="20" t="str">
        <f>IFERROR(VLOOKUP($A54,#REF!,8,FALSE),"")</f>
        <v/>
      </c>
      <c r="M54" s="20" t="str">
        <f>IFERROR(VLOOKUP($A54,#REF!,9,FALSE),"")</f>
        <v/>
      </c>
      <c r="N54" s="20" t="str">
        <f>IFERROR(VLOOKUP($A54,#REF!,10,FALSE),"")</f>
        <v/>
      </c>
      <c r="O54" s="20" t="str">
        <f>IFERROR(VLOOKUP($A54,#REF!,11,FALSE),"")</f>
        <v/>
      </c>
      <c r="P54" s="20">
        <f t="shared" si="1"/>
        <v>0</v>
      </c>
      <c r="Q54" s="28">
        <f t="shared" si="2"/>
        <v>-1</v>
      </c>
      <c r="R54" s="33">
        <f t="shared" si="3"/>
        <v>20311608.634735242</v>
      </c>
    </row>
    <row r="55" spans="1:18" x14ac:dyDescent="0.25">
      <c r="A55" s="5">
        <v>305</v>
      </c>
      <c r="B55" s="5">
        <v>10</v>
      </c>
      <c r="C55" s="5" t="s">
        <v>0</v>
      </c>
      <c r="D55" s="5">
        <v>5</v>
      </c>
      <c r="E55" s="7">
        <f>VLOOKUP($A55,'2016'!$A$3:$M$138,9,FALSE)</f>
        <v>299.05059647557982</v>
      </c>
      <c r="F55" s="7">
        <f>VLOOKUP($A55,'2016'!$A$3:$M$138,10,FALSE)</f>
        <v>1431.2015941029681</v>
      </c>
      <c r="G55" s="7">
        <f>VLOOKUP($A55,'2016'!$A$3:$M$138,11,FALSE)</f>
        <v>3335.4183508888755</v>
      </c>
      <c r="H55" s="7">
        <f>VLOOKUP($A55,'2016'!$A$3:$M$138,12,FALSE)</f>
        <v>1761.8405996104584</v>
      </c>
      <c r="I55" s="7">
        <f>VLOOKUP($A55,'2016'!$A$3:$M$138,13,FALSE)</f>
        <v>1013.0837116932508</v>
      </c>
      <c r="J55" s="7">
        <f t="shared" si="0"/>
        <v>7840.5948527711325</v>
      </c>
      <c r="K55" s="20" t="str">
        <f>IFERROR(VLOOKUP($A55,#REF!,7,FALSE),"")</f>
        <v/>
      </c>
      <c r="L55" s="20" t="str">
        <f>IFERROR(VLOOKUP($A55,#REF!,8,FALSE),"")</f>
        <v/>
      </c>
      <c r="M55" s="20" t="str">
        <f>IFERROR(VLOOKUP($A55,#REF!,9,FALSE),"")</f>
        <v/>
      </c>
      <c r="N55" s="20" t="str">
        <f>IFERROR(VLOOKUP($A55,#REF!,10,FALSE),"")</f>
        <v/>
      </c>
      <c r="O55" s="20" t="str">
        <f>IFERROR(VLOOKUP($A55,#REF!,11,FALSE),"")</f>
        <v/>
      </c>
      <c r="P55" s="20">
        <f t="shared" si="1"/>
        <v>0</v>
      </c>
      <c r="Q55" s="28">
        <f t="shared" si="2"/>
        <v>-1</v>
      </c>
      <c r="R55" s="33">
        <f t="shared" si="3"/>
        <v>61474927.645301178</v>
      </c>
    </row>
    <row r="56" spans="1:18" x14ac:dyDescent="0.25">
      <c r="A56" s="5">
        <v>306</v>
      </c>
      <c r="B56" s="5">
        <v>10</v>
      </c>
      <c r="C56" s="5" t="s">
        <v>0</v>
      </c>
      <c r="D56" s="5">
        <v>5</v>
      </c>
      <c r="E56" s="7">
        <f>VLOOKUP($A56,'2016'!$A$3:$M$138,9,FALSE)</f>
        <v>292.65073358668928</v>
      </c>
      <c r="F56" s="7">
        <f>VLOOKUP($A56,'2016'!$A$3:$M$138,10,FALSE)</f>
        <v>1986.7555808436503</v>
      </c>
      <c r="G56" s="7">
        <f>VLOOKUP($A56,'2016'!$A$3:$M$138,11,FALSE)</f>
        <v>2401.6503425012979</v>
      </c>
      <c r="H56" s="7">
        <f>VLOOKUP($A56,'2016'!$A$3:$M$138,12,FALSE)</f>
        <v>1710.3498701037834</v>
      </c>
      <c r="I56" s="7">
        <f>VLOOKUP($A56,'2016'!$A$3:$M$138,13,FALSE)</f>
        <v>609.2116279069736</v>
      </c>
      <c r="J56" s="7">
        <f t="shared" si="0"/>
        <v>7000.6181549423945</v>
      </c>
      <c r="K56" s="20" t="str">
        <f>IFERROR(VLOOKUP($A56,#REF!,7,FALSE),"")</f>
        <v/>
      </c>
      <c r="L56" s="20" t="str">
        <f>IFERROR(VLOOKUP($A56,#REF!,8,FALSE),"")</f>
        <v/>
      </c>
      <c r="M56" s="20" t="str">
        <f>IFERROR(VLOOKUP($A56,#REF!,9,FALSE),"")</f>
        <v/>
      </c>
      <c r="N56" s="20" t="str">
        <f>IFERROR(VLOOKUP($A56,#REF!,10,FALSE),"")</f>
        <v/>
      </c>
      <c r="O56" s="20" t="str">
        <f>IFERROR(VLOOKUP($A56,#REF!,11,FALSE),"")</f>
        <v/>
      </c>
      <c r="P56" s="20">
        <f t="shared" si="1"/>
        <v>0</v>
      </c>
      <c r="Q56" s="28">
        <f t="shared" si="2"/>
        <v>-1</v>
      </c>
      <c r="R56" s="33">
        <f t="shared" si="3"/>
        <v>49008654.551309057</v>
      </c>
    </row>
    <row r="57" spans="1:18" x14ac:dyDescent="0.25">
      <c r="A57" s="5">
        <v>308</v>
      </c>
      <c r="B57" s="5">
        <v>10</v>
      </c>
      <c r="C57" s="5" t="s">
        <v>0</v>
      </c>
      <c r="D57" s="5">
        <v>5</v>
      </c>
      <c r="E57" s="7">
        <f>VLOOKUP($A57,'2016'!$A$3:$M$138,9,FALSE)</f>
        <v>39.509115329506081</v>
      </c>
      <c r="F57" s="7">
        <f>VLOOKUP($A57,'2016'!$A$3:$M$138,10,FALSE)</f>
        <v>668.92018608320848</v>
      </c>
      <c r="G57" s="7">
        <f>VLOOKUP($A57,'2016'!$A$3:$M$138,11,FALSE)</f>
        <v>1246.6350546470021</v>
      </c>
      <c r="H57" s="7">
        <f>VLOOKUP($A57,'2016'!$A$3:$M$138,12,FALSE)</f>
        <v>733.48992364330411</v>
      </c>
      <c r="I57" s="7">
        <f>VLOOKUP($A57,'2016'!$A$3:$M$138,13,FALSE)</f>
        <v>103.5402434177673</v>
      </c>
      <c r="J57" s="7">
        <f t="shared" si="0"/>
        <v>2792.0945231207884</v>
      </c>
      <c r="K57" s="20" t="str">
        <f>IFERROR(VLOOKUP($A57,#REF!,7,FALSE),"")</f>
        <v/>
      </c>
      <c r="L57" s="20" t="str">
        <f>IFERROR(VLOOKUP($A57,#REF!,8,FALSE),"")</f>
        <v/>
      </c>
      <c r="M57" s="20" t="str">
        <f>IFERROR(VLOOKUP($A57,#REF!,9,FALSE),"")</f>
        <v/>
      </c>
      <c r="N57" s="20" t="str">
        <f>IFERROR(VLOOKUP($A57,#REF!,10,FALSE),"")</f>
        <v/>
      </c>
      <c r="O57" s="20" t="str">
        <f>IFERROR(VLOOKUP($A57,#REF!,11,FALSE),"")</f>
        <v/>
      </c>
      <c r="P57" s="20">
        <f t="shared" si="1"/>
        <v>0</v>
      </c>
      <c r="Q57" s="28">
        <f t="shared" si="2"/>
        <v>-1</v>
      </c>
      <c r="R57" s="33">
        <f t="shared" si="3"/>
        <v>7795791.8260411024</v>
      </c>
    </row>
    <row r="58" spans="1:18" x14ac:dyDescent="0.25">
      <c r="A58" s="5">
        <v>309</v>
      </c>
      <c r="B58" s="5">
        <v>10</v>
      </c>
      <c r="C58" s="5" t="s">
        <v>0</v>
      </c>
      <c r="D58" s="5">
        <v>5</v>
      </c>
      <c r="E58" s="7">
        <f>VLOOKUP($A58,'2016'!$A$3:$M$138,9,FALSE)</f>
        <v>349.6552686969826</v>
      </c>
      <c r="F58" s="7">
        <f>VLOOKUP($A58,'2016'!$A$3:$M$138,10,FALSE)</f>
        <v>1718.4564242298907</v>
      </c>
      <c r="G58" s="7">
        <f>VLOOKUP($A58,'2016'!$A$3:$M$138,11,FALSE)</f>
        <v>3490.9697346486832</v>
      </c>
      <c r="H58" s="7">
        <f>VLOOKUP($A58,'2016'!$A$3:$M$138,12,FALSE)</f>
        <v>2408.1413570401696</v>
      </c>
      <c r="I58" s="7">
        <f>VLOOKUP($A58,'2016'!$A$3:$M$138,13,FALSE)</f>
        <v>831.44625130300551</v>
      </c>
      <c r="J58" s="7">
        <f t="shared" si="0"/>
        <v>8798.6690359187305</v>
      </c>
      <c r="K58" s="20" t="str">
        <f>IFERROR(VLOOKUP($A58,#REF!,7,FALSE),"")</f>
        <v/>
      </c>
      <c r="L58" s="20" t="str">
        <f>IFERROR(VLOOKUP($A58,#REF!,8,FALSE),"")</f>
        <v/>
      </c>
      <c r="M58" s="20" t="str">
        <f>IFERROR(VLOOKUP($A58,#REF!,9,FALSE),"")</f>
        <v/>
      </c>
      <c r="N58" s="20" t="str">
        <f>IFERROR(VLOOKUP($A58,#REF!,10,FALSE),"")</f>
        <v/>
      </c>
      <c r="O58" s="20" t="str">
        <f>IFERROR(VLOOKUP($A58,#REF!,11,FALSE),"")</f>
        <v/>
      </c>
      <c r="P58" s="20">
        <f t="shared" si="1"/>
        <v>0</v>
      </c>
      <c r="Q58" s="28">
        <f t="shared" si="2"/>
        <v>-1</v>
      </c>
      <c r="R58" s="33">
        <f t="shared" si="3"/>
        <v>77416576.803635046</v>
      </c>
    </row>
    <row r="59" spans="1:18" x14ac:dyDescent="0.25">
      <c r="A59" s="5">
        <v>311</v>
      </c>
      <c r="B59" s="5">
        <v>10</v>
      </c>
      <c r="C59" s="5" t="s">
        <v>0</v>
      </c>
      <c r="D59" s="5">
        <v>5</v>
      </c>
      <c r="E59" s="7">
        <f>VLOOKUP($A59,'2016'!$A$3:$M$138,9,FALSE)</f>
        <v>38.20853570331974</v>
      </c>
      <c r="F59" s="7">
        <f>VLOOKUP($A59,'2016'!$A$3:$M$138,10,FALSE)</f>
        <v>655.55238461538454</v>
      </c>
      <c r="G59" s="7">
        <f>VLOOKUP($A59,'2016'!$A$3:$M$138,11,FALSE)</f>
        <v>955.53663672361188</v>
      </c>
      <c r="H59" s="7">
        <f>VLOOKUP($A59,'2016'!$A$3:$M$138,12,FALSE)</f>
        <v>216.70480000000089</v>
      </c>
      <c r="I59" s="7">
        <f>VLOOKUP($A59,'2016'!$A$3:$M$138,13,FALSE)</f>
        <v>0</v>
      </c>
      <c r="J59" s="7">
        <f t="shared" si="0"/>
        <v>1866.002357042317</v>
      </c>
      <c r="K59" s="20" t="str">
        <f>IFERROR(VLOOKUP($A59,#REF!,7,FALSE),"")</f>
        <v/>
      </c>
      <c r="L59" s="20" t="str">
        <f>IFERROR(VLOOKUP($A59,#REF!,8,FALSE),"")</f>
        <v/>
      </c>
      <c r="M59" s="20" t="str">
        <f>IFERROR(VLOOKUP($A59,#REF!,9,FALSE),"")</f>
        <v/>
      </c>
      <c r="N59" s="20" t="str">
        <f>IFERROR(VLOOKUP($A59,#REF!,10,FALSE),"")</f>
        <v/>
      </c>
      <c r="O59" s="20" t="str">
        <f>IFERROR(VLOOKUP($A59,#REF!,11,FALSE),"")</f>
        <v/>
      </c>
      <c r="P59" s="20">
        <f t="shared" si="1"/>
        <v>0</v>
      </c>
      <c r="Q59" s="28">
        <f t="shared" si="2"/>
        <v>-1</v>
      </c>
      <c r="R59" s="33">
        <f t="shared" si="3"/>
        <v>3481964.7964874827</v>
      </c>
    </row>
    <row r="60" spans="1:18" x14ac:dyDescent="0.25">
      <c r="A60" s="5">
        <v>313</v>
      </c>
      <c r="B60" s="5">
        <v>10</v>
      </c>
      <c r="C60" s="5" t="s">
        <v>0</v>
      </c>
      <c r="D60" s="5">
        <v>5</v>
      </c>
      <c r="E60" s="7">
        <f>VLOOKUP($A60,'2016'!$A$3:$M$138,9,FALSE)</f>
        <v>39.001395348837185</v>
      </c>
      <c r="F60" s="7">
        <f>VLOOKUP($A60,'2016'!$A$3:$M$138,10,FALSE)</f>
        <v>435.07852991640152</v>
      </c>
      <c r="G60" s="7">
        <f>VLOOKUP($A60,'2016'!$A$3:$M$138,11,FALSE)</f>
        <v>560.45471818202782</v>
      </c>
      <c r="H60" s="7">
        <f>VLOOKUP($A60,'2016'!$A$3:$M$138,12,FALSE)</f>
        <v>233.50708934276824</v>
      </c>
      <c r="I60" s="7">
        <f>VLOOKUP($A60,'2016'!$A$3:$M$138,13,FALSE)</f>
        <v>28.09</v>
      </c>
      <c r="J60" s="7">
        <f t="shared" si="0"/>
        <v>1296.1317327900347</v>
      </c>
      <c r="K60" s="20" t="str">
        <f>IFERROR(VLOOKUP($A60,#REF!,7,FALSE),"")</f>
        <v/>
      </c>
      <c r="L60" s="20" t="str">
        <f>IFERROR(VLOOKUP($A60,#REF!,8,FALSE),"")</f>
        <v/>
      </c>
      <c r="M60" s="20" t="str">
        <f>IFERROR(VLOOKUP($A60,#REF!,9,FALSE),"")</f>
        <v/>
      </c>
      <c r="N60" s="20" t="str">
        <f>IFERROR(VLOOKUP($A60,#REF!,10,FALSE),"")</f>
        <v/>
      </c>
      <c r="O60" s="20" t="str">
        <f>IFERROR(VLOOKUP($A60,#REF!,11,FALSE),"")</f>
        <v/>
      </c>
      <c r="P60" s="20">
        <f t="shared" si="1"/>
        <v>0</v>
      </c>
      <c r="Q60" s="28">
        <f t="shared" si="2"/>
        <v>-1</v>
      </c>
      <c r="R60" s="33">
        <f t="shared" si="3"/>
        <v>1679957.4687452978</v>
      </c>
    </row>
    <row r="61" spans="1:18" x14ac:dyDescent="0.25">
      <c r="A61" s="5">
        <v>315</v>
      </c>
      <c r="B61" s="5">
        <v>10</v>
      </c>
      <c r="C61" s="5" t="s">
        <v>0</v>
      </c>
      <c r="D61" s="5">
        <v>5</v>
      </c>
      <c r="E61" s="7">
        <f>VLOOKUP($A61,'2016'!$A$3:$M$138,9,FALSE)</f>
        <v>72.883742128659776</v>
      </c>
      <c r="F61" s="7">
        <f>VLOOKUP($A61,'2016'!$A$3:$M$138,10,FALSE)</f>
        <v>400.00461122001377</v>
      </c>
      <c r="G61" s="7">
        <f>VLOOKUP($A61,'2016'!$A$3:$M$138,11,FALSE)</f>
        <v>721.09699551619474</v>
      </c>
      <c r="H61" s="7">
        <f>VLOOKUP($A61,'2016'!$A$3:$M$138,12,FALSE)</f>
        <v>515.13494427518151</v>
      </c>
      <c r="I61" s="7">
        <f>VLOOKUP($A61,'2016'!$A$3:$M$138,13,FALSE)</f>
        <v>144.25152402652421</v>
      </c>
      <c r="J61" s="7">
        <f t="shared" si="0"/>
        <v>1853.3718171665741</v>
      </c>
      <c r="K61" s="20" t="str">
        <f>IFERROR(VLOOKUP($A61,#REF!,7,FALSE),"")</f>
        <v/>
      </c>
      <c r="L61" s="20" t="str">
        <f>IFERROR(VLOOKUP($A61,#REF!,8,FALSE),"")</f>
        <v/>
      </c>
      <c r="M61" s="20" t="str">
        <f>IFERROR(VLOOKUP($A61,#REF!,9,FALSE),"")</f>
        <v/>
      </c>
      <c r="N61" s="20" t="str">
        <f>IFERROR(VLOOKUP($A61,#REF!,10,FALSE),"")</f>
        <v/>
      </c>
      <c r="O61" s="20" t="str">
        <f>IFERROR(VLOOKUP($A61,#REF!,11,FALSE),"")</f>
        <v/>
      </c>
      <c r="P61" s="20">
        <f t="shared" si="1"/>
        <v>0</v>
      </c>
      <c r="Q61" s="28">
        <f t="shared" si="2"/>
        <v>-1</v>
      </c>
      <c r="R61" s="33">
        <f t="shared" si="3"/>
        <v>3434987.0926673291</v>
      </c>
    </row>
    <row r="62" spans="1:18" x14ac:dyDescent="0.25">
      <c r="A62" s="5">
        <v>316</v>
      </c>
      <c r="B62" s="5">
        <v>10</v>
      </c>
      <c r="C62" s="5" t="s">
        <v>0</v>
      </c>
      <c r="D62" s="5">
        <v>5</v>
      </c>
      <c r="E62" s="7">
        <f>VLOOKUP($A62,'2016'!$A$3:$M$138,9,FALSE)</f>
        <v>2.4818750000000027</v>
      </c>
      <c r="F62" s="7">
        <f>VLOOKUP($A62,'2016'!$A$3:$M$138,10,FALSE)</f>
        <v>59.440902777777772</v>
      </c>
      <c r="G62" s="7">
        <f>VLOOKUP($A62,'2016'!$A$3:$M$138,11,FALSE)</f>
        <v>102.66888888888862</v>
      </c>
      <c r="H62" s="7">
        <f>VLOOKUP($A62,'2016'!$A$3:$M$138,12,FALSE)</f>
        <v>58.518333333333615</v>
      </c>
      <c r="I62" s="7">
        <f>VLOOKUP($A62,'2016'!$A$3:$M$138,13,FALSE)</f>
        <v>0</v>
      </c>
      <c r="J62" s="7">
        <f t="shared" si="0"/>
        <v>223.11</v>
      </c>
      <c r="K62" s="20" t="str">
        <f>IFERROR(VLOOKUP($A62,#REF!,7,FALSE),"")</f>
        <v/>
      </c>
      <c r="L62" s="20" t="str">
        <f>IFERROR(VLOOKUP($A62,#REF!,8,FALSE),"")</f>
        <v/>
      </c>
      <c r="M62" s="20" t="str">
        <f>IFERROR(VLOOKUP($A62,#REF!,9,FALSE),"")</f>
        <v/>
      </c>
      <c r="N62" s="20" t="str">
        <f>IFERROR(VLOOKUP($A62,#REF!,10,FALSE),"")</f>
        <v/>
      </c>
      <c r="O62" s="20" t="str">
        <f>IFERROR(VLOOKUP($A62,#REF!,11,FALSE),"")</f>
        <v/>
      </c>
      <c r="P62" s="20">
        <f t="shared" si="1"/>
        <v>0</v>
      </c>
      <c r="Q62" s="28">
        <f t="shared" si="2"/>
        <v>-1</v>
      </c>
      <c r="R62" s="33">
        <f t="shared" si="3"/>
        <v>49778.072100000005</v>
      </c>
    </row>
    <row r="63" spans="1:18" x14ac:dyDescent="0.25">
      <c r="A63" s="5">
        <v>318</v>
      </c>
      <c r="B63" s="5">
        <v>10</v>
      </c>
      <c r="C63" s="5" t="s">
        <v>0</v>
      </c>
      <c r="D63" s="5">
        <v>5</v>
      </c>
      <c r="E63" s="7">
        <f>VLOOKUP($A63,'2016'!$A$3:$M$138,9,FALSE)</f>
        <v>110.00757344203078</v>
      </c>
      <c r="F63" s="7">
        <f>VLOOKUP($A63,'2016'!$A$3:$M$138,10,FALSE)</f>
        <v>509.72893348719805</v>
      </c>
      <c r="G63" s="7">
        <f>VLOOKUP($A63,'2016'!$A$3:$M$138,11,FALSE)</f>
        <v>1215.6289822436229</v>
      </c>
      <c r="H63" s="7">
        <f>VLOOKUP($A63,'2016'!$A$3:$M$138,12,FALSE)</f>
        <v>529.18855296271761</v>
      </c>
      <c r="I63" s="7">
        <f>VLOOKUP($A63,'2016'!$A$3:$M$138,13,FALSE)</f>
        <v>79.739999999999995</v>
      </c>
      <c r="J63" s="7">
        <f t="shared" si="0"/>
        <v>2444.2940421355693</v>
      </c>
      <c r="K63" s="20" t="str">
        <f>IFERROR(VLOOKUP($A63,#REF!,7,FALSE),"")</f>
        <v/>
      </c>
      <c r="L63" s="20" t="str">
        <f>IFERROR(VLOOKUP($A63,#REF!,8,FALSE),"")</f>
        <v/>
      </c>
      <c r="M63" s="20" t="str">
        <f>IFERROR(VLOOKUP($A63,#REF!,9,FALSE),"")</f>
        <v/>
      </c>
      <c r="N63" s="20" t="str">
        <f>IFERROR(VLOOKUP($A63,#REF!,10,FALSE),"")</f>
        <v/>
      </c>
      <c r="O63" s="20" t="str">
        <f>IFERROR(VLOOKUP($A63,#REF!,11,FALSE),"")</f>
        <v/>
      </c>
      <c r="P63" s="20">
        <f t="shared" si="1"/>
        <v>0</v>
      </c>
      <c r="Q63" s="28">
        <f t="shared" si="2"/>
        <v>-1</v>
      </c>
      <c r="R63" s="33">
        <f t="shared" si="3"/>
        <v>5974573.3644194398</v>
      </c>
    </row>
    <row r="64" spans="1:18" x14ac:dyDescent="0.25">
      <c r="A64" s="5">
        <v>323</v>
      </c>
      <c r="B64" s="5">
        <v>10</v>
      </c>
      <c r="C64" s="5" t="s">
        <v>0</v>
      </c>
      <c r="D64" s="5">
        <v>5</v>
      </c>
      <c r="E64" s="7">
        <f>VLOOKUP($A64,'2016'!$A$3:$M$138,9,FALSE)</f>
        <v>8.6223529411764748</v>
      </c>
      <c r="F64" s="7">
        <f>VLOOKUP($A64,'2016'!$A$3:$M$138,10,FALSE)</f>
        <v>193.27773853919871</v>
      </c>
      <c r="G64" s="7">
        <f>VLOOKUP($A64,'2016'!$A$3:$M$138,11,FALSE)</f>
        <v>255.09205438009599</v>
      </c>
      <c r="H64" s="7">
        <f>VLOOKUP($A64,'2016'!$A$3:$M$138,12,FALSE)</f>
        <v>56.668189522343084</v>
      </c>
      <c r="I64" s="7">
        <f>VLOOKUP($A64,'2016'!$A$3:$M$138,13,FALSE)</f>
        <v>0</v>
      </c>
      <c r="J64" s="7">
        <f t="shared" si="0"/>
        <v>513.66033538281431</v>
      </c>
      <c r="K64" s="20" t="str">
        <f>IFERROR(VLOOKUP($A64,#REF!,7,FALSE),"")</f>
        <v/>
      </c>
      <c r="L64" s="20" t="str">
        <f>IFERROR(VLOOKUP($A64,#REF!,8,FALSE),"")</f>
        <v/>
      </c>
      <c r="M64" s="20" t="str">
        <f>IFERROR(VLOOKUP($A64,#REF!,9,FALSE),"")</f>
        <v/>
      </c>
      <c r="N64" s="20" t="str">
        <f>IFERROR(VLOOKUP($A64,#REF!,10,FALSE),"")</f>
        <v/>
      </c>
      <c r="O64" s="20" t="str">
        <f>IFERROR(VLOOKUP($A64,#REF!,11,FALSE),"")</f>
        <v/>
      </c>
      <c r="P64" s="20">
        <f t="shared" si="1"/>
        <v>0</v>
      </c>
      <c r="Q64" s="28">
        <f t="shared" si="2"/>
        <v>-1</v>
      </c>
      <c r="R64" s="33">
        <f t="shared" si="3"/>
        <v>263846.94014558528</v>
      </c>
    </row>
    <row r="65" spans="1:18" x14ac:dyDescent="0.25">
      <c r="A65" s="5">
        <v>325</v>
      </c>
      <c r="B65" s="5">
        <v>10</v>
      </c>
      <c r="C65" s="5" t="s">
        <v>0</v>
      </c>
      <c r="D65" s="5">
        <v>5</v>
      </c>
      <c r="E65" s="7">
        <f>VLOOKUP($A65,'2016'!$A$3:$M$138,9,FALSE)</f>
        <v>28.155772946859905</v>
      </c>
      <c r="F65" s="7">
        <f>VLOOKUP($A65,'2016'!$A$3:$M$138,10,FALSE)</f>
        <v>363.71896210433528</v>
      </c>
      <c r="G65" s="7">
        <f>VLOOKUP($A65,'2016'!$A$3:$M$138,11,FALSE)</f>
        <v>1018.2952244846633</v>
      </c>
      <c r="H65" s="7">
        <f>VLOOKUP($A65,'2016'!$A$3:$M$138,12,FALSE)</f>
        <v>491.72892072684596</v>
      </c>
      <c r="I65" s="7">
        <f>VLOOKUP($A65,'2016'!$A$3:$M$138,13,FALSE)</f>
        <v>96.79582425414857</v>
      </c>
      <c r="J65" s="7">
        <f t="shared" si="0"/>
        <v>1998.6947045168529</v>
      </c>
      <c r="K65" s="20" t="str">
        <f>IFERROR(VLOOKUP($A65,#REF!,7,FALSE),"")</f>
        <v/>
      </c>
      <c r="L65" s="20" t="str">
        <f>IFERROR(VLOOKUP($A65,#REF!,8,FALSE),"")</f>
        <v/>
      </c>
      <c r="M65" s="20" t="str">
        <f>IFERROR(VLOOKUP($A65,#REF!,9,FALSE),"")</f>
        <v/>
      </c>
      <c r="N65" s="20" t="str">
        <f>IFERROR(VLOOKUP($A65,#REF!,10,FALSE),"")</f>
        <v/>
      </c>
      <c r="O65" s="20" t="str">
        <f>IFERROR(VLOOKUP($A65,#REF!,11,FALSE),"")</f>
        <v/>
      </c>
      <c r="P65" s="20">
        <f t="shared" si="1"/>
        <v>0</v>
      </c>
      <c r="Q65" s="28">
        <f t="shared" si="2"/>
        <v>-1</v>
      </c>
      <c r="R65" s="33">
        <f t="shared" si="3"/>
        <v>3994780.5218637097</v>
      </c>
    </row>
    <row r="66" spans="1:18" x14ac:dyDescent="0.25">
      <c r="A66" s="5">
        <v>332</v>
      </c>
      <c r="B66" s="5">
        <v>10</v>
      </c>
      <c r="C66" s="5" t="s">
        <v>0</v>
      </c>
      <c r="D66" s="5">
        <v>5</v>
      </c>
      <c r="E66" s="7">
        <f>VLOOKUP($A66,'2016'!$A$3:$M$138,9,FALSE)</f>
        <v>235.73946605141725</v>
      </c>
      <c r="F66" s="7">
        <f>VLOOKUP($A66,'2016'!$A$3:$M$138,10,FALSE)</f>
        <v>1354.3891033068071</v>
      </c>
      <c r="G66" s="7">
        <f>VLOOKUP($A66,'2016'!$A$3:$M$138,11,FALSE)</f>
        <v>2550.2464921982182</v>
      </c>
      <c r="H66" s="7">
        <f>VLOOKUP($A66,'2016'!$A$3:$M$138,12,FALSE)</f>
        <v>1411.0018528869512</v>
      </c>
      <c r="I66" s="7">
        <f>VLOOKUP($A66,'2016'!$A$3:$M$138,13,FALSE)</f>
        <v>306.43277777777774</v>
      </c>
      <c r="J66" s="7">
        <f t="shared" si="0"/>
        <v>5857.8096922211716</v>
      </c>
      <c r="K66" s="20" t="str">
        <f>IFERROR(VLOOKUP($A66,#REF!,7,FALSE),"")</f>
        <v/>
      </c>
      <c r="L66" s="20" t="str">
        <f>IFERROR(VLOOKUP($A66,#REF!,8,FALSE),"")</f>
        <v/>
      </c>
      <c r="M66" s="20" t="str">
        <f>IFERROR(VLOOKUP($A66,#REF!,9,FALSE),"")</f>
        <v/>
      </c>
      <c r="N66" s="20" t="str">
        <f>IFERROR(VLOOKUP($A66,#REF!,10,FALSE),"")</f>
        <v/>
      </c>
      <c r="O66" s="20" t="str">
        <f>IFERROR(VLOOKUP($A66,#REF!,11,FALSE),"")</f>
        <v/>
      </c>
      <c r="P66" s="20">
        <f t="shared" si="1"/>
        <v>0</v>
      </c>
      <c r="Q66" s="28">
        <f t="shared" si="2"/>
        <v>-1</v>
      </c>
      <c r="R66" s="33">
        <f t="shared" si="3"/>
        <v>34313934.390280299</v>
      </c>
    </row>
    <row r="67" spans="1:18" x14ac:dyDescent="0.25">
      <c r="A67" s="5">
        <v>334</v>
      </c>
      <c r="B67" s="5">
        <v>10</v>
      </c>
      <c r="C67" s="5" t="s">
        <v>0</v>
      </c>
      <c r="D67" s="5">
        <v>5</v>
      </c>
      <c r="E67" s="7">
        <f>VLOOKUP($A67,'2016'!$A$3:$M$138,9,FALSE)</f>
        <v>15.450000000000001</v>
      </c>
      <c r="F67" s="7">
        <f>VLOOKUP($A67,'2016'!$A$3:$M$138,10,FALSE)</f>
        <v>69.417692307692306</v>
      </c>
      <c r="G67" s="7">
        <f>VLOOKUP($A67,'2016'!$A$3:$M$138,11,FALSE)</f>
        <v>203.80168269230748</v>
      </c>
      <c r="H67" s="7">
        <f>VLOOKUP($A67,'2016'!$A$3:$M$138,12,FALSE)</f>
        <v>101.18395833333379</v>
      </c>
      <c r="I67" s="7">
        <f>VLOOKUP($A67,'2016'!$A$3:$M$138,13,FALSE)</f>
        <v>14.436666666666458</v>
      </c>
      <c r="J67" s="7">
        <f t="shared" ref="J67:J130" si="4">SUM(E67:I67)</f>
        <v>404.29</v>
      </c>
      <c r="K67" s="20" t="str">
        <f>IFERROR(VLOOKUP($A67,#REF!,7,FALSE),"")</f>
        <v/>
      </c>
      <c r="L67" s="20" t="str">
        <f>IFERROR(VLOOKUP($A67,#REF!,8,FALSE),"")</f>
        <v/>
      </c>
      <c r="M67" s="20" t="str">
        <f>IFERROR(VLOOKUP($A67,#REF!,9,FALSE),"")</f>
        <v/>
      </c>
      <c r="N67" s="20" t="str">
        <f>IFERROR(VLOOKUP($A67,#REF!,10,FALSE),"")</f>
        <v/>
      </c>
      <c r="O67" s="20" t="str">
        <f>IFERROR(VLOOKUP($A67,#REF!,11,FALSE),"")</f>
        <v/>
      </c>
      <c r="P67" s="20">
        <f t="shared" ref="P67:P130" si="5">SUM(K67:O67)</f>
        <v>0</v>
      </c>
      <c r="Q67" s="28">
        <f t="shared" ref="Q67:Q130" si="6">P67/J67-1</f>
        <v>-1</v>
      </c>
      <c r="R67" s="33">
        <f t="shared" ref="R67:R130" si="7">POWER((P67-J67),2)</f>
        <v>163450.40410000001</v>
      </c>
    </row>
    <row r="68" spans="1:18" x14ac:dyDescent="0.25">
      <c r="A68" s="5">
        <v>335</v>
      </c>
      <c r="B68" s="5">
        <v>10</v>
      </c>
      <c r="C68" s="5" t="s">
        <v>0</v>
      </c>
      <c r="D68" s="5">
        <v>5</v>
      </c>
      <c r="E68" s="7">
        <f>VLOOKUP($A68,'2016'!$A$3:$M$138,9,FALSE)</f>
        <v>3.6907677870592566</v>
      </c>
      <c r="F68" s="7">
        <f>VLOOKUP($A68,'2016'!$A$3:$M$138,10,FALSE)</f>
        <v>79.71513369952865</v>
      </c>
      <c r="G68" s="7">
        <f>VLOOKUP($A68,'2016'!$A$3:$M$138,11,FALSE)</f>
        <v>14.546153846153631</v>
      </c>
      <c r="H68" s="7">
        <f>VLOOKUP($A68,'2016'!$A$3:$M$138,12,FALSE)</f>
        <v>59.743846153846363</v>
      </c>
      <c r="I68" s="7">
        <f>VLOOKUP($A68,'2016'!$A$3:$M$138,13,FALSE)</f>
        <v>0</v>
      </c>
      <c r="J68" s="7">
        <f t="shared" si="4"/>
        <v>157.6959014865879</v>
      </c>
      <c r="K68" s="20" t="str">
        <f>IFERROR(VLOOKUP($A68,#REF!,7,FALSE),"")</f>
        <v/>
      </c>
      <c r="L68" s="20" t="str">
        <f>IFERROR(VLOOKUP($A68,#REF!,8,FALSE),"")</f>
        <v/>
      </c>
      <c r="M68" s="20" t="str">
        <f>IFERROR(VLOOKUP($A68,#REF!,9,FALSE),"")</f>
        <v/>
      </c>
      <c r="N68" s="20" t="str">
        <f>IFERROR(VLOOKUP($A68,#REF!,10,FALSE),"")</f>
        <v/>
      </c>
      <c r="O68" s="20" t="str">
        <f>IFERROR(VLOOKUP($A68,#REF!,11,FALSE),"")</f>
        <v/>
      </c>
      <c r="P68" s="20">
        <f t="shared" si="5"/>
        <v>0</v>
      </c>
      <c r="Q68" s="28">
        <f t="shared" si="6"/>
        <v>-1</v>
      </c>
      <c r="R68" s="33">
        <f t="shared" si="7"/>
        <v>24867.997345667634</v>
      </c>
    </row>
    <row r="69" spans="1:18" x14ac:dyDescent="0.25">
      <c r="A69" s="5">
        <v>347</v>
      </c>
      <c r="B69" s="5">
        <v>10</v>
      </c>
      <c r="C69" s="5" t="s">
        <v>0</v>
      </c>
      <c r="D69" s="5">
        <v>5</v>
      </c>
      <c r="E69" s="7">
        <f>VLOOKUP($A69,'2016'!$A$3:$M$138,9,FALSE)</f>
        <v>3.4613636363636364</v>
      </c>
      <c r="F69" s="7">
        <f>VLOOKUP($A69,'2016'!$A$3:$M$138,10,FALSE)</f>
        <v>132.24644835778048</v>
      </c>
      <c r="G69" s="7">
        <f>VLOOKUP($A69,'2016'!$A$3:$M$138,11,FALSE)</f>
        <v>331.4263405797098</v>
      </c>
      <c r="H69" s="7">
        <f>VLOOKUP($A69,'2016'!$A$3:$M$138,12,FALSE)</f>
        <v>129.53989130434843</v>
      </c>
      <c r="I69" s="7">
        <f>VLOOKUP($A69,'2016'!$A$3:$M$138,13,FALSE)</f>
        <v>5.3259420289853008</v>
      </c>
      <c r="J69" s="7">
        <f t="shared" si="4"/>
        <v>601.99998590718769</v>
      </c>
      <c r="K69" s="20" t="str">
        <f>IFERROR(VLOOKUP($A69,#REF!,7,FALSE),"")</f>
        <v/>
      </c>
      <c r="L69" s="20" t="str">
        <f>IFERROR(VLOOKUP($A69,#REF!,8,FALSE),"")</f>
        <v/>
      </c>
      <c r="M69" s="20" t="str">
        <f>IFERROR(VLOOKUP($A69,#REF!,9,FALSE),"")</f>
        <v/>
      </c>
      <c r="N69" s="20" t="str">
        <f>IFERROR(VLOOKUP($A69,#REF!,10,FALSE),"")</f>
        <v/>
      </c>
      <c r="O69" s="20" t="str">
        <f>IFERROR(VLOOKUP($A69,#REF!,11,FALSE),"")</f>
        <v/>
      </c>
      <c r="P69" s="20">
        <f t="shared" si="5"/>
        <v>0</v>
      </c>
      <c r="Q69" s="28">
        <f t="shared" si="6"/>
        <v>-1</v>
      </c>
      <c r="R69" s="33">
        <f t="shared" si="7"/>
        <v>362403.98303225415</v>
      </c>
    </row>
    <row r="70" spans="1:18" x14ac:dyDescent="0.25">
      <c r="A70" s="5">
        <v>351</v>
      </c>
      <c r="B70" s="5">
        <v>10</v>
      </c>
      <c r="C70" s="5" t="s">
        <v>0</v>
      </c>
      <c r="D70" s="5">
        <v>5</v>
      </c>
      <c r="E70" s="7">
        <f>VLOOKUP($A70,'2016'!$A$3:$M$138,9,FALSE)</f>
        <v>75.181428571428569</v>
      </c>
      <c r="F70" s="7">
        <f>VLOOKUP($A70,'2016'!$A$3:$M$138,10,FALSE)</f>
        <v>350.89488527527982</v>
      </c>
      <c r="G70" s="7">
        <f>VLOOKUP($A70,'2016'!$A$3:$M$138,11,FALSE)</f>
        <v>696.57674548263958</v>
      </c>
      <c r="H70" s="7">
        <f>VLOOKUP($A70,'2016'!$A$3:$M$138,12,FALSE)</f>
        <v>429.23999522719919</v>
      </c>
      <c r="I70" s="7">
        <f>VLOOKUP($A70,'2016'!$A$3:$M$138,13,FALSE)</f>
        <v>298.40588235294058</v>
      </c>
      <c r="J70" s="7">
        <f t="shared" si="4"/>
        <v>1850.2989369094878</v>
      </c>
      <c r="K70" s="20" t="str">
        <f>IFERROR(VLOOKUP($A70,#REF!,7,FALSE),"")</f>
        <v/>
      </c>
      <c r="L70" s="20" t="str">
        <f>IFERROR(VLOOKUP($A70,#REF!,8,FALSE),"")</f>
        <v/>
      </c>
      <c r="M70" s="20" t="str">
        <f>IFERROR(VLOOKUP($A70,#REF!,9,FALSE),"")</f>
        <v/>
      </c>
      <c r="N70" s="20" t="str">
        <f>IFERROR(VLOOKUP($A70,#REF!,10,FALSE),"")</f>
        <v/>
      </c>
      <c r="O70" s="20" t="str">
        <f>IFERROR(VLOOKUP($A70,#REF!,11,FALSE),"")</f>
        <v/>
      </c>
      <c r="P70" s="20">
        <f t="shared" si="5"/>
        <v>0</v>
      </c>
      <c r="Q70" s="28">
        <f t="shared" si="6"/>
        <v>-1</v>
      </c>
      <c r="R70" s="33">
        <f t="shared" si="7"/>
        <v>3423606.1559283808</v>
      </c>
    </row>
    <row r="71" spans="1:18" x14ac:dyDescent="0.25">
      <c r="A71" s="5">
        <v>352</v>
      </c>
      <c r="B71" s="5">
        <v>10</v>
      </c>
      <c r="C71" s="5" t="s">
        <v>0</v>
      </c>
      <c r="D71" s="5">
        <v>5</v>
      </c>
      <c r="E71" s="7">
        <f>VLOOKUP($A71,'2016'!$A$3:$M$138,9,FALSE)</f>
        <v>89.635924109431116</v>
      </c>
      <c r="F71" s="7">
        <f>VLOOKUP($A71,'2016'!$A$3:$M$138,10,FALSE)</f>
        <v>451.10012938389872</v>
      </c>
      <c r="G71" s="7">
        <f>VLOOKUP($A71,'2016'!$A$3:$M$138,11,FALSE)</f>
        <v>768.27766399482539</v>
      </c>
      <c r="H71" s="7">
        <f>VLOOKUP($A71,'2016'!$A$3:$M$138,12,FALSE)</f>
        <v>432.00711542917531</v>
      </c>
      <c r="I71" s="7">
        <f>VLOOKUP($A71,'2016'!$A$3:$M$138,13,FALSE)</f>
        <v>161.5414285714279</v>
      </c>
      <c r="J71" s="7">
        <f t="shared" si="4"/>
        <v>1902.5622614887584</v>
      </c>
      <c r="K71" s="20" t="str">
        <f>IFERROR(VLOOKUP($A71,#REF!,7,FALSE),"")</f>
        <v/>
      </c>
      <c r="L71" s="20" t="str">
        <f>IFERROR(VLOOKUP($A71,#REF!,8,FALSE),"")</f>
        <v/>
      </c>
      <c r="M71" s="20" t="str">
        <f>IFERROR(VLOOKUP($A71,#REF!,9,FALSE),"")</f>
        <v/>
      </c>
      <c r="N71" s="20" t="str">
        <f>IFERROR(VLOOKUP($A71,#REF!,10,FALSE),"")</f>
        <v/>
      </c>
      <c r="O71" s="20" t="str">
        <f>IFERROR(VLOOKUP($A71,#REF!,11,FALSE),"")</f>
        <v/>
      </c>
      <c r="P71" s="20">
        <f t="shared" si="5"/>
        <v>0</v>
      </c>
      <c r="Q71" s="28">
        <f t="shared" si="6"/>
        <v>-1</v>
      </c>
      <c r="R71" s="33">
        <f t="shared" si="7"/>
        <v>3619743.1588412188</v>
      </c>
    </row>
    <row r="72" spans="1:18" x14ac:dyDescent="0.25">
      <c r="A72" s="5">
        <v>353</v>
      </c>
      <c r="B72" s="5">
        <v>10</v>
      </c>
      <c r="C72" s="5" t="s">
        <v>0</v>
      </c>
      <c r="D72" s="5">
        <v>5</v>
      </c>
      <c r="E72" s="7">
        <f>VLOOKUP($A72,'2016'!$A$3:$M$138,9,FALSE)</f>
        <v>24.844615384615381</v>
      </c>
      <c r="F72" s="7">
        <f>VLOOKUP($A72,'2016'!$A$3:$M$138,10,FALSE)</f>
        <v>146.52502747252748</v>
      </c>
      <c r="G72" s="7">
        <f>VLOOKUP($A72,'2016'!$A$3:$M$138,11,FALSE)</f>
        <v>348.15218096419653</v>
      </c>
      <c r="H72" s="7">
        <f>VLOOKUP($A72,'2016'!$A$3:$M$138,12,FALSE)</f>
        <v>166.04150951199404</v>
      </c>
      <c r="I72" s="7">
        <f>VLOOKUP($A72,'2016'!$A$3:$M$138,13,FALSE)</f>
        <v>41.076666666666618</v>
      </c>
      <c r="J72" s="7">
        <f t="shared" si="4"/>
        <v>726.6400000000001</v>
      </c>
      <c r="K72" s="20" t="str">
        <f>IFERROR(VLOOKUP($A72,#REF!,7,FALSE),"")</f>
        <v/>
      </c>
      <c r="L72" s="20" t="str">
        <f>IFERROR(VLOOKUP($A72,#REF!,8,FALSE),"")</f>
        <v/>
      </c>
      <c r="M72" s="20" t="str">
        <f>IFERROR(VLOOKUP($A72,#REF!,9,FALSE),"")</f>
        <v/>
      </c>
      <c r="N72" s="20" t="str">
        <f>IFERROR(VLOOKUP($A72,#REF!,10,FALSE),"")</f>
        <v/>
      </c>
      <c r="O72" s="20" t="str">
        <f>IFERROR(VLOOKUP($A72,#REF!,11,FALSE),"")</f>
        <v/>
      </c>
      <c r="P72" s="20">
        <f t="shared" si="5"/>
        <v>0</v>
      </c>
      <c r="Q72" s="28">
        <f t="shared" si="6"/>
        <v>-1</v>
      </c>
      <c r="R72" s="33">
        <f t="shared" si="7"/>
        <v>528005.68960000016</v>
      </c>
    </row>
    <row r="73" spans="1:18" x14ac:dyDescent="0.25">
      <c r="A73" s="5">
        <v>354</v>
      </c>
      <c r="B73" s="5">
        <v>10</v>
      </c>
      <c r="C73" s="5" t="s">
        <v>0</v>
      </c>
      <c r="D73" s="5">
        <v>5</v>
      </c>
      <c r="E73" s="7">
        <f>VLOOKUP($A73,'2016'!$A$3:$M$138,9,FALSE)</f>
        <v>24.200255719311283</v>
      </c>
      <c r="F73" s="7">
        <f>VLOOKUP($A73,'2016'!$A$3:$M$138,10,FALSE)</f>
        <v>465.88406467347704</v>
      </c>
      <c r="G73" s="7">
        <f>VLOOKUP($A73,'2016'!$A$3:$M$138,11,FALSE)</f>
        <v>851.39877670612884</v>
      </c>
      <c r="H73" s="7">
        <f>VLOOKUP($A73,'2016'!$A$3:$M$138,12,FALSE)</f>
        <v>386.55696641131487</v>
      </c>
      <c r="I73" s="7">
        <f>VLOOKUP($A73,'2016'!$A$3:$M$138,13,FALSE)</f>
        <v>73.596538461538302</v>
      </c>
      <c r="J73" s="7">
        <f t="shared" si="4"/>
        <v>1801.6366019717702</v>
      </c>
      <c r="K73" s="20" t="str">
        <f>IFERROR(VLOOKUP($A73,#REF!,7,FALSE),"")</f>
        <v/>
      </c>
      <c r="L73" s="20" t="str">
        <f>IFERROR(VLOOKUP($A73,#REF!,8,FALSE),"")</f>
        <v/>
      </c>
      <c r="M73" s="20" t="str">
        <f>IFERROR(VLOOKUP($A73,#REF!,9,FALSE),"")</f>
        <v/>
      </c>
      <c r="N73" s="20" t="str">
        <f>IFERROR(VLOOKUP($A73,#REF!,10,FALSE),"")</f>
        <v/>
      </c>
      <c r="O73" s="20" t="str">
        <f>IFERROR(VLOOKUP($A73,#REF!,11,FALSE),"")</f>
        <v/>
      </c>
      <c r="P73" s="20">
        <f t="shared" si="5"/>
        <v>0</v>
      </c>
      <c r="Q73" s="28">
        <f t="shared" si="6"/>
        <v>-1</v>
      </c>
      <c r="R73" s="33">
        <f t="shared" si="7"/>
        <v>3245894.4455643869</v>
      </c>
    </row>
    <row r="74" spans="1:18" x14ac:dyDescent="0.25">
      <c r="A74" s="5">
        <v>355</v>
      </c>
      <c r="B74" s="5">
        <v>10</v>
      </c>
      <c r="C74" s="5" t="s">
        <v>0</v>
      </c>
      <c r="D74" s="5">
        <v>5</v>
      </c>
      <c r="E74" s="7">
        <f>VLOOKUP($A74,'2016'!$A$3:$M$138,9,FALSE)</f>
        <v>0</v>
      </c>
      <c r="F74" s="7">
        <f>VLOOKUP($A74,'2016'!$A$3:$M$138,10,FALSE)</f>
        <v>177.17488888888892</v>
      </c>
      <c r="G74" s="7">
        <f>VLOOKUP($A74,'2016'!$A$3:$M$138,11,FALSE)</f>
        <v>368.97286621315089</v>
      </c>
      <c r="H74" s="7">
        <f>VLOOKUP($A74,'2016'!$A$3:$M$138,12,FALSE)</f>
        <v>231.70224489796021</v>
      </c>
      <c r="I74" s="7">
        <f>VLOOKUP($A74,'2016'!$A$3:$M$138,13,FALSE)</f>
        <v>82.3</v>
      </c>
      <c r="J74" s="7">
        <f t="shared" si="4"/>
        <v>860.15</v>
      </c>
      <c r="K74" s="20" t="str">
        <f>IFERROR(VLOOKUP($A74,#REF!,7,FALSE),"")</f>
        <v/>
      </c>
      <c r="L74" s="20" t="str">
        <f>IFERROR(VLOOKUP($A74,#REF!,8,FALSE),"")</f>
        <v/>
      </c>
      <c r="M74" s="20" t="str">
        <f>IFERROR(VLOOKUP($A74,#REF!,9,FALSE),"")</f>
        <v/>
      </c>
      <c r="N74" s="20" t="str">
        <f>IFERROR(VLOOKUP($A74,#REF!,10,FALSE),"")</f>
        <v/>
      </c>
      <c r="O74" s="20" t="str">
        <f>IFERROR(VLOOKUP($A74,#REF!,11,FALSE),"")</f>
        <v/>
      </c>
      <c r="P74" s="20">
        <f t="shared" si="5"/>
        <v>0</v>
      </c>
      <c r="Q74" s="28">
        <f t="shared" si="6"/>
        <v>-1</v>
      </c>
      <c r="R74" s="33">
        <f t="shared" si="7"/>
        <v>739858.02249999996</v>
      </c>
    </row>
    <row r="75" spans="1:18" x14ac:dyDescent="0.25">
      <c r="A75" s="5">
        <v>356</v>
      </c>
      <c r="B75" s="5">
        <v>10</v>
      </c>
      <c r="C75" s="5" t="s">
        <v>0</v>
      </c>
      <c r="D75" s="5">
        <v>5</v>
      </c>
      <c r="E75" s="7">
        <f>VLOOKUP($A75,'2016'!$A$3:$M$138,9,FALSE)</f>
        <v>31.47</v>
      </c>
      <c r="F75" s="7">
        <f>VLOOKUP($A75,'2016'!$A$3:$M$138,10,FALSE)</f>
        <v>174.52</v>
      </c>
      <c r="G75" s="7">
        <f>VLOOKUP($A75,'2016'!$A$3:$M$138,11,FALSE)</f>
        <v>320.08247632988986</v>
      </c>
      <c r="H75" s="7">
        <f>VLOOKUP($A75,'2016'!$A$3:$M$138,12,FALSE)</f>
        <v>233.26</v>
      </c>
      <c r="I75" s="7">
        <f>VLOOKUP($A75,'2016'!$A$3:$M$138,13,FALSE)</f>
        <v>80.001681363783746</v>
      </c>
      <c r="J75" s="7">
        <f t="shared" si="4"/>
        <v>839.33415769367366</v>
      </c>
      <c r="K75" s="20" t="str">
        <f>IFERROR(VLOOKUP($A75,#REF!,7,FALSE),"")</f>
        <v/>
      </c>
      <c r="L75" s="20" t="str">
        <f>IFERROR(VLOOKUP($A75,#REF!,8,FALSE),"")</f>
        <v/>
      </c>
      <c r="M75" s="20" t="str">
        <f>IFERROR(VLOOKUP($A75,#REF!,9,FALSE),"")</f>
        <v/>
      </c>
      <c r="N75" s="20" t="str">
        <f>IFERROR(VLOOKUP($A75,#REF!,10,FALSE),"")</f>
        <v/>
      </c>
      <c r="O75" s="20" t="str">
        <f>IFERROR(VLOOKUP($A75,#REF!,11,FALSE),"")</f>
        <v/>
      </c>
      <c r="P75" s="20">
        <f t="shared" si="5"/>
        <v>0</v>
      </c>
      <c r="Q75" s="28">
        <f t="shared" si="6"/>
        <v>-1</v>
      </c>
      <c r="R75" s="33">
        <f t="shared" si="7"/>
        <v>704481.82827134861</v>
      </c>
    </row>
    <row r="76" spans="1:18" x14ac:dyDescent="0.25">
      <c r="A76" s="5">
        <v>357</v>
      </c>
      <c r="B76" s="5">
        <v>10</v>
      </c>
      <c r="C76" s="5" t="s">
        <v>0</v>
      </c>
      <c r="D76" s="5">
        <v>5</v>
      </c>
      <c r="E76" s="7">
        <f>VLOOKUP($A76,'2016'!$A$3:$M$138,9,FALSE)</f>
        <v>0</v>
      </c>
      <c r="F76" s="7">
        <f>VLOOKUP($A76,'2016'!$A$3:$M$138,10,FALSE)</f>
        <v>240.14906095234923</v>
      </c>
      <c r="G76" s="7">
        <f>VLOOKUP($A76,'2016'!$A$3:$M$138,11,FALSE)</f>
        <v>527.51317073170731</v>
      </c>
      <c r="H76" s="7">
        <f>VLOOKUP($A76,'2016'!$A$3:$M$138,12,FALSE)</f>
        <v>173.81</v>
      </c>
      <c r="I76" s="7">
        <f>VLOOKUP($A76,'2016'!$A$3:$M$138,13,FALSE)</f>
        <v>0</v>
      </c>
      <c r="J76" s="7">
        <f t="shared" si="4"/>
        <v>941.47223168405662</v>
      </c>
      <c r="K76" s="20" t="str">
        <f>IFERROR(VLOOKUP($A76,#REF!,7,FALSE),"")</f>
        <v/>
      </c>
      <c r="L76" s="20" t="str">
        <f>IFERROR(VLOOKUP($A76,#REF!,8,FALSE),"")</f>
        <v/>
      </c>
      <c r="M76" s="20" t="str">
        <f>IFERROR(VLOOKUP($A76,#REF!,9,FALSE),"")</f>
        <v/>
      </c>
      <c r="N76" s="20" t="str">
        <f>IFERROR(VLOOKUP($A76,#REF!,10,FALSE),"")</f>
        <v/>
      </c>
      <c r="O76" s="20" t="str">
        <f>IFERROR(VLOOKUP($A76,#REF!,11,FALSE),"")</f>
        <v/>
      </c>
      <c r="P76" s="20">
        <f t="shared" si="5"/>
        <v>0</v>
      </c>
      <c r="Q76" s="28">
        <f t="shared" si="6"/>
        <v>-1</v>
      </c>
      <c r="R76" s="33">
        <f t="shared" si="7"/>
        <v>886369.96303215798</v>
      </c>
    </row>
    <row r="77" spans="1:18" x14ac:dyDescent="0.25">
      <c r="A77" s="5">
        <v>358</v>
      </c>
      <c r="B77" s="5">
        <v>10</v>
      </c>
      <c r="C77" s="5" t="s">
        <v>0</v>
      </c>
      <c r="D77" s="5">
        <v>5</v>
      </c>
      <c r="E77" s="7">
        <f>VLOOKUP($A77,'2016'!$A$3:$M$138,9,FALSE)</f>
        <v>0</v>
      </c>
      <c r="F77" s="7">
        <f>VLOOKUP($A77,'2016'!$A$3:$M$138,10,FALSE)</f>
        <v>124.34670818997111</v>
      </c>
      <c r="G77" s="7">
        <f>VLOOKUP($A77,'2016'!$A$3:$M$138,11,FALSE)</f>
        <v>230.02</v>
      </c>
      <c r="H77" s="7">
        <f>VLOOKUP($A77,'2016'!$A$3:$M$138,12,FALSE)</f>
        <v>122.32</v>
      </c>
      <c r="I77" s="7">
        <f>VLOOKUP($A77,'2016'!$A$3:$M$138,13,FALSE)</f>
        <v>29.44</v>
      </c>
      <c r="J77" s="7">
        <f t="shared" si="4"/>
        <v>506.12670818997111</v>
      </c>
      <c r="K77" s="20" t="str">
        <f>IFERROR(VLOOKUP($A77,#REF!,7,FALSE),"")</f>
        <v/>
      </c>
      <c r="L77" s="20" t="str">
        <f>IFERROR(VLOOKUP($A77,#REF!,8,FALSE),"")</f>
        <v/>
      </c>
      <c r="M77" s="20" t="str">
        <f>IFERROR(VLOOKUP($A77,#REF!,9,FALSE),"")</f>
        <v/>
      </c>
      <c r="N77" s="20" t="str">
        <f>IFERROR(VLOOKUP($A77,#REF!,10,FALSE),"")</f>
        <v/>
      </c>
      <c r="O77" s="20" t="str">
        <f>IFERROR(VLOOKUP($A77,#REF!,11,FALSE),"")</f>
        <v/>
      </c>
      <c r="P77" s="20">
        <f t="shared" si="5"/>
        <v>0</v>
      </c>
      <c r="Q77" s="28">
        <f t="shared" si="6"/>
        <v>-1</v>
      </c>
      <c r="R77" s="33">
        <f t="shared" si="7"/>
        <v>256164.24474321617</v>
      </c>
    </row>
    <row r="78" spans="1:18" x14ac:dyDescent="0.25">
      <c r="A78" s="5">
        <v>359</v>
      </c>
      <c r="B78" s="5">
        <v>10</v>
      </c>
      <c r="C78" s="5" t="s">
        <v>0</v>
      </c>
      <c r="D78" s="5">
        <v>5</v>
      </c>
      <c r="E78" s="7">
        <f>VLOOKUP($A78,'2016'!$A$3:$M$138,9,FALSE)</f>
        <v>21.636365053974018</v>
      </c>
      <c r="F78" s="7">
        <f>VLOOKUP($A78,'2016'!$A$3:$M$138,10,FALSE)</f>
        <v>85.647238484993807</v>
      </c>
      <c r="G78" s="7">
        <f>VLOOKUP($A78,'2016'!$A$3:$M$138,11,FALSE)</f>
        <v>230.10487804877982</v>
      </c>
      <c r="H78" s="7">
        <f>VLOOKUP($A78,'2016'!$A$3:$M$138,12,FALSE)</f>
        <v>81.455121951220164</v>
      </c>
      <c r="I78" s="7">
        <f>VLOOKUP($A78,'2016'!$A$3:$M$138,13,FALSE)</f>
        <v>26.1</v>
      </c>
      <c r="J78" s="7">
        <f t="shared" si="4"/>
        <v>444.94360353896786</v>
      </c>
      <c r="K78" s="20" t="str">
        <f>IFERROR(VLOOKUP($A78,#REF!,7,FALSE),"")</f>
        <v/>
      </c>
      <c r="L78" s="20" t="str">
        <f>IFERROR(VLOOKUP($A78,#REF!,8,FALSE),"")</f>
        <v/>
      </c>
      <c r="M78" s="20" t="str">
        <f>IFERROR(VLOOKUP($A78,#REF!,9,FALSE),"")</f>
        <v/>
      </c>
      <c r="N78" s="20" t="str">
        <f>IFERROR(VLOOKUP($A78,#REF!,10,FALSE),"")</f>
        <v/>
      </c>
      <c r="O78" s="20" t="str">
        <f>IFERROR(VLOOKUP($A78,#REF!,11,FALSE),"")</f>
        <v/>
      </c>
      <c r="P78" s="20">
        <f t="shared" si="5"/>
        <v>0</v>
      </c>
      <c r="Q78" s="28">
        <f t="shared" si="6"/>
        <v>-1</v>
      </c>
      <c r="R78" s="33">
        <f t="shared" si="7"/>
        <v>197974.81033024221</v>
      </c>
    </row>
    <row r="79" spans="1:18" x14ac:dyDescent="0.25">
      <c r="A79" s="5">
        <v>371</v>
      </c>
      <c r="B79" s="5">
        <v>10</v>
      </c>
      <c r="C79" s="5" t="s">
        <v>0</v>
      </c>
      <c r="D79" s="5">
        <v>5</v>
      </c>
      <c r="E79" s="7">
        <f>VLOOKUP($A79,'2016'!$A$3:$M$138,9,FALSE)</f>
        <v>43.198648648648643</v>
      </c>
      <c r="F79" s="7">
        <f>VLOOKUP($A79,'2016'!$A$3:$M$138,10,FALSE)</f>
        <v>82.343909490886219</v>
      </c>
      <c r="G79" s="7">
        <f>VLOOKUP($A79,'2016'!$A$3:$M$138,11,FALSE)</f>
        <v>7.9874418604651369</v>
      </c>
      <c r="H79" s="7">
        <f>VLOOKUP($A79,'2016'!$A$3:$M$138,12,FALSE)</f>
        <v>0</v>
      </c>
      <c r="I79" s="7">
        <f>VLOOKUP($A79,'2016'!$A$3:$M$138,13,FALSE)</f>
        <v>0</v>
      </c>
      <c r="J79" s="7">
        <f t="shared" si="4"/>
        <v>133.53</v>
      </c>
      <c r="K79" s="20" t="str">
        <f>IFERROR(VLOOKUP($A79,#REF!,7,FALSE),"")</f>
        <v/>
      </c>
      <c r="L79" s="20" t="str">
        <f>IFERROR(VLOOKUP($A79,#REF!,8,FALSE),"")</f>
        <v/>
      </c>
      <c r="M79" s="20" t="str">
        <f>IFERROR(VLOOKUP($A79,#REF!,9,FALSE),"")</f>
        <v/>
      </c>
      <c r="N79" s="20" t="str">
        <f>IFERROR(VLOOKUP($A79,#REF!,10,FALSE),"")</f>
        <v/>
      </c>
      <c r="O79" s="20" t="str">
        <f>IFERROR(VLOOKUP($A79,#REF!,11,FALSE),"")</f>
        <v/>
      </c>
      <c r="P79" s="20">
        <f t="shared" si="5"/>
        <v>0</v>
      </c>
      <c r="Q79" s="28">
        <f t="shared" si="6"/>
        <v>-1</v>
      </c>
      <c r="R79" s="33">
        <f t="shared" si="7"/>
        <v>17830.260900000001</v>
      </c>
    </row>
    <row r="80" spans="1:18" x14ac:dyDescent="0.25">
      <c r="A80" s="5">
        <v>388</v>
      </c>
      <c r="B80" s="5">
        <v>10</v>
      </c>
      <c r="C80" s="5" t="s">
        <v>0</v>
      </c>
      <c r="D80" s="5">
        <v>5</v>
      </c>
      <c r="E80" s="7">
        <f>VLOOKUP($A80,'2016'!$A$3:$M$138,9,FALSE)</f>
        <v>201.77581395348844</v>
      </c>
      <c r="F80" s="7">
        <f>VLOOKUP($A80,'2016'!$A$3:$M$138,10,FALSE)</f>
        <v>1008.8641860465116</v>
      </c>
      <c r="G80" s="7">
        <f>VLOOKUP($A80,'2016'!$A$3:$M$138,11,FALSE)</f>
        <v>3068.4282967741883</v>
      </c>
      <c r="H80" s="7">
        <f>VLOOKUP($A80,'2016'!$A$3:$M$138,12,FALSE)</f>
        <v>1955.1317032258116</v>
      </c>
      <c r="I80" s="7">
        <f>VLOOKUP($A80,'2016'!$A$3:$M$138,13,FALSE)</f>
        <v>1062.03</v>
      </c>
      <c r="J80" s="7">
        <f t="shared" si="4"/>
        <v>7296.2300000000005</v>
      </c>
      <c r="K80" s="20" t="str">
        <f>IFERROR(VLOOKUP($A80,#REF!,7,FALSE),"")</f>
        <v/>
      </c>
      <c r="L80" s="20" t="str">
        <f>IFERROR(VLOOKUP($A80,#REF!,8,FALSE),"")</f>
        <v/>
      </c>
      <c r="M80" s="20" t="str">
        <f>IFERROR(VLOOKUP($A80,#REF!,9,FALSE),"")</f>
        <v/>
      </c>
      <c r="N80" s="20" t="str">
        <f>IFERROR(VLOOKUP($A80,#REF!,10,FALSE),"")</f>
        <v/>
      </c>
      <c r="O80" s="20" t="str">
        <f>IFERROR(VLOOKUP($A80,#REF!,11,FALSE),"")</f>
        <v/>
      </c>
      <c r="P80" s="20">
        <f t="shared" si="5"/>
        <v>0</v>
      </c>
      <c r="Q80" s="28">
        <f t="shared" si="6"/>
        <v>-1</v>
      </c>
      <c r="R80" s="33">
        <f t="shared" si="7"/>
        <v>53234972.212900005</v>
      </c>
    </row>
    <row r="81" spans="1:18" x14ac:dyDescent="0.25">
      <c r="A81" s="5">
        <v>389</v>
      </c>
      <c r="B81" s="5">
        <v>10</v>
      </c>
      <c r="C81" s="5" t="s">
        <v>0</v>
      </c>
      <c r="D81" s="5">
        <v>5</v>
      </c>
      <c r="E81" s="7">
        <f>VLOOKUP($A81,'2016'!$A$3:$M$138,9,FALSE)</f>
        <v>0</v>
      </c>
      <c r="F81" s="7">
        <f>VLOOKUP($A81,'2016'!$A$3:$M$138,10,FALSE)</f>
        <v>431.68394739359553</v>
      </c>
      <c r="G81" s="7">
        <f>VLOOKUP($A81,'2016'!$A$3:$M$138,11,FALSE)</f>
        <v>1352.266677535385</v>
      </c>
      <c r="H81" s="7">
        <f>VLOOKUP($A81,'2016'!$A$3:$M$138,12,FALSE)</f>
        <v>631.22656090772966</v>
      </c>
      <c r="I81" s="7">
        <f>VLOOKUP($A81,'2016'!$A$3:$M$138,13,FALSE)</f>
        <v>362.02927923315337</v>
      </c>
      <c r="J81" s="7">
        <f t="shared" si="4"/>
        <v>2777.2064650698635</v>
      </c>
      <c r="K81" s="20" t="str">
        <f>IFERROR(VLOOKUP($A81,#REF!,7,FALSE),"")</f>
        <v/>
      </c>
      <c r="L81" s="20" t="str">
        <f>IFERROR(VLOOKUP($A81,#REF!,8,FALSE),"")</f>
        <v/>
      </c>
      <c r="M81" s="20" t="str">
        <f>IFERROR(VLOOKUP($A81,#REF!,9,FALSE),"")</f>
        <v/>
      </c>
      <c r="N81" s="20" t="str">
        <f>IFERROR(VLOOKUP($A81,#REF!,10,FALSE),"")</f>
        <v/>
      </c>
      <c r="O81" s="20" t="str">
        <f>IFERROR(VLOOKUP($A81,#REF!,11,FALSE),"")</f>
        <v/>
      </c>
      <c r="P81" s="20">
        <f t="shared" si="5"/>
        <v>0</v>
      </c>
      <c r="Q81" s="28">
        <f t="shared" si="6"/>
        <v>-1</v>
      </c>
      <c r="R81" s="33">
        <f t="shared" si="7"/>
        <v>7712875.7496258467</v>
      </c>
    </row>
    <row r="82" spans="1:18" x14ac:dyDescent="0.25">
      <c r="A82" s="5">
        <v>392</v>
      </c>
      <c r="B82" s="5">
        <v>10</v>
      </c>
      <c r="C82" s="5" t="s">
        <v>0</v>
      </c>
      <c r="D82" s="5">
        <v>5</v>
      </c>
      <c r="E82" s="7">
        <f>VLOOKUP($A82,'2016'!$A$3:$M$138,9,FALSE)</f>
        <v>2.2439999999999958</v>
      </c>
      <c r="F82" s="7">
        <f>VLOOKUP($A82,'2016'!$A$3:$M$138,10,FALSE)</f>
        <v>55.95600000000001</v>
      </c>
      <c r="G82" s="7">
        <f>VLOOKUP($A82,'2016'!$A$3:$M$138,11,FALSE)</f>
        <v>77.06210526315769</v>
      </c>
      <c r="H82" s="7">
        <f>VLOOKUP($A82,'2016'!$A$3:$M$138,12,FALSE)</f>
        <v>31.527894736842299</v>
      </c>
      <c r="I82" s="7">
        <f>VLOOKUP($A82,'2016'!$A$3:$M$138,13,FALSE)</f>
        <v>0</v>
      </c>
      <c r="J82" s="7">
        <f t="shared" si="4"/>
        <v>166.79000000000002</v>
      </c>
      <c r="K82" s="20" t="str">
        <f>IFERROR(VLOOKUP($A82,#REF!,7,FALSE),"")</f>
        <v/>
      </c>
      <c r="L82" s="20" t="str">
        <f>IFERROR(VLOOKUP($A82,#REF!,8,FALSE),"")</f>
        <v/>
      </c>
      <c r="M82" s="20" t="str">
        <f>IFERROR(VLOOKUP($A82,#REF!,9,FALSE),"")</f>
        <v/>
      </c>
      <c r="N82" s="20" t="str">
        <f>IFERROR(VLOOKUP($A82,#REF!,10,FALSE),"")</f>
        <v/>
      </c>
      <c r="O82" s="20" t="str">
        <f>IFERROR(VLOOKUP($A82,#REF!,11,FALSE),"")</f>
        <v/>
      </c>
      <c r="P82" s="20">
        <f t="shared" si="5"/>
        <v>0</v>
      </c>
      <c r="Q82" s="28">
        <f t="shared" si="6"/>
        <v>-1</v>
      </c>
      <c r="R82" s="33">
        <f t="shared" si="7"/>
        <v>27818.904100000007</v>
      </c>
    </row>
    <row r="83" spans="1:18" x14ac:dyDescent="0.25">
      <c r="A83" s="5">
        <v>395</v>
      </c>
      <c r="B83" s="5">
        <v>10</v>
      </c>
      <c r="C83" s="5" t="s">
        <v>0</v>
      </c>
      <c r="D83" s="5">
        <v>5</v>
      </c>
      <c r="E83" s="7">
        <f>VLOOKUP($A83,'2016'!$A$3:$M$138,9,FALSE)</f>
        <v>0</v>
      </c>
      <c r="F83" s="7">
        <f>VLOOKUP($A83,'2016'!$A$3:$M$138,10,FALSE)</f>
        <v>335.1222077922078</v>
      </c>
      <c r="G83" s="7">
        <f>VLOOKUP($A83,'2016'!$A$3:$M$138,11,FALSE)</f>
        <v>895.06766233766132</v>
      </c>
      <c r="H83" s="7">
        <f>VLOOKUP($A83,'2016'!$A$3:$M$138,12,FALSE)</f>
        <v>433.91661481685537</v>
      </c>
      <c r="I83" s="7">
        <f>VLOOKUP($A83,'2016'!$A$3:$M$138,13,FALSE)</f>
        <v>405.52034572328239</v>
      </c>
      <c r="J83" s="7">
        <f t="shared" si="4"/>
        <v>2069.6268306700067</v>
      </c>
      <c r="K83" s="20" t="str">
        <f>IFERROR(VLOOKUP($A83,#REF!,7,FALSE),"")</f>
        <v/>
      </c>
      <c r="L83" s="20" t="str">
        <f>IFERROR(VLOOKUP($A83,#REF!,8,FALSE),"")</f>
        <v/>
      </c>
      <c r="M83" s="20" t="str">
        <f>IFERROR(VLOOKUP($A83,#REF!,9,FALSE),"")</f>
        <v/>
      </c>
      <c r="N83" s="20" t="str">
        <f>IFERROR(VLOOKUP($A83,#REF!,10,FALSE),"")</f>
        <v/>
      </c>
      <c r="O83" s="20" t="str">
        <f>IFERROR(VLOOKUP($A83,#REF!,11,FALSE),"")</f>
        <v/>
      </c>
      <c r="P83" s="20">
        <f t="shared" si="5"/>
        <v>0</v>
      </c>
      <c r="Q83" s="28">
        <f t="shared" si="6"/>
        <v>-1</v>
      </c>
      <c r="R83" s="33">
        <f t="shared" si="7"/>
        <v>4283355.2182291765</v>
      </c>
    </row>
    <row r="84" spans="1:18" x14ac:dyDescent="0.25">
      <c r="A84" s="5">
        <v>444</v>
      </c>
      <c r="B84" s="5">
        <v>10</v>
      </c>
      <c r="C84" s="5" t="s">
        <v>0</v>
      </c>
      <c r="D84" s="5">
        <v>5</v>
      </c>
      <c r="E84" s="7">
        <f>VLOOKUP($A84,'2016'!$A$3:$M$138,9,FALSE)</f>
        <v>0</v>
      </c>
      <c r="F84" s="7">
        <f>VLOOKUP($A84,'2016'!$A$3:$M$138,10,FALSE)</f>
        <v>98.670769230769167</v>
      </c>
      <c r="G84" s="7">
        <f>VLOOKUP($A84,'2016'!$A$3:$M$138,11,FALSE)</f>
        <v>8.2192307692308493</v>
      </c>
      <c r="H84" s="7">
        <f>VLOOKUP($A84,'2016'!$A$3:$M$138,12,FALSE)</f>
        <v>80.11</v>
      </c>
      <c r="I84" s="7">
        <f>VLOOKUP($A84,'2016'!$A$3:$M$138,13,FALSE)</f>
        <v>0</v>
      </c>
      <c r="J84" s="7">
        <f t="shared" si="4"/>
        <v>187</v>
      </c>
      <c r="K84" s="20" t="str">
        <f>IFERROR(VLOOKUP($A84,#REF!,7,FALSE),"")</f>
        <v/>
      </c>
      <c r="L84" s="20" t="str">
        <f>IFERROR(VLOOKUP($A84,#REF!,8,FALSE),"")</f>
        <v/>
      </c>
      <c r="M84" s="20" t="str">
        <f>IFERROR(VLOOKUP($A84,#REF!,9,FALSE),"")</f>
        <v/>
      </c>
      <c r="N84" s="20" t="str">
        <f>IFERROR(VLOOKUP($A84,#REF!,10,FALSE),"")</f>
        <v/>
      </c>
      <c r="O84" s="20" t="str">
        <f>IFERROR(VLOOKUP($A84,#REF!,11,FALSE),"")</f>
        <v/>
      </c>
      <c r="P84" s="20">
        <f t="shared" si="5"/>
        <v>0</v>
      </c>
      <c r="Q84" s="28">
        <f t="shared" si="6"/>
        <v>-1</v>
      </c>
      <c r="R84" s="33">
        <f t="shared" si="7"/>
        <v>34969</v>
      </c>
    </row>
    <row r="85" spans="1:18" x14ac:dyDescent="0.25">
      <c r="A85" s="5">
        <v>445</v>
      </c>
      <c r="B85" s="5">
        <v>10</v>
      </c>
      <c r="C85" s="5" t="s">
        <v>0</v>
      </c>
      <c r="D85" s="5">
        <v>5</v>
      </c>
      <c r="E85" s="7">
        <f>VLOOKUP($A85,'2016'!$A$3:$M$138,9,FALSE)</f>
        <v>0</v>
      </c>
      <c r="F85" s="7">
        <f>VLOOKUP($A85,'2016'!$A$3:$M$138,10,FALSE)</f>
        <v>235.96080000000001</v>
      </c>
      <c r="G85" s="7">
        <f>VLOOKUP($A85,'2016'!$A$3:$M$138,11,FALSE)</f>
        <v>4.9391999999999836</v>
      </c>
      <c r="H85" s="7">
        <f>VLOOKUP($A85,'2016'!$A$3:$M$138,12,FALSE)</f>
        <v>175.10999999999999</v>
      </c>
      <c r="I85" s="7">
        <f>VLOOKUP($A85,'2016'!$A$3:$M$138,13,FALSE)</f>
        <v>0</v>
      </c>
      <c r="J85" s="7">
        <f t="shared" si="4"/>
        <v>416.01</v>
      </c>
      <c r="K85" s="20" t="str">
        <f>IFERROR(VLOOKUP($A85,#REF!,7,FALSE),"")</f>
        <v/>
      </c>
      <c r="L85" s="20" t="str">
        <f>IFERROR(VLOOKUP($A85,#REF!,8,FALSE),"")</f>
        <v/>
      </c>
      <c r="M85" s="20" t="str">
        <f>IFERROR(VLOOKUP($A85,#REF!,9,FALSE),"")</f>
        <v/>
      </c>
      <c r="N85" s="20" t="str">
        <f>IFERROR(VLOOKUP($A85,#REF!,10,FALSE),"")</f>
        <v/>
      </c>
      <c r="O85" s="20" t="str">
        <f>IFERROR(VLOOKUP($A85,#REF!,11,FALSE),"")</f>
        <v/>
      </c>
      <c r="P85" s="20">
        <f t="shared" si="5"/>
        <v>0</v>
      </c>
      <c r="Q85" s="28">
        <f t="shared" si="6"/>
        <v>-1</v>
      </c>
      <c r="R85" s="33">
        <f t="shared" si="7"/>
        <v>173064.32009999998</v>
      </c>
    </row>
    <row r="86" spans="1:18" x14ac:dyDescent="0.25">
      <c r="A86" s="5">
        <v>446</v>
      </c>
      <c r="B86" s="5">
        <v>10</v>
      </c>
      <c r="C86" s="5" t="s">
        <v>0</v>
      </c>
      <c r="D86" s="5">
        <v>5</v>
      </c>
      <c r="E86" s="7">
        <f>VLOOKUP($A86,'2016'!$A$3:$M$138,9,FALSE)</f>
        <v>0</v>
      </c>
      <c r="F86" s="7">
        <f>VLOOKUP($A86,'2016'!$A$3:$M$138,10,FALSE)</f>
        <v>12.17</v>
      </c>
      <c r="G86" s="7">
        <f>VLOOKUP($A86,'2016'!$A$3:$M$138,11,FALSE)</f>
        <v>0</v>
      </c>
      <c r="H86" s="7">
        <f>VLOOKUP($A86,'2016'!$A$3:$M$138,12,FALSE)</f>
        <v>21.68</v>
      </c>
      <c r="I86" s="7">
        <f>VLOOKUP($A86,'2016'!$A$3:$M$138,13,FALSE)</f>
        <v>0</v>
      </c>
      <c r="J86" s="7">
        <f t="shared" si="4"/>
        <v>33.85</v>
      </c>
      <c r="K86" s="20" t="str">
        <f>IFERROR(VLOOKUP($A86,#REF!,7,FALSE),"")</f>
        <v/>
      </c>
      <c r="L86" s="20" t="str">
        <f>IFERROR(VLOOKUP($A86,#REF!,8,FALSE),"")</f>
        <v/>
      </c>
      <c r="M86" s="20" t="str">
        <f>IFERROR(VLOOKUP($A86,#REF!,9,FALSE),"")</f>
        <v/>
      </c>
      <c r="N86" s="20" t="str">
        <f>IFERROR(VLOOKUP($A86,#REF!,10,FALSE),"")</f>
        <v/>
      </c>
      <c r="O86" s="20" t="str">
        <f>IFERROR(VLOOKUP($A86,#REF!,11,FALSE),"")</f>
        <v/>
      </c>
      <c r="P86" s="20">
        <f t="shared" si="5"/>
        <v>0</v>
      </c>
      <c r="Q86" s="28">
        <f t="shared" si="6"/>
        <v>-1</v>
      </c>
      <c r="R86" s="33">
        <f t="shared" si="7"/>
        <v>1145.8225</v>
      </c>
    </row>
    <row r="87" spans="1:18" x14ac:dyDescent="0.25">
      <c r="A87" s="5">
        <v>701</v>
      </c>
      <c r="B87" s="5">
        <v>10</v>
      </c>
      <c r="C87" s="5" t="s">
        <v>0</v>
      </c>
      <c r="D87" s="5">
        <v>5</v>
      </c>
      <c r="E87" s="7">
        <f>VLOOKUP($A87,'2016'!$A$3:$M$138,9,FALSE)</f>
        <v>63.724285714285649</v>
      </c>
      <c r="F87" s="7">
        <f>VLOOKUP($A87,'2016'!$A$3:$M$138,10,FALSE)</f>
        <v>1224.2195818815328</v>
      </c>
      <c r="G87" s="7">
        <f>VLOOKUP($A87,'2016'!$A$3:$M$138,11,FALSE)</f>
        <v>2541.1266662308158</v>
      </c>
      <c r="H87" s="7">
        <f>VLOOKUP($A87,'2016'!$A$3:$M$138,12,FALSE)</f>
        <v>1119.6712308792489</v>
      </c>
      <c r="I87" s="7">
        <f>VLOOKUP($A87,'2016'!$A$3:$M$138,13,FALSE)</f>
        <v>244.77823529411685</v>
      </c>
      <c r="J87" s="7">
        <f t="shared" si="4"/>
        <v>5193.5199999999995</v>
      </c>
      <c r="K87" s="20" t="str">
        <f>IFERROR(VLOOKUP($A87,#REF!,7,FALSE),"")</f>
        <v/>
      </c>
      <c r="L87" s="20" t="str">
        <f>IFERROR(VLOOKUP($A87,#REF!,8,FALSE),"")</f>
        <v/>
      </c>
      <c r="M87" s="20" t="str">
        <f>IFERROR(VLOOKUP($A87,#REF!,9,FALSE),"")</f>
        <v/>
      </c>
      <c r="N87" s="20" t="str">
        <f>IFERROR(VLOOKUP($A87,#REF!,10,FALSE),"")</f>
        <v/>
      </c>
      <c r="O87" s="20" t="str">
        <f>IFERROR(VLOOKUP($A87,#REF!,11,FALSE),"")</f>
        <v/>
      </c>
      <c r="P87" s="20">
        <f t="shared" si="5"/>
        <v>0</v>
      </c>
      <c r="Q87" s="28">
        <f t="shared" si="6"/>
        <v>-1</v>
      </c>
      <c r="R87" s="33">
        <f t="shared" si="7"/>
        <v>26972649.990399994</v>
      </c>
    </row>
    <row r="88" spans="1:18" x14ac:dyDescent="0.25">
      <c r="A88" s="5">
        <v>704</v>
      </c>
      <c r="B88" s="5">
        <v>10</v>
      </c>
      <c r="C88" s="5" t="s">
        <v>0</v>
      </c>
      <c r="D88" s="5">
        <v>5</v>
      </c>
      <c r="E88" s="7">
        <f>VLOOKUP($A88,'2016'!$A$3:$M$138,9,FALSE)</f>
        <v>138.30529411764704</v>
      </c>
      <c r="F88" s="7">
        <f>VLOOKUP($A88,'2016'!$A$3:$M$138,10,FALSE)</f>
        <v>1340.8274009403538</v>
      </c>
      <c r="G88" s="7">
        <f>VLOOKUP($A88,'2016'!$A$3:$M$138,11,FALSE)</f>
        <v>3164.1946936782579</v>
      </c>
      <c r="H88" s="7">
        <f>VLOOKUP($A88,'2016'!$A$3:$M$138,12,FALSE)</f>
        <v>1498.6844961843774</v>
      </c>
      <c r="I88" s="7">
        <f>VLOOKUP($A88,'2016'!$A$3:$M$138,13,FALSE)</f>
        <v>439.17811507936341</v>
      </c>
      <c r="J88" s="7">
        <f t="shared" si="4"/>
        <v>6581.1899999999987</v>
      </c>
      <c r="K88" s="20" t="str">
        <f>IFERROR(VLOOKUP($A88,#REF!,7,FALSE),"")</f>
        <v/>
      </c>
      <c r="L88" s="20" t="str">
        <f>IFERROR(VLOOKUP($A88,#REF!,8,FALSE),"")</f>
        <v/>
      </c>
      <c r="M88" s="20" t="str">
        <f>IFERROR(VLOOKUP($A88,#REF!,9,FALSE),"")</f>
        <v/>
      </c>
      <c r="N88" s="20" t="str">
        <f>IFERROR(VLOOKUP($A88,#REF!,10,FALSE),"")</f>
        <v/>
      </c>
      <c r="O88" s="20" t="str">
        <f>IFERROR(VLOOKUP($A88,#REF!,11,FALSE),"")</f>
        <v/>
      </c>
      <c r="P88" s="20">
        <f t="shared" si="5"/>
        <v>0</v>
      </c>
      <c r="Q88" s="28">
        <f t="shared" si="6"/>
        <v>-1</v>
      </c>
      <c r="R88" s="33">
        <f t="shared" si="7"/>
        <v>43312061.816099986</v>
      </c>
    </row>
    <row r="89" spans="1:18" x14ac:dyDescent="0.25">
      <c r="A89" s="5">
        <v>705</v>
      </c>
      <c r="B89" s="5">
        <v>10</v>
      </c>
      <c r="C89" s="5" t="s">
        <v>0</v>
      </c>
      <c r="D89" s="5">
        <v>5</v>
      </c>
      <c r="E89" s="7">
        <f>VLOOKUP($A89,'2016'!$A$3:$M$138,9,FALSE)</f>
        <v>0</v>
      </c>
      <c r="F89" s="7">
        <f>VLOOKUP($A89,'2016'!$A$3:$M$138,10,FALSE)</f>
        <v>614.70000000000005</v>
      </c>
      <c r="G89" s="7">
        <f>VLOOKUP($A89,'2016'!$A$3:$M$138,11,FALSE)</f>
        <v>1657.6435897435863</v>
      </c>
      <c r="H89" s="7">
        <f>VLOOKUP($A89,'2016'!$A$3:$M$138,12,FALSE)</f>
        <v>794.36641025641325</v>
      </c>
      <c r="I89" s="7">
        <f>VLOOKUP($A89,'2016'!$A$3:$M$138,13,FALSE)</f>
        <v>103.35</v>
      </c>
      <c r="J89" s="7">
        <f t="shared" si="4"/>
        <v>3170.06</v>
      </c>
      <c r="K89" s="20" t="str">
        <f>IFERROR(VLOOKUP($A89,#REF!,7,FALSE),"")</f>
        <v/>
      </c>
      <c r="L89" s="20" t="str">
        <f>IFERROR(VLOOKUP($A89,#REF!,8,FALSE),"")</f>
        <v/>
      </c>
      <c r="M89" s="20" t="str">
        <f>IFERROR(VLOOKUP($A89,#REF!,9,FALSE),"")</f>
        <v/>
      </c>
      <c r="N89" s="20" t="str">
        <f>IFERROR(VLOOKUP($A89,#REF!,10,FALSE),"")</f>
        <v/>
      </c>
      <c r="O89" s="20" t="str">
        <f>IFERROR(VLOOKUP($A89,#REF!,11,FALSE),"")</f>
        <v/>
      </c>
      <c r="P89" s="20">
        <f t="shared" si="5"/>
        <v>0</v>
      </c>
      <c r="Q89" s="28">
        <f t="shared" si="6"/>
        <v>-1</v>
      </c>
      <c r="R89" s="33">
        <f t="shared" si="7"/>
        <v>10049280.4036</v>
      </c>
    </row>
    <row r="90" spans="1:18" x14ac:dyDescent="0.25">
      <c r="A90" s="5">
        <v>707</v>
      </c>
      <c r="B90" s="5">
        <v>10</v>
      </c>
      <c r="C90" s="5" t="s">
        <v>0</v>
      </c>
      <c r="D90" s="5">
        <v>5</v>
      </c>
      <c r="E90" s="7">
        <f>VLOOKUP($A90,'2016'!$A$3:$M$138,9,FALSE)</f>
        <v>0</v>
      </c>
      <c r="F90" s="7">
        <f>VLOOKUP($A90,'2016'!$A$3:$M$138,10,FALSE)</f>
        <v>19.05</v>
      </c>
      <c r="G90" s="7">
        <f>VLOOKUP($A90,'2016'!$A$3:$M$138,11,FALSE)</f>
        <v>595.61</v>
      </c>
      <c r="H90" s="7">
        <f>VLOOKUP($A90,'2016'!$A$3:$M$138,12,FALSE)</f>
        <v>165.74</v>
      </c>
      <c r="I90" s="7">
        <f>VLOOKUP($A90,'2016'!$A$3:$M$138,13,FALSE)</f>
        <v>11.96</v>
      </c>
      <c r="J90" s="7">
        <f t="shared" si="4"/>
        <v>792.36</v>
      </c>
      <c r="K90" s="20" t="str">
        <f>IFERROR(VLOOKUP($A90,#REF!,7,FALSE),"")</f>
        <v/>
      </c>
      <c r="L90" s="20" t="str">
        <f>IFERROR(VLOOKUP($A90,#REF!,8,FALSE),"")</f>
        <v/>
      </c>
      <c r="M90" s="20" t="str">
        <f>IFERROR(VLOOKUP($A90,#REF!,9,FALSE),"")</f>
        <v/>
      </c>
      <c r="N90" s="20" t="str">
        <f>IFERROR(VLOOKUP($A90,#REF!,10,FALSE),"")</f>
        <v/>
      </c>
      <c r="O90" s="20" t="str">
        <f>IFERROR(VLOOKUP($A90,#REF!,11,FALSE),"")</f>
        <v/>
      </c>
      <c r="P90" s="20">
        <f t="shared" si="5"/>
        <v>0</v>
      </c>
      <c r="Q90" s="28">
        <f t="shared" si="6"/>
        <v>-1</v>
      </c>
      <c r="R90" s="33">
        <f t="shared" si="7"/>
        <v>627834.36959999998</v>
      </c>
    </row>
    <row r="91" spans="1:18" x14ac:dyDescent="0.25">
      <c r="A91" s="5">
        <v>709</v>
      </c>
      <c r="B91" s="5">
        <v>10</v>
      </c>
      <c r="C91" s="5" t="s">
        <v>0</v>
      </c>
      <c r="D91" s="5">
        <v>5</v>
      </c>
      <c r="E91" s="7">
        <f>VLOOKUP($A91,'2016'!$A$3:$M$138,9,FALSE)</f>
        <v>246.93313043478244</v>
      </c>
      <c r="F91" s="7">
        <f>VLOOKUP($A91,'2016'!$A$3:$M$138,10,FALSE)</f>
        <v>4812.213311157001</v>
      </c>
      <c r="G91" s="7">
        <f>VLOOKUP($A91,'2016'!$A$3:$M$138,11,FALSE)</f>
        <v>6147.4811990203216</v>
      </c>
      <c r="H91" s="7">
        <f>VLOOKUP($A91,'2016'!$A$3:$M$138,12,FALSE)</f>
        <v>3542.5591595897317</v>
      </c>
      <c r="I91" s="7">
        <f>VLOOKUP($A91,'2016'!$A$3:$M$138,13,FALSE)</f>
        <v>703.60224358973824</v>
      </c>
      <c r="J91" s="7">
        <f t="shared" si="4"/>
        <v>15452.789043791574</v>
      </c>
      <c r="K91" s="20" t="str">
        <f>IFERROR(VLOOKUP($A91,#REF!,7,FALSE),"")</f>
        <v/>
      </c>
      <c r="L91" s="20" t="str">
        <f>IFERROR(VLOOKUP($A91,#REF!,8,FALSE),"")</f>
        <v/>
      </c>
      <c r="M91" s="20" t="str">
        <f>IFERROR(VLOOKUP($A91,#REF!,9,FALSE),"")</f>
        <v/>
      </c>
      <c r="N91" s="20" t="str">
        <f>IFERROR(VLOOKUP($A91,#REF!,10,FALSE),"")</f>
        <v/>
      </c>
      <c r="O91" s="20" t="str">
        <f>IFERROR(VLOOKUP($A91,#REF!,11,FALSE),"")</f>
        <v/>
      </c>
      <c r="P91" s="20">
        <f t="shared" si="5"/>
        <v>0</v>
      </c>
      <c r="Q91" s="28">
        <f t="shared" si="6"/>
        <v>-1</v>
      </c>
      <c r="R91" s="33">
        <f t="shared" si="7"/>
        <v>238788689.23192489</v>
      </c>
    </row>
    <row r="92" spans="1:18" x14ac:dyDescent="0.25">
      <c r="A92" s="5">
        <v>712</v>
      </c>
      <c r="B92" s="5">
        <v>10</v>
      </c>
      <c r="C92" s="5" t="s">
        <v>0</v>
      </c>
      <c r="D92" s="5">
        <v>5</v>
      </c>
      <c r="E92" s="7">
        <f>VLOOKUP($A92,'2016'!$A$3:$M$138,9,FALSE)</f>
        <v>121.86307692307685</v>
      </c>
      <c r="F92" s="7">
        <f>VLOOKUP($A92,'2016'!$A$3:$M$138,10,FALSE)</f>
        <v>1875.0957488981608</v>
      </c>
      <c r="G92" s="7">
        <f>VLOOKUP($A92,'2016'!$A$3:$M$138,11,FALSE)</f>
        <v>3892.4503170358985</v>
      </c>
      <c r="H92" s="7">
        <f>VLOOKUP($A92,'2016'!$A$3:$M$138,12,FALSE)</f>
        <v>1843.2946071428682</v>
      </c>
      <c r="I92" s="7">
        <f>VLOOKUP($A92,'2016'!$A$3:$M$138,13,FALSE)</f>
        <v>573.90624999999648</v>
      </c>
      <c r="J92" s="7">
        <f t="shared" si="4"/>
        <v>8306.61</v>
      </c>
      <c r="K92" s="20" t="str">
        <f>IFERROR(VLOOKUP($A92,#REF!,7,FALSE),"")</f>
        <v/>
      </c>
      <c r="L92" s="20" t="str">
        <f>IFERROR(VLOOKUP($A92,#REF!,8,FALSE),"")</f>
        <v/>
      </c>
      <c r="M92" s="20" t="str">
        <f>IFERROR(VLOOKUP($A92,#REF!,9,FALSE),"")</f>
        <v/>
      </c>
      <c r="N92" s="20" t="str">
        <f>IFERROR(VLOOKUP($A92,#REF!,10,FALSE),"")</f>
        <v/>
      </c>
      <c r="O92" s="20" t="str">
        <f>IFERROR(VLOOKUP($A92,#REF!,11,FALSE),"")</f>
        <v/>
      </c>
      <c r="P92" s="20">
        <f t="shared" si="5"/>
        <v>0</v>
      </c>
      <c r="Q92" s="28">
        <f t="shared" si="6"/>
        <v>-1</v>
      </c>
      <c r="R92" s="33">
        <f t="shared" si="7"/>
        <v>68999769.692100003</v>
      </c>
    </row>
    <row r="93" spans="1:18" x14ac:dyDescent="0.25">
      <c r="A93" s="5">
        <v>815</v>
      </c>
      <c r="B93" s="5">
        <v>10</v>
      </c>
      <c r="C93" s="5" t="s">
        <v>0</v>
      </c>
      <c r="D93" s="5">
        <v>5</v>
      </c>
      <c r="E93" s="7">
        <f>VLOOKUP($A93,'2016'!$A$3:$M$138,9,FALSE)</f>
        <v>63.689599999999949</v>
      </c>
      <c r="F93" s="7">
        <f>VLOOKUP($A93,'2016'!$A$3:$M$138,10,FALSE)</f>
        <v>316.00007032967045</v>
      </c>
      <c r="G93" s="7">
        <f>VLOOKUP($A93,'2016'!$A$3:$M$138,11,FALSE)</f>
        <v>839.67967032966885</v>
      </c>
      <c r="H93" s="7">
        <f>VLOOKUP($A93,'2016'!$A$3:$M$138,12,FALSE)</f>
        <v>378.06065934066066</v>
      </c>
      <c r="I93" s="7">
        <f>VLOOKUP($A93,'2016'!$A$3:$M$138,13,FALSE)</f>
        <v>134.85</v>
      </c>
      <c r="J93" s="7">
        <f t="shared" si="4"/>
        <v>1732.2799999999997</v>
      </c>
      <c r="K93" s="20" t="str">
        <f>IFERROR(VLOOKUP($A93,#REF!,7,FALSE),"")</f>
        <v/>
      </c>
      <c r="L93" s="20" t="str">
        <f>IFERROR(VLOOKUP($A93,#REF!,8,FALSE),"")</f>
        <v/>
      </c>
      <c r="M93" s="20" t="str">
        <f>IFERROR(VLOOKUP($A93,#REF!,9,FALSE),"")</f>
        <v/>
      </c>
      <c r="N93" s="20" t="str">
        <f>IFERROR(VLOOKUP($A93,#REF!,10,FALSE),"")</f>
        <v/>
      </c>
      <c r="O93" s="20" t="str">
        <f>IFERROR(VLOOKUP($A93,#REF!,11,FALSE),"")</f>
        <v/>
      </c>
      <c r="P93" s="20">
        <f t="shared" si="5"/>
        <v>0</v>
      </c>
      <c r="Q93" s="28">
        <f t="shared" si="6"/>
        <v>-1</v>
      </c>
      <c r="R93" s="33">
        <f t="shared" si="7"/>
        <v>3000793.998399999</v>
      </c>
    </row>
    <row r="94" spans="1:18" x14ac:dyDescent="0.25">
      <c r="A94" s="5">
        <v>816</v>
      </c>
      <c r="B94" s="5">
        <v>10</v>
      </c>
      <c r="C94" s="5" t="s">
        <v>0</v>
      </c>
      <c r="D94" s="5">
        <v>5</v>
      </c>
      <c r="E94" s="7">
        <f>VLOOKUP($A94,'2016'!$A$3:$M$138,9,FALSE)</f>
        <v>96.407312500000003</v>
      </c>
      <c r="F94" s="7">
        <f>VLOOKUP($A94,'2016'!$A$3:$M$138,10,FALSE)</f>
        <v>694.05541477272732</v>
      </c>
      <c r="G94" s="7">
        <f>VLOOKUP($A94,'2016'!$A$3:$M$138,11,FALSE)</f>
        <v>1891.3748663101587</v>
      </c>
      <c r="H94" s="7">
        <f>VLOOKUP($A94,'2016'!$A$3:$M$138,12,FALSE)</f>
        <v>756.21959391711448</v>
      </c>
      <c r="I94" s="7">
        <f>VLOOKUP($A94,'2016'!$A$3:$M$138,13,FALSE)</f>
        <v>36.172812499999289</v>
      </c>
      <c r="J94" s="7">
        <f t="shared" si="4"/>
        <v>3474.23</v>
      </c>
      <c r="K94" s="20" t="str">
        <f>IFERROR(VLOOKUP($A94,#REF!,7,FALSE),"")</f>
        <v/>
      </c>
      <c r="L94" s="20" t="str">
        <f>IFERROR(VLOOKUP($A94,#REF!,8,FALSE),"")</f>
        <v/>
      </c>
      <c r="M94" s="20" t="str">
        <f>IFERROR(VLOOKUP($A94,#REF!,9,FALSE),"")</f>
        <v/>
      </c>
      <c r="N94" s="20" t="str">
        <f>IFERROR(VLOOKUP($A94,#REF!,10,FALSE),"")</f>
        <v/>
      </c>
      <c r="O94" s="20" t="str">
        <f>IFERROR(VLOOKUP($A94,#REF!,11,FALSE),"")</f>
        <v/>
      </c>
      <c r="P94" s="20">
        <f t="shared" si="5"/>
        <v>0</v>
      </c>
      <c r="Q94" s="28">
        <f t="shared" si="6"/>
        <v>-1</v>
      </c>
      <c r="R94" s="33">
        <f t="shared" si="7"/>
        <v>12070274.092900001</v>
      </c>
    </row>
    <row r="95" spans="1:18" x14ac:dyDescent="0.25">
      <c r="A95" s="5">
        <v>832</v>
      </c>
      <c r="B95" s="5">
        <v>10</v>
      </c>
      <c r="C95" s="5" t="s">
        <v>0</v>
      </c>
      <c r="D95" s="5">
        <v>5</v>
      </c>
      <c r="E95" s="7">
        <f>VLOOKUP($A95,'2016'!$A$3:$M$138,9,FALSE)</f>
        <v>0</v>
      </c>
      <c r="F95" s="7">
        <f>VLOOKUP($A95,'2016'!$A$3:$M$138,10,FALSE)</f>
        <v>226.39999999999998</v>
      </c>
      <c r="G95" s="7">
        <f>VLOOKUP($A95,'2016'!$A$3:$M$138,11,FALSE)</f>
        <v>308.71999999999997</v>
      </c>
      <c r="H95" s="7">
        <f>VLOOKUP($A95,'2016'!$A$3:$M$138,12,FALSE)</f>
        <v>146.18</v>
      </c>
      <c r="I95" s="7">
        <f>VLOOKUP($A95,'2016'!$A$3:$M$138,13,FALSE)</f>
        <v>0</v>
      </c>
      <c r="J95" s="7">
        <f t="shared" si="4"/>
        <v>681.3</v>
      </c>
      <c r="K95" s="20" t="str">
        <f>IFERROR(VLOOKUP($A95,#REF!,7,FALSE),"")</f>
        <v/>
      </c>
      <c r="L95" s="20" t="str">
        <f>IFERROR(VLOOKUP($A95,#REF!,8,FALSE),"")</f>
        <v/>
      </c>
      <c r="M95" s="20" t="str">
        <f>IFERROR(VLOOKUP($A95,#REF!,9,FALSE),"")</f>
        <v/>
      </c>
      <c r="N95" s="20" t="str">
        <f>IFERROR(VLOOKUP($A95,#REF!,10,FALSE),"")</f>
        <v/>
      </c>
      <c r="O95" s="20" t="str">
        <f>IFERROR(VLOOKUP($A95,#REF!,11,FALSE),"")</f>
        <v/>
      </c>
      <c r="P95" s="20">
        <f t="shared" si="5"/>
        <v>0</v>
      </c>
      <c r="Q95" s="28">
        <f t="shared" si="6"/>
        <v>-1</v>
      </c>
      <c r="R95" s="33">
        <f t="shared" si="7"/>
        <v>464169.68999999994</v>
      </c>
    </row>
    <row r="96" spans="1:18" x14ac:dyDescent="0.25">
      <c r="A96" s="5">
        <v>833</v>
      </c>
      <c r="B96" s="5">
        <v>10</v>
      </c>
      <c r="C96" s="5" t="s">
        <v>0</v>
      </c>
      <c r="D96" s="5">
        <v>5</v>
      </c>
      <c r="E96" s="7">
        <f>VLOOKUP($A96,'2016'!$A$3:$M$138,9,FALSE)</f>
        <v>39.177777777777706</v>
      </c>
      <c r="F96" s="7">
        <f>VLOOKUP($A96,'2016'!$A$3:$M$138,10,FALSE)</f>
        <v>393.10200716845867</v>
      </c>
      <c r="G96" s="7">
        <f>VLOOKUP($A96,'2016'!$A$3:$M$138,11,FALSE)</f>
        <v>772.47798545224464</v>
      </c>
      <c r="H96" s="7">
        <f>VLOOKUP($A96,'2016'!$A$3:$M$138,12,FALSE)</f>
        <v>378.29222960151913</v>
      </c>
      <c r="I96" s="7">
        <f>VLOOKUP($A96,'2016'!$A$3:$M$138,13,FALSE)</f>
        <v>0</v>
      </c>
      <c r="J96" s="7">
        <f t="shared" si="4"/>
        <v>1583.0500000000002</v>
      </c>
      <c r="K96" s="20" t="str">
        <f>IFERROR(VLOOKUP($A96,#REF!,7,FALSE),"")</f>
        <v/>
      </c>
      <c r="L96" s="20" t="str">
        <f>IFERROR(VLOOKUP($A96,#REF!,8,FALSE),"")</f>
        <v/>
      </c>
      <c r="M96" s="20" t="str">
        <f>IFERROR(VLOOKUP($A96,#REF!,9,FALSE),"")</f>
        <v/>
      </c>
      <c r="N96" s="20" t="str">
        <f>IFERROR(VLOOKUP($A96,#REF!,10,FALSE),"")</f>
        <v/>
      </c>
      <c r="O96" s="20" t="str">
        <f>IFERROR(VLOOKUP($A96,#REF!,11,FALSE),"")</f>
        <v/>
      </c>
      <c r="P96" s="20">
        <f t="shared" si="5"/>
        <v>0</v>
      </c>
      <c r="Q96" s="28">
        <f t="shared" si="6"/>
        <v>-1</v>
      </c>
      <c r="R96" s="33">
        <f t="shared" si="7"/>
        <v>2506047.3025000007</v>
      </c>
    </row>
    <row r="97" spans="1:18" x14ac:dyDescent="0.25">
      <c r="A97" s="5">
        <v>834</v>
      </c>
      <c r="B97" s="5">
        <v>10</v>
      </c>
      <c r="C97" s="5" t="s">
        <v>0</v>
      </c>
      <c r="D97" s="5">
        <v>5</v>
      </c>
      <c r="E97" s="7">
        <f>VLOOKUP($A97,'2016'!$A$3:$M$138,9,FALSE)</f>
        <v>0</v>
      </c>
      <c r="F97" s="7">
        <f>VLOOKUP($A97,'2016'!$A$3:$M$138,10,FALSE)</f>
        <v>155.78</v>
      </c>
      <c r="G97" s="7">
        <f>VLOOKUP($A97,'2016'!$A$3:$M$138,11,FALSE)</f>
        <v>283.52646153846058</v>
      </c>
      <c r="H97" s="7">
        <f>VLOOKUP($A97,'2016'!$A$3:$M$138,12,FALSE)</f>
        <v>9.1496588083828088E-13</v>
      </c>
      <c r="I97" s="7">
        <f>VLOOKUP($A97,'2016'!$A$3:$M$138,13,FALSE)</f>
        <v>0</v>
      </c>
      <c r="J97" s="7">
        <f t="shared" si="4"/>
        <v>439.30646153846146</v>
      </c>
      <c r="K97" s="20" t="str">
        <f>IFERROR(VLOOKUP($A97,#REF!,7,FALSE),"")</f>
        <v/>
      </c>
      <c r="L97" s="20" t="str">
        <f>IFERROR(VLOOKUP($A97,#REF!,8,FALSE),"")</f>
        <v/>
      </c>
      <c r="M97" s="20" t="str">
        <f>IFERROR(VLOOKUP($A97,#REF!,9,FALSE),"")</f>
        <v/>
      </c>
      <c r="N97" s="20" t="str">
        <f>IFERROR(VLOOKUP($A97,#REF!,10,FALSE),"")</f>
        <v/>
      </c>
      <c r="O97" s="20" t="str">
        <f>IFERROR(VLOOKUP($A97,#REF!,11,FALSE),"")</f>
        <v/>
      </c>
      <c r="P97" s="20">
        <f t="shared" si="5"/>
        <v>0</v>
      </c>
      <c r="Q97" s="28">
        <f t="shared" si="6"/>
        <v>-1</v>
      </c>
      <c r="R97" s="33">
        <f t="shared" si="7"/>
        <v>192990.16714944373</v>
      </c>
    </row>
    <row r="98" spans="1:18" x14ac:dyDescent="0.25">
      <c r="A98" s="5">
        <v>848</v>
      </c>
      <c r="B98" s="5">
        <v>10</v>
      </c>
      <c r="C98" s="5" t="s">
        <v>0</v>
      </c>
      <c r="D98" s="5">
        <v>5</v>
      </c>
      <c r="E98" s="7">
        <f>VLOOKUP($A98,'2016'!$A$3:$M$138,9,FALSE)</f>
        <v>218.76283333333328</v>
      </c>
      <c r="F98" s="7">
        <f>VLOOKUP($A98,'2016'!$A$3:$M$138,10,FALSE)</f>
        <v>1089.9286140350875</v>
      </c>
      <c r="G98" s="7">
        <f>VLOOKUP($A98,'2016'!$A$3:$M$138,11,FALSE)</f>
        <v>2238.4058026315747</v>
      </c>
      <c r="H98" s="7">
        <f>VLOOKUP($A98,'2016'!$A$3:$M$138,12,FALSE)</f>
        <v>1245.6104166666732</v>
      </c>
      <c r="I98" s="7">
        <f>VLOOKUP($A98,'2016'!$A$3:$M$138,13,FALSE)</f>
        <v>426.73233333333161</v>
      </c>
      <c r="J98" s="7">
        <f t="shared" si="4"/>
        <v>5219.4400000000005</v>
      </c>
      <c r="K98" s="20" t="str">
        <f>IFERROR(VLOOKUP($A98,#REF!,7,FALSE),"")</f>
        <v/>
      </c>
      <c r="L98" s="20" t="str">
        <f>IFERROR(VLOOKUP($A98,#REF!,8,FALSE),"")</f>
        <v/>
      </c>
      <c r="M98" s="20" t="str">
        <f>IFERROR(VLOOKUP($A98,#REF!,9,FALSE),"")</f>
        <v/>
      </c>
      <c r="N98" s="20" t="str">
        <f>IFERROR(VLOOKUP($A98,#REF!,10,FALSE),"")</f>
        <v/>
      </c>
      <c r="O98" s="20" t="str">
        <f>IFERROR(VLOOKUP($A98,#REF!,11,FALSE),"")</f>
        <v/>
      </c>
      <c r="P98" s="20">
        <f t="shared" si="5"/>
        <v>0</v>
      </c>
      <c r="Q98" s="28">
        <f t="shared" si="6"/>
        <v>-1</v>
      </c>
      <c r="R98" s="33">
        <f t="shared" si="7"/>
        <v>27242553.913600005</v>
      </c>
    </row>
    <row r="99" spans="1:18" x14ac:dyDescent="0.25">
      <c r="A99" s="5">
        <v>851</v>
      </c>
      <c r="B99" s="5">
        <v>10</v>
      </c>
      <c r="C99" s="5" t="s">
        <v>0</v>
      </c>
      <c r="D99" s="5">
        <v>5</v>
      </c>
      <c r="E99" s="7">
        <f>VLOOKUP($A99,'2016'!$A$3:$M$138,9,FALSE)</f>
        <v>61.336666666666702</v>
      </c>
      <c r="F99" s="7">
        <f>VLOOKUP($A99,'2016'!$A$3:$M$138,10,FALSE)</f>
        <v>369.13481481481489</v>
      </c>
      <c r="G99" s="7">
        <f>VLOOKUP($A99,'2016'!$A$3:$M$138,11,FALSE)</f>
        <v>393.08851851851847</v>
      </c>
      <c r="H99" s="7">
        <f>VLOOKUP($A99,'2016'!$A$3:$M$138,12,FALSE)</f>
        <v>317.89</v>
      </c>
      <c r="I99" s="7">
        <f>VLOOKUP($A99,'2016'!$A$3:$M$138,13,FALSE)</f>
        <v>0</v>
      </c>
      <c r="J99" s="7">
        <f t="shared" si="4"/>
        <v>1141.45</v>
      </c>
      <c r="K99" s="20" t="str">
        <f>IFERROR(VLOOKUP($A99,#REF!,7,FALSE),"")</f>
        <v/>
      </c>
      <c r="L99" s="20" t="str">
        <f>IFERROR(VLOOKUP($A99,#REF!,8,FALSE),"")</f>
        <v/>
      </c>
      <c r="M99" s="20" t="str">
        <f>IFERROR(VLOOKUP($A99,#REF!,9,FALSE),"")</f>
        <v/>
      </c>
      <c r="N99" s="20" t="str">
        <f>IFERROR(VLOOKUP($A99,#REF!,10,FALSE),"")</f>
        <v/>
      </c>
      <c r="O99" s="20" t="str">
        <f>IFERROR(VLOOKUP($A99,#REF!,11,FALSE),"")</f>
        <v/>
      </c>
      <c r="P99" s="20">
        <f t="shared" si="5"/>
        <v>0</v>
      </c>
      <c r="Q99" s="28">
        <f t="shared" si="6"/>
        <v>-1</v>
      </c>
      <c r="R99" s="33">
        <f t="shared" si="7"/>
        <v>1302908.1025</v>
      </c>
    </row>
    <row r="100" spans="1:18" x14ac:dyDescent="0.25">
      <c r="A100" s="5">
        <v>854</v>
      </c>
      <c r="B100" s="5">
        <v>10</v>
      </c>
      <c r="C100" s="5" t="s">
        <v>0</v>
      </c>
      <c r="D100" s="5">
        <v>5</v>
      </c>
      <c r="E100" s="7">
        <f>VLOOKUP($A100,'2016'!$A$3:$M$138,9,FALSE)</f>
        <v>19.5</v>
      </c>
      <c r="F100" s="7">
        <f>VLOOKUP($A100,'2016'!$A$3:$M$138,10,FALSE)</f>
        <v>420.08590909090913</v>
      </c>
      <c r="G100" s="7">
        <f>VLOOKUP($A100,'2016'!$A$3:$M$138,11,FALSE)</f>
        <v>1531.4995454545449</v>
      </c>
      <c r="H100" s="7">
        <f>VLOOKUP($A100,'2016'!$A$3:$M$138,12,FALSE)</f>
        <v>541.19412878788035</v>
      </c>
      <c r="I100" s="7">
        <f>VLOOKUP($A100,'2016'!$A$3:$M$138,13,FALSE)</f>
        <v>164.38041666666584</v>
      </c>
      <c r="J100" s="7">
        <f t="shared" si="4"/>
        <v>2676.6600000000003</v>
      </c>
      <c r="K100" s="20" t="str">
        <f>IFERROR(VLOOKUP($A100,#REF!,7,FALSE),"")</f>
        <v/>
      </c>
      <c r="L100" s="20" t="str">
        <f>IFERROR(VLOOKUP($A100,#REF!,8,FALSE),"")</f>
        <v/>
      </c>
      <c r="M100" s="20" t="str">
        <f>IFERROR(VLOOKUP($A100,#REF!,9,FALSE),"")</f>
        <v/>
      </c>
      <c r="N100" s="20" t="str">
        <f>IFERROR(VLOOKUP($A100,#REF!,10,FALSE),"")</f>
        <v/>
      </c>
      <c r="O100" s="20" t="str">
        <f>IFERROR(VLOOKUP($A100,#REF!,11,FALSE),"")</f>
        <v/>
      </c>
      <c r="P100" s="20">
        <f t="shared" si="5"/>
        <v>0</v>
      </c>
      <c r="Q100" s="28">
        <f t="shared" si="6"/>
        <v>-1</v>
      </c>
      <c r="R100" s="33">
        <f t="shared" si="7"/>
        <v>7164508.7556000017</v>
      </c>
    </row>
    <row r="101" spans="1:18" x14ac:dyDescent="0.25">
      <c r="A101" s="5">
        <v>855</v>
      </c>
      <c r="B101" s="5">
        <v>10</v>
      </c>
      <c r="C101" s="5" t="s">
        <v>0</v>
      </c>
      <c r="D101" s="5">
        <v>5</v>
      </c>
      <c r="E101" s="7">
        <f>VLOOKUP($A101,'2016'!$A$3:$M$138,9,FALSE)</f>
        <v>41.269999999999996</v>
      </c>
      <c r="F101" s="7">
        <f>VLOOKUP($A101,'2016'!$A$3:$M$138,10,FALSE)</f>
        <v>492.42</v>
      </c>
      <c r="G101" s="7">
        <f>VLOOKUP($A101,'2016'!$A$3:$M$138,11,FALSE)</f>
        <v>1046.8399999999999</v>
      </c>
      <c r="H101" s="7">
        <f>VLOOKUP($A101,'2016'!$A$3:$M$138,12,FALSE)</f>
        <v>485.72</v>
      </c>
      <c r="I101" s="7">
        <f>VLOOKUP($A101,'2016'!$A$3:$M$138,13,FALSE)</f>
        <v>218.04999999999998</v>
      </c>
      <c r="J101" s="7">
        <f t="shared" si="4"/>
        <v>2284.3000000000002</v>
      </c>
      <c r="K101" s="20" t="str">
        <f>IFERROR(VLOOKUP($A101,#REF!,7,FALSE),"")</f>
        <v/>
      </c>
      <c r="L101" s="20" t="str">
        <f>IFERROR(VLOOKUP($A101,#REF!,8,FALSE),"")</f>
        <v/>
      </c>
      <c r="M101" s="20" t="str">
        <f>IFERROR(VLOOKUP($A101,#REF!,9,FALSE),"")</f>
        <v/>
      </c>
      <c r="N101" s="20" t="str">
        <f>IFERROR(VLOOKUP($A101,#REF!,10,FALSE),"")</f>
        <v/>
      </c>
      <c r="O101" s="20" t="str">
        <f>IFERROR(VLOOKUP($A101,#REF!,11,FALSE),"")</f>
        <v/>
      </c>
      <c r="P101" s="20">
        <f t="shared" si="5"/>
        <v>0</v>
      </c>
      <c r="Q101" s="28">
        <f t="shared" si="6"/>
        <v>-1</v>
      </c>
      <c r="R101" s="33">
        <f t="shared" si="7"/>
        <v>5218026.4900000012</v>
      </c>
    </row>
    <row r="102" spans="1:18" x14ac:dyDescent="0.25">
      <c r="A102" s="5">
        <v>856</v>
      </c>
      <c r="B102" s="5">
        <v>10</v>
      </c>
      <c r="C102" s="5" t="s">
        <v>0</v>
      </c>
      <c r="D102" s="5">
        <v>5</v>
      </c>
      <c r="E102" s="7">
        <f>VLOOKUP($A102,'2016'!$A$3:$M$138,9,FALSE)</f>
        <v>314.21281067013666</v>
      </c>
      <c r="F102" s="7">
        <f>VLOOKUP($A102,'2016'!$A$3:$M$138,10,FALSE)</f>
        <v>1800.6497816299875</v>
      </c>
      <c r="G102" s="7">
        <f>VLOOKUP($A102,'2016'!$A$3:$M$138,11,FALSE)</f>
        <v>4042.0669737447911</v>
      </c>
      <c r="H102" s="7">
        <f>VLOOKUP($A102,'2016'!$A$3:$M$138,12,FALSE)</f>
        <v>2157.6570611882412</v>
      </c>
      <c r="I102" s="7">
        <f>VLOOKUP($A102,'2016'!$A$3:$M$138,13,FALSE)</f>
        <v>784.43337276684497</v>
      </c>
      <c r="J102" s="7">
        <f t="shared" si="4"/>
        <v>9099.0200000000023</v>
      </c>
      <c r="K102" s="20" t="str">
        <f>IFERROR(VLOOKUP($A102,#REF!,7,FALSE),"")</f>
        <v/>
      </c>
      <c r="L102" s="20" t="str">
        <f>IFERROR(VLOOKUP($A102,#REF!,8,FALSE),"")</f>
        <v/>
      </c>
      <c r="M102" s="20" t="str">
        <f>IFERROR(VLOOKUP($A102,#REF!,9,FALSE),"")</f>
        <v/>
      </c>
      <c r="N102" s="20" t="str">
        <f>IFERROR(VLOOKUP($A102,#REF!,10,FALSE),"")</f>
        <v/>
      </c>
      <c r="O102" s="20" t="str">
        <f>IFERROR(VLOOKUP($A102,#REF!,11,FALSE),"")</f>
        <v/>
      </c>
      <c r="P102" s="20">
        <f t="shared" si="5"/>
        <v>0</v>
      </c>
      <c r="Q102" s="28">
        <f t="shared" si="6"/>
        <v>-1</v>
      </c>
      <c r="R102" s="33">
        <f t="shared" si="7"/>
        <v>82792164.960400045</v>
      </c>
    </row>
    <row r="103" spans="1:18" x14ac:dyDescent="0.25">
      <c r="A103" s="5">
        <v>864</v>
      </c>
      <c r="B103" s="5">
        <v>10</v>
      </c>
      <c r="C103" s="5" t="s">
        <v>0</v>
      </c>
      <c r="D103" s="5">
        <v>5</v>
      </c>
      <c r="E103" s="7">
        <f>VLOOKUP($A103,'2016'!$A$3:$M$138,9,FALSE)</f>
        <v>368.40473684210536</v>
      </c>
      <c r="F103" s="7">
        <f>VLOOKUP($A103,'2016'!$A$3:$M$138,10,FALSE)</f>
        <v>1915.2748822055137</v>
      </c>
      <c r="G103" s="7">
        <f>VLOOKUP($A103,'2016'!$A$3:$M$138,11,FALSE)</f>
        <v>3295.9530910152048</v>
      </c>
      <c r="H103" s="7">
        <f>VLOOKUP($A103,'2016'!$A$3:$M$138,12,FALSE)</f>
        <v>1829.2904237399969</v>
      </c>
      <c r="I103" s="7">
        <f>VLOOKUP($A103,'2016'!$A$3:$M$138,13,FALSE)</f>
        <v>1248.8368661971797</v>
      </c>
      <c r="J103" s="7">
        <f t="shared" si="4"/>
        <v>8657.76</v>
      </c>
      <c r="K103" s="20" t="str">
        <f>IFERROR(VLOOKUP($A103,#REF!,7,FALSE),"")</f>
        <v/>
      </c>
      <c r="L103" s="20" t="str">
        <f>IFERROR(VLOOKUP($A103,#REF!,8,FALSE),"")</f>
        <v/>
      </c>
      <c r="M103" s="20" t="str">
        <f>IFERROR(VLOOKUP($A103,#REF!,9,FALSE),"")</f>
        <v/>
      </c>
      <c r="N103" s="20" t="str">
        <f>IFERROR(VLOOKUP($A103,#REF!,10,FALSE),"")</f>
        <v/>
      </c>
      <c r="O103" s="20" t="str">
        <f>IFERROR(VLOOKUP($A103,#REF!,11,FALSE),"")</f>
        <v/>
      </c>
      <c r="P103" s="20">
        <f t="shared" si="5"/>
        <v>0</v>
      </c>
      <c r="Q103" s="28">
        <f t="shared" si="6"/>
        <v>-1</v>
      </c>
      <c r="R103" s="33">
        <f t="shared" si="7"/>
        <v>74956808.217600003</v>
      </c>
    </row>
    <row r="104" spans="1:18" x14ac:dyDescent="0.25">
      <c r="A104" s="5">
        <v>871</v>
      </c>
      <c r="B104" s="5">
        <v>10</v>
      </c>
      <c r="C104" s="5" t="s">
        <v>0</v>
      </c>
      <c r="D104" s="5">
        <v>5</v>
      </c>
      <c r="E104" s="7">
        <f>VLOOKUP($A104,'2016'!$A$3:$M$138,9,FALSE)</f>
        <v>8.1300000000000008</v>
      </c>
      <c r="F104" s="7">
        <f>VLOOKUP($A104,'2016'!$A$3:$M$138,10,FALSE)</f>
        <v>91.07</v>
      </c>
      <c r="G104" s="7">
        <f>VLOOKUP($A104,'2016'!$A$3:$M$138,11,FALSE)</f>
        <v>266.01999999999947</v>
      </c>
      <c r="H104" s="7">
        <f>VLOOKUP($A104,'2016'!$A$3:$M$138,12,FALSE)</f>
        <v>135.58000000000055</v>
      </c>
      <c r="I104" s="7">
        <f>VLOOKUP($A104,'2016'!$A$3:$M$138,13,FALSE)</f>
        <v>71.410000000000011</v>
      </c>
      <c r="J104" s="7">
        <f t="shared" si="4"/>
        <v>572.21</v>
      </c>
      <c r="K104" s="20" t="str">
        <f>IFERROR(VLOOKUP($A104,#REF!,7,FALSE),"")</f>
        <v/>
      </c>
      <c r="L104" s="20" t="str">
        <f>IFERROR(VLOOKUP($A104,#REF!,8,FALSE),"")</f>
        <v/>
      </c>
      <c r="M104" s="20" t="str">
        <f>IFERROR(VLOOKUP($A104,#REF!,9,FALSE),"")</f>
        <v/>
      </c>
      <c r="N104" s="20" t="str">
        <f>IFERROR(VLOOKUP($A104,#REF!,10,FALSE),"")</f>
        <v/>
      </c>
      <c r="O104" s="20" t="str">
        <f>IFERROR(VLOOKUP($A104,#REF!,11,FALSE),"")</f>
        <v/>
      </c>
      <c r="P104" s="20">
        <f t="shared" si="5"/>
        <v>0</v>
      </c>
      <c r="Q104" s="28">
        <f t="shared" si="6"/>
        <v>-1</v>
      </c>
      <c r="R104" s="33">
        <f t="shared" si="7"/>
        <v>327424.28410000005</v>
      </c>
    </row>
    <row r="105" spans="1:18" x14ac:dyDescent="0.25">
      <c r="A105" s="5">
        <v>872</v>
      </c>
      <c r="B105" s="5">
        <v>10</v>
      </c>
      <c r="C105" s="5" t="s">
        <v>0</v>
      </c>
      <c r="D105" s="5">
        <v>5</v>
      </c>
      <c r="E105" s="7">
        <f>VLOOKUP($A105,'2016'!$A$3:$M$138,9,FALSE)</f>
        <v>0</v>
      </c>
      <c r="F105" s="7">
        <f>VLOOKUP($A105,'2016'!$A$3:$M$138,10,FALSE)</f>
        <v>55.643333333333359</v>
      </c>
      <c r="G105" s="7">
        <f>VLOOKUP($A105,'2016'!$A$3:$M$138,11,FALSE)</f>
        <v>209.52666666666664</v>
      </c>
      <c r="H105" s="7">
        <f>VLOOKUP($A105,'2016'!$A$3:$M$138,12,FALSE)</f>
        <v>92.751739130435155</v>
      </c>
      <c r="I105" s="7">
        <f>VLOOKUP($A105,'2016'!$A$3:$M$138,13,FALSE)</f>
        <v>80.998260869564859</v>
      </c>
      <c r="J105" s="7">
        <f t="shared" si="4"/>
        <v>438.92000000000007</v>
      </c>
      <c r="K105" s="20" t="str">
        <f>IFERROR(VLOOKUP($A105,#REF!,7,FALSE),"")</f>
        <v/>
      </c>
      <c r="L105" s="20" t="str">
        <f>IFERROR(VLOOKUP($A105,#REF!,8,FALSE),"")</f>
        <v/>
      </c>
      <c r="M105" s="20" t="str">
        <f>IFERROR(VLOOKUP($A105,#REF!,9,FALSE),"")</f>
        <v/>
      </c>
      <c r="N105" s="20" t="str">
        <f>IFERROR(VLOOKUP($A105,#REF!,10,FALSE),"")</f>
        <v/>
      </c>
      <c r="O105" s="20" t="str">
        <f>IFERROR(VLOOKUP($A105,#REF!,11,FALSE),"")</f>
        <v/>
      </c>
      <c r="P105" s="20">
        <f t="shared" si="5"/>
        <v>0</v>
      </c>
      <c r="Q105" s="28">
        <f t="shared" si="6"/>
        <v>-1</v>
      </c>
      <c r="R105" s="33">
        <f t="shared" si="7"/>
        <v>192650.76640000005</v>
      </c>
    </row>
    <row r="106" spans="1:18" x14ac:dyDescent="0.25">
      <c r="A106" s="5">
        <v>874</v>
      </c>
      <c r="B106" s="5">
        <v>10</v>
      </c>
      <c r="C106" s="5" t="s">
        <v>0</v>
      </c>
      <c r="D106" s="5">
        <v>5</v>
      </c>
      <c r="E106" s="7">
        <f>VLOOKUP($A106,'2016'!$A$3:$M$138,9,FALSE)</f>
        <v>42.915454545454509</v>
      </c>
      <c r="F106" s="7">
        <f>VLOOKUP($A106,'2016'!$A$3:$M$138,10,FALSE)</f>
        <v>422.35101604278083</v>
      </c>
      <c r="G106" s="7">
        <f>VLOOKUP($A106,'2016'!$A$3:$M$138,11,FALSE)</f>
        <v>1366.0763071895408</v>
      </c>
      <c r="H106" s="7">
        <f>VLOOKUP($A106,'2016'!$A$3:$M$138,12,FALSE)</f>
        <v>630.32222222222435</v>
      </c>
      <c r="I106" s="7">
        <f>VLOOKUP($A106,'2016'!$A$3:$M$138,13,FALSE)</f>
        <v>193.8749999999994</v>
      </c>
      <c r="J106" s="7">
        <f t="shared" si="4"/>
        <v>2655.54</v>
      </c>
      <c r="K106" s="20" t="str">
        <f>IFERROR(VLOOKUP($A106,#REF!,7,FALSE),"")</f>
        <v/>
      </c>
      <c r="L106" s="20" t="str">
        <f>IFERROR(VLOOKUP($A106,#REF!,8,FALSE),"")</f>
        <v/>
      </c>
      <c r="M106" s="20" t="str">
        <f>IFERROR(VLOOKUP($A106,#REF!,9,FALSE),"")</f>
        <v/>
      </c>
      <c r="N106" s="20" t="str">
        <f>IFERROR(VLOOKUP($A106,#REF!,10,FALSE),"")</f>
        <v/>
      </c>
      <c r="O106" s="20" t="str">
        <f>IFERROR(VLOOKUP($A106,#REF!,11,FALSE),"")</f>
        <v/>
      </c>
      <c r="P106" s="20">
        <f t="shared" si="5"/>
        <v>0</v>
      </c>
      <c r="Q106" s="28">
        <f t="shared" si="6"/>
        <v>-1</v>
      </c>
      <c r="R106" s="33">
        <f t="shared" si="7"/>
        <v>7051892.6915999996</v>
      </c>
    </row>
    <row r="107" spans="1:18" x14ac:dyDescent="0.25">
      <c r="A107" s="5">
        <v>875</v>
      </c>
      <c r="B107" s="5">
        <v>10</v>
      </c>
      <c r="C107" s="5" t="s">
        <v>0</v>
      </c>
      <c r="D107" s="5">
        <v>5</v>
      </c>
      <c r="E107" s="7">
        <f>VLOOKUP($A107,'2016'!$A$3:$M$138,9,FALSE)</f>
        <v>0</v>
      </c>
      <c r="F107" s="7">
        <f>VLOOKUP($A107,'2016'!$A$3:$M$138,10,FALSE)</f>
        <v>349.75294117647076</v>
      </c>
      <c r="G107" s="7">
        <f>VLOOKUP($A107,'2016'!$A$3:$M$138,11,FALSE)</f>
        <v>1130.2081114551072</v>
      </c>
      <c r="H107" s="7">
        <f>VLOOKUP($A107,'2016'!$A$3:$M$138,12,FALSE)</f>
        <v>525.81894736842321</v>
      </c>
      <c r="I107" s="7">
        <f>VLOOKUP($A107,'2016'!$A$3:$M$138,13,FALSE)</f>
        <v>204.22999999999877</v>
      </c>
      <c r="J107" s="7">
        <f t="shared" si="4"/>
        <v>2210.0099999999998</v>
      </c>
      <c r="K107" s="20" t="str">
        <f>IFERROR(VLOOKUP($A107,#REF!,7,FALSE),"")</f>
        <v/>
      </c>
      <c r="L107" s="20" t="str">
        <f>IFERROR(VLOOKUP($A107,#REF!,8,FALSE),"")</f>
        <v/>
      </c>
      <c r="M107" s="20" t="str">
        <f>IFERROR(VLOOKUP($A107,#REF!,9,FALSE),"")</f>
        <v/>
      </c>
      <c r="N107" s="20" t="str">
        <f>IFERROR(VLOOKUP($A107,#REF!,10,FALSE),"")</f>
        <v/>
      </c>
      <c r="O107" s="20" t="str">
        <f>IFERROR(VLOOKUP($A107,#REF!,11,FALSE),"")</f>
        <v/>
      </c>
      <c r="P107" s="20">
        <f t="shared" si="5"/>
        <v>0</v>
      </c>
      <c r="Q107" s="28">
        <f t="shared" si="6"/>
        <v>-1</v>
      </c>
      <c r="R107" s="33">
        <f t="shared" si="7"/>
        <v>4884144.2000999991</v>
      </c>
    </row>
    <row r="108" spans="1:18" x14ac:dyDescent="0.25">
      <c r="A108" s="5">
        <v>901</v>
      </c>
      <c r="B108" s="5">
        <v>10</v>
      </c>
      <c r="C108" s="5" t="s">
        <v>0</v>
      </c>
      <c r="D108" s="5">
        <v>5</v>
      </c>
      <c r="E108" s="7">
        <f>VLOOKUP($A108,'2016'!$A$3:$M$138,9,FALSE)</f>
        <v>928.20513250726651</v>
      </c>
      <c r="F108" s="7">
        <f>VLOOKUP($A108,'2016'!$A$3:$M$138,10,FALSE)</f>
        <v>3461.2013022753417</v>
      </c>
      <c r="G108" s="7">
        <f>VLOOKUP($A108,'2016'!$A$3:$M$138,11,FALSE)</f>
        <v>6382.5411942339333</v>
      </c>
      <c r="H108" s="7">
        <f>VLOOKUP($A108,'2016'!$A$3:$M$138,12,FALSE)</f>
        <v>3887.4129869254898</v>
      </c>
      <c r="I108" s="7">
        <f>VLOOKUP($A108,'2016'!$A$3:$M$138,13,FALSE)</f>
        <v>2578.0793840579677</v>
      </c>
      <c r="J108" s="7">
        <f t="shared" si="4"/>
        <v>17237.439999999999</v>
      </c>
      <c r="K108" s="20" t="str">
        <f>IFERROR(VLOOKUP($A108,#REF!,7,FALSE),"")</f>
        <v/>
      </c>
      <c r="L108" s="20" t="str">
        <f>IFERROR(VLOOKUP($A108,#REF!,8,FALSE),"")</f>
        <v/>
      </c>
      <c r="M108" s="20" t="str">
        <f>IFERROR(VLOOKUP($A108,#REF!,9,FALSE),"")</f>
        <v/>
      </c>
      <c r="N108" s="20" t="str">
        <f>IFERROR(VLOOKUP($A108,#REF!,10,FALSE),"")</f>
        <v/>
      </c>
      <c r="O108" s="20" t="str">
        <f>IFERROR(VLOOKUP($A108,#REF!,11,FALSE),"")</f>
        <v/>
      </c>
      <c r="P108" s="20">
        <f t="shared" si="5"/>
        <v>0</v>
      </c>
      <c r="Q108" s="28">
        <f t="shared" si="6"/>
        <v>-1</v>
      </c>
      <c r="R108" s="33">
        <f t="shared" si="7"/>
        <v>297129337.75359994</v>
      </c>
    </row>
    <row r="109" spans="1:18" x14ac:dyDescent="0.25">
      <c r="A109" s="5">
        <v>904</v>
      </c>
      <c r="B109" s="5">
        <v>10</v>
      </c>
      <c r="C109" s="5" t="s">
        <v>0</v>
      </c>
      <c r="D109" s="5">
        <v>5</v>
      </c>
      <c r="E109" s="7">
        <f>VLOOKUP($A109,'2016'!$A$3:$M$138,9,FALSE)</f>
        <v>0</v>
      </c>
      <c r="F109" s="7">
        <f>VLOOKUP($A109,'2016'!$A$3:$M$138,10,FALSE)</f>
        <v>0</v>
      </c>
      <c r="G109" s="7">
        <f>VLOOKUP($A109,'2016'!$A$3:$M$138,11,FALSE)</f>
        <v>80.105507878787762</v>
      </c>
      <c r="H109" s="7">
        <f>VLOOKUP($A109,'2016'!$A$3:$M$138,12,FALSE)</f>
        <v>62.954545454545567</v>
      </c>
      <c r="I109" s="7">
        <f>VLOOKUP($A109,'2016'!$A$3:$M$138,13,FALSE)</f>
        <v>0</v>
      </c>
      <c r="J109" s="7">
        <f t="shared" si="4"/>
        <v>143.06005333333331</v>
      </c>
      <c r="K109" s="20" t="str">
        <f>IFERROR(VLOOKUP($A109,#REF!,7,FALSE),"")</f>
        <v/>
      </c>
      <c r="L109" s="20" t="str">
        <f>IFERROR(VLOOKUP($A109,#REF!,8,FALSE),"")</f>
        <v/>
      </c>
      <c r="M109" s="20" t="str">
        <f>IFERROR(VLOOKUP($A109,#REF!,9,FALSE),"")</f>
        <v/>
      </c>
      <c r="N109" s="20" t="str">
        <f>IFERROR(VLOOKUP($A109,#REF!,10,FALSE),"")</f>
        <v/>
      </c>
      <c r="O109" s="20" t="str">
        <f>IFERROR(VLOOKUP($A109,#REF!,11,FALSE),"")</f>
        <v/>
      </c>
      <c r="P109" s="20">
        <f t="shared" si="5"/>
        <v>0</v>
      </c>
      <c r="Q109" s="28">
        <f t="shared" si="6"/>
        <v>-1</v>
      </c>
      <c r="R109" s="33">
        <f t="shared" si="7"/>
        <v>20466.178859736174</v>
      </c>
    </row>
    <row r="110" spans="1:18" x14ac:dyDescent="0.25">
      <c r="A110" s="5">
        <v>905</v>
      </c>
      <c r="B110" s="5">
        <v>10</v>
      </c>
      <c r="C110" s="5" t="s">
        <v>0</v>
      </c>
      <c r="D110" s="5">
        <v>5</v>
      </c>
      <c r="E110" s="7">
        <f>VLOOKUP($A110,'2016'!$A$3:$M$138,9,FALSE)</f>
        <v>1310.7626666666667</v>
      </c>
      <c r="F110" s="7">
        <f>VLOOKUP($A110,'2016'!$A$3:$M$138,10,FALSE)</f>
        <v>2709.1666839826839</v>
      </c>
      <c r="G110" s="7">
        <f>VLOOKUP($A110,'2016'!$A$3:$M$138,11,FALSE)</f>
        <v>4274.8394094150535</v>
      </c>
      <c r="H110" s="7">
        <f>VLOOKUP($A110,'2016'!$A$3:$M$138,12,FALSE)</f>
        <v>3315.5390177133804</v>
      </c>
      <c r="I110" s="7">
        <f>VLOOKUP($A110,'2016'!$A$3:$M$138,13,FALSE)</f>
        <v>824.18222222221652</v>
      </c>
      <c r="J110" s="7">
        <f t="shared" si="4"/>
        <v>12434.49</v>
      </c>
      <c r="K110" s="20" t="str">
        <f>IFERROR(VLOOKUP($A110,#REF!,7,FALSE),"")</f>
        <v/>
      </c>
      <c r="L110" s="20" t="str">
        <f>IFERROR(VLOOKUP($A110,#REF!,8,FALSE),"")</f>
        <v/>
      </c>
      <c r="M110" s="20" t="str">
        <f>IFERROR(VLOOKUP($A110,#REF!,9,FALSE),"")</f>
        <v/>
      </c>
      <c r="N110" s="20" t="str">
        <f>IFERROR(VLOOKUP($A110,#REF!,10,FALSE),"")</f>
        <v/>
      </c>
      <c r="O110" s="20" t="str">
        <f>IFERROR(VLOOKUP($A110,#REF!,11,FALSE),"")</f>
        <v/>
      </c>
      <c r="P110" s="20">
        <f t="shared" si="5"/>
        <v>0</v>
      </c>
      <c r="Q110" s="28">
        <f t="shared" si="6"/>
        <v>-1</v>
      </c>
      <c r="R110" s="33">
        <f t="shared" si="7"/>
        <v>154616541.56009999</v>
      </c>
    </row>
    <row r="111" spans="1:18" x14ac:dyDescent="0.25">
      <c r="A111" s="5">
        <v>906</v>
      </c>
      <c r="B111" s="5">
        <v>10</v>
      </c>
      <c r="C111" s="5" t="s">
        <v>0</v>
      </c>
      <c r="D111" s="5">
        <v>5</v>
      </c>
      <c r="E111" s="7">
        <f>VLOOKUP($A111,'2016'!$A$3:$M$138,9,FALSE)</f>
        <v>486.48642857142858</v>
      </c>
      <c r="F111" s="7">
        <f>VLOOKUP($A111,'2016'!$A$3:$M$138,10,FALSE)</f>
        <v>861.97204968944118</v>
      </c>
      <c r="G111" s="7">
        <f>VLOOKUP($A111,'2016'!$A$3:$M$138,11,FALSE)</f>
        <v>2099.6393539069604</v>
      </c>
      <c r="H111" s="7">
        <f>VLOOKUP($A111,'2016'!$A$3:$M$138,12,FALSE)</f>
        <v>1003.5960041493058</v>
      </c>
      <c r="I111" s="7">
        <f>VLOOKUP($A111,'2016'!$A$3:$M$138,13,FALSE)</f>
        <v>448.60333741167722</v>
      </c>
      <c r="J111" s="7">
        <f t="shared" si="4"/>
        <v>4900.2971737288126</v>
      </c>
      <c r="K111" s="20" t="str">
        <f>IFERROR(VLOOKUP($A111,#REF!,7,FALSE),"")</f>
        <v/>
      </c>
      <c r="L111" s="20" t="str">
        <f>IFERROR(VLOOKUP($A111,#REF!,8,FALSE),"")</f>
        <v/>
      </c>
      <c r="M111" s="20" t="str">
        <f>IFERROR(VLOOKUP($A111,#REF!,9,FALSE),"")</f>
        <v/>
      </c>
      <c r="N111" s="20" t="str">
        <f>IFERROR(VLOOKUP($A111,#REF!,10,FALSE),"")</f>
        <v/>
      </c>
      <c r="O111" s="20" t="str">
        <f>IFERROR(VLOOKUP($A111,#REF!,11,FALSE),"")</f>
        <v/>
      </c>
      <c r="P111" s="20">
        <f t="shared" si="5"/>
        <v>0</v>
      </c>
      <c r="Q111" s="28">
        <f t="shared" si="6"/>
        <v>-1</v>
      </c>
      <c r="R111" s="33">
        <f t="shared" si="7"/>
        <v>24012912.39085459</v>
      </c>
    </row>
    <row r="112" spans="1:18" x14ac:dyDescent="0.25">
      <c r="A112" s="5">
        <v>907</v>
      </c>
      <c r="B112" s="5">
        <v>10</v>
      </c>
      <c r="C112" s="5" t="s">
        <v>0</v>
      </c>
      <c r="D112" s="5">
        <v>5</v>
      </c>
      <c r="E112" s="7">
        <f>VLOOKUP($A112,'2016'!$A$3:$M$138,9,FALSE)</f>
        <v>287.8986363636364</v>
      </c>
      <c r="F112" s="7">
        <f>VLOOKUP($A112,'2016'!$A$3:$M$138,10,FALSE)</f>
        <v>751.9560049019608</v>
      </c>
      <c r="G112" s="7">
        <f>VLOOKUP($A112,'2016'!$A$3:$M$138,11,FALSE)</f>
        <v>2405.17532843137</v>
      </c>
      <c r="H112" s="7">
        <f>VLOOKUP($A112,'2016'!$A$3:$M$138,12,FALSE)</f>
        <v>1147.8239345238137</v>
      </c>
      <c r="I112" s="7">
        <f>VLOOKUP($A112,'2016'!$A$3:$M$138,13,FALSE)</f>
        <v>442.65173984701585</v>
      </c>
      <c r="J112" s="7">
        <f t="shared" si="4"/>
        <v>5035.5056440677963</v>
      </c>
      <c r="K112" s="20" t="str">
        <f>IFERROR(VLOOKUP($A112,#REF!,7,FALSE),"")</f>
        <v/>
      </c>
      <c r="L112" s="20" t="str">
        <f>IFERROR(VLOOKUP($A112,#REF!,8,FALSE),"")</f>
        <v/>
      </c>
      <c r="M112" s="20" t="str">
        <f>IFERROR(VLOOKUP($A112,#REF!,9,FALSE),"")</f>
        <v/>
      </c>
      <c r="N112" s="20" t="str">
        <f>IFERROR(VLOOKUP($A112,#REF!,10,FALSE),"")</f>
        <v/>
      </c>
      <c r="O112" s="20" t="str">
        <f>IFERROR(VLOOKUP($A112,#REF!,11,FALSE),"")</f>
        <v/>
      </c>
      <c r="P112" s="20">
        <f t="shared" si="5"/>
        <v>0</v>
      </c>
      <c r="Q112" s="28">
        <f t="shared" si="6"/>
        <v>-1</v>
      </c>
      <c r="R112" s="33">
        <f t="shared" si="7"/>
        <v>25356317.091438632</v>
      </c>
    </row>
    <row r="113" spans="1:18" x14ac:dyDescent="0.25">
      <c r="A113" s="5">
        <v>916</v>
      </c>
      <c r="B113" s="5">
        <v>10</v>
      </c>
      <c r="C113" s="5" t="s">
        <v>0</v>
      </c>
      <c r="D113" s="5">
        <v>5</v>
      </c>
      <c r="E113" s="7">
        <f>VLOOKUP($A113,'2016'!$A$3:$M$138,9,FALSE)</f>
        <v>9.43</v>
      </c>
      <c r="F113" s="7">
        <f>VLOOKUP($A113,'2016'!$A$3:$M$138,10,FALSE)</f>
        <v>168.24173913043481</v>
      </c>
      <c r="G113" s="7">
        <f>VLOOKUP($A113,'2016'!$A$3:$M$138,11,FALSE)</f>
        <v>429.23730848861135</v>
      </c>
      <c r="H113" s="7">
        <f>VLOOKUP($A113,'2016'!$A$3:$M$138,12,FALSE)</f>
        <v>276.97402930403103</v>
      </c>
      <c r="I113" s="7">
        <f>VLOOKUP($A113,'2016'!$A$3:$M$138,13,FALSE)</f>
        <v>84.056923076922786</v>
      </c>
      <c r="J113" s="7">
        <f t="shared" si="4"/>
        <v>967.93999999999994</v>
      </c>
      <c r="K113" s="20" t="str">
        <f>IFERROR(VLOOKUP($A113,#REF!,7,FALSE),"")</f>
        <v/>
      </c>
      <c r="L113" s="20" t="str">
        <f>IFERROR(VLOOKUP($A113,#REF!,8,FALSE),"")</f>
        <v/>
      </c>
      <c r="M113" s="20" t="str">
        <f>IFERROR(VLOOKUP($A113,#REF!,9,FALSE),"")</f>
        <v/>
      </c>
      <c r="N113" s="20" t="str">
        <f>IFERROR(VLOOKUP($A113,#REF!,10,FALSE),"")</f>
        <v/>
      </c>
      <c r="O113" s="20" t="str">
        <f>IFERROR(VLOOKUP($A113,#REF!,11,FALSE),"")</f>
        <v/>
      </c>
      <c r="P113" s="20">
        <f t="shared" si="5"/>
        <v>0</v>
      </c>
      <c r="Q113" s="28">
        <f t="shared" si="6"/>
        <v>-1</v>
      </c>
      <c r="R113" s="33">
        <f t="shared" si="7"/>
        <v>936907.84359999991</v>
      </c>
    </row>
    <row r="114" spans="1:18" x14ac:dyDescent="0.25">
      <c r="A114" s="5">
        <v>917</v>
      </c>
      <c r="B114" s="5">
        <v>10</v>
      </c>
      <c r="C114" s="5" t="s">
        <v>0</v>
      </c>
      <c r="D114" s="5">
        <v>5</v>
      </c>
      <c r="E114" s="7">
        <f>VLOOKUP($A114,'2016'!$A$3:$M$138,9,FALSE)</f>
        <v>11.68</v>
      </c>
      <c r="F114" s="7">
        <f>VLOOKUP($A114,'2016'!$A$3:$M$138,10,FALSE)</f>
        <v>194.11199999999999</v>
      </c>
      <c r="G114" s="7">
        <f>VLOOKUP($A114,'2016'!$A$3:$M$138,11,FALSE)</f>
        <v>432.01762264150886</v>
      </c>
      <c r="H114" s="7">
        <f>VLOOKUP($A114,'2016'!$A$3:$M$138,12,FALSE)</f>
        <v>314.84679245283121</v>
      </c>
      <c r="I114" s="7">
        <f>VLOOKUP($A114,'2016'!$A$3:$M$138,13,FALSE)</f>
        <v>170.50358490565992</v>
      </c>
      <c r="J114" s="7">
        <f t="shared" si="4"/>
        <v>1123.1600000000001</v>
      </c>
      <c r="K114" s="20" t="str">
        <f>IFERROR(VLOOKUP($A114,#REF!,7,FALSE),"")</f>
        <v/>
      </c>
      <c r="L114" s="20" t="str">
        <f>IFERROR(VLOOKUP($A114,#REF!,8,FALSE),"")</f>
        <v/>
      </c>
      <c r="M114" s="20" t="str">
        <f>IFERROR(VLOOKUP($A114,#REF!,9,FALSE),"")</f>
        <v/>
      </c>
      <c r="N114" s="20" t="str">
        <f>IFERROR(VLOOKUP($A114,#REF!,10,FALSE),"")</f>
        <v/>
      </c>
      <c r="O114" s="20" t="str">
        <f>IFERROR(VLOOKUP($A114,#REF!,11,FALSE),"")</f>
        <v/>
      </c>
      <c r="P114" s="20">
        <f t="shared" si="5"/>
        <v>0</v>
      </c>
      <c r="Q114" s="28">
        <f t="shared" si="6"/>
        <v>-1</v>
      </c>
      <c r="R114" s="33">
        <f t="shared" si="7"/>
        <v>1261488.3856000002</v>
      </c>
    </row>
    <row r="115" spans="1:18" x14ac:dyDescent="0.25">
      <c r="A115" s="5">
        <v>921</v>
      </c>
      <c r="B115" s="5">
        <v>10</v>
      </c>
      <c r="C115" s="5" t="s">
        <v>0</v>
      </c>
      <c r="D115" s="5">
        <v>5</v>
      </c>
      <c r="E115" s="7">
        <f>VLOOKUP($A115,'2016'!$A$3:$M$138,9,FALSE)</f>
        <v>1.4499999999999991</v>
      </c>
      <c r="F115" s="7">
        <f>VLOOKUP($A115,'2016'!$A$3:$M$138,10,FALSE)</f>
        <v>662.70530165066612</v>
      </c>
      <c r="G115" s="7">
        <f>VLOOKUP($A115,'2016'!$A$3:$M$138,11,FALSE)</f>
        <v>1587.6966016606657</v>
      </c>
      <c r="H115" s="7">
        <f>VLOOKUP($A115,'2016'!$A$3:$M$138,12,FALSE)</f>
        <v>931.88877564991174</v>
      </c>
      <c r="I115" s="7">
        <f>VLOOKUP($A115,'2016'!$A$3:$M$138,13,FALSE)</f>
        <v>89.507724039828091</v>
      </c>
      <c r="J115" s="7">
        <f t="shared" si="4"/>
        <v>3273.2484030010714</v>
      </c>
      <c r="K115" s="20" t="str">
        <f>IFERROR(VLOOKUP($A115,#REF!,7,FALSE),"")</f>
        <v/>
      </c>
      <c r="L115" s="20" t="str">
        <f>IFERROR(VLOOKUP($A115,#REF!,8,FALSE),"")</f>
        <v/>
      </c>
      <c r="M115" s="20" t="str">
        <f>IFERROR(VLOOKUP($A115,#REF!,9,FALSE),"")</f>
        <v/>
      </c>
      <c r="N115" s="20" t="str">
        <f>IFERROR(VLOOKUP($A115,#REF!,10,FALSE),"")</f>
        <v/>
      </c>
      <c r="O115" s="20" t="str">
        <f>IFERROR(VLOOKUP($A115,#REF!,11,FALSE),"")</f>
        <v/>
      </c>
      <c r="P115" s="20">
        <f t="shared" si="5"/>
        <v>0</v>
      </c>
      <c r="Q115" s="28">
        <f t="shared" si="6"/>
        <v>-1</v>
      </c>
      <c r="R115" s="33">
        <f t="shared" si="7"/>
        <v>10714155.107749065</v>
      </c>
    </row>
    <row r="116" spans="1:18" x14ac:dyDescent="0.25">
      <c r="A116" s="5">
        <v>923</v>
      </c>
      <c r="B116" s="5">
        <v>10</v>
      </c>
      <c r="C116" s="5" t="s">
        <v>0</v>
      </c>
      <c r="D116" s="5">
        <v>5</v>
      </c>
      <c r="E116" s="7">
        <f>VLOOKUP($A116,'2016'!$A$3:$M$138,9,FALSE)</f>
        <v>55.114673202614341</v>
      </c>
      <c r="F116" s="7">
        <f>VLOOKUP($A116,'2016'!$A$3:$M$138,10,FALSE)</f>
        <v>1023.7602986547964</v>
      </c>
      <c r="G116" s="7">
        <f>VLOOKUP($A116,'2016'!$A$3:$M$138,11,FALSE)</f>
        <v>1609.7466948092544</v>
      </c>
      <c r="H116" s="7">
        <f>VLOOKUP($A116,'2016'!$A$3:$M$138,12,FALSE)</f>
        <v>1087.9541724282449</v>
      </c>
      <c r="I116" s="7">
        <f>VLOOKUP($A116,'2016'!$A$3:$M$138,13,FALSE)</f>
        <v>37.924160905090098</v>
      </c>
      <c r="J116" s="7">
        <f t="shared" si="4"/>
        <v>3814.5</v>
      </c>
      <c r="K116" s="20" t="str">
        <f>IFERROR(VLOOKUP($A116,#REF!,7,FALSE),"")</f>
        <v/>
      </c>
      <c r="L116" s="20" t="str">
        <f>IFERROR(VLOOKUP($A116,#REF!,8,FALSE),"")</f>
        <v/>
      </c>
      <c r="M116" s="20" t="str">
        <f>IFERROR(VLOOKUP($A116,#REF!,9,FALSE),"")</f>
        <v/>
      </c>
      <c r="N116" s="20" t="str">
        <f>IFERROR(VLOOKUP($A116,#REF!,10,FALSE),"")</f>
        <v/>
      </c>
      <c r="O116" s="20" t="str">
        <f>IFERROR(VLOOKUP($A116,#REF!,11,FALSE),"")</f>
        <v/>
      </c>
      <c r="P116" s="20">
        <f t="shared" si="5"/>
        <v>0</v>
      </c>
      <c r="Q116" s="28">
        <f t="shared" si="6"/>
        <v>-1</v>
      </c>
      <c r="R116" s="33">
        <f t="shared" si="7"/>
        <v>14550410.25</v>
      </c>
    </row>
    <row r="117" spans="1:18" x14ac:dyDescent="0.25">
      <c r="A117" s="5">
        <v>928</v>
      </c>
      <c r="B117" s="5">
        <v>10</v>
      </c>
      <c r="C117" s="5" t="s">
        <v>0</v>
      </c>
      <c r="D117" s="5">
        <v>5</v>
      </c>
      <c r="E117" s="7">
        <f>VLOOKUP($A117,'2016'!$A$3:$M$138,9,FALSE)</f>
        <v>86.693055555555532</v>
      </c>
      <c r="F117" s="7">
        <f>VLOOKUP($A117,'2016'!$A$3:$M$138,10,FALSE)</f>
        <v>850.70611111111111</v>
      </c>
      <c r="G117" s="7">
        <f>VLOOKUP($A117,'2016'!$A$3:$M$138,11,FALSE)</f>
        <v>2137.8036240310043</v>
      </c>
      <c r="H117" s="7">
        <f>VLOOKUP($A117,'2016'!$A$3:$M$138,12,FALSE)</f>
        <v>1047.3616829865416</v>
      </c>
      <c r="I117" s="7">
        <f>VLOOKUP($A117,'2016'!$A$3:$M$138,13,FALSE)</f>
        <v>228.42552631578781</v>
      </c>
      <c r="J117" s="7">
        <f t="shared" si="4"/>
        <v>4350.99</v>
      </c>
      <c r="K117" s="20" t="str">
        <f>IFERROR(VLOOKUP($A117,#REF!,7,FALSE),"")</f>
        <v/>
      </c>
      <c r="L117" s="20" t="str">
        <f>IFERROR(VLOOKUP($A117,#REF!,8,FALSE),"")</f>
        <v/>
      </c>
      <c r="M117" s="20" t="str">
        <f>IFERROR(VLOOKUP($A117,#REF!,9,FALSE),"")</f>
        <v/>
      </c>
      <c r="N117" s="20" t="str">
        <f>IFERROR(VLOOKUP($A117,#REF!,10,FALSE),"")</f>
        <v/>
      </c>
      <c r="O117" s="20" t="str">
        <f>IFERROR(VLOOKUP($A117,#REF!,11,FALSE),"")</f>
        <v/>
      </c>
      <c r="P117" s="20">
        <f t="shared" si="5"/>
        <v>0</v>
      </c>
      <c r="Q117" s="28">
        <f t="shared" si="6"/>
        <v>-1</v>
      </c>
      <c r="R117" s="33">
        <f t="shared" si="7"/>
        <v>18931113.980099998</v>
      </c>
    </row>
    <row r="118" spans="1:18" x14ac:dyDescent="0.25">
      <c r="A118" s="5">
        <v>929</v>
      </c>
      <c r="B118" s="5">
        <v>10</v>
      </c>
      <c r="C118" s="5" t="s">
        <v>0</v>
      </c>
      <c r="D118" s="5">
        <v>5</v>
      </c>
      <c r="E118" s="7">
        <f>VLOOKUP($A118,'2016'!$A$3:$M$138,9,FALSE)</f>
        <v>719.4951116813296</v>
      </c>
      <c r="F118" s="7">
        <f>VLOOKUP($A118,'2016'!$A$3:$M$138,10,FALSE)</f>
        <v>3786.0984409502494</v>
      </c>
      <c r="G118" s="7">
        <f>VLOOKUP($A118,'2016'!$A$3:$M$138,11,FALSE)</f>
        <v>10663.480097781043</v>
      </c>
      <c r="H118" s="7">
        <f>VLOOKUP($A118,'2016'!$A$3:$M$138,12,FALSE)</f>
        <v>5003.3880897754361</v>
      </c>
      <c r="I118" s="7">
        <f>VLOOKUP($A118,'2016'!$A$3:$M$138,13,FALSE)</f>
        <v>3092.8307979237379</v>
      </c>
      <c r="J118" s="7">
        <f t="shared" si="4"/>
        <v>23265.292538111797</v>
      </c>
      <c r="K118" s="20" t="str">
        <f>IFERROR(VLOOKUP($A118,#REF!,7,FALSE),"")</f>
        <v/>
      </c>
      <c r="L118" s="20" t="str">
        <f>IFERROR(VLOOKUP($A118,#REF!,8,FALSE),"")</f>
        <v/>
      </c>
      <c r="M118" s="20" t="str">
        <f>IFERROR(VLOOKUP($A118,#REF!,9,FALSE),"")</f>
        <v/>
      </c>
      <c r="N118" s="20" t="str">
        <f>IFERROR(VLOOKUP($A118,#REF!,10,FALSE),"")</f>
        <v/>
      </c>
      <c r="O118" s="20" t="str">
        <f>IFERROR(VLOOKUP($A118,#REF!,11,FALSE),"")</f>
        <v/>
      </c>
      <c r="P118" s="20">
        <f t="shared" si="5"/>
        <v>0</v>
      </c>
      <c r="Q118" s="28">
        <f t="shared" si="6"/>
        <v>-1</v>
      </c>
      <c r="R118" s="33">
        <f t="shared" si="7"/>
        <v>541273836.88392043</v>
      </c>
    </row>
    <row r="119" spans="1:18" x14ac:dyDescent="0.25">
      <c r="A119" s="5">
        <v>932</v>
      </c>
      <c r="B119" s="5">
        <v>10</v>
      </c>
      <c r="C119" s="5" t="s">
        <v>0</v>
      </c>
      <c r="D119" s="5">
        <v>5</v>
      </c>
      <c r="E119" s="7">
        <f>VLOOKUP($A119,'2016'!$A$3:$M$138,9,FALSE)</f>
        <v>236.31586956521738</v>
      </c>
      <c r="F119" s="7">
        <f>VLOOKUP($A119,'2016'!$A$3:$M$138,10,FALSE)</f>
        <v>1427.8454798853322</v>
      </c>
      <c r="G119" s="7">
        <f>VLOOKUP($A119,'2016'!$A$3:$M$138,11,FALSE)</f>
        <v>5184.51686796799</v>
      </c>
      <c r="H119" s="7">
        <f>VLOOKUP($A119,'2016'!$A$3:$M$138,12,FALSE)</f>
        <v>2192.4405202262747</v>
      </c>
      <c r="I119" s="7">
        <f>VLOOKUP($A119,'2016'!$A$3:$M$138,13,FALSE)</f>
        <v>716.98126235518544</v>
      </c>
      <c r="J119" s="7">
        <f t="shared" si="4"/>
        <v>9758.1</v>
      </c>
      <c r="K119" s="20" t="str">
        <f>IFERROR(VLOOKUP($A119,#REF!,7,FALSE),"")</f>
        <v/>
      </c>
      <c r="L119" s="20" t="str">
        <f>IFERROR(VLOOKUP($A119,#REF!,8,FALSE),"")</f>
        <v/>
      </c>
      <c r="M119" s="20" t="str">
        <f>IFERROR(VLOOKUP($A119,#REF!,9,FALSE),"")</f>
        <v/>
      </c>
      <c r="N119" s="20" t="str">
        <f>IFERROR(VLOOKUP($A119,#REF!,10,FALSE),"")</f>
        <v/>
      </c>
      <c r="O119" s="20" t="str">
        <f>IFERROR(VLOOKUP($A119,#REF!,11,FALSE),"")</f>
        <v/>
      </c>
      <c r="P119" s="20">
        <f t="shared" si="5"/>
        <v>0</v>
      </c>
      <c r="Q119" s="28">
        <f t="shared" si="6"/>
        <v>-1</v>
      </c>
      <c r="R119" s="33">
        <f t="shared" si="7"/>
        <v>95220515.610000014</v>
      </c>
    </row>
    <row r="120" spans="1:18" x14ac:dyDescent="0.25">
      <c r="A120" s="5">
        <v>933</v>
      </c>
      <c r="B120" s="5">
        <v>10</v>
      </c>
      <c r="C120" s="5" t="s">
        <v>0</v>
      </c>
      <c r="D120" s="5">
        <v>5</v>
      </c>
      <c r="E120" s="7">
        <f>VLOOKUP($A120,'2016'!$A$3:$M$138,9,FALSE)</f>
        <v>292.95622807017543</v>
      </c>
      <c r="F120" s="7">
        <f>VLOOKUP($A120,'2016'!$A$3:$M$138,10,FALSE)</f>
        <v>1678.4134688995211</v>
      </c>
      <c r="G120" s="7">
        <f>VLOOKUP($A120,'2016'!$A$3:$M$138,11,FALSE)</f>
        <v>4236.368933167284</v>
      </c>
      <c r="H120" s="7">
        <f>VLOOKUP($A120,'2016'!$A$3:$M$138,12,FALSE)</f>
        <v>2112.2662966005714</v>
      </c>
      <c r="I120" s="7">
        <f>VLOOKUP($A120,'2016'!$A$3:$M$138,13,FALSE)</f>
        <v>805.32706771748178</v>
      </c>
      <c r="J120" s="7">
        <f t="shared" si="4"/>
        <v>9125.3319944550349</v>
      </c>
      <c r="K120" s="20" t="str">
        <f>IFERROR(VLOOKUP($A120,#REF!,7,FALSE),"")</f>
        <v/>
      </c>
      <c r="L120" s="20" t="str">
        <f>IFERROR(VLOOKUP($A120,#REF!,8,FALSE),"")</f>
        <v/>
      </c>
      <c r="M120" s="20" t="str">
        <f>IFERROR(VLOOKUP($A120,#REF!,9,FALSE),"")</f>
        <v/>
      </c>
      <c r="N120" s="20" t="str">
        <f>IFERROR(VLOOKUP($A120,#REF!,10,FALSE),"")</f>
        <v/>
      </c>
      <c r="O120" s="20" t="str">
        <f>IFERROR(VLOOKUP($A120,#REF!,11,FALSE),"")</f>
        <v/>
      </c>
      <c r="P120" s="20">
        <f t="shared" si="5"/>
        <v>0</v>
      </c>
      <c r="Q120" s="28">
        <f t="shared" si="6"/>
        <v>-1</v>
      </c>
      <c r="R120" s="33">
        <f t="shared" si="7"/>
        <v>83271684.009024709</v>
      </c>
    </row>
    <row r="121" spans="1:18" x14ac:dyDescent="0.25">
      <c r="A121" s="5">
        <v>934</v>
      </c>
      <c r="B121" s="5">
        <v>10</v>
      </c>
      <c r="C121" s="5" t="s">
        <v>0</v>
      </c>
      <c r="D121" s="5">
        <v>5</v>
      </c>
      <c r="E121" s="7">
        <f>VLOOKUP($A121,'2016'!$A$3:$M$138,9,FALSE)</f>
        <v>259.61142857142846</v>
      </c>
      <c r="F121" s="7">
        <f>VLOOKUP($A121,'2016'!$A$3:$M$138,10,FALSE)</f>
        <v>1800.6908652335569</v>
      </c>
      <c r="G121" s="7">
        <f>VLOOKUP($A121,'2016'!$A$3:$M$138,11,FALSE)</f>
        <v>3593.4308075648723</v>
      </c>
      <c r="H121" s="7">
        <f>VLOOKUP($A121,'2016'!$A$3:$M$138,12,FALSE)</f>
        <v>2030.3110134315541</v>
      </c>
      <c r="I121" s="7">
        <f>VLOOKUP($A121,'2016'!$A$3:$M$138,13,FALSE)</f>
        <v>810.72994515353446</v>
      </c>
      <c r="J121" s="7">
        <f t="shared" si="4"/>
        <v>8494.7740599549452</v>
      </c>
      <c r="K121" s="20" t="str">
        <f>IFERROR(VLOOKUP($A121,#REF!,7,FALSE),"")</f>
        <v/>
      </c>
      <c r="L121" s="20" t="str">
        <f>IFERROR(VLOOKUP($A121,#REF!,8,FALSE),"")</f>
        <v/>
      </c>
      <c r="M121" s="20" t="str">
        <f>IFERROR(VLOOKUP($A121,#REF!,9,FALSE),"")</f>
        <v/>
      </c>
      <c r="N121" s="20" t="str">
        <f>IFERROR(VLOOKUP($A121,#REF!,10,FALSE),"")</f>
        <v/>
      </c>
      <c r="O121" s="20" t="str">
        <f>IFERROR(VLOOKUP($A121,#REF!,11,FALSE),"")</f>
        <v/>
      </c>
      <c r="P121" s="20">
        <f t="shared" si="5"/>
        <v>0</v>
      </c>
      <c r="Q121" s="28">
        <f t="shared" si="6"/>
        <v>-1</v>
      </c>
      <c r="R121" s="33">
        <f t="shared" si="7"/>
        <v>72161186.329683423</v>
      </c>
    </row>
    <row r="122" spans="1:18" x14ac:dyDescent="0.25">
      <c r="A122" s="5">
        <v>936</v>
      </c>
      <c r="B122" s="5">
        <v>10</v>
      </c>
      <c r="C122" s="5" t="s">
        <v>0</v>
      </c>
      <c r="D122" s="5">
        <v>5</v>
      </c>
      <c r="E122" s="7">
        <f>VLOOKUP($A122,'2016'!$A$3:$M$138,9,FALSE)</f>
        <v>78.647821428571433</v>
      </c>
      <c r="F122" s="7">
        <f>VLOOKUP($A122,'2016'!$A$3:$M$138,10,FALSE)</f>
        <v>824.12818812418584</v>
      </c>
      <c r="G122" s="7">
        <f>VLOOKUP($A122,'2016'!$A$3:$M$138,11,FALSE)</f>
        <v>1924.4891279805133</v>
      </c>
      <c r="H122" s="7">
        <f>VLOOKUP($A122,'2016'!$A$3:$M$138,12,FALSE)</f>
        <v>1050.1205213814592</v>
      </c>
      <c r="I122" s="7">
        <f>VLOOKUP($A122,'2016'!$A$3:$M$138,13,FALSE)</f>
        <v>518.90434108526949</v>
      </c>
      <c r="J122" s="7">
        <f t="shared" si="4"/>
        <v>4396.2899999999991</v>
      </c>
      <c r="K122" s="20" t="str">
        <f>IFERROR(VLOOKUP($A122,#REF!,7,FALSE),"")</f>
        <v/>
      </c>
      <c r="L122" s="20" t="str">
        <f>IFERROR(VLOOKUP($A122,#REF!,8,FALSE),"")</f>
        <v/>
      </c>
      <c r="M122" s="20" t="str">
        <f>IFERROR(VLOOKUP($A122,#REF!,9,FALSE),"")</f>
        <v/>
      </c>
      <c r="N122" s="20" t="str">
        <f>IFERROR(VLOOKUP($A122,#REF!,10,FALSE),"")</f>
        <v/>
      </c>
      <c r="O122" s="20" t="str">
        <f>IFERROR(VLOOKUP($A122,#REF!,11,FALSE),"")</f>
        <v/>
      </c>
      <c r="P122" s="20">
        <f t="shared" si="5"/>
        <v>0</v>
      </c>
      <c r="Q122" s="28">
        <f t="shared" si="6"/>
        <v>-1</v>
      </c>
      <c r="R122" s="33">
        <f t="shared" si="7"/>
        <v>19327365.764099993</v>
      </c>
    </row>
    <row r="123" spans="1:18" x14ac:dyDescent="0.25">
      <c r="A123" s="5">
        <v>944</v>
      </c>
      <c r="B123" s="5">
        <v>10</v>
      </c>
      <c r="C123" s="5" t="s">
        <v>0</v>
      </c>
      <c r="D123" s="5">
        <v>5</v>
      </c>
      <c r="E123" s="7">
        <f>VLOOKUP($A123,'2016'!$A$3:$M$138,9,FALSE)</f>
        <v>11.74</v>
      </c>
      <c r="F123" s="7">
        <f>VLOOKUP($A123,'2016'!$A$3:$M$138,10,FALSE)</f>
        <v>200.44</v>
      </c>
      <c r="G123" s="7">
        <f>VLOOKUP($A123,'2016'!$A$3:$M$138,11,FALSE)</f>
        <v>304.77249999999924</v>
      </c>
      <c r="H123" s="7">
        <f>VLOOKUP($A123,'2016'!$A$3:$M$138,12,FALSE)</f>
        <v>225.90750000000108</v>
      </c>
      <c r="I123" s="7">
        <f>VLOOKUP($A123,'2016'!$A$3:$M$138,13,FALSE)</f>
        <v>4.9699999999996551</v>
      </c>
      <c r="J123" s="7">
        <f t="shared" si="4"/>
        <v>747.82999999999993</v>
      </c>
      <c r="K123" s="20" t="str">
        <f>IFERROR(VLOOKUP($A123,#REF!,7,FALSE),"")</f>
        <v/>
      </c>
      <c r="L123" s="20" t="str">
        <f>IFERROR(VLOOKUP($A123,#REF!,8,FALSE),"")</f>
        <v/>
      </c>
      <c r="M123" s="20" t="str">
        <f>IFERROR(VLOOKUP($A123,#REF!,9,FALSE),"")</f>
        <v/>
      </c>
      <c r="N123" s="20" t="str">
        <f>IFERROR(VLOOKUP($A123,#REF!,10,FALSE),"")</f>
        <v/>
      </c>
      <c r="O123" s="20" t="str">
        <f>IFERROR(VLOOKUP($A123,#REF!,11,FALSE),"")</f>
        <v/>
      </c>
      <c r="P123" s="20">
        <f t="shared" si="5"/>
        <v>0</v>
      </c>
      <c r="Q123" s="28">
        <f t="shared" si="6"/>
        <v>-1</v>
      </c>
      <c r="R123" s="33">
        <f t="shared" si="7"/>
        <v>559249.70889999985</v>
      </c>
    </row>
    <row r="124" spans="1:18" x14ac:dyDescent="0.25">
      <c r="A124" s="5">
        <v>945</v>
      </c>
      <c r="B124" s="5">
        <v>10</v>
      </c>
      <c r="C124" s="5" t="s">
        <v>0</v>
      </c>
      <c r="D124" s="5">
        <v>5</v>
      </c>
      <c r="E124" s="7">
        <f>VLOOKUP($A124,'2016'!$A$3:$M$138,9,FALSE)</f>
        <v>38.848961038961008</v>
      </c>
      <c r="F124" s="7">
        <f>VLOOKUP($A124,'2016'!$A$3:$M$138,10,FALSE)</f>
        <v>747</v>
      </c>
      <c r="G124" s="7">
        <f>VLOOKUP($A124,'2016'!$A$3:$M$138,11,FALSE)</f>
        <v>1224</v>
      </c>
      <c r="H124" s="7">
        <f>VLOOKUP($A124,'2016'!$A$3:$M$138,12,FALSE)</f>
        <v>644</v>
      </c>
      <c r="I124" s="7">
        <f>VLOOKUP($A124,'2016'!$A$3:$M$138,13,FALSE)</f>
        <v>38.36442583731943</v>
      </c>
      <c r="J124" s="7">
        <f t="shared" si="4"/>
        <v>2692.2133868762803</v>
      </c>
      <c r="K124" s="20" t="str">
        <f>IFERROR(VLOOKUP($A124,#REF!,7,FALSE),"")</f>
        <v/>
      </c>
      <c r="L124" s="20" t="str">
        <f>IFERROR(VLOOKUP($A124,#REF!,8,FALSE),"")</f>
        <v/>
      </c>
      <c r="M124" s="20" t="str">
        <f>IFERROR(VLOOKUP($A124,#REF!,9,FALSE),"")</f>
        <v/>
      </c>
      <c r="N124" s="20" t="str">
        <f>IFERROR(VLOOKUP($A124,#REF!,10,FALSE),"")</f>
        <v/>
      </c>
      <c r="O124" s="20" t="str">
        <f>IFERROR(VLOOKUP($A124,#REF!,11,FALSE),"")</f>
        <v/>
      </c>
      <c r="P124" s="20">
        <f t="shared" si="5"/>
        <v>0</v>
      </c>
      <c r="Q124" s="28">
        <f t="shared" si="6"/>
        <v>-1</v>
      </c>
      <c r="R124" s="33">
        <f t="shared" si="7"/>
        <v>7248012.9204758517</v>
      </c>
    </row>
    <row r="125" spans="1:18" x14ac:dyDescent="0.25">
      <c r="A125" s="5">
        <v>955</v>
      </c>
      <c r="B125" s="5">
        <v>10</v>
      </c>
      <c r="C125" s="5" t="s">
        <v>0</v>
      </c>
      <c r="D125" s="5">
        <v>5</v>
      </c>
      <c r="E125" s="7">
        <f>VLOOKUP($A125,'2016'!$A$3:$M$138,9,FALSE)</f>
        <v>298.7849318181818</v>
      </c>
      <c r="F125" s="7">
        <f>VLOOKUP($A125,'2016'!$A$3:$M$138,10,FALSE)</f>
        <v>2228.9067707085756</v>
      </c>
      <c r="G125" s="7">
        <f>VLOOKUP($A125,'2016'!$A$3:$M$138,11,FALSE)</f>
        <v>5175.7888147146141</v>
      </c>
      <c r="H125" s="7">
        <f>VLOOKUP($A125,'2016'!$A$3:$M$138,12,FALSE)</f>
        <v>2814.3845371853381</v>
      </c>
      <c r="I125" s="7">
        <f>VLOOKUP($A125,'2016'!$A$3:$M$138,13,FALSE)</f>
        <v>1096.37494557329</v>
      </c>
      <c r="J125" s="7">
        <f t="shared" si="4"/>
        <v>11614.24</v>
      </c>
      <c r="K125" s="20" t="str">
        <f>IFERROR(VLOOKUP($A125,#REF!,7,FALSE),"")</f>
        <v/>
      </c>
      <c r="L125" s="20" t="str">
        <f>IFERROR(VLOOKUP($A125,#REF!,8,FALSE),"")</f>
        <v/>
      </c>
      <c r="M125" s="20" t="str">
        <f>IFERROR(VLOOKUP($A125,#REF!,9,FALSE),"")</f>
        <v/>
      </c>
      <c r="N125" s="20" t="str">
        <f>IFERROR(VLOOKUP($A125,#REF!,10,FALSE),"")</f>
        <v/>
      </c>
      <c r="O125" s="20" t="str">
        <f>IFERROR(VLOOKUP($A125,#REF!,11,FALSE),"")</f>
        <v/>
      </c>
      <c r="P125" s="20">
        <f t="shared" si="5"/>
        <v>0</v>
      </c>
      <c r="Q125" s="28">
        <f t="shared" si="6"/>
        <v>-1</v>
      </c>
      <c r="R125" s="33">
        <f t="shared" si="7"/>
        <v>134890570.77759999</v>
      </c>
    </row>
    <row r="126" spans="1:18" x14ac:dyDescent="0.25">
      <c r="A126" s="5">
        <v>961</v>
      </c>
      <c r="B126" s="5">
        <v>10</v>
      </c>
      <c r="C126" s="5" t="s">
        <v>0</v>
      </c>
      <c r="D126" s="5">
        <v>5</v>
      </c>
      <c r="E126" s="7">
        <f>VLOOKUP($A126,'2016'!$A$3:$M$138,9,FALSE)</f>
        <v>161.214305832148</v>
      </c>
      <c r="F126" s="7">
        <f>VLOOKUP($A126,'2016'!$A$3:$M$138,10,FALSE)</f>
        <v>1086.8412994310102</v>
      </c>
      <c r="G126" s="7">
        <f>VLOOKUP($A126,'2016'!$A$3:$M$138,11,FALSE)</f>
        <v>2674.2340091159235</v>
      </c>
      <c r="H126" s="7">
        <f>VLOOKUP($A126,'2016'!$A$3:$M$138,12,FALSE)</f>
        <v>1597.9488734257995</v>
      </c>
      <c r="I126" s="7">
        <f>VLOOKUP($A126,'2016'!$A$3:$M$138,13,FALSE)</f>
        <v>538.94151219511923</v>
      </c>
      <c r="J126" s="7">
        <f t="shared" si="4"/>
        <v>6059.18</v>
      </c>
      <c r="K126" s="20" t="str">
        <f>IFERROR(VLOOKUP($A126,#REF!,7,FALSE),"")</f>
        <v/>
      </c>
      <c r="L126" s="20" t="str">
        <f>IFERROR(VLOOKUP($A126,#REF!,8,FALSE),"")</f>
        <v/>
      </c>
      <c r="M126" s="20" t="str">
        <f>IFERROR(VLOOKUP($A126,#REF!,9,FALSE),"")</f>
        <v/>
      </c>
      <c r="N126" s="20" t="str">
        <f>IFERROR(VLOOKUP($A126,#REF!,10,FALSE),"")</f>
        <v/>
      </c>
      <c r="O126" s="20" t="str">
        <f>IFERROR(VLOOKUP($A126,#REF!,11,FALSE),"")</f>
        <v/>
      </c>
      <c r="P126" s="20">
        <f t="shared" si="5"/>
        <v>0</v>
      </c>
      <c r="Q126" s="28">
        <f t="shared" si="6"/>
        <v>-1</v>
      </c>
      <c r="R126" s="33">
        <f t="shared" si="7"/>
        <v>36713662.272400007</v>
      </c>
    </row>
    <row r="127" spans="1:18" x14ac:dyDescent="0.25">
      <c r="A127" s="5">
        <v>962</v>
      </c>
      <c r="B127" s="5">
        <v>10</v>
      </c>
      <c r="C127" s="5" t="s">
        <v>0</v>
      </c>
      <c r="D127" s="5">
        <v>5</v>
      </c>
      <c r="E127" s="7">
        <f>VLOOKUP($A127,'2016'!$A$3:$M$138,9,FALSE)</f>
        <v>102.67834453781514</v>
      </c>
      <c r="F127" s="7">
        <f>VLOOKUP($A127,'2016'!$A$3:$M$138,10,FALSE)</f>
        <v>883.86620674423602</v>
      </c>
      <c r="G127" s="7">
        <f>VLOOKUP($A127,'2016'!$A$3:$M$138,11,FALSE)</f>
        <v>1995.7826089966909</v>
      </c>
      <c r="H127" s="7">
        <f>VLOOKUP($A127,'2016'!$A$3:$M$138,12,FALSE)</f>
        <v>1081.3973262077459</v>
      </c>
      <c r="I127" s="7">
        <f>VLOOKUP($A127,'2016'!$A$3:$M$138,13,FALSE)</f>
        <v>363.035513513512</v>
      </c>
      <c r="J127" s="7">
        <f t="shared" si="4"/>
        <v>4426.76</v>
      </c>
      <c r="K127" s="20" t="str">
        <f>IFERROR(VLOOKUP($A127,#REF!,7,FALSE),"")</f>
        <v/>
      </c>
      <c r="L127" s="20" t="str">
        <f>IFERROR(VLOOKUP($A127,#REF!,8,FALSE),"")</f>
        <v/>
      </c>
      <c r="M127" s="20" t="str">
        <f>IFERROR(VLOOKUP($A127,#REF!,9,FALSE),"")</f>
        <v/>
      </c>
      <c r="N127" s="20" t="str">
        <f>IFERROR(VLOOKUP($A127,#REF!,10,FALSE),"")</f>
        <v/>
      </c>
      <c r="O127" s="20" t="str">
        <f>IFERROR(VLOOKUP($A127,#REF!,11,FALSE),"")</f>
        <v/>
      </c>
      <c r="P127" s="20">
        <f t="shared" si="5"/>
        <v>0</v>
      </c>
      <c r="Q127" s="28">
        <f t="shared" si="6"/>
        <v>-1</v>
      </c>
      <c r="R127" s="33">
        <f t="shared" si="7"/>
        <v>19596204.097600002</v>
      </c>
    </row>
    <row r="128" spans="1:18" x14ac:dyDescent="0.25">
      <c r="A128" s="5">
        <v>963</v>
      </c>
      <c r="B128" s="5">
        <v>10</v>
      </c>
      <c r="C128" s="5" t="s">
        <v>0</v>
      </c>
      <c r="D128" s="5">
        <v>5</v>
      </c>
      <c r="E128" s="7">
        <f>VLOOKUP($A128,'2016'!$A$3:$M$138,9,FALSE)</f>
        <v>17.915263157894724</v>
      </c>
      <c r="F128" s="7">
        <f>VLOOKUP($A128,'2016'!$A$3:$M$138,10,FALSE)</f>
        <v>259.65935222672067</v>
      </c>
      <c r="G128" s="7">
        <f>VLOOKUP($A128,'2016'!$A$3:$M$138,11,FALSE)</f>
        <v>881.02855702917623</v>
      </c>
      <c r="H128" s="7">
        <f>VLOOKUP($A128,'2016'!$A$3:$M$138,12,FALSE)</f>
        <v>473.88182758620906</v>
      </c>
      <c r="I128" s="7">
        <f>VLOOKUP($A128,'2016'!$A$3:$M$138,13,FALSE)</f>
        <v>146.35499999999905</v>
      </c>
      <c r="J128" s="7">
        <f t="shared" si="4"/>
        <v>1778.8399999999997</v>
      </c>
      <c r="K128" s="20" t="str">
        <f>IFERROR(VLOOKUP($A128,#REF!,7,FALSE),"")</f>
        <v/>
      </c>
      <c r="L128" s="20" t="str">
        <f>IFERROR(VLOOKUP($A128,#REF!,8,FALSE),"")</f>
        <v/>
      </c>
      <c r="M128" s="20" t="str">
        <f>IFERROR(VLOOKUP($A128,#REF!,9,FALSE),"")</f>
        <v/>
      </c>
      <c r="N128" s="20" t="str">
        <f>IFERROR(VLOOKUP($A128,#REF!,10,FALSE),"")</f>
        <v/>
      </c>
      <c r="O128" s="20" t="str">
        <f>IFERROR(VLOOKUP($A128,#REF!,11,FALSE),"")</f>
        <v/>
      </c>
      <c r="P128" s="20">
        <f t="shared" si="5"/>
        <v>0</v>
      </c>
      <c r="Q128" s="28">
        <f t="shared" si="6"/>
        <v>-1</v>
      </c>
      <c r="R128" s="33">
        <f t="shared" si="7"/>
        <v>3164271.7455999991</v>
      </c>
    </row>
    <row r="129" spans="1:18" x14ac:dyDescent="0.25">
      <c r="A129" s="5">
        <v>964</v>
      </c>
      <c r="B129" s="5">
        <v>10</v>
      </c>
      <c r="C129" s="5" t="s">
        <v>0</v>
      </c>
      <c r="D129" s="5">
        <v>5</v>
      </c>
      <c r="E129" s="7">
        <f>VLOOKUP($A129,'2016'!$A$3:$M$138,9,FALSE)</f>
        <v>16.968965517241344</v>
      </c>
      <c r="F129" s="7">
        <f>VLOOKUP($A129,'2016'!$A$3:$M$138,10,FALSE)</f>
        <v>318.8430344827587</v>
      </c>
      <c r="G129" s="7">
        <f>VLOOKUP($A129,'2016'!$A$3:$M$138,11,FALSE)</f>
        <v>572.1540306451609</v>
      </c>
      <c r="H129" s="7">
        <f>VLOOKUP($A129,'2016'!$A$3:$M$138,12,FALSE)</f>
        <v>325.44540483871043</v>
      </c>
      <c r="I129" s="7">
        <f>VLOOKUP($A129,'2016'!$A$3:$M$138,13,FALSE)</f>
        <v>69.264370967741669</v>
      </c>
      <c r="J129" s="7">
        <f t="shared" si="4"/>
        <v>1302.675806451613</v>
      </c>
      <c r="K129" s="20" t="str">
        <f>IFERROR(VLOOKUP($A129,#REF!,7,FALSE),"")</f>
        <v/>
      </c>
      <c r="L129" s="20" t="str">
        <f>IFERROR(VLOOKUP($A129,#REF!,8,FALSE),"")</f>
        <v/>
      </c>
      <c r="M129" s="20" t="str">
        <f>IFERROR(VLOOKUP($A129,#REF!,9,FALSE),"")</f>
        <v/>
      </c>
      <c r="N129" s="20" t="str">
        <f>IFERROR(VLOOKUP($A129,#REF!,10,FALSE),"")</f>
        <v/>
      </c>
      <c r="O129" s="20" t="str">
        <f>IFERROR(VLOOKUP($A129,#REF!,11,FALSE),"")</f>
        <v/>
      </c>
      <c r="P129" s="20">
        <f t="shared" si="5"/>
        <v>0</v>
      </c>
      <c r="Q129" s="28">
        <f t="shared" si="6"/>
        <v>-1</v>
      </c>
      <c r="R129" s="33">
        <f t="shared" si="7"/>
        <v>1696964.2567143603</v>
      </c>
    </row>
    <row r="130" spans="1:18" x14ac:dyDescent="0.25">
      <c r="A130" s="5">
        <v>965</v>
      </c>
      <c r="B130" s="5">
        <v>10</v>
      </c>
      <c r="C130" s="5" t="s">
        <v>0</v>
      </c>
      <c r="D130" s="5">
        <v>5</v>
      </c>
      <c r="E130" s="7">
        <f>VLOOKUP($A130,'2016'!$A$3:$M$138,9,FALSE)</f>
        <v>33.47</v>
      </c>
      <c r="F130" s="7">
        <f>VLOOKUP($A130,'2016'!$A$3:$M$138,10,FALSE)</f>
        <v>126.53916666666672</v>
      </c>
      <c r="G130" s="7">
        <f>VLOOKUP($A130,'2016'!$A$3:$M$138,11,FALSE)</f>
        <v>195.31261904761877</v>
      </c>
      <c r="H130" s="7">
        <f>VLOOKUP($A130,'2016'!$A$3:$M$138,12,FALSE)</f>
        <v>135.96206043956079</v>
      </c>
      <c r="I130" s="7">
        <f>VLOOKUP($A130,'2016'!$A$3:$M$138,13,FALSE)</f>
        <v>37.786153846153702</v>
      </c>
      <c r="J130" s="7">
        <f t="shared" si="4"/>
        <v>529.07000000000005</v>
      </c>
      <c r="K130" s="20" t="str">
        <f>IFERROR(VLOOKUP($A130,#REF!,7,FALSE),"")</f>
        <v/>
      </c>
      <c r="L130" s="20" t="str">
        <f>IFERROR(VLOOKUP($A130,#REF!,8,FALSE),"")</f>
        <v/>
      </c>
      <c r="M130" s="20" t="str">
        <f>IFERROR(VLOOKUP($A130,#REF!,9,FALSE),"")</f>
        <v/>
      </c>
      <c r="N130" s="20" t="str">
        <f>IFERROR(VLOOKUP($A130,#REF!,10,FALSE),"")</f>
        <v/>
      </c>
      <c r="O130" s="20" t="str">
        <f>IFERROR(VLOOKUP($A130,#REF!,11,FALSE),"")</f>
        <v/>
      </c>
      <c r="P130" s="20">
        <f t="shared" si="5"/>
        <v>0</v>
      </c>
      <c r="Q130" s="28">
        <f t="shared" si="6"/>
        <v>-1</v>
      </c>
      <c r="R130" s="33">
        <f t="shared" si="7"/>
        <v>279915.06490000006</v>
      </c>
    </row>
    <row r="131" spans="1:18" x14ac:dyDescent="0.25">
      <c r="A131" s="5">
        <v>967</v>
      </c>
      <c r="B131" s="5">
        <v>10</v>
      </c>
      <c r="C131" s="5" t="s">
        <v>0</v>
      </c>
      <c r="D131" s="5">
        <v>5</v>
      </c>
      <c r="E131" s="7">
        <f>VLOOKUP($A131,'2016'!$A$3:$M$138,9,FALSE)</f>
        <v>5.1100000000000003</v>
      </c>
      <c r="F131" s="7">
        <f>VLOOKUP($A131,'2016'!$A$3:$M$138,10,FALSE)</f>
        <v>165.71</v>
      </c>
      <c r="G131" s="7">
        <f>VLOOKUP($A131,'2016'!$A$3:$M$138,11,FALSE)</f>
        <v>282.86651162790645</v>
      </c>
      <c r="H131" s="7">
        <f>VLOOKUP($A131,'2016'!$A$3:$M$138,12,FALSE)</f>
        <v>134.96348837209356</v>
      </c>
      <c r="I131" s="7">
        <f>VLOOKUP($A131,'2016'!$A$3:$M$138,13,FALSE)</f>
        <v>63.97</v>
      </c>
      <c r="J131" s="7">
        <f>SUM(E131:I131)</f>
        <v>652.62000000000012</v>
      </c>
      <c r="K131" s="20" t="str">
        <f>IFERROR(VLOOKUP($A131,#REF!,7,FALSE),"")</f>
        <v/>
      </c>
      <c r="L131" s="20" t="str">
        <f>IFERROR(VLOOKUP($A131,#REF!,8,FALSE),"")</f>
        <v/>
      </c>
      <c r="M131" s="20" t="str">
        <f>IFERROR(VLOOKUP($A131,#REF!,9,FALSE),"")</f>
        <v/>
      </c>
      <c r="N131" s="20" t="str">
        <f>IFERROR(VLOOKUP($A131,#REF!,10,FALSE),"")</f>
        <v/>
      </c>
      <c r="O131" s="20" t="str">
        <f>IFERROR(VLOOKUP($A131,#REF!,11,FALSE),"")</f>
        <v/>
      </c>
      <c r="P131" s="20">
        <f>SUM(K131:O131)</f>
        <v>0</v>
      </c>
      <c r="Q131" s="28">
        <f t="shared" ref="Q131:Q137" si="8">P131/J131-1</f>
        <v>-1</v>
      </c>
      <c r="R131" s="33">
        <f t="shared" ref="R131:R137" si="9">POWER((P131-J131),2)</f>
        <v>425912.86440000014</v>
      </c>
    </row>
    <row r="132" spans="1:18" x14ac:dyDescent="0.25">
      <c r="A132" s="5">
        <v>968</v>
      </c>
      <c r="B132" s="5">
        <v>10</v>
      </c>
      <c r="C132" s="5" t="s">
        <v>0</v>
      </c>
      <c r="D132" s="5">
        <v>5</v>
      </c>
      <c r="E132" s="7">
        <f>VLOOKUP($A132,'2016'!$A$3:$M$138,9,FALSE)</f>
        <v>39.983488372093014</v>
      </c>
      <c r="F132" s="7">
        <f>VLOOKUP($A132,'2016'!$A$3:$M$138,10,FALSE)</f>
        <v>99.473532904502704</v>
      </c>
      <c r="G132" s="7">
        <f>VLOOKUP($A132,'2016'!$A$3:$M$138,11,FALSE)</f>
        <v>308.70297872340427</v>
      </c>
      <c r="H132" s="7">
        <f>VLOOKUP($A132,'2016'!$A$3:$M$138,12,FALSE)</f>
        <v>134.18772727272744</v>
      </c>
      <c r="I132" s="7">
        <f>VLOOKUP($A132,'2016'!$A$3:$M$138,13,FALSE)</f>
        <v>39.822272727272562</v>
      </c>
      <c r="J132" s="7">
        <f>SUM(E132:I132)</f>
        <v>622.16999999999996</v>
      </c>
      <c r="K132" s="20" t="str">
        <f>IFERROR(VLOOKUP($A132,#REF!,7,FALSE),"")</f>
        <v/>
      </c>
      <c r="L132" s="20" t="str">
        <f>IFERROR(VLOOKUP($A132,#REF!,8,FALSE),"")</f>
        <v/>
      </c>
      <c r="M132" s="20" t="str">
        <f>IFERROR(VLOOKUP($A132,#REF!,9,FALSE),"")</f>
        <v/>
      </c>
      <c r="N132" s="20" t="str">
        <f>IFERROR(VLOOKUP($A132,#REF!,10,FALSE),"")</f>
        <v/>
      </c>
      <c r="O132" s="20" t="str">
        <f>IFERROR(VLOOKUP($A132,#REF!,11,FALSE),"")</f>
        <v/>
      </c>
      <c r="P132" s="20">
        <f>SUM(K132:O132)</f>
        <v>0</v>
      </c>
      <c r="Q132" s="28">
        <f t="shared" si="8"/>
        <v>-1</v>
      </c>
      <c r="R132" s="33">
        <f t="shared" si="9"/>
        <v>387095.50889999996</v>
      </c>
    </row>
    <row r="133" spans="1:18" x14ac:dyDescent="0.25">
      <c r="A133" s="5">
        <v>972</v>
      </c>
      <c r="B133" s="5">
        <v>10</v>
      </c>
      <c r="C133" s="5" t="s">
        <v>0</v>
      </c>
      <c r="D133" s="5">
        <v>5</v>
      </c>
      <c r="E133" s="7">
        <f>VLOOKUP($A133,'2016'!$A$3:$M$138,9,FALSE)</f>
        <v>0</v>
      </c>
      <c r="F133" s="7">
        <f>VLOOKUP($A133,'2016'!$A$3:$M$138,10,FALSE)</f>
        <v>184.25904761904766</v>
      </c>
      <c r="G133" s="7">
        <f>VLOOKUP($A133,'2016'!$A$3:$M$138,11,FALSE)</f>
        <v>16.860952380952334</v>
      </c>
      <c r="H133" s="7">
        <f>VLOOKUP($A133,'2016'!$A$3:$M$138,12,FALSE)</f>
        <v>156.52999999999997</v>
      </c>
      <c r="I133" s="7">
        <f>VLOOKUP($A133,'2016'!$A$3:$M$138,13,FALSE)</f>
        <v>0</v>
      </c>
      <c r="J133" s="7">
        <f>SUM(E133:I133)</f>
        <v>357.65</v>
      </c>
      <c r="K133" s="20" t="str">
        <f>IFERROR(VLOOKUP($A133,#REF!,7,FALSE),"")</f>
        <v/>
      </c>
      <c r="L133" s="20" t="str">
        <f>IFERROR(VLOOKUP($A133,#REF!,8,FALSE),"")</f>
        <v/>
      </c>
      <c r="M133" s="20" t="str">
        <f>IFERROR(VLOOKUP($A133,#REF!,9,FALSE),"")</f>
        <v/>
      </c>
      <c r="N133" s="20" t="str">
        <f>IFERROR(VLOOKUP($A133,#REF!,10,FALSE),"")</f>
        <v/>
      </c>
      <c r="O133" s="20" t="str">
        <f>IFERROR(VLOOKUP($A133,#REF!,11,FALSE),"")</f>
        <v/>
      </c>
      <c r="P133" s="20">
        <f>SUM(K133:O133)</f>
        <v>0</v>
      </c>
      <c r="Q133" s="28">
        <f t="shared" si="8"/>
        <v>-1</v>
      </c>
      <c r="R133" s="33">
        <f t="shared" si="9"/>
        <v>127913.52249999998</v>
      </c>
    </row>
    <row r="134" spans="1:18" x14ac:dyDescent="0.25">
      <c r="A134" s="5">
        <v>973</v>
      </c>
      <c r="B134" s="5">
        <v>10</v>
      </c>
      <c r="C134" s="5" t="s">
        <v>0</v>
      </c>
      <c r="D134" s="5">
        <v>5</v>
      </c>
      <c r="E134" s="7">
        <f>VLOOKUP($A134,'2016'!$A$3:$M$138,9,FALSE)</f>
        <v>0</v>
      </c>
      <c r="F134" s="7">
        <f>VLOOKUP($A134,'2016'!$A$3:$M$138,10,FALSE)</f>
        <v>151.13999999999999</v>
      </c>
      <c r="G134" s="7">
        <f>VLOOKUP($A134,'2016'!$A$3:$M$138,11,FALSE)</f>
        <v>0</v>
      </c>
      <c r="H134" s="7">
        <f>VLOOKUP($A134,'2016'!$A$3:$M$138,12,FALSE)</f>
        <v>188.94</v>
      </c>
      <c r="I134" s="7">
        <f>VLOOKUP($A134,'2016'!$A$3:$M$138,13,FALSE)</f>
        <v>0</v>
      </c>
      <c r="J134" s="7">
        <f>SUM(E134:I134)</f>
        <v>340.08</v>
      </c>
      <c r="K134" s="20" t="str">
        <f>IFERROR(VLOOKUP($A134,#REF!,7,FALSE),"")</f>
        <v/>
      </c>
      <c r="L134" s="20" t="str">
        <f>IFERROR(VLOOKUP($A134,#REF!,8,FALSE),"")</f>
        <v/>
      </c>
      <c r="M134" s="20" t="str">
        <f>IFERROR(VLOOKUP($A134,#REF!,9,FALSE),"")</f>
        <v/>
      </c>
      <c r="N134" s="20" t="str">
        <f>IFERROR(VLOOKUP($A134,#REF!,10,FALSE),"")</f>
        <v/>
      </c>
      <c r="O134" s="20" t="str">
        <f>IFERROR(VLOOKUP($A134,#REF!,11,FALSE),"")</f>
        <v/>
      </c>
      <c r="P134" s="20">
        <f>SUM(K134:O134)</f>
        <v>0</v>
      </c>
      <c r="Q134" s="28">
        <f t="shared" si="8"/>
        <v>-1</v>
      </c>
      <c r="R134" s="33">
        <f t="shared" si="9"/>
        <v>115654.40639999999</v>
      </c>
    </row>
    <row r="135" spans="1:18" x14ac:dyDescent="0.25">
      <c r="A135" s="5">
        <v>978</v>
      </c>
      <c r="B135" s="5">
        <v>10</v>
      </c>
      <c r="C135" s="5" t="s">
        <v>0</v>
      </c>
      <c r="D135" s="5">
        <v>5</v>
      </c>
      <c r="E135" s="7">
        <f>VLOOKUP($A135,'2016'!$A$3:$M$138,9,FALSE)</f>
        <v>0</v>
      </c>
      <c r="F135" s="7">
        <f>VLOOKUP($A135,'2016'!$A$3:$M$138,10,FALSE)</f>
        <v>142.72</v>
      </c>
      <c r="G135" s="7">
        <f>VLOOKUP($A135,'2016'!$A$3:$M$138,11,FALSE)</f>
        <v>0</v>
      </c>
      <c r="H135" s="7">
        <f>VLOOKUP($A135,'2016'!$A$3:$M$138,12,FALSE)</f>
        <v>138.08000000000001</v>
      </c>
      <c r="I135" s="7">
        <f>VLOOKUP($A135,'2016'!$A$3:$M$138,13,FALSE)</f>
        <v>0</v>
      </c>
      <c r="J135" s="7">
        <f>SUM(E135:I135)</f>
        <v>280.8</v>
      </c>
      <c r="K135" s="20" t="str">
        <f>IFERROR(VLOOKUP($A135,#REF!,7,FALSE),"")</f>
        <v/>
      </c>
      <c r="L135" s="20" t="str">
        <f>IFERROR(VLOOKUP($A135,#REF!,8,FALSE),"")</f>
        <v/>
      </c>
      <c r="M135" s="20" t="str">
        <f>IFERROR(VLOOKUP($A135,#REF!,9,FALSE),"")</f>
        <v/>
      </c>
      <c r="N135" s="20" t="str">
        <f>IFERROR(VLOOKUP($A135,#REF!,10,FALSE),"")</f>
        <v/>
      </c>
      <c r="O135" s="20" t="str">
        <f>IFERROR(VLOOKUP($A135,#REF!,11,FALSE),"")</f>
        <v/>
      </c>
      <c r="P135" s="20">
        <f>SUM(K135:O135)</f>
        <v>0</v>
      </c>
      <c r="Q135" s="28">
        <f t="shared" si="8"/>
        <v>-1</v>
      </c>
      <c r="R135" s="33">
        <f t="shared" si="9"/>
        <v>78848.639999999999</v>
      </c>
    </row>
    <row r="136" spans="1:18" x14ac:dyDescent="0.25">
      <c r="A136" s="5">
        <v>979</v>
      </c>
      <c r="B136" s="5">
        <v>10</v>
      </c>
      <c r="C136" s="5" t="s">
        <v>0</v>
      </c>
      <c r="D136" s="5">
        <v>5</v>
      </c>
      <c r="E136" s="7">
        <f>VLOOKUP($A136,'2016'!$A$3:$M$138,9,FALSE)</f>
        <v>0</v>
      </c>
      <c r="F136" s="7">
        <f>VLOOKUP($A136,'2016'!$A$3:$M$138,10,FALSE)</f>
        <v>92.37</v>
      </c>
      <c r="G136" s="7">
        <f>VLOOKUP($A136,'2016'!$A$3:$M$138,11,FALSE)</f>
        <v>0</v>
      </c>
      <c r="H136" s="7">
        <f>VLOOKUP($A136,'2016'!$A$3:$M$138,12,FALSE)</f>
        <v>117.88000000000001</v>
      </c>
      <c r="I136" s="7">
        <f>VLOOKUP($A136,'2016'!$A$3:$M$138,13,FALSE)</f>
        <v>0</v>
      </c>
      <c r="J136" s="7">
        <f t="shared" ref="J136:J137" si="10">SUM(E136:I136)</f>
        <v>210.25</v>
      </c>
      <c r="K136" s="20" t="str">
        <f>IFERROR(VLOOKUP($A136,#REF!,7,FALSE),"")</f>
        <v/>
      </c>
      <c r="L136" s="20" t="str">
        <f>IFERROR(VLOOKUP($A136,#REF!,8,FALSE),"")</f>
        <v/>
      </c>
      <c r="M136" s="20" t="str">
        <f>IFERROR(VLOOKUP($A136,#REF!,9,FALSE),"")</f>
        <v/>
      </c>
      <c r="N136" s="20" t="str">
        <f>IFERROR(VLOOKUP($A136,#REF!,10,FALSE),"")</f>
        <v/>
      </c>
      <c r="O136" s="20" t="str">
        <f>IFERROR(VLOOKUP($A136,#REF!,11,FALSE),"")</f>
        <v/>
      </c>
      <c r="P136" s="20">
        <f t="shared" ref="P136:P137" si="11">SUM(K136:O136)</f>
        <v>0</v>
      </c>
      <c r="Q136" s="28">
        <f t="shared" si="8"/>
        <v>-1</v>
      </c>
      <c r="R136" s="33">
        <f t="shared" si="9"/>
        <v>44205.0625</v>
      </c>
    </row>
    <row r="137" spans="1:18" x14ac:dyDescent="0.25">
      <c r="A137" s="5">
        <v>992</v>
      </c>
      <c r="B137" s="5">
        <v>10</v>
      </c>
      <c r="C137" s="5" t="s">
        <v>0</v>
      </c>
      <c r="D137" s="5">
        <v>5</v>
      </c>
      <c r="E137" s="7">
        <f>VLOOKUP($A137,'2016'!$A$3:$M$138,9,FALSE)</f>
        <v>131.88575000000003</v>
      </c>
      <c r="F137" s="7">
        <f>VLOOKUP($A137,'2016'!$A$3:$M$138,10,FALSE)</f>
        <v>458.27616489361714</v>
      </c>
      <c r="G137" s="7">
        <f>VLOOKUP($A137,'2016'!$A$3:$M$138,11,FALSE)</f>
        <v>1344.9066851063819</v>
      </c>
      <c r="H137" s="7">
        <f>VLOOKUP($A137,'2016'!$A$3:$M$138,12,FALSE)</f>
        <v>540.24340000000166</v>
      </c>
      <c r="I137" s="7">
        <f>VLOOKUP($A137,'2016'!$A$3:$M$138,13,FALSE)</f>
        <v>492.28799999999956</v>
      </c>
      <c r="J137" s="7">
        <f t="shared" si="10"/>
        <v>2967.6000000000004</v>
      </c>
      <c r="K137" s="20" t="str">
        <f>IFERROR(VLOOKUP($A137,#REF!,7,FALSE),"")</f>
        <v/>
      </c>
      <c r="L137" s="20" t="str">
        <f>IFERROR(VLOOKUP($A137,#REF!,8,FALSE),"")</f>
        <v/>
      </c>
      <c r="M137" s="20" t="str">
        <f>IFERROR(VLOOKUP($A137,#REF!,9,FALSE),"")</f>
        <v/>
      </c>
      <c r="N137" s="20" t="str">
        <f>IFERROR(VLOOKUP($A137,#REF!,10,FALSE),"")</f>
        <v/>
      </c>
      <c r="O137" s="20" t="str">
        <f>IFERROR(VLOOKUP($A137,#REF!,11,FALSE),"")</f>
        <v/>
      </c>
      <c r="P137" s="20">
        <f t="shared" si="11"/>
        <v>0</v>
      </c>
      <c r="Q137" s="28">
        <f t="shared" si="8"/>
        <v>-1</v>
      </c>
      <c r="R137" s="33">
        <f t="shared" si="9"/>
        <v>8806649.7600000016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8F1CE0-4BB0-4D88-AA07-50900F42C1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readme</vt:lpstr>
      <vt:lpstr>Verified_Counts</vt:lpstr>
      <vt:lpstr>Estimated_Counts</vt:lpstr>
      <vt:lpstr>raw</vt:lpstr>
      <vt:lpstr>2016</vt:lpstr>
      <vt:lpstr>boarding</vt:lpstr>
      <vt:lpstr>pm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yun</cp:lastModifiedBy>
  <dcterms:created xsi:type="dcterms:W3CDTF">2017-07-04T05:48:34Z</dcterms:created>
  <dcterms:modified xsi:type="dcterms:W3CDTF">2019-09-25T17:33:33Z</dcterms:modified>
</cp:coreProperties>
</file>