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A021B5E5-E35D-4E75-870A-46F20136F9CA}" xr6:coauthVersionLast="44" xr6:coauthVersionMax="44" xr10:uidLastSave="{00000000-0000-0000-0000-000000000000}"/>
  <bookViews>
    <workbookView xWindow="-108" yWindow="-108" windowWidth="23256" windowHeight="12576" tabRatio="732" xr2:uid="{00000000-000D-0000-FFFF-FFFF00000000}"/>
  </bookViews>
  <sheets>
    <sheet name="readme" sheetId="3" r:id="rId1"/>
    <sheet name="observed" sheetId="13" r:id="rId2"/>
    <sheet name="new" sheetId="17" state="hidden" r:id="rId3"/>
    <sheet name="sum_by_mode" sheetId="5" r:id="rId4"/>
    <sheet name="chart_by_mode" sheetId="12" r:id="rId5"/>
    <sheet name="bd" sheetId="4" state="hidden" r:id="rId6"/>
    <sheet name="sum_boarding_by_line" sheetId="8" r:id="rId7"/>
    <sheet name="chart_boarding_by_line" sheetId="10" r:id="rId8"/>
    <sheet name="sum_passenger_mile_line" sheetId="9" r:id="rId9"/>
    <sheet name="chart_passenger_mile_line" sheetId="11" r:id="rId10"/>
    <sheet name="abm2_mode" sheetId="16" state="hidden" r:id="rId11"/>
    <sheet name="pm" sheetId="7" state="hidden" r:id="rId12"/>
    <sheet name="ref" sheetId="6" state="hidden" r:id="rId13"/>
  </sheets>
  <externalReferences>
    <externalReference r:id="rId14"/>
    <externalReference r:id="rId15"/>
  </externalReferences>
  <definedNames>
    <definedName name="count_a" localSheetId="8">INDEX([1]!class[#Data],1114,10):INDEX([1]!class[#Data],1885,10)</definedName>
    <definedName name="count_a">INDEX([1]!class[#Data],1114,10):INDEX([1]!class[#Data],1885,10)</definedName>
    <definedName name="count_c" localSheetId="8">INDEX([1]!class[#Data],1886,10):INDEX([1]!class[#Data],2661,10)</definedName>
    <definedName name="count_c">INDEX([1]!class[#Data],1886,10):INDEX([1]!class[#Data],2661,10)</definedName>
    <definedName name="count_f" localSheetId="8">INDEX([1]!class[#Data],1,10):INDEX([1]!class[#Data],670,10)</definedName>
    <definedName name="count_f">INDEX([1]!class[#Data],1,10):INDEX([1]!class[#Data],670,10)</definedName>
    <definedName name="count_r" localSheetId="8">INDEX([1]!class[#Data],671,10):INDEX([1]!class[#Data],1113,10)</definedName>
    <definedName name="count_r">INDEX([1]!class[#Data],671,10):INDEX([1]!class[#Data],1113,10)</definedName>
    <definedName name="flow_a" localSheetId="8">INDEX([1]!class[#Data],1114,11):INDEX([1]!class[#Data],1885,11)</definedName>
    <definedName name="flow_a">INDEX([1]!class[#Data],1114,11):INDEX([1]!class[#Data],1885,11)</definedName>
    <definedName name="flow_c" localSheetId="8">INDEX([1]!class[#Data],1886,11):INDEX([1]!class[#Data],2661,11)</definedName>
    <definedName name="flow_c">INDEX([1]!class[#Data],1886,11):INDEX([1]!class[#Data],2661,11)</definedName>
    <definedName name="flow_f" localSheetId="8">INDEX([1]!class[#Data],1,11):INDEX([1]!class[#Data],670,11)</definedName>
    <definedName name="flow_f">INDEX([1]!class[#Data],1,11):INDEX([1]!class[#Data],670,11)</definedName>
    <definedName name="flow_r" localSheetId="8">INDEX([1]!class[#Data],671,11):INDEX([1]!class[#Data],1113,11)</definedName>
    <definedName name="flow_r">INDEX([1]!class[#Data],671,11):INDEX([1]!class[#Data],1113,11)</definedName>
    <definedName name="socioeca8.sandag.org_abm2_trb" localSheetId="0" hidden="1">readme!$D$1:$O$139</definedName>
    <definedName name="sql2014a8.sandag.org_ws_Transit2015table" localSheetId="0" hidden="1">readme!$Q$1:$AD$139</definedName>
    <definedName name="x2_a" localSheetId="8">INDEX([1]!class[#Data],1114,14):INDEX([1]!class[#Data],1885,14)</definedName>
    <definedName name="x2_a">INDEX([1]!class[#Data],1114,14):INDEX([1]!class[#Data],1885,14)</definedName>
    <definedName name="x2_c" localSheetId="8">INDEX([1]!class[#Data],1886,14):INDEX([1]!class[#Data],2661,14)</definedName>
    <definedName name="x2_c">INDEX([1]!class[#Data],1886,14):INDEX([1]!class[#Data],2661,14)</definedName>
    <definedName name="x2_f" localSheetId="8">INDEX([1]!class[#Data],1,14):INDEX([1]!class[#Data],670,14)</definedName>
    <definedName name="x2_f">INDEX([1]!class[#Data],1,14):INDEX([1]!class[#Data],670,14)</definedName>
    <definedName name="x2_r" localSheetId="8">INDEX([1]!class[#Data],671,14):INDEX([1]!class[#Data],1113,14)</definedName>
    <definedName name="x2_r">INDEX([1]!class[#Data],671,14):INDEX([1]!class[#Data],1113,14)</definedName>
  </definedNames>
  <calcPr calcId="191029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" i="4" l="1"/>
  <c r="O139" i="3" l="1"/>
  <c r="N139" i="3"/>
  <c r="M139" i="3"/>
  <c r="L139" i="3"/>
  <c r="K139" i="3"/>
  <c r="J139" i="3"/>
  <c r="I139" i="3"/>
  <c r="H139" i="3"/>
  <c r="G139" i="3"/>
  <c r="F139" i="3"/>
  <c r="E139" i="3"/>
  <c r="T139" i="3" s="1"/>
  <c r="D139" i="3"/>
  <c r="O138" i="3"/>
  <c r="N138" i="3"/>
  <c r="M138" i="3"/>
  <c r="L138" i="3"/>
  <c r="K138" i="3"/>
  <c r="J138" i="3"/>
  <c r="I138" i="3"/>
  <c r="H138" i="3"/>
  <c r="G138" i="3"/>
  <c r="F138" i="3"/>
  <c r="E138" i="3"/>
  <c r="T138" i="3" s="1"/>
  <c r="D138" i="3"/>
  <c r="O137" i="3"/>
  <c r="N137" i="3"/>
  <c r="M137" i="3"/>
  <c r="L137" i="3"/>
  <c r="K137" i="3"/>
  <c r="J137" i="3"/>
  <c r="I137" i="3"/>
  <c r="H137" i="3"/>
  <c r="G137" i="3"/>
  <c r="F137" i="3"/>
  <c r="E137" i="3"/>
  <c r="T137" i="3" s="1"/>
  <c r="D137" i="3"/>
  <c r="O136" i="3"/>
  <c r="N136" i="3"/>
  <c r="M136" i="3"/>
  <c r="L136" i="3"/>
  <c r="K136" i="3"/>
  <c r="J136" i="3"/>
  <c r="I136" i="3"/>
  <c r="H136" i="3"/>
  <c r="G136" i="3"/>
  <c r="F136" i="3"/>
  <c r="E136" i="3"/>
  <c r="T136" i="3" s="1"/>
  <c r="D136" i="3"/>
  <c r="O135" i="3"/>
  <c r="N135" i="3"/>
  <c r="M135" i="3"/>
  <c r="L135" i="3"/>
  <c r="K135" i="3"/>
  <c r="J135" i="3"/>
  <c r="I135" i="3"/>
  <c r="H135" i="3"/>
  <c r="G135" i="3"/>
  <c r="F135" i="3"/>
  <c r="E135" i="3"/>
  <c r="T135" i="3" s="1"/>
  <c r="D135" i="3"/>
  <c r="O134" i="3"/>
  <c r="N134" i="3"/>
  <c r="M134" i="3"/>
  <c r="L134" i="3"/>
  <c r="K134" i="3"/>
  <c r="J134" i="3"/>
  <c r="I134" i="3"/>
  <c r="H134" i="3"/>
  <c r="G134" i="3"/>
  <c r="F134" i="3"/>
  <c r="E134" i="3"/>
  <c r="T134" i="3" s="1"/>
  <c r="D134" i="3"/>
  <c r="O133" i="3"/>
  <c r="N133" i="3"/>
  <c r="M133" i="3"/>
  <c r="L133" i="3"/>
  <c r="K133" i="3"/>
  <c r="J133" i="3"/>
  <c r="I133" i="3"/>
  <c r="H133" i="3"/>
  <c r="G133" i="3"/>
  <c r="F133" i="3"/>
  <c r="E133" i="3"/>
  <c r="T133" i="3" s="1"/>
  <c r="D133" i="3"/>
  <c r="O132" i="3"/>
  <c r="N132" i="3"/>
  <c r="M132" i="3"/>
  <c r="L132" i="3"/>
  <c r="K132" i="3"/>
  <c r="J132" i="3"/>
  <c r="I132" i="3"/>
  <c r="H132" i="3"/>
  <c r="G132" i="3"/>
  <c r="F132" i="3"/>
  <c r="E132" i="3"/>
  <c r="T132" i="3" s="1"/>
  <c r="D132" i="3"/>
  <c r="O131" i="3"/>
  <c r="N131" i="3"/>
  <c r="M131" i="3"/>
  <c r="L131" i="3"/>
  <c r="K131" i="3"/>
  <c r="J131" i="3"/>
  <c r="I131" i="3"/>
  <c r="H131" i="3"/>
  <c r="G131" i="3"/>
  <c r="F131" i="3"/>
  <c r="E131" i="3"/>
  <c r="T131" i="3" s="1"/>
  <c r="D131" i="3"/>
  <c r="O130" i="3"/>
  <c r="N130" i="3"/>
  <c r="M130" i="3"/>
  <c r="L130" i="3"/>
  <c r="K130" i="3"/>
  <c r="J130" i="3"/>
  <c r="I130" i="3"/>
  <c r="H130" i="3"/>
  <c r="G130" i="3"/>
  <c r="F130" i="3"/>
  <c r="E130" i="3"/>
  <c r="T130" i="3" s="1"/>
  <c r="D130" i="3"/>
  <c r="O129" i="3"/>
  <c r="N129" i="3"/>
  <c r="M129" i="3"/>
  <c r="L129" i="3"/>
  <c r="K129" i="3"/>
  <c r="J129" i="3"/>
  <c r="I129" i="3"/>
  <c r="H129" i="3"/>
  <c r="G129" i="3"/>
  <c r="F129" i="3"/>
  <c r="E129" i="3"/>
  <c r="T129" i="3" s="1"/>
  <c r="D129" i="3"/>
  <c r="O128" i="3"/>
  <c r="N128" i="3"/>
  <c r="M128" i="3"/>
  <c r="L128" i="3"/>
  <c r="K128" i="3"/>
  <c r="J128" i="3"/>
  <c r="I128" i="3"/>
  <c r="H128" i="3"/>
  <c r="G128" i="3"/>
  <c r="F128" i="3"/>
  <c r="E128" i="3"/>
  <c r="T128" i="3" s="1"/>
  <c r="D128" i="3"/>
  <c r="O127" i="3"/>
  <c r="N127" i="3"/>
  <c r="M127" i="3"/>
  <c r="L127" i="3"/>
  <c r="K127" i="3"/>
  <c r="J127" i="3"/>
  <c r="I127" i="3"/>
  <c r="H127" i="3"/>
  <c r="G127" i="3"/>
  <c r="F127" i="3"/>
  <c r="E127" i="3"/>
  <c r="T127" i="3" s="1"/>
  <c r="D127" i="3"/>
  <c r="O126" i="3"/>
  <c r="N126" i="3"/>
  <c r="M126" i="3"/>
  <c r="L126" i="3"/>
  <c r="K126" i="3"/>
  <c r="J126" i="3"/>
  <c r="I126" i="3"/>
  <c r="H126" i="3"/>
  <c r="G126" i="3"/>
  <c r="F126" i="3"/>
  <c r="E126" i="3"/>
  <c r="T126" i="3" s="1"/>
  <c r="D126" i="3"/>
  <c r="O125" i="3"/>
  <c r="N125" i="3"/>
  <c r="M125" i="3"/>
  <c r="L125" i="3"/>
  <c r="K125" i="3"/>
  <c r="J125" i="3"/>
  <c r="I125" i="3"/>
  <c r="H125" i="3"/>
  <c r="G125" i="3"/>
  <c r="F125" i="3"/>
  <c r="E125" i="3"/>
  <c r="T125" i="3" s="1"/>
  <c r="D125" i="3"/>
  <c r="O124" i="3"/>
  <c r="N124" i="3"/>
  <c r="M124" i="3"/>
  <c r="L124" i="3"/>
  <c r="K124" i="3"/>
  <c r="J124" i="3"/>
  <c r="I124" i="3"/>
  <c r="H124" i="3"/>
  <c r="G124" i="3"/>
  <c r="F124" i="3"/>
  <c r="E124" i="3"/>
  <c r="T124" i="3" s="1"/>
  <c r="D124" i="3"/>
  <c r="O123" i="3"/>
  <c r="N123" i="3"/>
  <c r="M123" i="3"/>
  <c r="L123" i="3"/>
  <c r="K123" i="3"/>
  <c r="J123" i="3"/>
  <c r="I123" i="3"/>
  <c r="H123" i="3"/>
  <c r="G123" i="3"/>
  <c r="F123" i="3"/>
  <c r="E123" i="3"/>
  <c r="T123" i="3" s="1"/>
  <c r="D123" i="3"/>
  <c r="O122" i="3"/>
  <c r="N122" i="3"/>
  <c r="M122" i="3"/>
  <c r="L122" i="3"/>
  <c r="K122" i="3"/>
  <c r="J122" i="3"/>
  <c r="I122" i="3"/>
  <c r="H122" i="3"/>
  <c r="G122" i="3"/>
  <c r="F122" i="3"/>
  <c r="E122" i="3"/>
  <c r="T122" i="3" s="1"/>
  <c r="D122" i="3"/>
  <c r="O121" i="3"/>
  <c r="N121" i="3"/>
  <c r="M121" i="3"/>
  <c r="L121" i="3"/>
  <c r="K121" i="3"/>
  <c r="J121" i="3"/>
  <c r="I121" i="3"/>
  <c r="H121" i="3"/>
  <c r="G121" i="3"/>
  <c r="F121" i="3"/>
  <c r="E121" i="3"/>
  <c r="T121" i="3" s="1"/>
  <c r="D121" i="3"/>
  <c r="O120" i="3"/>
  <c r="N120" i="3"/>
  <c r="M120" i="3"/>
  <c r="L120" i="3"/>
  <c r="K120" i="3"/>
  <c r="J120" i="3"/>
  <c r="I120" i="3"/>
  <c r="H120" i="3"/>
  <c r="G120" i="3"/>
  <c r="F120" i="3"/>
  <c r="E120" i="3"/>
  <c r="T120" i="3" s="1"/>
  <c r="D120" i="3"/>
  <c r="O119" i="3"/>
  <c r="N119" i="3"/>
  <c r="M119" i="3"/>
  <c r="L119" i="3"/>
  <c r="K119" i="3"/>
  <c r="J119" i="3"/>
  <c r="I119" i="3"/>
  <c r="H119" i="3"/>
  <c r="G119" i="3"/>
  <c r="F119" i="3"/>
  <c r="E119" i="3"/>
  <c r="T119" i="3" s="1"/>
  <c r="D119" i="3"/>
  <c r="O118" i="3"/>
  <c r="N118" i="3"/>
  <c r="M118" i="3"/>
  <c r="L118" i="3"/>
  <c r="K118" i="3"/>
  <c r="J118" i="3"/>
  <c r="I118" i="3"/>
  <c r="H118" i="3"/>
  <c r="G118" i="3"/>
  <c r="F118" i="3"/>
  <c r="E118" i="3"/>
  <c r="T118" i="3" s="1"/>
  <c r="D118" i="3"/>
  <c r="O117" i="3"/>
  <c r="N117" i="3"/>
  <c r="M117" i="3"/>
  <c r="L117" i="3"/>
  <c r="K117" i="3"/>
  <c r="J117" i="3"/>
  <c r="I117" i="3"/>
  <c r="H117" i="3"/>
  <c r="G117" i="3"/>
  <c r="F117" i="3"/>
  <c r="E117" i="3"/>
  <c r="T117" i="3" s="1"/>
  <c r="D117" i="3"/>
  <c r="O116" i="3"/>
  <c r="N116" i="3"/>
  <c r="M116" i="3"/>
  <c r="L116" i="3"/>
  <c r="K116" i="3"/>
  <c r="J116" i="3"/>
  <c r="I116" i="3"/>
  <c r="H116" i="3"/>
  <c r="G116" i="3"/>
  <c r="F116" i="3"/>
  <c r="E116" i="3"/>
  <c r="T116" i="3" s="1"/>
  <c r="D116" i="3"/>
  <c r="O115" i="3"/>
  <c r="N115" i="3"/>
  <c r="M115" i="3"/>
  <c r="L115" i="3"/>
  <c r="K115" i="3"/>
  <c r="J115" i="3"/>
  <c r="I115" i="3"/>
  <c r="H115" i="3"/>
  <c r="G115" i="3"/>
  <c r="F115" i="3"/>
  <c r="E115" i="3"/>
  <c r="T115" i="3" s="1"/>
  <c r="D115" i="3"/>
  <c r="O114" i="3"/>
  <c r="N114" i="3"/>
  <c r="M114" i="3"/>
  <c r="L114" i="3"/>
  <c r="K114" i="3"/>
  <c r="J114" i="3"/>
  <c r="I114" i="3"/>
  <c r="H114" i="3"/>
  <c r="G114" i="3"/>
  <c r="F114" i="3"/>
  <c r="E114" i="3"/>
  <c r="T114" i="3" s="1"/>
  <c r="D114" i="3"/>
  <c r="O113" i="3"/>
  <c r="N113" i="3"/>
  <c r="M113" i="3"/>
  <c r="L113" i="3"/>
  <c r="K113" i="3"/>
  <c r="J113" i="3"/>
  <c r="I113" i="3"/>
  <c r="H113" i="3"/>
  <c r="G113" i="3"/>
  <c r="F113" i="3"/>
  <c r="E113" i="3"/>
  <c r="T113" i="3" s="1"/>
  <c r="D113" i="3"/>
  <c r="O112" i="3"/>
  <c r="N112" i="3"/>
  <c r="M112" i="3"/>
  <c r="L112" i="3"/>
  <c r="K112" i="3"/>
  <c r="J112" i="3"/>
  <c r="I112" i="3"/>
  <c r="H112" i="3"/>
  <c r="G112" i="3"/>
  <c r="F112" i="3"/>
  <c r="E112" i="3"/>
  <c r="T112" i="3" s="1"/>
  <c r="D112" i="3"/>
  <c r="O111" i="3"/>
  <c r="N111" i="3"/>
  <c r="M111" i="3"/>
  <c r="L111" i="3"/>
  <c r="K111" i="3"/>
  <c r="J111" i="3"/>
  <c r="I111" i="3"/>
  <c r="H111" i="3"/>
  <c r="G111" i="3"/>
  <c r="F111" i="3"/>
  <c r="E111" i="3"/>
  <c r="T111" i="3" s="1"/>
  <c r="D111" i="3"/>
  <c r="O110" i="3"/>
  <c r="N110" i="3"/>
  <c r="M110" i="3"/>
  <c r="L110" i="3"/>
  <c r="K110" i="3"/>
  <c r="J110" i="3"/>
  <c r="I110" i="3"/>
  <c r="H110" i="3"/>
  <c r="G110" i="3"/>
  <c r="F110" i="3"/>
  <c r="E110" i="3"/>
  <c r="T110" i="3" s="1"/>
  <c r="D110" i="3"/>
  <c r="O109" i="3"/>
  <c r="N109" i="3"/>
  <c r="M109" i="3"/>
  <c r="L109" i="3"/>
  <c r="K109" i="3"/>
  <c r="J109" i="3"/>
  <c r="I109" i="3"/>
  <c r="H109" i="3"/>
  <c r="G109" i="3"/>
  <c r="F109" i="3"/>
  <c r="E109" i="3"/>
  <c r="T109" i="3" s="1"/>
  <c r="D109" i="3"/>
  <c r="O108" i="3"/>
  <c r="N108" i="3"/>
  <c r="M108" i="3"/>
  <c r="L108" i="3"/>
  <c r="K108" i="3"/>
  <c r="J108" i="3"/>
  <c r="I108" i="3"/>
  <c r="H108" i="3"/>
  <c r="G108" i="3"/>
  <c r="F108" i="3"/>
  <c r="E108" i="3"/>
  <c r="T108" i="3" s="1"/>
  <c r="D108" i="3"/>
  <c r="O107" i="3"/>
  <c r="N107" i="3"/>
  <c r="M107" i="3"/>
  <c r="L107" i="3"/>
  <c r="K107" i="3"/>
  <c r="J107" i="3"/>
  <c r="I107" i="3"/>
  <c r="H107" i="3"/>
  <c r="G107" i="3"/>
  <c r="F107" i="3"/>
  <c r="E107" i="3"/>
  <c r="T107" i="3" s="1"/>
  <c r="D107" i="3"/>
  <c r="O106" i="3"/>
  <c r="N106" i="3"/>
  <c r="M106" i="3"/>
  <c r="L106" i="3"/>
  <c r="K106" i="3"/>
  <c r="J106" i="3"/>
  <c r="I106" i="3"/>
  <c r="H106" i="3"/>
  <c r="G106" i="3"/>
  <c r="F106" i="3"/>
  <c r="E106" i="3"/>
  <c r="T106" i="3" s="1"/>
  <c r="D106" i="3"/>
  <c r="O105" i="3"/>
  <c r="N105" i="3"/>
  <c r="M105" i="3"/>
  <c r="L105" i="3"/>
  <c r="K105" i="3"/>
  <c r="J105" i="3"/>
  <c r="I105" i="3"/>
  <c r="H105" i="3"/>
  <c r="G105" i="3"/>
  <c r="F105" i="3"/>
  <c r="E105" i="3"/>
  <c r="T105" i="3" s="1"/>
  <c r="D105" i="3"/>
  <c r="O104" i="3"/>
  <c r="N104" i="3"/>
  <c r="M104" i="3"/>
  <c r="L104" i="3"/>
  <c r="K104" i="3"/>
  <c r="J104" i="3"/>
  <c r="I104" i="3"/>
  <c r="H104" i="3"/>
  <c r="G104" i="3"/>
  <c r="F104" i="3"/>
  <c r="E104" i="3"/>
  <c r="T104" i="3" s="1"/>
  <c r="D104" i="3"/>
  <c r="O103" i="3"/>
  <c r="N103" i="3"/>
  <c r="M103" i="3"/>
  <c r="L103" i="3"/>
  <c r="K103" i="3"/>
  <c r="J103" i="3"/>
  <c r="I103" i="3"/>
  <c r="H103" i="3"/>
  <c r="G103" i="3"/>
  <c r="F103" i="3"/>
  <c r="E103" i="3"/>
  <c r="T103" i="3" s="1"/>
  <c r="D103" i="3"/>
  <c r="O102" i="3"/>
  <c r="N102" i="3"/>
  <c r="M102" i="3"/>
  <c r="L102" i="3"/>
  <c r="K102" i="3"/>
  <c r="J102" i="3"/>
  <c r="I102" i="3"/>
  <c r="H102" i="3"/>
  <c r="G102" i="3"/>
  <c r="F102" i="3"/>
  <c r="E102" i="3"/>
  <c r="T102" i="3" s="1"/>
  <c r="D102" i="3"/>
  <c r="O101" i="3"/>
  <c r="N101" i="3"/>
  <c r="M101" i="3"/>
  <c r="L101" i="3"/>
  <c r="K101" i="3"/>
  <c r="J101" i="3"/>
  <c r="I101" i="3"/>
  <c r="H101" i="3"/>
  <c r="G101" i="3"/>
  <c r="F101" i="3"/>
  <c r="E101" i="3"/>
  <c r="T101" i="3" s="1"/>
  <c r="D101" i="3"/>
  <c r="O100" i="3"/>
  <c r="N100" i="3"/>
  <c r="M100" i="3"/>
  <c r="L100" i="3"/>
  <c r="K100" i="3"/>
  <c r="J100" i="3"/>
  <c r="I100" i="3"/>
  <c r="H100" i="3"/>
  <c r="G100" i="3"/>
  <c r="F100" i="3"/>
  <c r="E100" i="3"/>
  <c r="T100" i="3" s="1"/>
  <c r="D100" i="3"/>
  <c r="O99" i="3"/>
  <c r="N99" i="3"/>
  <c r="M99" i="3"/>
  <c r="L99" i="3"/>
  <c r="K99" i="3"/>
  <c r="J99" i="3"/>
  <c r="I99" i="3"/>
  <c r="H99" i="3"/>
  <c r="G99" i="3"/>
  <c r="F99" i="3"/>
  <c r="E99" i="3"/>
  <c r="T99" i="3" s="1"/>
  <c r="D99" i="3"/>
  <c r="O98" i="3"/>
  <c r="N98" i="3"/>
  <c r="M98" i="3"/>
  <c r="L98" i="3"/>
  <c r="K98" i="3"/>
  <c r="J98" i="3"/>
  <c r="I98" i="3"/>
  <c r="H98" i="3"/>
  <c r="G98" i="3"/>
  <c r="F98" i="3"/>
  <c r="E98" i="3"/>
  <c r="T98" i="3" s="1"/>
  <c r="D98" i="3"/>
  <c r="O97" i="3"/>
  <c r="N97" i="3"/>
  <c r="M97" i="3"/>
  <c r="L97" i="3"/>
  <c r="K97" i="3"/>
  <c r="J97" i="3"/>
  <c r="I97" i="3"/>
  <c r="H97" i="3"/>
  <c r="G97" i="3"/>
  <c r="F97" i="3"/>
  <c r="E97" i="3"/>
  <c r="T97" i="3" s="1"/>
  <c r="D97" i="3"/>
  <c r="O96" i="3"/>
  <c r="N96" i="3"/>
  <c r="M96" i="3"/>
  <c r="L96" i="3"/>
  <c r="K96" i="3"/>
  <c r="J96" i="3"/>
  <c r="I96" i="3"/>
  <c r="H96" i="3"/>
  <c r="G96" i="3"/>
  <c r="F96" i="3"/>
  <c r="E96" i="3"/>
  <c r="T96" i="3" s="1"/>
  <c r="D96" i="3"/>
  <c r="O95" i="3"/>
  <c r="N95" i="3"/>
  <c r="M95" i="3"/>
  <c r="L95" i="3"/>
  <c r="K95" i="3"/>
  <c r="J95" i="3"/>
  <c r="I95" i="3"/>
  <c r="H95" i="3"/>
  <c r="G95" i="3"/>
  <c r="F95" i="3"/>
  <c r="E95" i="3"/>
  <c r="T95" i="3" s="1"/>
  <c r="D95" i="3"/>
  <c r="O94" i="3"/>
  <c r="N94" i="3"/>
  <c r="M94" i="3"/>
  <c r="L94" i="3"/>
  <c r="K94" i="3"/>
  <c r="J94" i="3"/>
  <c r="I94" i="3"/>
  <c r="H94" i="3"/>
  <c r="G94" i="3"/>
  <c r="F94" i="3"/>
  <c r="E94" i="3"/>
  <c r="T94" i="3" s="1"/>
  <c r="D94" i="3"/>
  <c r="O93" i="3"/>
  <c r="N93" i="3"/>
  <c r="M93" i="3"/>
  <c r="L93" i="3"/>
  <c r="K93" i="3"/>
  <c r="J93" i="3"/>
  <c r="I93" i="3"/>
  <c r="H93" i="3"/>
  <c r="G93" i="3"/>
  <c r="F93" i="3"/>
  <c r="E93" i="3"/>
  <c r="T93" i="3" s="1"/>
  <c r="D93" i="3"/>
  <c r="O92" i="3"/>
  <c r="N92" i="3"/>
  <c r="M92" i="3"/>
  <c r="L92" i="3"/>
  <c r="K92" i="3"/>
  <c r="J92" i="3"/>
  <c r="I92" i="3"/>
  <c r="H92" i="3"/>
  <c r="G92" i="3"/>
  <c r="F92" i="3"/>
  <c r="E92" i="3"/>
  <c r="T92" i="3" s="1"/>
  <c r="D92" i="3"/>
  <c r="O91" i="3"/>
  <c r="N91" i="3"/>
  <c r="M91" i="3"/>
  <c r="L91" i="3"/>
  <c r="K91" i="3"/>
  <c r="J91" i="3"/>
  <c r="I91" i="3"/>
  <c r="H91" i="3"/>
  <c r="G91" i="3"/>
  <c r="F91" i="3"/>
  <c r="E91" i="3"/>
  <c r="T91" i="3" s="1"/>
  <c r="D91" i="3"/>
  <c r="O90" i="3"/>
  <c r="N90" i="3"/>
  <c r="M90" i="3"/>
  <c r="L90" i="3"/>
  <c r="K90" i="3"/>
  <c r="J90" i="3"/>
  <c r="I90" i="3"/>
  <c r="H90" i="3"/>
  <c r="G90" i="3"/>
  <c r="F90" i="3"/>
  <c r="E90" i="3"/>
  <c r="T90" i="3" s="1"/>
  <c r="D90" i="3"/>
  <c r="O89" i="3"/>
  <c r="N89" i="3"/>
  <c r="M89" i="3"/>
  <c r="L89" i="3"/>
  <c r="K89" i="3"/>
  <c r="J89" i="3"/>
  <c r="I89" i="3"/>
  <c r="H89" i="3"/>
  <c r="G89" i="3"/>
  <c r="F89" i="3"/>
  <c r="E89" i="3"/>
  <c r="T89" i="3" s="1"/>
  <c r="D89" i="3"/>
  <c r="O88" i="3"/>
  <c r="N88" i="3"/>
  <c r="M88" i="3"/>
  <c r="L88" i="3"/>
  <c r="K88" i="3"/>
  <c r="J88" i="3"/>
  <c r="I88" i="3"/>
  <c r="H88" i="3"/>
  <c r="G88" i="3"/>
  <c r="F88" i="3"/>
  <c r="E88" i="3"/>
  <c r="T88" i="3" s="1"/>
  <c r="D88" i="3"/>
  <c r="O87" i="3"/>
  <c r="N87" i="3"/>
  <c r="M87" i="3"/>
  <c r="L87" i="3"/>
  <c r="K87" i="3"/>
  <c r="J87" i="3"/>
  <c r="I87" i="3"/>
  <c r="H87" i="3"/>
  <c r="G87" i="3"/>
  <c r="F87" i="3"/>
  <c r="E87" i="3"/>
  <c r="T87" i="3" s="1"/>
  <c r="D87" i="3"/>
  <c r="O86" i="3"/>
  <c r="N86" i="3"/>
  <c r="M86" i="3"/>
  <c r="L86" i="3"/>
  <c r="K86" i="3"/>
  <c r="J86" i="3"/>
  <c r="I86" i="3"/>
  <c r="H86" i="3"/>
  <c r="G86" i="3"/>
  <c r="F86" i="3"/>
  <c r="E86" i="3"/>
  <c r="T86" i="3" s="1"/>
  <c r="D86" i="3"/>
  <c r="O85" i="3"/>
  <c r="N85" i="3"/>
  <c r="M85" i="3"/>
  <c r="L85" i="3"/>
  <c r="K85" i="3"/>
  <c r="J85" i="3"/>
  <c r="I85" i="3"/>
  <c r="H85" i="3"/>
  <c r="G85" i="3"/>
  <c r="F85" i="3"/>
  <c r="E85" i="3"/>
  <c r="T85" i="3" s="1"/>
  <c r="D85" i="3"/>
  <c r="O84" i="3"/>
  <c r="N84" i="3"/>
  <c r="M84" i="3"/>
  <c r="L84" i="3"/>
  <c r="K84" i="3"/>
  <c r="J84" i="3"/>
  <c r="I84" i="3"/>
  <c r="H84" i="3"/>
  <c r="G84" i="3"/>
  <c r="F84" i="3"/>
  <c r="E84" i="3"/>
  <c r="T84" i="3" s="1"/>
  <c r="D84" i="3"/>
  <c r="O83" i="3"/>
  <c r="N83" i="3"/>
  <c r="M83" i="3"/>
  <c r="L83" i="3"/>
  <c r="K83" i="3"/>
  <c r="J83" i="3"/>
  <c r="I83" i="3"/>
  <c r="H83" i="3"/>
  <c r="G83" i="3"/>
  <c r="F83" i="3"/>
  <c r="E83" i="3"/>
  <c r="T83" i="3" s="1"/>
  <c r="D83" i="3"/>
  <c r="O82" i="3"/>
  <c r="N82" i="3"/>
  <c r="M82" i="3"/>
  <c r="L82" i="3"/>
  <c r="K82" i="3"/>
  <c r="J82" i="3"/>
  <c r="I82" i="3"/>
  <c r="H82" i="3"/>
  <c r="G82" i="3"/>
  <c r="F82" i="3"/>
  <c r="E82" i="3"/>
  <c r="T82" i="3" s="1"/>
  <c r="D82" i="3"/>
  <c r="O81" i="3"/>
  <c r="N81" i="3"/>
  <c r="M81" i="3"/>
  <c r="L81" i="3"/>
  <c r="K81" i="3"/>
  <c r="J81" i="3"/>
  <c r="I81" i="3"/>
  <c r="H81" i="3"/>
  <c r="G81" i="3"/>
  <c r="F81" i="3"/>
  <c r="E81" i="3"/>
  <c r="T81" i="3" s="1"/>
  <c r="D81" i="3"/>
  <c r="O80" i="3"/>
  <c r="N80" i="3"/>
  <c r="M80" i="3"/>
  <c r="L80" i="3"/>
  <c r="K80" i="3"/>
  <c r="J80" i="3"/>
  <c r="I80" i="3"/>
  <c r="H80" i="3"/>
  <c r="G80" i="3"/>
  <c r="F80" i="3"/>
  <c r="E80" i="3"/>
  <c r="T80" i="3" s="1"/>
  <c r="D80" i="3"/>
  <c r="O79" i="3"/>
  <c r="N79" i="3"/>
  <c r="M79" i="3"/>
  <c r="L79" i="3"/>
  <c r="K79" i="3"/>
  <c r="J79" i="3"/>
  <c r="I79" i="3"/>
  <c r="H79" i="3"/>
  <c r="G79" i="3"/>
  <c r="F79" i="3"/>
  <c r="E79" i="3"/>
  <c r="T79" i="3" s="1"/>
  <c r="D79" i="3"/>
  <c r="O78" i="3"/>
  <c r="N78" i="3"/>
  <c r="M78" i="3"/>
  <c r="L78" i="3"/>
  <c r="K78" i="3"/>
  <c r="J78" i="3"/>
  <c r="I78" i="3"/>
  <c r="H78" i="3"/>
  <c r="G78" i="3"/>
  <c r="F78" i="3"/>
  <c r="E78" i="3"/>
  <c r="T78" i="3" s="1"/>
  <c r="D78" i="3"/>
  <c r="O77" i="3"/>
  <c r="N77" i="3"/>
  <c r="M77" i="3"/>
  <c r="L77" i="3"/>
  <c r="K77" i="3"/>
  <c r="J77" i="3"/>
  <c r="I77" i="3"/>
  <c r="H77" i="3"/>
  <c r="G77" i="3"/>
  <c r="F77" i="3"/>
  <c r="E77" i="3"/>
  <c r="T77" i="3" s="1"/>
  <c r="D77" i="3"/>
  <c r="O76" i="3"/>
  <c r="N76" i="3"/>
  <c r="M76" i="3"/>
  <c r="L76" i="3"/>
  <c r="K76" i="3"/>
  <c r="J76" i="3"/>
  <c r="I76" i="3"/>
  <c r="H76" i="3"/>
  <c r="G76" i="3"/>
  <c r="F76" i="3"/>
  <c r="E76" i="3"/>
  <c r="T76" i="3" s="1"/>
  <c r="D76" i="3"/>
  <c r="O75" i="3"/>
  <c r="N75" i="3"/>
  <c r="M75" i="3"/>
  <c r="L75" i="3"/>
  <c r="K75" i="3"/>
  <c r="J75" i="3"/>
  <c r="I75" i="3"/>
  <c r="H75" i="3"/>
  <c r="G75" i="3"/>
  <c r="F75" i="3"/>
  <c r="E75" i="3"/>
  <c r="T75" i="3" s="1"/>
  <c r="D75" i="3"/>
  <c r="O74" i="3"/>
  <c r="N74" i="3"/>
  <c r="M74" i="3"/>
  <c r="L74" i="3"/>
  <c r="K74" i="3"/>
  <c r="J74" i="3"/>
  <c r="I74" i="3"/>
  <c r="H74" i="3"/>
  <c r="G74" i="3"/>
  <c r="F74" i="3"/>
  <c r="E74" i="3"/>
  <c r="T74" i="3" s="1"/>
  <c r="D74" i="3"/>
  <c r="O73" i="3"/>
  <c r="N73" i="3"/>
  <c r="M73" i="3"/>
  <c r="L73" i="3"/>
  <c r="K73" i="3"/>
  <c r="J73" i="3"/>
  <c r="I73" i="3"/>
  <c r="H73" i="3"/>
  <c r="G73" i="3"/>
  <c r="F73" i="3"/>
  <c r="E73" i="3"/>
  <c r="T73" i="3" s="1"/>
  <c r="D73" i="3"/>
  <c r="O72" i="3"/>
  <c r="N72" i="3"/>
  <c r="M72" i="3"/>
  <c r="L72" i="3"/>
  <c r="K72" i="3"/>
  <c r="J72" i="3"/>
  <c r="I72" i="3"/>
  <c r="H72" i="3"/>
  <c r="G72" i="3"/>
  <c r="F72" i="3"/>
  <c r="E72" i="3"/>
  <c r="T72" i="3" s="1"/>
  <c r="D72" i="3"/>
  <c r="O71" i="3"/>
  <c r="N71" i="3"/>
  <c r="M71" i="3"/>
  <c r="L71" i="3"/>
  <c r="K71" i="3"/>
  <c r="J71" i="3"/>
  <c r="I71" i="3"/>
  <c r="H71" i="3"/>
  <c r="G71" i="3"/>
  <c r="F71" i="3"/>
  <c r="E71" i="3"/>
  <c r="T71" i="3" s="1"/>
  <c r="D71" i="3"/>
  <c r="O70" i="3"/>
  <c r="N70" i="3"/>
  <c r="M70" i="3"/>
  <c r="L70" i="3"/>
  <c r="K70" i="3"/>
  <c r="J70" i="3"/>
  <c r="I70" i="3"/>
  <c r="H70" i="3"/>
  <c r="G70" i="3"/>
  <c r="F70" i="3"/>
  <c r="E70" i="3"/>
  <c r="T70" i="3" s="1"/>
  <c r="D70" i="3"/>
  <c r="O69" i="3"/>
  <c r="N69" i="3"/>
  <c r="M69" i="3"/>
  <c r="L69" i="3"/>
  <c r="K69" i="3"/>
  <c r="J69" i="3"/>
  <c r="I69" i="3"/>
  <c r="H69" i="3"/>
  <c r="G69" i="3"/>
  <c r="F69" i="3"/>
  <c r="E69" i="3"/>
  <c r="T69" i="3" s="1"/>
  <c r="D69" i="3"/>
  <c r="O68" i="3"/>
  <c r="N68" i="3"/>
  <c r="M68" i="3"/>
  <c r="L68" i="3"/>
  <c r="K68" i="3"/>
  <c r="J68" i="3"/>
  <c r="I68" i="3"/>
  <c r="H68" i="3"/>
  <c r="G68" i="3"/>
  <c r="F68" i="3"/>
  <c r="E68" i="3"/>
  <c r="T68" i="3" s="1"/>
  <c r="D68" i="3"/>
  <c r="O67" i="3"/>
  <c r="N67" i="3"/>
  <c r="M67" i="3"/>
  <c r="L67" i="3"/>
  <c r="K67" i="3"/>
  <c r="J67" i="3"/>
  <c r="I67" i="3"/>
  <c r="H67" i="3"/>
  <c r="G67" i="3"/>
  <c r="F67" i="3"/>
  <c r="E67" i="3"/>
  <c r="T67" i="3" s="1"/>
  <c r="D67" i="3"/>
  <c r="O66" i="3"/>
  <c r="N66" i="3"/>
  <c r="M66" i="3"/>
  <c r="L66" i="3"/>
  <c r="K66" i="3"/>
  <c r="J66" i="3"/>
  <c r="I66" i="3"/>
  <c r="H66" i="3"/>
  <c r="G66" i="3"/>
  <c r="F66" i="3"/>
  <c r="E66" i="3"/>
  <c r="T66" i="3" s="1"/>
  <c r="D66" i="3"/>
  <c r="O65" i="3"/>
  <c r="N65" i="3"/>
  <c r="M65" i="3"/>
  <c r="L65" i="3"/>
  <c r="K65" i="3"/>
  <c r="J65" i="3"/>
  <c r="I65" i="3"/>
  <c r="H65" i="3"/>
  <c r="G65" i="3"/>
  <c r="F65" i="3"/>
  <c r="E65" i="3"/>
  <c r="T65" i="3" s="1"/>
  <c r="D65" i="3"/>
  <c r="O64" i="3"/>
  <c r="N64" i="3"/>
  <c r="M64" i="3"/>
  <c r="L64" i="3"/>
  <c r="K64" i="3"/>
  <c r="J64" i="3"/>
  <c r="I64" i="3"/>
  <c r="H64" i="3"/>
  <c r="G64" i="3"/>
  <c r="F64" i="3"/>
  <c r="E64" i="3"/>
  <c r="T64" i="3" s="1"/>
  <c r="D64" i="3"/>
  <c r="O63" i="3"/>
  <c r="N63" i="3"/>
  <c r="M63" i="3"/>
  <c r="L63" i="3"/>
  <c r="K63" i="3"/>
  <c r="J63" i="3"/>
  <c r="I63" i="3"/>
  <c r="H63" i="3"/>
  <c r="G63" i="3"/>
  <c r="F63" i="3"/>
  <c r="E63" i="3"/>
  <c r="T63" i="3" s="1"/>
  <c r="D63" i="3"/>
  <c r="O62" i="3"/>
  <c r="N62" i="3"/>
  <c r="M62" i="3"/>
  <c r="L62" i="3"/>
  <c r="K62" i="3"/>
  <c r="J62" i="3"/>
  <c r="I62" i="3"/>
  <c r="H62" i="3"/>
  <c r="G62" i="3"/>
  <c r="F62" i="3"/>
  <c r="E62" i="3"/>
  <c r="T62" i="3" s="1"/>
  <c r="D62" i="3"/>
  <c r="O61" i="3"/>
  <c r="N61" i="3"/>
  <c r="M61" i="3"/>
  <c r="L61" i="3"/>
  <c r="K61" i="3"/>
  <c r="J61" i="3"/>
  <c r="I61" i="3"/>
  <c r="H61" i="3"/>
  <c r="G61" i="3"/>
  <c r="F61" i="3"/>
  <c r="E61" i="3"/>
  <c r="T61" i="3" s="1"/>
  <c r="D61" i="3"/>
  <c r="O60" i="3"/>
  <c r="N60" i="3"/>
  <c r="M60" i="3"/>
  <c r="L60" i="3"/>
  <c r="K60" i="3"/>
  <c r="J60" i="3"/>
  <c r="I60" i="3"/>
  <c r="H60" i="3"/>
  <c r="G60" i="3"/>
  <c r="F60" i="3"/>
  <c r="E60" i="3"/>
  <c r="T60" i="3" s="1"/>
  <c r="D60" i="3"/>
  <c r="O59" i="3"/>
  <c r="N59" i="3"/>
  <c r="M59" i="3"/>
  <c r="L59" i="3"/>
  <c r="K59" i="3"/>
  <c r="J59" i="3"/>
  <c r="I59" i="3"/>
  <c r="H59" i="3"/>
  <c r="G59" i="3"/>
  <c r="F59" i="3"/>
  <c r="E59" i="3"/>
  <c r="T59" i="3" s="1"/>
  <c r="D59" i="3"/>
  <c r="O58" i="3"/>
  <c r="N58" i="3"/>
  <c r="M58" i="3"/>
  <c r="L58" i="3"/>
  <c r="K58" i="3"/>
  <c r="J58" i="3"/>
  <c r="I58" i="3"/>
  <c r="H58" i="3"/>
  <c r="G58" i="3"/>
  <c r="F58" i="3"/>
  <c r="E58" i="3"/>
  <c r="T58" i="3" s="1"/>
  <c r="D58" i="3"/>
  <c r="O57" i="3"/>
  <c r="N57" i="3"/>
  <c r="M57" i="3"/>
  <c r="L57" i="3"/>
  <c r="K57" i="3"/>
  <c r="J57" i="3"/>
  <c r="I57" i="3"/>
  <c r="H57" i="3"/>
  <c r="G57" i="3"/>
  <c r="F57" i="3"/>
  <c r="E57" i="3"/>
  <c r="T57" i="3" s="1"/>
  <c r="D57" i="3"/>
  <c r="O56" i="3"/>
  <c r="N56" i="3"/>
  <c r="M56" i="3"/>
  <c r="L56" i="3"/>
  <c r="K56" i="3"/>
  <c r="J56" i="3"/>
  <c r="I56" i="3"/>
  <c r="H56" i="3"/>
  <c r="G56" i="3"/>
  <c r="F56" i="3"/>
  <c r="E56" i="3"/>
  <c r="T56" i="3" s="1"/>
  <c r="D56" i="3"/>
  <c r="O55" i="3"/>
  <c r="N55" i="3"/>
  <c r="M55" i="3"/>
  <c r="L55" i="3"/>
  <c r="K55" i="3"/>
  <c r="J55" i="3"/>
  <c r="I55" i="3"/>
  <c r="H55" i="3"/>
  <c r="G55" i="3"/>
  <c r="F55" i="3"/>
  <c r="E55" i="3"/>
  <c r="T55" i="3" s="1"/>
  <c r="D55" i="3"/>
  <c r="O54" i="3"/>
  <c r="N54" i="3"/>
  <c r="M54" i="3"/>
  <c r="L54" i="3"/>
  <c r="K54" i="3"/>
  <c r="J54" i="3"/>
  <c r="I54" i="3"/>
  <c r="H54" i="3"/>
  <c r="G54" i="3"/>
  <c r="F54" i="3"/>
  <c r="E54" i="3"/>
  <c r="T54" i="3" s="1"/>
  <c r="D54" i="3"/>
  <c r="O53" i="3"/>
  <c r="N53" i="3"/>
  <c r="M53" i="3"/>
  <c r="L53" i="3"/>
  <c r="K53" i="3"/>
  <c r="J53" i="3"/>
  <c r="I53" i="3"/>
  <c r="H53" i="3"/>
  <c r="G53" i="3"/>
  <c r="F53" i="3"/>
  <c r="E53" i="3"/>
  <c r="T53" i="3" s="1"/>
  <c r="D53" i="3"/>
  <c r="O52" i="3"/>
  <c r="N52" i="3"/>
  <c r="M52" i="3"/>
  <c r="L52" i="3"/>
  <c r="K52" i="3"/>
  <c r="J52" i="3"/>
  <c r="I52" i="3"/>
  <c r="H52" i="3"/>
  <c r="G52" i="3"/>
  <c r="F52" i="3"/>
  <c r="E52" i="3"/>
  <c r="T52" i="3" s="1"/>
  <c r="D52" i="3"/>
  <c r="O51" i="3"/>
  <c r="N51" i="3"/>
  <c r="M51" i="3"/>
  <c r="L51" i="3"/>
  <c r="K51" i="3"/>
  <c r="J51" i="3"/>
  <c r="I51" i="3"/>
  <c r="H51" i="3"/>
  <c r="G51" i="3"/>
  <c r="F51" i="3"/>
  <c r="E51" i="3"/>
  <c r="T51" i="3" s="1"/>
  <c r="D51" i="3"/>
  <c r="O50" i="3"/>
  <c r="N50" i="3"/>
  <c r="M50" i="3"/>
  <c r="L50" i="3"/>
  <c r="K50" i="3"/>
  <c r="J50" i="3"/>
  <c r="I50" i="3"/>
  <c r="H50" i="3"/>
  <c r="G50" i="3"/>
  <c r="F50" i="3"/>
  <c r="E50" i="3"/>
  <c r="T50" i="3" s="1"/>
  <c r="D50" i="3"/>
  <c r="O49" i="3"/>
  <c r="N49" i="3"/>
  <c r="M49" i="3"/>
  <c r="L49" i="3"/>
  <c r="K49" i="3"/>
  <c r="J49" i="3"/>
  <c r="I49" i="3"/>
  <c r="H49" i="3"/>
  <c r="G49" i="3"/>
  <c r="F49" i="3"/>
  <c r="E49" i="3"/>
  <c r="T49" i="3" s="1"/>
  <c r="D49" i="3"/>
  <c r="O48" i="3"/>
  <c r="N48" i="3"/>
  <c r="M48" i="3"/>
  <c r="L48" i="3"/>
  <c r="K48" i="3"/>
  <c r="J48" i="3"/>
  <c r="I48" i="3"/>
  <c r="H48" i="3"/>
  <c r="G48" i="3"/>
  <c r="F48" i="3"/>
  <c r="E48" i="3"/>
  <c r="T48" i="3" s="1"/>
  <c r="D48" i="3"/>
  <c r="O47" i="3"/>
  <c r="N47" i="3"/>
  <c r="M47" i="3"/>
  <c r="L47" i="3"/>
  <c r="K47" i="3"/>
  <c r="J47" i="3"/>
  <c r="I47" i="3"/>
  <c r="H47" i="3"/>
  <c r="G47" i="3"/>
  <c r="F47" i="3"/>
  <c r="E47" i="3"/>
  <c r="T47" i="3" s="1"/>
  <c r="D47" i="3"/>
  <c r="O46" i="3"/>
  <c r="N46" i="3"/>
  <c r="M46" i="3"/>
  <c r="L46" i="3"/>
  <c r="K46" i="3"/>
  <c r="J46" i="3"/>
  <c r="I46" i="3"/>
  <c r="H46" i="3"/>
  <c r="G46" i="3"/>
  <c r="F46" i="3"/>
  <c r="E46" i="3"/>
  <c r="T46" i="3" s="1"/>
  <c r="D46" i="3"/>
  <c r="O45" i="3"/>
  <c r="N45" i="3"/>
  <c r="M45" i="3"/>
  <c r="L45" i="3"/>
  <c r="K45" i="3"/>
  <c r="J45" i="3"/>
  <c r="I45" i="3"/>
  <c r="H45" i="3"/>
  <c r="G45" i="3"/>
  <c r="F45" i="3"/>
  <c r="E45" i="3"/>
  <c r="T45" i="3" s="1"/>
  <c r="D45" i="3"/>
  <c r="O44" i="3"/>
  <c r="N44" i="3"/>
  <c r="M44" i="3"/>
  <c r="L44" i="3"/>
  <c r="K44" i="3"/>
  <c r="J44" i="3"/>
  <c r="I44" i="3"/>
  <c r="H44" i="3"/>
  <c r="G44" i="3"/>
  <c r="F44" i="3"/>
  <c r="E44" i="3"/>
  <c r="T44" i="3" s="1"/>
  <c r="D44" i="3"/>
  <c r="O43" i="3"/>
  <c r="N43" i="3"/>
  <c r="M43" i="3"/>
  <c r="L43" i="3"/>
  <c r="K43" i="3"/>
  <c r="J43" i="3"/>
  <c r="I43" i="3"/>
  <c r="H43" i="3"/>
  <c r="G43" i="3"/>
  <c r="F43" i="3"/>
  <c r="E43" i="3"/>
  <c r="T43" i="3" s="1"/>
  <c r="D43" i="3"/>
  <c r="O42" i="3"/>
  <c r="N42" i="3"/>
  <c r="M42" i="3"/>
  <c r="L42" i="3"/>
  <c r="K42" i="3"/>
  <c r="J42" i="3"/>
  <c r="I42" i="3"/>
  <c r="H42" i="3"/>
  <c r="G42" i="3"/>
  <c r="F42" i="3"/>
  <c r="E42" i="3"/>
  <c r="T42" i="3" s="1"/>
  <c r="D42" i="3"/>
  <c r="O41" i="3"/>
  <c r="N41" i="3"/>
  <c r="M41" i="3"/>
  <c r="L41" i="3"/>
  <c r="K41" i="3"/>
  <c r="J41" i="3"/>
  <c r="I41" i="3"/>
  <c r="H41" i="3"/>
  <c r="G41" i="3"/>
  <c r="F41" i="3"/>
  <c r="E41" i="3"/>
  <c r="T41" i="3" s="1"/>
  <c r="D41" i="3"/>
  <c r="O40" i="3"/>
  <c r="N40" i="3"/>
  <c r="M40" i="3"/>
  <c r="L40" i="3"/>
  <c r="K40" i="3"/>
  <c r="J40" i="3"/>
  <c r="I40" i="3"/>
  <c r="H40" i="3"/>
  <c r="G40" i="3"/>
  <c r="F40" i="3"/>
  <c r="E40" i="3"/>
  <c r="T40" i="3" s="1"/>
  <c r="D40" i="3"/>
  <c r="O39" i="3"/>
  <c r="N39" i="3"/>
  <c r="M39" i="3"/>
  <c r="L39" i="3"/>
  <c r="K39" i="3"/>
  <c r="J39" i="3"/>
  <c r="I39" i="3"/>
  <c r="H39" i="3"/>
  <c r="G39" i="3"/>
  <c r="F39" i="3"/>
  <c r="E39" i="3"/>
  <c r="T39" i="3" s="1"/>
  <c r="D39" i="3"/>
  <c r="O38" i="3"/>
  <c r="N38" i="3"/>
  <c r="M38" i="3"/>
  <c r="L38" i="3"/>
  <c r="K38" i="3"/>
  <c r="J38" i="3"/>
  <c r="I38" i="3"/>
  <c r="H38" i="3"/>
  <c r="G38" i="3"/>
  <c r="F38" i="3"/>
  <c r="E38" i="3"/>
  <c r="T38" i="3" s="1"/>
  <c r="D38" i="3"/>
  <c r="O37" i="3"/>
  <c r="N37" i="3"/>
  <c r="M37" i="3"/>
  <c r="L37" i="3"/>
  <c r="K37" i="3"/>
  <c r="J37" i="3"/>
  <c r="I37" i="3"/>
  <c r="H37" i="3"/>
  <c r="G37" i="3"/>
  <c r="F37" i="3"/>
  <c r="E37" i="3"/>
  <c r="T37" i="3" s="1"/>
  <c r="D37" i="3"/>
  <c r="O36" i="3"/>
  <c r="N36" i="3"/>
  <c r="M36" i="3"/>
  <c r="L36" i="3"/>
  <c r="K36" i="3"/>
  <c r="J36" i="3"/>
  <c r="I36" i="3"/>
  <c r="H36" i="3"/>
  <c r="G36" i="3"/>
  <c r="F36" i="3"/>
  <c r="E36" i="3"/>
  <c r="T36" i="3" s="1"/>
  <c r="D36" i="3"/>
  <c r="O35" i="3"/>
  <c r="N35" i="3"/>
  <c r="M35" i="3"/>
  <c r="L35" i="3"/>
  <c r="K35" i="3"/>
  <c r="J35" i="3"/>
  <c r="I35" i="3"/>
  <c r="H35" i="3"/>
  <c r="G35" i="3"/>
  <c r="F35" i="3"/>
  <c r="E35" i="3"/>
  <c r="T35" i="3" s="1"/>
  <c r="D35" i="3"/>
  <c r="O34" i="3"/>
  <c r="N34" i="3"/>
  <c r="M34" i="3"/>
  <c r="L34" i="3"/>
  <c r="K34" i="3"/>
  <c r="J34" i="3"/>
  <c r="I34" i="3"/>
  <c r="H34" i="3"/>
  <c r="G34" i="3"/>
  <c r="F34" i="3"/>
  <c r="E34" i="3"/>
  <c r="T34" i="3" s="1"/>
  <c r="D34" i="3"/>
  <c r="O33" i="3"/>
  <c r="N33" i="3"/>
  <c r="M33" i="3"/>
  <c r="L33" i="3"/>
  <c r="K33" i="3"/>
  <c r="J33" i="3"/>
  <c r="I33" i="3"/>
  <c r="H33" i="3"/>
  <c r="G33" i="3"/>
  <c r="F33" i="3"/>
  <c r="E33" i="3"/>
  <c r="T33" i="3" s="1"/>
  <c r="D33" i="3"/>
  <c r="O32" i="3"/>
  <c r="N32" i="3"/>
  <c r="M32" i="3"/>
  <c r="L32" i="3"/>
  <c r="K32" i="3"/>
  <c r="J32" i="3"/>
  <c r="I32" i="3"/>
  <c r="H32" i="3"/>
  <c r="G32" i="3"/>
  <c r="F32" i="3"/>
  <c r="E32" i="3"/>
  <c r="T32" i="3" s="1"/>
  <c r="D32" i="3"/>
  <c r="O31" i="3"/>
  <c r="N31" i="3"/>
  <c r="M31" i="3"/>
  <c r="L31" i="3"/>
  <c r="K31" i="3"/>
  <c r="J31" i="3"/>
  <c r="I31" i="3"/>
  <c r="H31" i="3"/>
  <c r="G31" i="3"/>
  <c r="F31" i="3"/>
  <c r="E31" i="3"/>
  <c r="T31" i="3" s="1"/>
  <c r="D31" i="3"/>
  <c r="O30" i="3"/>
  <c r="N30" i="3"/>
  <c r="M30" i="3"/>
  <c r="L30" i="3"/>
  <c r="K30" i="3"/>
  <c r="J30" i="3"/>
  <c r="I30" i="3"/>
  <c r="H30" i="3"/>
  <c r="G30" i="3"/>
  <c r="F30" i="3"/>
  <c r="E30" i="3"/>
  <c r="T30" i="3" s="1"/>
  <c r="D30" i="3"/>
  <c r="O29" i="3"/>
  <c r="N29" i="3"/>
  <c r="M29" i="3"/>
  <c r="L29" i="3"/>
  <c r="K29" i="3"/>
  <c r="J29" i="3"/>
  <c r="I29" i="3"/>
  <c r="H29" i="3"/>
  <c r="G29" i="3"/>
  <c r="F29" i="3"/>
  <c r="E29" i="3"/>
  <c r="T29" i="3" s="1"/>
  <c r="D29" i="3"/>
  <c r="O28" i="3"/>
  <c r="N28" i="3"/>
  <c r="M28" i="3"/>
  <c r="L28" i="3"/>
  <c r="K28" i="3"/>
  <c r="J28" i="3"/>
  <c r="I28" i="3"/>
  <c r="H28" i="3"/>
  <c r="G28" i="3"/>
  <c r="F28" i="3"/>
  <c r="E28" i="3"/>
  <c r="T28" i="3" s="1"/>
  <c r="D28" i="3"/>
  <c r="O27" i="3"/>
  <c r="N27" i="3"/>
  <c r="M27" i="3"/>
  <c r="L27" i="3"/>
  <c r="K27" i="3"/>
  <c r="J27" i="3"/>
  <c r="I27" i="3"/>
  <c r="H27" i="3"/>
  <c r="G27" i="3"/>
  <c r="F27" i="3"/>
  <c r="E27" i="3"/>
  <c r="T27" i="3" s="1"/>
  <c r="D27" i="3"/>
  <c r="O26" i="3"/>
  <c r="N26" i="3"/>
  <c r="M26" i="3"/>
  <c r="L26" i="3"/>
  <c r="K26" i="3"/>
  <c r="J26" i="3"/>
  <c r="I26" i="3"/>
  <c r="H26" i="3"/>
  <c r="G26" i="3"/>
  <c r="F26" i="3"/>
  <c r="E26" i="3"/>
  <c r="T26" i="3" s="1"/>
  <c r="D26" i="3"/>
  <c r="O25" i="3"/>
  <c r="N25" i="3"/>
  <c r="M25" i="3"/>
  <c r="L25" i="3"/>
  <c r="K25" i="3"/>
  <c r="J25" i="3"/>
  <c r="I25" i="3"/>
  <c r="H25" i="3"/>
  <c r="G25" i="3"/>
  <c r="F25" i="3"/>
  <c r="E25" i="3"/>
  <c r="T25" i="3" s="1"/>
  <c r="D25" i="3"/>
  <c r="O24" i="3"/>
  <c r="N24" i="3"/>
  <c r="M24" i="3"/>
  <c r="L24" i="3"/>
  <c r="K24" i="3"/>
  <c r="J24" i="3"/>
  <c r="I24" i="3"/>
  <c r="H24" i="3"/>
  <c r="G24" i="3"/>
  <c r="F24" i="3"/>
  <c r="E24" i="3"/>
  <c r="T24" i="3" s="1"/>
  <c r="D24" i="3"/>
  <c r="O23" i="3"/>
  <c r="N23" i="3"/>
  <c r="M23" i="3"/>
  <c r="L23" i="3"/>
  <c r="K23" i="3"/>
  <c r="J23" i="3"/>
  <c r="I23" i="3"/>
  <c r="H23" i="3"/>
  <c r="G23" i="3"/>
  <c r="F23" i="3"/>
  <c r="E23" i="3"/>
  <c r="T23" i="3" s="1"/>
  <c r="D23" i="3"/>
  <c r="O22" i="3"/>
  <c r="N22" i="3"/>
  <c r="M22" i="3"/>
  <c r="L22" i="3"/>
  <c r="K22" i="3"/>
  <c r="J22" i="3"/>
  <c r="I22" i="3"/>
  <c r="H22" i="3"/>
  <c r="G22" i="3"/>
  <c r="F22" i="3"/>
  <c r="E22" i="3"/>
  <c r="T22" i="3" s="1"/>
  <c r="D22" i="3"/>
  <c r="O21" i="3"/>
  <c r="N21" i="3"/>
  <c r="M21" i="3"/>
  <c r="L21" i="3"/>
  <c r="K21" i="3"/>
  <c r="J21" i="3"/>
  <c r="I21" i="3"/>
  <c r="H21" i="3"/>
  <c r="G21" i="3"/>
  <c r="F21" i="3"/>
  <c r="E21" i="3"/>
  <c r="T21" i="3" s="1"/>
  <c r="D21" i="3"/>
  <c r="O20" i="3"/>
  <c r="N20" i="3"/>
  <c r="M20" i="3"/>
  <c r="L20" i="3"/>
  <c r="K20" i="3"/>
  <c r="J20" i="3"/>
  <c r="I20" i="3"/>
  <c r="H20" i="3"/>
  <c r="G20" i="3"/>
  <c r="F20" i="3"/>
  <c r="E20" i="3"/>
  <c r="T20" i="3" s="1"/>
  <c r="D20" i="3"/>
  <c r="O19" i="3"/>
  <c r="N19" i="3"/>
  <c r="M19" i="3"/>
  <c r="L19" i="3"/>
  <c r="K19" i="3"/>
  <c r="J19" i="3"/>
  <c r="I19" i="3"/>
  <c r="H19" i="3"/>
  <c r="G19" i="3"/>
  <c r="F19" i="3"/>
  <c r="E19" i="3"/>
  <c r="T19" i="3" s="1"/>
  <c r="D19" i="3"/>
  <c r="O18" i="3"/>
  <c r="N18" i="3"/>
  <c r="M18" i="3"/>
  <c r="L18" i="3"/>
  <c r="K18" i="3"/>
  <c r="J18" i="3"/>
  <c r="I18" i="3"/>
  <c r="H18" i="3"/>
  <c r="G18" i="3"/>
  <c r="F18" i="3"/>
  <c r="E18" i="3"/>
  <c r="T18" i="3" s="1"/>
  <c r="D18" i="3"/>
  <c r="O17" i="3"/>
  <c r="N17" i="3"/>
  <c r="M17" i="3"/>
  <c r="L17" i="3"/>
  <c r="K17" i="3"/>
  <c r="J17" i="3"/>
  <c r="I17" i="3"/>
  <c r="H17" i="3"/>
  <c r="G17" i="3"/>
  <c r="F17" i="3"/>
  <c r="E17" i="3"/>
  <c r="T17" i="3" s="1"/>
  <c r="D17" i="3"/>
  <c r="O16" i="3"/>
  <c r="N16" i="3"/>
  <c r="M16" i="3"/>
  <c r="L16" i="3"/>
  <c r="K16" i="3"/>
  <c r="J16" i="3"/>
  <c r="I16" i="3"/>
  <c r="H16" i="3"/>
  <c r="G16" i="3"/>
  <c r="F16" i="3"/>
  <c r="E16" i="3"/>
  <c r="T16" i="3" s="1"/>
  <c r="D16" i="3"/>
  <c r="O15" i="3"/>
  <c r="N15" i="3"/>
  <c r="M15" i="3"/>
  <c r="L15" i="3"/>
  <c r="K15" i="3"/>
  <c r="J15" i="3"/>
  <c r="I15" i="3"/>
  <c r="H15" i="3"/>
  <c r="G15" i="3"/>
  <c r="F15" i="3"/>
  <c r="E15" i="3"/>
  <c r="T15" i="3" s="1"/>
  <c r="D15" i="3"/>
  <c r="O14" i="3"/>
  <c r="N14" i="3"/>
  <c r="M14" i="3"/>
  <c r="L14" i="3"/>
  <c r="K14" i="3"/>
  <c r="J14" i="3"/>
  <c r="I14" i="3"/>
  <c r="H14" i="3"/>
  <c r="G14" i="3"/>
  <c r="F14" i="3"/>
  <c r="E14" i="3"/>
  <c r="T14" i="3" s="1"/>
  <c r="D14" i="3"/>
  <c r="O13" i="3"/>
  <c r="N13" i="3"/>
  <c r="M13" i="3"/>
  <c r="L13" i="3"/>
  <c r="K13" i="3"/>
  <c r="J13" i="3"/>
  <c r="I13" i="3"/>
  <c r="H13" i="3"/>
  <c r="G13" i="3"/>
  <c r="F13" i="3"/>
  <c r="E13" i="3"/>
  <c r="T13" i="3" s="1"/>
  <c r="D13" i="3"/>
  <c r="O12" i="3"/>
  <c r="N12" i="3"/>
  <c r="M12" i="3"/>
  <c r="L12" i="3"/>
  <c r="K12" i="3"/>
  <c r="J12" i="3"/>
  <c r="I12" i="3"/>
  <c r="H12" i="3"/>
  <c r="G12" i="3"/>
  <c r="F12" i="3"/>
  <c r="E12" i="3"/>
  <c r="T12" i="3" s="1"/>
  <c r="D12" i="3"/>
  <c r="O11" i="3"/>
  <c r="N11" i="3"/>
  <c r="M11" i="3"/>
  <c r="L11" i="3"/>
  <c r="K11" i="3"/>
  <c r="J11" i="3"/>
  <c r="I11" i="3"/>
  <c r="H11" i="3"/>
  <c r="G11" i="3"/>
  <c r="F11" i="3"/>
  <c r="E11" i="3"/>
  <c r="T11" i="3" s="1"/>
  <c r="D11" i="3"/>
  <c r="O10" i="3"/>
  <c r="N10" i="3"/>
  <c r="M10" i="3"/>
  <c r="L10" i="3"/>
  <c r="K10" i="3"/>
  <c r="J10" i="3"/>
  <c r="I10" i="3"/>
  <c r="H10" i="3"/>
  <c r="G10" i="3"/>
  <c r="F10" i="3"/>
  <c r="E10" i="3"/>
  <c r="T10" i="3" s="1"/>
  <c r="D10" i="3"/>
  <c r="O9" i="3"/>
  <c r="N9" i="3"/>
  <c r="M9" i="3"/>
  <c r="L9" i="3"/>
  <c r="K9" i="3"/>
  <c r="J9" i="3"/>
  <c r="I9" i="3"/>
  <c r="H9" i="3"/>
  <c r="G9" i="3"/>
  <c r="F9" i="3"/>
  <c r="E9" i="3"/>
  <c r="T9" i="3" s="1"/>
  <c r="D9" i="3"/>
  <c r="O8" i="3"/>
  <c r="N8" i="3"/>
  <c r="M8" i="3"/>
  <c r="L8" i="3"/>
  <c r="K8" i="3"/>
  <c r="J8" i="3"/>
  <c r="I8" i="3"/>
  <c r="H8" i="3"/>
  <c r="G8" i="3"/>
  <c r="F8" i="3"/>
  <c r="E8" i="3"/>
  <c r="T8" i="3" s="1"/>
  <c r="D8" i="3"/>
  <c r="O7" i="3"/>
  <c r="N7" i="3"/>
  <c r="M7" i="3"/>
  <c r="L7" i="3"/>
  <c r="K7" i="3"/>
  <c r="J7" i="3"/>
  <c r="I7" i="3"/>
  <c r="H7" i="3"/>
  <c r="G7" i="3"/>
  <c r="F7" i="3"/>
  <c r="E7" i="3"/>
  <c r="T7" i="3" s="1"/>
  <c r="D7" i="3"/>
  <c r="O6" i="3"/>
  <c r="N6" i="3"/>
  <c r="M6" i="3"/>
  <c r="L6" i="3"/>
  <c r="K6" i="3"/>
  <c r="J6" i="3"/>
  <c r="I6" i="3"/>
  <c r="H6" i="3"/>
  <c r="G6" i="3"/>
  <c r="F6" i="3"/>
  <c r="E6" i="3"/>
  <c r="T6" i="3" s="1"/>
  <c r="D6" i="3"/>
  <c r="O5" i="3"/>
  <c r="N5" i="3"/>
  <c r="M5" i="3"/>
  <c r="L5" i="3"/>
  <c r="K5" i="3"/>
  <c r="J5" i="3"/>
  <c r="I5" i="3"/>
  <c r="H5" i="3"/>
  <c r="G5" i="3"/>
  <c r="F5" i="3"/>
  <c r="E5" i="3"/>
  <c r="T5" i="3" s="1"/>
  <c r="D5" i="3"/>
  <c r="O4" i="3"/>
  <c r="N4" i="3"/>
  <c r="M4" i="3"/>
  <c r="L4" i="3"/>
  <c r="K4" i="3"/>
  <c r="J4" i="3"/>
  <c r="I4" i="3"/>
  <c r="H4" i="3"/>
  <c r="G4" i="3"/>
  <c r="F4" i="3"/>
  <c r="E4" i="3"/>
  <c r="T4" i="3" s="1"/>
  <c r="D4" i="3"/>
  <c r="O3" i="3"/>
  <c r="N3" i="3"/>
  <c r="M3" i="3"/>
  <c r="L3" i="3"/>
  <c r="K3" i="3"/>
  <c r="J3" i="3"/>
  <c r="I3" i="3"/>
  <c r="H3" i="3"/>
  <c r="G3" i="3"/>
  <c r="F3" i="3"/>
  <c r="E3" i="3"/>
  <c r="T3" i="3" s="1"/>
  <c r="D3" i="3"/>
  <c r="O2" i="3"/>
  <c r="N2" i="3"/>
  <c r="M2" i="3"/>
  <c r="L2" i="3"/>
  <c r="K2" i="3"/>
  <c r="J2" i="3"/>
  <c r="I2" i="3"/>
  <c r="H2" i="3"/>
  <c r="G2" i="3"/>
  <c r="F2" i="3"/>
  <c r="E2" i="3"/>
  <c r="T2" i="3" s="1"/>
  <c r="D2" i="3"/>
  <c r="I53" i="7" l="1"/>
  <c r="H53" i="7"/>
  <c r="G53" i="7"/>
  <c r="F53" i="7"/>
  <c r="E53" i="7"/>
  <c r="I53" i="4"/>
  <c r="H53" i="4"/>
  <c r="G53" i="4"/>
  <c r="F53" i="4"/>
  <c r="E53" i="4"/>
  <c r="V53" i="13"/>
  <c r="U53" i="13"/>
  <c r="T53" i="13"/>
  <c r="S53" i="13"/>
  <c r="R53" i="13"/>
  <c r="Q53" i="13"/>
  <c r="A53" i="13"/>
  <c r="A54" i="13"/>
  <c r="J93" i="7"/>
  <c r="J15" i="7"/>
  <c r="S139" i="3"/>
  <c r="R139" i="3" s="1"/>
  <c r="S137" i="3"/>
  <c r="R137" i="3" s="1"/>
  <c r="S136" i="3"/>
  <c r="R136" i="3" s="1"/>
  <c r="S135" i="3"/>
  <c r="R135" i="3" s="1"/>
  <c r="S134" i="3"/>
  <c r="R134" i="3" s="1"/>
  <c r="S133" i="3"/>
  <c r="R133" i="3" s="1"/>
  <c r="S132" i="3"/>
  <c r="R132" i="3" s="1"/>
  <c r="S131" i="3"/>
  <c r="R131" i="3" s="1"/>
  <c r="S129" i="3"/>
  <c r="R129" i="3" s="1"/>
  <c r="S128" i="3"/>
  <c r="R128" i="3" s="1"/>
  <c r="S127" i="3"/>
  <c r="R127" i="3" s="1"/>
  <c r="S126" i="3"/>
  <c r="R126" i="3" s="1"/>
  <c r="S125" i="3"/>
  <c r="R125" i="3" s="1"/>
  <c r="S124" i="3"/>
  <c r="R124" i="3" s="1"/>
  <c r="S123" i="3"/>
  <c r="R123" i="3" s="1"/>
  <c r="S121" i="3"/>
  <c r="R121" i="3" s="1"/>
  <c r="S120" i="3"/>
  <c r="R120" i="3" s="1"/>
  <c r="S119" i="3"/>
  <c r="R119" i="3" s="1"/>
  <c r="S118" i="3"/>
  <c r="R118" i="3" s="1"/>
  <c r="S117" i="3"/>
  <c r="R117" i="3" s="1"/>
  <c r="S116" i="3"/>
  <c r="R116" i="3" s="1"/>
  <c r="S115" i="3"/>
  <c r="R115" i="3" s="1"/>
  <c r="S113" i="3"/>
  <c r="R113" i="3" s="1"/>
  <c r="S112" i="3"/>
  <c r="R112" i="3" s="1"/>
  <c r="S111" i="3"/>
  <c r="R111" i="3" s="1"/>
  <c r="S110" i="3"/>
  <c r="R110" i="3" s="1"/>
  <c r="S109" i="3"/>
  <c r="R109" i="3" s="1"/>
  <c r="S108" i="3"/>
  <c r="R108" i="3" s="1"/>
  <c r="S107" i="3"/>
  <c r="R107" i="3" s="1"/>
  <c r="S105" i="3"/>
  <c r="R105" i="3" s="1"/>
  <c r="S104" i="3"/>
  <c r="R104" i="3" s="1"/>
  <c r="S103" i="3"/>
  <c r="R103" i="3" s="1"/>
  <c r="S102" i="3"/>
  <c r="R102" i="3" s="1"/>
  <c r="S101" i="3"/>
  <c r="R101" i="3" s="1"/>
  <c r="S100" i="3"/>
  <c r="R100" i="3" s="1"/>
  <c r="S99" i="3"/>
  <c r="R99" i="3" s="1"/>
  <c r="S97" i="3"/>
  <c r="R97" i="3" s="1"/>
  <c r="S96" i="3"/>
  <c r="R96" i="3" s="1"/>
  <c r="S95" i="3"/>
  <c r="R95" i="3" s="1"/>
  <c r="S94" i="3"/>
  <c r="R94" i="3" s="1"/>
  <c r="S93" i="3"/>
  <c r="R93" i="3" s="1"/>
  <c r="S92" i="3"/>
  <c r="R92" i="3" s="1"/>
  <c r="S91" i="3"/>
  <c r="R91" i="3" s="1"/>
  <c r="S88" i="3"/>
  <c r="R88" i="3" s="1"/>
  <c r="S87" i="3"/>
  <c r="R87" i="3" s="1"/>
  <c r="S86" i="3"/>
  <c r="R86" i="3" s="1"/>
  <c r="S85" i="3"/>
  <c r="R85" i="3" s="1"/>
  <c r="S84" i="3"/>
  <c r="R84" i="3" s="1"/>
  <c r="S83" i="3"/>
  <c r="R83" i="3" s="1"/>
  <c r="S81" i="3"/>
  <c r="R81" i="3" s="1"/>
  <c r="S80" i="3"/>
  <c r="R80" i="3" s="1"/>
  <c r="S79" i="3"/>
  <c r="R79" i="3" s="1"/>
  <c r="S78" i="3"/>
  <c r="R78" i="3" s="1"/>
  <c r="S77" i="3"/>
  <c r="R77" i="3" s="1"/>
  <c r="S76" i="3"/>
  <c r="R76" i="3" s="1"/>
  <c r="S75" i="3"/>
  <c r="R75" i="3" s="1"/>
  <c r="S73" i="3"/>
  <c r="R73" i="3" s="1"/>
  <c r="S72" i="3"/>
  <c r="R72" i="3" s="1"/>
  <c r="S71" i="3"/>
  <c r="R71" i="3" s="1"/>
  <c r="S70" i="3"/>
  <c r="R70" i="3" s="1"/>
  <c r="S69" i="3"/>
  <c r="R69" i="3" s="1"/>
  <c r="S68" i="3"/>
  <c r="R68" i="3" s="1"/>
  <c r="S67" i="3"/>
  <c r="R67" i="3" s="1"/>
  <c r="S65" i="3"/>
  <c r="R65" i="3" s="1"/>
  <c r="S64" i="3"/>
  <c r="R64" i="3" s="1"/>
  <c r="S63" i="3"/>
  <c r="R63" i="3" s="1"/>
  <c r="S62" i="3"/>
  <c r="R62" i="3" s="1"/>
  <c r="S61" i="3"/>
  <c r="R61" i="3" s="1"/>
  <c r="S60" i="3"/>
  <c r="R60" i="3" s="1"/>
  <c r="S59" i="3"/>
  <c r="R59" i="3" s="1"/>
  <c r="S57" i="3"/>
  <c r="R57" i="3" s="1"/>
  <c r="S56" i="3"/>
  <c r="R56" i="3" s="1"/>
  <c r="S55" i="3"/>
  <c r="R55" i="3" s="1"/>
  <c r="S54" i="3"/>
  <c r="R54" i="3" s="1"/>
  <c r="S53" i="3"/>
  <c r="R53" i="3" s="1"/>
  <c r="S52" i="3"/>
  <c r="R52" i="3" s="1"/>
  <c r="S51" i="3"/>
  <c r="R51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R45" i="3" s="1"/>
  <c r="S44" i="3"/>
  <c r="R44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S37" i="3"/>
  <c r="R37" i="3" s="1"/>
  <c r="S36" i="3"/>
  <c r="R36" i="3" s="1"/>
  <c r="S35" i="3"/>
  <c r="R35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S25" i="3"/>
  <c r="R25" i="3" s="1"/>
  <c r="S24" i="3"/>
  <c r="R24" i="3" s="1"/>
  <c r="S23" i="3"/>
  <c r="R23" i="3" s="1"/>
  <c r="S22" i="3"/>
  <c r="R22" i="3" s="1"/>
  <c r="S21" i="3"/>
  <c r="R21" i="3" s="1"/>
  <c r="S20" i="3"/>
  <c r="R20" i="3" s="1"/>
  <c r="S19" i="3"/>
  <c r="R19" i="3" s="1"/>
  <c r="S17" i="3"/>
  <c r="R17" i="3" s="1"/>
  <c r="S16" i="3"/>
  <c r="R16" i="3" s="1"/>
  <c r="S15" i="3"/>
  <c r="R15" i="3" s="1"/>
  <c r="S14" i="3"/>
  <c r="R14" i="3" s="1"/>
  <c r="S13" i="3"/>
  <c r="R13" i="3" s="1"/>
  <c r="S12" i="3"/>
  <c r="R12" i="3" s="1"/>
  <c r="S11" i="3"/>
  <c r="R11" i="3" s="1"/>
  <c r="S9" i="3"/>
  <c r="R9" i="3" s="1"/>
  <c r="S8" i="3"/>
  <c r="R8" i="3" s="1"/>
  <c r="S7" i="3"/>
  <c r="R7" i="3" s="1"/>
  <c r="S6" i="3"/>
  <c r="R6" i="3" s="1"/>
  <c r="S5" i="3"/>
  <c r="R5" i="3" s="1"/>
  <c r="S4" i="3"/>
  <c r="R4" i="3" s="1"/>
  <c r="S3" i="3"/>
  <c r="R3" i="3" s="1"/>
  <c r="S2" i="3"/>
  <c r="R2" i="3" s="1"/>
  <c r="S10" i="3"/>
  <c r="R10" i="3" s="1"/>
  <c r="S18" i="3"/>
  <c r="R18" i="3" s="1"/>
  <c r="S26" i="3"/>
  <c r="R26" i="3" s="1"/>
  <c r="S34" i="3"/>
  <c r="R34" i="3" s="1"/>
  <c r="S58" i="3"/>
  <c r="R58" i="3" s="1"/>
  <c r="S66" i="3"/>
  <c r="R66" i="3" s="1"/>
  <c r="S74" i="3"/>
  <c r="R74" i="3" s="1"/>
  <c r="S82" i="3"/>
  <c r="R82" i="3" s="1"/>
  <c r="S89" i="3"/>
  <c r="R89" i="3" s="1"/>
  <c r="S90" i="3"/>
  <c r="R90" i="3" s="1"/>
  <c r="S98" i="3"/>
  <c r="R98" i="3" s="1"/>
  <c r="S106" i="3"/>
  <c r="R106" i="3" s="1"/>
  <c r="S114" i="3"/>
  <c r="R114" i="3" s="1"/>
  <c r="S122" i="3"/>
  <c r="R122" i="3" s="1"/>
  <c r="S130" i="3"/>
  <c r="R130" i="3" s="1"/>
  <c r="S138" i="3"/>
  <c r="R138" i="3" s="1"/>
  <c r="J53" i="4" l="1"/>
  <c r="J53" i="7"/>
  <c r="J15" i="4" l="1"/>
  <c r="U25" i="17" l="1"/>
  <c r="U80" i="17"/>
  <c r="U97" i="17"/>
  <c r="U141" i="17"/>
  <c r="V141" i="17" s="1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2" i="13"/>
  <c r="T25" i="17"/>
  <c r="S25" i="17"/>
  <c r="R25" i="17"/>
  <c r="Q25" i="17"/>
  <c r="P25" i="17"/>
  <c r="V97" i="17" l="1"/>
  <c r="V80" i="17"/>
  <c r="V25" i="17"/>
  <c r="O97" i="17"/>
  <c r="N97" i="17"/>
  <c r="M97" i="17"/>
  <c r="L97" i="17"/>
  <c r="K97" i="17"/>
  <c r="J97" i="17"/>
  <c r="I97" i="17"/>
  <c r="H97" i="17"/>
  <c r="G97" i="17"/>
  <c r="F97" i="17"/>
  <c r="O80" i="17"/>
  <c r="N80" i="17"/>
  <c r="M80" i="17"/>
  <c r="L80" i="17"/>
  <c r="K80" i="17"/>
  <c r="J80" i="17"/>
  <c r="I80" i="17"/>
  <c r="H80" i="17"/>
  <c r="G80" i="17"/>
  <c r="F80" i="17"/>
  <c r="O125" i="17"/>
  <c r="N125" i="17"/>
  <c r="M125" i="17"/>
  <c r="L125" i="17"/>
  <c r="K125" i="17"/>
  <c r="J125" i="17"/>
  <c r="I125" i="17"/>
  <c r="H125" i="17"/>
  <c r="G125" i="17"/>
  <c r="F125" i="17"/>
  <c r="B97" i="17"/>
  <c r="B80" i="17"/>
  <c r="B25" i="17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2" i="13"/>
  <c r="B27" i="17"/>
  <c r="B28" i="17"/>
  <c r="B29" i="17"/>
  <c r="B30" i="17"/>
  <c r="B31" i="17"/>
  <c r="B32" i="17"/>
  <c r="B33" i="17"/>
  <c r="B34" i="17"/>
  <c r="B17" i="17"/>
  <c r="B35" i="17"/>
  <c r="B36" i="17"/>
  <c r="B37" i="17"/>
  <c r="B38" i="17"/>
  <c r="B18" i="17"/>
  <c r="B39" i="17"/>
  <c r="B40" i="17"/>
  <c r="B41" i="17"/>
  <c r="B42" i="17"/>
  <c r="B43" i="17"/>
  <c r="B44" i="17"/>
  <c r="B45" i="17"/>
  <c r="B46" i="17"/>
  <c r="B19" i="17"/>
  <c r="B20" i="17"/>
  <c r="B47" i="17"/>
  <c r="B48" i="17"/>
  <c r="B49" i="17"/>
  <c r="B50" i="17"/>
  <c r="B21" i="17"/>
  <c r="B51" i="17"/>
  <c r="B22" i="17"/>
  <c r="B23" i="17"/>
  <c r="B11" i="17"/>
  <c r="B12" i="17"/>
  <c r="B13" i="17"/>
  <c r="B14" i="17"/>
  <c r="B7" i="17"/>
  <c r="B8" i="17"/>
  <c r="B9" i="17"/>
  <c r="B10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15" i="17"/>
  <c r="B71" i="17"/>
  <c r="B72" i="17"/>
  <c r="B73" i="17"/>
  <c r="B74" i="17"/>
  <c r="B75" i="17"/>
  <c r="B76" i="17"/>
  <c r="B77" i="17"/>
  <c r="B78" i="17"/>
  <c r="B79" i="17"/>
  <c r="B81" i="17"/>
  <c r="B82" i="17"/>
  <c r="B83" i="17"/>
  <c r="B84" i="17"/>
  <c r="B2" i="17"/>
  <c r="B3" i="17"/>
  <c r="B85" i="17"/>
  <c r="B86" i="17"/>
  <c r="B87" i="17"/>
  <c r="B4" i="17"/>
  <c r="B5" i="17"/>
  <c r="B6" i="17"/>
  <c r="B88" i="17"/>
  <c r="B89" i="17"/>
  <c r="B90" i="17"/>
  <c r="B91" i="17"/>
  <c r="B92" i="17"/>
  <c r="B93" i="17"/>
  <c r="B94" i="17"/>
  <c r="B95" i="17"/>
  <c r="B96" i="17"/>
  <c r="B98" i="17"/>
  <c r="B99" i="17"/>
  <c r="B100" i="17"/>
  <c r="B101" i="17"/>
  <c r="B102" i="17"/>
  <c r="B103" i="17"/>
  <c r="B104" i="17"/>
  <c r="B16" i="17"/>
  <c r="B105" i="17"/>
  <c r="B106" i="17"/>
  <c r="B107" i="17"/>
  <c r="B108" i="17"/>
  <c r="B139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40" i="17"/>
  <c r="B24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26" i="17"/>
  <c r="T138" i="17"/>
  <c r="S138" i="17"/>
  <c r="R138" i="17"/>
  <c r="Q138" i="17"/>
  <c r="P138" i="17"/>
  <c r="T137" i="17"/>
  <c r="S137" i="17"/>
  <c r="R137" i="17"/>
  <c r="Q137" i="17"/>
  <c r="P137" i="17"/>
  <c r="T136" i="17"/>
  <c r="S136" i="17"/>
  <c r="R136" i="17"/>
  <c r="Q136" i="17"/>
  <c r="P136" i="17"/>
  <c r="T135" i="17"/>
  <c r="S135" i="17"/>
  <c r="R135" i="17"/>
  <c r="Q135" i="17"/>
  <c r="P135" i="17"/>
  <c r="T134" i="17"/>
  <c r="S134" i="17"/>
  <c r="R134" i="17"/>
  <c r="Q134" i="17"/>
  <c r="P134" i="17"/>
  <c r="T133" i="17"/>
  <c r="S133" i="17"/>
  <c r="R133" i="17"/>
  <c r="Q133" i="17"/>
  <c r="P133" i="17"/>
  <c r="T132" i="17"/>
  <c r="S132" i="17"/>
  <c r="R132" i="17"/>
  <c r="Q132" i="17"/>
  <c r="P132" i="17"/>
  <c r="T131" i="17"/>
  <c r="S131" i="17"/>
  <c r="R131" i="17"/>
  <c r="Q131" i="17"/>
  <c r="P131" i="17"/>
  <c r="T130" i="17"/>
  <c r="S130" i="17"/>
  <c r="R130" i="17"/>
  <c r="Q130" i="17"/>
  <c r="P130" i="17"/>
  <c r="T129" i="17"/>
  <c r="S129" i="17"/>
  <c r="R129" i="17"/>
  <c r="Q129" i="17"/>
  <c r="P129" i="17"/>
  <c r="T128" i="17"/>
  <c r="S128" i="17"/>
  <c r="R128" i="17"/>
  <c r="Q128" i="17"/>
  <c r="P128" i="17"/>
  <c r="T127" i="17"/>
  <c r="S127" i="17"/>
  <c r="R127" i="17"/>
  <c r="Q127" i="17"/>
  <c r="P127" i="17"/>
  <c r="T126" i="17"/>
  <c r="S126" i="17"/>
  <c r="R126" i="17"/>
  <c r="Q126" i="17"/>
  <c r="P126" i="17"/>
  <c r="T24" i="17"/>
  <c r="S24" i="17"/>
  <c r="R24" i="17"/>
  <c r="Q24" i="17"/>
  <c r="P24" i="17"/>
  <c r="T140" i="17"/>
  <c r="S140" i="17"/>
  <c r="R140" i="17"/>
  <c r="Q140" i="17"/>
  <c r="P140" i="17"/>
  <c r="T124" i="17"/>
  <c r="S124" i="17"/>
  <c r="R124" i="17"/>
  <c r="Q124" i="17"/>
  <c r="P124" i="17"/>
  <c r="T123" i="17"/>
  <c r="S123" i="17"/>
  <c r="R123" i="17"/>
  <c r="Q123" i="17"/>
  <c r="P123" i="17"/>
  <c r="T122" i="17"/>
  <c r="S122" i="17"/>
  <c r="R122" i="17"/>
  <c r="Q122" i="17"/>
  <c r="P122" i="17"/>
  <c r="T121" i="17"/>
  <c r="S121" i="17"/>
  <c r="R121" i="17"/>
  <c r="Q121" i="17"/>
  <c r="P121" i="17"/>
  <c r="T120" i="17"/>
  <c r="S120" i="17"/>
  <c r="R120" i="17"/>
  <c r="Q120" i="17"/>
  <c r="P120" i="17"/>
  <c r="T119" i="17"/>
  <c r="S119" i="17"/>
  <c r="R119" i="17"/>
  <c r="Q119" i="17"/>
  <c r="P119" i="17"/>
  <c r="T118" i="17"/>
  <c r="S118" i="17"/>
  <c r="R118" i="17"/>
  <c r="Q118" i="17"/>
  <c r="P118" i="17"/>
  <c r="T117" i="17"/>
  <c r="S117" i="17"/>
  <c r="R117" i="17"/>
  <c r="Q117" i="17"/>
  <c r="P117" i="17"/>
  <c r="T116" i="17"/>
  <c r="S116" i="17"/>
  <c r="R116" i="17"/>
  <c r="Q116" i="17"/>
  <c r="P116" i="17"/>
  <c r="T115" i="17"/>
  <c r="S115" i="17"/>
  <c r="R115" i="17"/>
  <c r="Q115" i="17"/>
  <c r="P115" i="17"/>
  <c r="T114" i="17"/>
  <c r="S114" i="17"/>
  <c r="R114" i="17"/>
  <c r="Q114" i="17"/>
  <c r="P114" i="17"/>
  <c r="T113" i="17"/>
  <c r="S113" i="17"/>
  <c r="R113" i="17"/>
  <c r="Q113" i="17"/>
  <c r="P113" i="17"/>
  <c r="T112" i="17"/>
  <c r="S112" i="17"/>
  <c r="R112" i="17"/>
  <c r="Q112" i="17"/>
  <c r="P112" i="17"/>
  <c r="T111" i="17"/>
  <c r="S111" i="17"/>
  <c r="R111" i="17"/>
  <c r="Q111" i="17"/>
  <c r="P111" i="17"/>
  <c r="T110" i="17"/>
  <c r="S110" i="17"/>
  <c r="R110" i="17"/>
  <c r="Q110" i="17"/>
  <c r="P110" i="17"/>
  <c r="T109" i="17"/>
  <c r="S109" i="17"/>
  <c r="R109" i="17"/>
  <c r="Q109" i="17"/>
  <c r="P109" i="17"/>
  <c r="T139" i="17"/>
  <c r="S139" i="17"/>
  <c r="R139" i="17"/>
  <c r="Q139" i="17"/>
  <c r="P139" i="17"/>
  <c r="T108" i="17"/>
  <c r="S108" i="17"/>
  <c r="R108" i="17"/>
  <c r="Q108" i="17"/>
  <c r="P108" i="17"/>
  <c r="T107" i="17"/>
  <c r="S107" i="17"/>
  <c r="R107" i="17"/>
  <c r="Q107" i="17"/>
  <c r="P107" i="17"/>
  <c r="T106" i="17"/>
  <c r="S106" i="17"/>
  <c r="R106" i="17"/>
  <c r="Q106" i="17"/>
  <c r="P106" i="17"/>
  <c r="T105" i="17"/>
  <c r="S105" i="17"/>
  <c r="R105" i="17"/>
  <c r="Q105" i="17"/>
  <c r="P105" i="17"/>
  <c r="T16" i="17"/>
  <c r="S16" i="17"/>
  <c r="R16" i="17"/>
  <c r="Q16" i="17"/>
  <c r="P16" i="17"/>
  <c r="T104" i="17"/>
  <c r="S104" i="17"/>
  <c r="R104" i="17"/>
  <c r="Q104" i="17"/>
  <c r="P104" i="17"/>
  <c r="T103" i="17"/>
  <c r="S103" i="17"/>
  <c r="R103" i="17"/>
  <c r="Q103" i="17"/>
  <c r="P103" i="17"/>
  <c r="T102" i="17"/>
  <c r="S102" i="17"/>
  <c r="R102" i="17"/>
  <c r="Q102" i="17"/>
  <c r="P102" i="17"/>
  <c r="T101" i="17"/>
  <c r="S101" i="17"/>
  <c r="R101" i="17"/>
  <c r="Q101" i="17"/>
  <c r="P101" i="17"/>
  <c r="T100" i="17"/>
  <c r="S100" i="17"/>
  <c r="R100" i="17"/>
  <c r="Q100" i="17"/>
  <c r="P100" i="17"/>
  <c r="T99" i="17"/>
  <c r="S99" i="17"/>
  <c r="R99" i="17"/>
  <c r="Q99" i="17"/>
  <c r="P99" i="17"/>
  <c r="T98" i="17"/>
  <c r="S98" i="17"/>
  <c r="R98" i="17"/>
  <c r="Q98" i="17"/>
  <c r="P98" i="17"/>
  <c r="T96" i="17"/>
  <c r="S96" i="17"/>
  <c r="R96" i="17"/>
  <c r="Q96" i="17"/>
  <c r="P96" i="17"/>
  <c r="T95" i="17"/>
  <c r="S95" i="17"/>
  <c r="R95" i="17"/>
  <c r="Q95" i="17"/>
  <c r="P95" i="17"/>
  <c r="T94" i="17"/>
  <c r="S94" i="17"/>
  <c r="R94" i="17"/>
  <c r="Q94" i="17"/>
  <c r="P94" i="17"/>
  <c r="T93" i="17"/>
  <c r="S93" i="17"/>
  <c r="R93" i="17"/>
  <c r="Q93" i="17"/>
  <c r="P93" i="17"/>
  <c r="T92" i="17"/>
  <c r="S92" i="17"/>
  <c r="R92" i="17"/>
  <c r="Q92" i="17"/>
  <c r="P92" i="17"/>
  <c r="T91" i="17"/>
  <c r="S91" i="17"/>
  <c r="R91" i="17"/>
  <c r="Q91" i="17"/>
  <c r="P91" i="17"/>
  <c r="T90" i="17"/>
  <c r="S90" i="17"/>
  <c r="R90" i="17"/>
  <c r="Q90" i="17"/>
  <c r="P90" i="17"/>
  <c r="T89" i="17"/>
  <c r="S89" i="17"/>
  <c r="R89" i="17"/>
  <c r="Q89" i="17"/>
  <c r="P89" i="17"/>
  <c r="T88" i="17"/>
  <c r="S88" i="17"/>
  <c r="R88" i="17"/>
  <c r="Q88" i="17"/>
  <c r="P88" i="17"/>
  <c r="T6" i="17"/>
  <c r="S6" i="17"/>
  <c r="R6" i="17"/>
  <c r="Q6" i="17"/>
  <c r="P6" i="17"/>
  <c r="T5" i="17"/>
  <c r="S5" i="17"/>
  <c r="R5" i="17"/>
  <c r="Q5" i="17"/>
  <c r="P5" i="17"/>
  <c r="T4" i="17"/>
  <c r="S4" i="17"/>
  <c r="R4" i="17"/>
  <c r="Q4" i="17"/>
  <c r="P4" i="17"/>
  <c r="T87" i="17"/>
  <c r="S87" i="17"/>
  <c r="R87" i="17"/>
  <c r="Q87" i="17"/>
  <c r="P87" i="17"/>
  <c r="T86" i="17"/>
  <c r="S86" i="17"/>
  <c r="R86" i="17"/>
  <c r="Q86" i="17"/>
  <c r="P86" i="17"/>
  <c r="T85" i="17"/>
  <c r="S85" i="17"/>
  <c r="R85" i="17"/>
  <c r="Q85" i="17"/>
  <c r="P85" i="17"/>
  <c r="T3" i="17"/>
  <c r="S3" i="17"/>
  <c r="R3" i="17"/>
  <c r="Q3" i="17"/>
  <c r="P3" i="17"/>
  <c r="T2" i="17"/>
  <c r="S2" i="17"/>
  <c r="R2" i="17"/>
  <c r="Q2" i="17"/>
  <c r="P2" i="17"/>
  <c r="T84" i="17"/>
  <c r="S84" i="17"/>
  <c r="R84" i="17"/>
  <c r="Q84" i="17"/>
  <c r="P84" i="17"/>
  <c r="T83" i="17"/>
  <c r="S83" i="17"/>
  <c r="R83" i="17"/>
  <c r="Q83" i="17"/>
  <c r="P83" i="17"/>
  <c r="T82" i="17"/>
  <c r="S82" i="17"/>
  <c r="R82" i="17"/>
  <c r="Q82" i="17"/>
  <c r="P82" i="17"/>
  <c r="T81" i="17"/>
  <c r="S81" i="17"/>
  <c r="R81" i="17"/>
  <c r="Q81" i="17"/>
  <c r="P81" i="17"/>
  <c r="T79" i="17"/>
  <c r="S79" i="17"/>
  <c r="R79" i="17"/>
  <c r="Q79" i="17"/>
  <c r="P79" i="17"/>
  <c r="T78" i="17"/>
  <c r="S78" i="17"/>
  <c r="R78" i="17"/>
  <c r="Q78" i="17"/>
  <c r="P78" i="17"/>
  <c r="T77" i="17"/>
  <c r="S77" i="17"/>
  <c r="R77" i="17"/>
  <c r="Q77" i="17"/>
  <c r="P77" i="17"/>
  <c r="T76" i="17"/>
  <c r="S76" i="17"/>
  <c r="R76" i="17"/>
  <c r="Q76" i="17"/>
  <c r="P76" i="17"/>
  <c r="T75" i="17"/>
  <c r="S75" i="17"/>
  <c r="R75" i="17"/>
  <c r="Q75" i="17"/>
  <c r="P75" i="17"/>
  <c r="T74" i="17"/>
  <c r="S74" i="17"/>
  <c r="R74" i="17"/>
  <c r="Q74" i="17"/>
  <c r="P74" i="17"/>
  <c r="T73" i="17"/>
  <c r="S73" i="17"/>
  <c r="R73" i="17"/>
  <c r="Q73" i="17"/>
  <c r="P73" i="17"/>
  <c r="T72" i="17"/>
  <c r="S72" i="17"/>
  <c r="R72" i="17"/>
  <c r="Q72" i="17"/>
  <c r="P72" i="17"/>
  <c r="T71" i="17"/>
  <c r="S71" i="17"/>
  <c r="R71" i="17"/>
  <c r="Q71" i="17"/>
  <c r="P71" i="17"/>
  <c r="T15" i="17"/>
  <c r="S15" i="17"/>
  <c r="R15" i="17"/>
  <c r="Q15" i="17"/>
  <c r="P15" i="17"/>
  <c r="T70" i="17"/>
  <c r="S70" i="17"/>
  <c r="R70" i="17"/>
  <c r="Q70" i="17"/>
  <c r="P70" i="17"/>
  <c r="T69" i="17"/>
  <c r="S69" i="17"/>
  <c r="R69" i="17"/>
  <c r="Q69" i="17"/>
  <c r="P69" i="17"/>
  <c r="T68" i="17"/>
  <c r="S68" i="17"/>
  <c r="R68" i="17"/>
  <c r="Q68" i="17"/>
  <c r="P68" i="17"/>
  <c r="T67" i="17"/>
  <c r="S67" i="17"/>
  <c r="R67" i="17"/>
  <c r="Q67" i="17"/>
  <c r="P67" i="17"/>
  <c r="T66" i="17"/>
  <c r="S66" i="17"/>
  <c r="R66" i="17"/>
  <c r="Q66" i="17"/>
  <c r="P66" i="17"/>
  <c r="T65" i="17"/>
  <c r="S65" i="17"/>
  <c r="R65" i="17"/>
  <c r="Q65" i="17"/>
  <c r="P65" i="17"/>
  <c r="T64" i="17"/>
  <c r="S64" i="17"/>
  <c r="R64" i="17"/>
  <c r="Q64" i="17"/>
  <c r="P64" i="17"/>
  <c r="T63" i="17"/>
  <c r="S63" i="17"/>
  <c r="R63" i="17"/>
  <c r="Q63" i="17"/>
  <c r="P63" i="17"/>
  <c r="T62" i="17"/>
  <c r="S62" i="17"/>
  <c r="R62" i="17"/>
  <c r="Q62" i="17"/>
  <c r="P62" i="17"/>
  <c r="T61" i="17"/>
  <c r="S61" i="17"/>
  <c r="R61" i="17"/>
  <c r="Q61" i="17"/>
  <c r="P61" i="17"/>
  <c r="T60" i="17"/>
  <c r="S60" i="17"/>
  <c r="R60" i="17"/>
  <c r="Q60" i="17"/>
  <c r="P60" i="17"/>
  <c r="T59" i="17"/>
  <c r="S59" i="17"/>
  <c r="R59" i="17"/>
  <c r="Q59" i="17"/>
  <c r="P59" i="17"/>
  <c r="T58" i="17"/>
  <c r="S58" i="17"/>
  <c r="R58" i="17"/>
  <c r="Q58" i="17"/>
  <c r="P58" i="17"/>
  <c r="T57" i="17"/>
  <c r="S57" i="17"/>
  <c r="R57" i="17"/>
  <c r="Q57" i="17"/>
  <c r="P57" i="17"/>
  <c r="T56" i="17"/>
  <c r="S56" i="17"/>
  <c r="R56" i="17"/>
  <c r="Q56" i="17"/>
  <c r="P56" i="17"/>
  <c r="T55" i="17"/>
  <c r="S55" i="17"/>
  <c r="R55" i="17"/>
  <c r="Q55" i="17"/>
  <c r="P55" i="17"/>
  <c r="T54" i="17"/>
  <c r="S54" i="17"/>
  <c r="R54" i="17"/>
  <c r="Q54" i="17"/>
  <c r="P54" i="17"/>
  <c r="T53" i="17"/>
  <c r="S53" i="17"/>
  <c r="R53" i="17"/>
  <c r="Q53" i="17"/>
  <c r="P53" i="17"/>
  <c r="T52" i="17"/>
  <c r="S52" i="17"/>
  <c r="R52" i="17"/>
  <c r="Q52" i="17"/>
  <c r="P52" i="17"/>
  <c r="T10" i="17"/>
  <c r="S10" i="17"/>
  <c r="R10" i="17"/>
  <c r="Q10" i="17"/>
  <c r="P10" i="17"/>
  <c r="T9" i="17"/>
  <c r="S9" i="17"/>
  <c r="R9" i="17"/>
  <c r="Q9" i="17"/>
  <c r="P9" i="17"/>
  <c r="T8" i="17"/>
  <c r="S8" i="17"/>
  <c r="R8" i="17"/>
  <c r="Q8" i="17"/>
  <c r="P8" i="17"/>
  <c r="T7" i="17"/>
  <c r="S7" i="17"/>
  <c r="R7" i="17"/>
  <c r="Q7" i="17"/>
  <c r="P7" i="17"/>
  <c r="T14" i="17"/>
  <c r="S14" i="17"/>
  <c r="R14" i="17"/>
  <c r="Q14" i="17"/>
  <c r="P14" i="17"/>
  <c r="T13" i="17"/>
  <c r="S13" i="17"/>
  <c r="R13" i="17"/>
  <c r="Q13" i="17"/>
  <c r="P13" i="17"/>
  <c r="T12" i="17"/>
  <c r="S12" i="17"/>
  <c r="R12" i="17"/>
  <c r="Q12" i="17"/>
  <c r="P12" i="17"/>
  <c r="T11" i="17"/>
  <c r="S11" i="17"/>
  <c r="R11" i="17"/>
  <c r="Q11" i="17"/>
  <c r="P11" i="17"/>
  <c r="T23" i="17"/>
  <c r="S23" i="17"/>
  <c r="R23" i="17"/>
  <c r="Q23" i="17"/>
  <c r="P23" i="17"/>
  <c r="T22" i="17"/>
  <c r="S22" i="17"/>
  <c r="R22" i="17"/>
  <c r="Q22" i="17"/>
  <c r="P22" i="17"/>
  <c r="T51" i="17"/>
  <c r="S51" i="17"/>
  <c r="R51" i="17"/>
  <c r="Q51" i="17"/>
  <c r="P51" i="17"/>
  <c r="T21" i="17"/>
  <c r="S21" i="17"/>
  <c r="R21" i="17"/>
  <c r="Q21" i="17"/>
  <c r="P21" i="17"/>
  <c r="T50" i="17"/>
  <c r="S50" i="17"/>
  <c r="R50" i="17"/>
  <c r="Q50" i="17"/>
  <c r="P50" i="17"/>
  <c r="T49" i="17"/>
  <c r="S49" i="17"/>
  <c r="R49" i="17"/>
  <c r="Q49" i="17"/>
  <c r="P49" i="17"/>
  <c r="T48" i="17"/>
  <c r="S48" i="17"/>
  <c r="R48" i="17"/>
  <c r="Q48" i="17"/>
  <c r="P48" i="17"/>
  <c r="T47" i="17"/>
  <c r="S47" i="17"/>
  <c r="R47" i="17"/>
  <c r="Q47" i="17"/>
  <c r="P47" i="17"/>
  <c r="T20" i="17"/>
  <c r="S20" i="17"/>
  <c r="R20" i="17"/>
  <c r="Q20" i="17"/>
  <c r="P20" i="17"/>
  <c r="T19" i="17"/>
  <c r="S19" i="17"/>
  <c r="R19" i="17"/>
  <c r="Q19" i="17"/>
  <c r="P19" i="17"/>
  <c r="T46" i="17"/>
  <c r="S46" i="17"/>
  <c r="R46" i="17"/>
  <c r="Q46" i="17"/>
  <c r="P46" i="17"/>
  <c r="T45" i="17"/>
  <c r="S45" i="17"/>
  <c r="R45" i="17"/>
  <c r="Q45" i="17"/>
  <c r="P45" i="17"/>
  <c r="T44" i="17"/>
  <c r="S44" i="17"/>
  <c r="R44" i="17"/>
  <c r="Q44" i="17"/>
  <c r="P44" i="17"/>
  <c r="T43" i="17"/>
  <c r="S43" i="17"/>
  <c r="R43" i="17"/>
  <c r="Q43" i="17"/>
  <c r="P43" i="17"/>
  <c r="T42" i="17"/>
  <c r="S42" i="17"/>
  <c r="R42" i="17"/>
  <c r="Q42" i="17"/>
  <c r="P42" i="17"/>
  <c r="T41" i="17"/>
  <c r="S41" i="17"/>
  <c r="R41" i="17"/>
  <c r="Q41" i="17"/>
  <c r="P41" i="17"/>
  <c r="T40" i="17"/>
  <c r="S40" i="17"/>
  <c r="R40" i="17"/>
  <c r="Q40" i="17"/>
  <c r="P40" i="17"/>
  <c r="T39" i="17"/>
  <c r="S39" i="17"/>
  <c r="R39" i="17"/>
  <c r="Q39" i="17"/>
  <c r="P39" i="17"/>
  <c r="T18" i="17"/>
  <c r="S18" i="17"/>
  <c r="R18" i="17"/>
  <c r="Q18" i="17"/>
  <c r="P18" i="17"/>
  <c r="T38" i="17"/>
  <c r="S38" i="17"/>
  <c r="R38" i="17"/>
  <c r="Q38" i="17"/>
  <c r="P38" i="17"/>
  <c r="T37" i="17"/>
  <c r="S37" i="17"/>
  <c r="R37" i="17"/>
  <c r="Q37" i="17"/>
  <c r="P37" i="17"/>
  <c r="T36" i="17"/>
  <c r="S36" i="17"/>
  <c r="R36" i="17"/>
  <c r="Q36" i="17"/>
  <c r="P36" i="17"/>
  <c r="T35" i="17"/>
  <c r="S35" i="17"/>
  <c r="R35" i="17"/>
  <c r="Q35" i="17"/>
  <c r="P35" i="17"/>
  <c r="T17" i="17"/>
  <c r="S17" i="17"/>
  <c r="R17" i="17"/>
  <c r="Q17" i="17"/>
  <c r="P17" i="17"/>
  <c r="T34" i="17"/>
  <c r="S34" i="17"/>
  <c r="R34" i="17"/>
  <c r="Q34" i="17"/>
  <c r="P34" i="17"/>
  <c r="T33" i="17"/>
  <c r="S33" i="17"/>
  <c r="R33" i="17"/>
  <c r="Q33" i="17"/>
  <c r="P33" i="17"/>
  <c r="T32" i="17"/>
  <c r="S32" i="17"/>
  <c r="R32" i="17"/>
  <c r="Q32" i="17"/>
  <c r="P32" i="17"/>
  <c r="T31" i="17"/>
  <c r="S31" i="17"/>
  <c r="R31" i="17"/>
  <c r="Q31" i="17"/>
  <c r="P31" i="17"/>
  <c r="T30" i="17"/>
  <c r="S30" i="17"/>
  <c r="R30" i="17"/>
  <c r="Q30" i="17"/>
  <c r="P30" i="17"/>
  <c r="T29" i="17"/>
  <c r="S29" i="17"/>
  <c r="R29" i="17"/>
  <c r="Q29" i="17"/>
  <c r="P29" i="17"/>
  <c r="T28" i="17"/>
  <c r="S28" i="17"/>
  <c r="R28" i="17"/>
  <c r="Q28" i="17"/>
  <c r="P28" i="17"/>
  <c r="T27" i="17"/>
  <c r="S27" i="17"/>
  <c r="R27" i="17"/>
  <c r="Q27" i="17"/>
  <c r="P27" i="17"/>
  <c r="T26" i="17"/>
  <c r="S26" i="17"/>
  <c r="R26" i="17"/>
  <c r="Q26" i="17"/>
  <c r="P26" i="17"/>
  <c r="Q97" i="17" l="1"/>
  <c r="A136" i="17"/>
  <c r="U136" i="17" s="1"/>
  <c r="V136" i="17" s="1"/>
  <c r="A128" i="17"/>
  <c r="U128" i="17" s="1"/>
  <c r="V128" i="17" s="1"/>
  <c r="A122" i="17"/>
  <c r="U122" i="17" s="1"/>
  <c r="V122" i="17" s="1"/>
  <c r="A114" i="17"/>
  <c r="U114" i="17" s="1"/>
  <c r="V114" i="17" s="1"/>
  <c r="A107" i="17"/>
  <c r="U107" i="17" s="1"/>
  <c r="V107" i="17" s="1"/>
  <c r="A100" i="17"/>
  <c r="U100" i="17" s="1"/>
  <c r="V100" i="17" s="1"/>
  <c r="A91" i="17"/>
  <c r="U91" i="17" s="1"/>
  <c r="V91" i="17" s="1"/>
  <c r="A86" i="17"/>
  <c r="U86" i="17" s="1"/>
  <c r="V86" i="17" s="1"/>
  <c r="A79" i="17"/>
  <c r="U79" i="17" s="1"/>
  <c r="V79" i="17" s="1"/>
  <c r="A71" i="17"/>
  <c r="U71" i="17" s="1"/>
  <c r="V71" i="17" s="1"/>
  <c r="A64" i="17"/>
  <c r="U64" i="17" s="1"/>
  <c r="V64" i="17" s="1"/>
  <c r="A56" i="17"/>
  <c r="U56" i="17" s="1"/>
  <c r="V56" i="17" s="1"/>
  <c r="A7" i="17"/>
  <c r="U7" i="17" s="1"/>
  <c r="V7" i="17" s="1"/>
  <c r="A21" i="17"/>
  <c r="U21" i="17" s="1"/>
  <c r="V21" i="17" s="1"/>
  <c r="A45" i="17"/>
  <c r="U45" i="17" s="1"/>
  <c r="V45" i="17" s="1"/>
  <c r="A38" i="17"/>
  <c r="U38" i="17" s="1"/>
  <c r="V38" i="17" s="1"/>
  <c r="A31" i="17"/>
  <c r="U31" i="17" s="1"/>
  <c r="V31" i="17" s="1"/>
  <c r="A113" i="17"/>
  <c r="U113" i="17" s="1"/>
  <c r="V113" i="17" s="1"/>
  <c r="A134" i="17"/>
  <c r="U134" i="17" s="1"/>
  <c r="V134" i="17" s="1"/>
  <c r="A126" i="17"/>
  <c r="U126" i="17" s="1"/>
  <c r="V126" i="17" s="1"/>
  <c r="A120" i="17"/>
  <c r="U120" i="17" s="1"/>
  <c r="V120" i="17" s="1"/>
  <c r="A112" i="17"/>
  <c r="U112" i="17" s="1"/>
  <c r="V112" i="17" s="1"/>
  <c r="A105" i="17"/>
  <c r="U105" i="17" s="1"/>
  <c r="V105" i="17" s="1"/>
  <c r="A98" i="17"/>
  <c r="U98" i="17" s="1"/>
  <c r="V98" i="17" s="1"/>
  <c r="A89" i="17"/>
  <c r="U89" i="17" s="1"/>
  <c r="V89" i="17" s="1"/>
  <c r="A3" i="17"/>
  <c r="U3" i="17" s="1"/>
  <c r="V3" i="17" s="1"/>
  <c r="A77" i="17"/>
  <c r="U77" i="17" s="1"/>
  <c r="V77" i="17" s="1"/>
  <c r="A54" i="17"/>
  <c r="U54" i="17" s="1"/>
  <c r="V54" i="17" s="1"/>
  <c r="A29" i="17"/>
  <c r="U29" i="17" s="1"/>
  <c r="V29" i="17" s="1"/>
  <c r="A132" i="17"/>
  <c r="U132" i="17" s="1"/>
  <c r="V132" i="17" s="1"/>
  <c r="A118" i="17"/>
  <c r="U118" i="17" s="1"/>
  <c r="V118" i="17" s="1"/>
  <c r="A104" i="17"/>
  <c r="U104" i="17" s="1"/>
  <c r="V104" i="17" s="1"/>
  <c r="A6" i="17"/>
  <c r="U6" i="17" s="1"/>
  <c r="V6" i="17" s="1"/>
  <c r="A75" i="17"/>
  <c r="U75" i="17" s="1"/>
  <c r="V75" i="17" s="1"/>
  <c r="A60" i="17"/>
  <c r="U60" i="17" s="1"/>
  <c r="V60" i="17" s="1"/>
  <c r="A11" i="17"/>
  <c r="U11" i="17" s="1"/>
  <c r="V11" i="17" s="1"/>
  <c r="A41" i="17"/>
  <c r="U41" i="17" s="1"/>
  <c r="V41" i="17" s="1"/>
  <c r="A17" i="17"/>
  <c r="U17" i="17" s="1"/>
  <c r="V17" i="17" s="1"/>
  <c r="P125" i="17"/>
  <c r="A138" i="17"/>
  <c r="U138" i="17" s="1"/>
  <c r="V138" i="17" s="1"/>
  <c r="A130" i="17"/>
  <c r="U130" i="17" s="1"/>
  <c r="V130" i="17" s="1"/>
  <c r="A124" i="17"/>
  <c r="U124" i="17" s="1"/>
  <c r="V124" i="17" s="1"/>
  <c r="A4" i="17"/>
  <c r="U4" i="17" s="1"/>
  <c r="V4" i="17" s="1"/>
  <c r="A33" i="17"/>
  <c r="U33" i="17" s="1"/>
  <c r="V33" i="17" s="1"/>
  <c r="Q125" i="17"/>
  <c r="A140" i="17"/>
  <c r="U140" i="17" s="1"/>
  <c r="V140" i="17" s="1"/>
  <c r="A110" i="17"/>
  <c r="U110" i="17" s="1"/>
  <c r="V110" i="17" s="1"/>
  <c r="A95" i="17"/>
  <c r="U95" i="17" s="1"/>
  <c r="V95" i="17" s="1"/>
  <c r="A84" i="17"/>
  <c r="U84" i="17" s="1"/>
  <c r="V84" i="17" s="1"/>
  <c r="A68" i="17"/>
  <c r="U68" i="17" s="1"/>
  <c r="V68" i="17" s="1"/>
  <c r="A52" i="17"/>
  <c r="U52" i="17" s="1"/>
  <c r="V52" i="17" s="1"/>
  <c r="A47" i="17"/>
  <c r="U47" i="17" s="1"/>
  <c r="V47" i="17" s="1"/>
  <c r="A27" i="17"/>
  <c r="U27" i="17" s="1"/>
  <c r="V27" i="17" s="1"/>
  <c r="A70" i="17"/>
  <c r="U70" i="17" s="1"/>
  <c r="A62" i="17"/>
  <c r="U62" i="17" s="1"/>
  <c r="A13" i="17"/>
  <c r="U13" i="17" s="1"/>
  <c r="A49" i="17"/>
  <c r="U49" i="17" s="1"/>
  <c r="A43" i="17"/>
  <c r="U43" i="17" s="1"/>
  <c r="A36" i="17"/>
  <c r="U36" i="17" s="1"/>
  <c r="A133" i="17"/>
  <c r="U133" i="17" s="1"/>
  <c r="A24" i="17"/>
  <c r="U24" i="17" s="1"/>
  <c r="A119" i="17"/>
  <c r="U119" i="17" s="1"/>
  <c r="A111" i="17"/>
  <c r="U111" i="17" s="1"/>
  <c r="A16" i="17"/>
  <c r="U16" i="17" s="1"/>
  <c r="A96" i="17"/>
  <c r="U96" i="17" s="1"/>
  <c r="A88" i="17"/>
  <c r="U88" i="17" s="1"/>
  <c r="A2" i="17"/>
  <c r="U2" i="17" s="1"/>
  <c r="A76" i="17"/>
  <c r="U76" i="17" s="1"/>
  <c r="A69" i="17"/>
  <c r="U69" i="17" s="1"/>
  <c r="A61" i="17"/>
  <c r="U61" i="17" s="1"/>
  <c r="A53" i="17"/>
  <c r="U53" i="17" s="1"/>
  <c r="A12" i="17"/>
  <c r="U12" i="17" s="1"/>
  <c r="A48" i="17"/>
  <c r="U48" i="17" s="1"/>
  <c r="A42" i="17"/>
  <c r="U42" i="17" s="1"/>
  <c r="A35" i="17"/>
  <c r="U35" i="17" s="1"/>
  <c r="A28" i="17"/>
  <c r="U28" i="17" s="1"/>
  <c r="A26" i="17"/>
  <c r="U26" i="17" s="1"/>
  <c r="A131" i="17"/>
  <c r="U131" i="17" s="1"/>
  <c r="A125" i="17"/>
  <c r="U125" i="17" s="1"/>
  <c r="A117" i="17"/>
  <c r="U117" i="17" s="1"/>
  <c r="A109" i="17"/>
  <c r="U109" i="17" s="1"/>
  <c r="A103" i="17"/>
  <c r="U103" i="17" s="1"/>
  <c r="A94" i="17"/>
  <c r="U94" i="17" s="1"/>
  <c r="A5" i="17"/>
  <c r="U5" i="17" s="1"/>
  <c r="A83" i="17"/>
  <c r="U83" i="17" s="1"/>
  <c r="A74" i="17"/>
  <c r="U74" i="17" s="1"/>
  <c r="A67" i="17"/>
  <c r="U67" i="17" s="1"/>
  <c r="A59" i="17"/>
  <c r="U59" i="17" s="1"/>
  <c r="A10" i="17"/>
  <c r="U10" i="17" s="1"/>
  <c r="A23" i="17"/>
  <c r="U23" i="17" s="1"/>
  <c r="A20" i="17"/>
  <c r="U20" i="17" s="1"/>
  <c r="A40" i="17"/>
  <c r="U40" i="17" s="1"/>
  <c r="A34" i="17"/>
  <c r="U34" i="17" s="1"/>
  <c r="P80" i="17"/>
  <c r="T97" i="17"/>
  <c r="A116" i="17"/>
  <c r="U116" i="17" s="1"/>
  <c r="A139" i="17"/>
  <c r="U139" i="17" s="1"/>
  <c r="V139" i="17" s="1"/>
  <c r="A102" i="17"/>
  <c r="U102" i="17" s="1"/>
  <c r="A93" i="17"/>
  <c r="U93" i="17" s="1"/>
  <c r="A82" i="17"/>
  <c r="U82" i="17" s="1"/>
  <c r="A73" i="17"/>
  <c r="U73" i="17" s="1"/>
  <c r="A66" i="17"/>
  <c r="U66" i="17" s="1"/>
  <c r="A58" i="17"/>
  <c r="U58" i="17" s="1"/>
  <c r="U9" i="17"/>
  <c r="A22" i="17"/>
  <c r="U22" i="17" s="1"/>
  <c r="A19" i="17"/>
  <c r="U19" i="17" s="1"/>
  <c r="A39" i="17"/>
  <c r="U39" i="17" s="1"/>
  <c r="A137" i="17"/>
  <c r="U137" i="17" s="1"/>
  <c r="A129" i="17"/>
  <c r="U129" i="17" s="1"/>
  <c r="A123" i="17"/>
  <c r="U123" i="17" s="1"/>
  <c r="A115" i="17"/>
  <c r="U115" i="17" s="1"/>
  <c r="A108" i="17"/>
  <c r="U108" i="17" s="1"/>
  <c r="A101" i="17"/>
  <c r="U101" i="17" s="1"/>
  <c r="A92" i="17"/>
  <c r="U92" i="17" s="1"/>
  <c r="A87" i="17"/>
  <c r="U87" i="17" s="1"/>
  <c r="A81" i="17"/>
  <c r="U81" i="17" s="1"/>
  <c r="A72" i="17"/>
  <c r="U72" i="17" s="1"/>
  <c r="A65" i="17"/>
  <c r="U65" i="17" s="1"/>
  <c r="A57" i="17"/>
  <c r="U57" i="17" s="1"/>
  <c r="A8" i="17"/>
  <c r="U8" i="17" s="1"/>
  <c r="A51" i="17"/>
  <c r="U51" i="17" s="1"/>
  <c r="A46" i="17"/>
  <c r="U46" i="17" s="1"/>
  <c r="A18" i="17"/>
  <c r="U18" i="17" s="1"/>
  <c r="A32" i="17"/>
  <c r="U32" i="17" s="1"/>
  <c r="A135" i="17"/>
  <c r="U135" i="17" s="1"/>
  <c r="A127" i="17"/>
  <c r="U127" i="17" s="1"/>
  <c r="A121" i="17"/>
  <c r="U121" i="17" s="1"/>
  <c r="A106" i="17"/>
  <c r="U106" i="17" s="1"/>
  <c r="A99" i="17"/>
  <c r="U99" i="17" s="1"/>
  <c r="A90" i="17"/>
  <c r="U90" i="17" s="1"/>
  <c r="A85" i="17"/>
  <c r="U85" i="17" s="1"/>
  <c r="A78" i="17"/>
  <c r="U78" i="17" s="1"/>
  <c r="A15" i="17"/>
  <c r="U15" i="17" s="1"/>
  <c r="A63" i="17"/>
  <c r="U63" i="17" s="1"/>
  <c r="A55" i="17"/>
  <c r="U55" i="17" s="1"/>
  <c r="A14" i="17"/>
  <c r="U14" i="17" s="1"/>
  <c r="A50" i="17"/>
  <c r="U50" i="17" s="1"/>
  <c r="A44" i="17"/>
  <c r="U44" i="17" s="1"/>
  <c r="A37" i="17"/>
  <c r="U37" i="17" s="1"/>
  <c r="A30" i="17"/>
  <c r="U30" i="17" s="1"/>
  <c r="T125" i="17"/>
  <c r="R125" i="17"/>
  <c r="P97" i="17"/>
  <c r="S125" i="17"/>
  <c r="T80" i="17"/>
  <c r="S97" i="17"/>
  <c r="S80" i="17"/>
  <c r="R97" i="17"/>
  <c r="Q80" i="17"/>
  <c r="R80" i="17"/>
  <c r="V121" i="17" l="1"/>
  <c r="V102" i="17"/>
  <c r="V36" i="17"/>
  <c r="V101" i="17"/>
  <c r="V74" i="17"/>
  <c r="V43" i="17"/>
  <c r="V15" i="17"/>
  <c r="V8" i="17"/>
  <c r="V9" i="17"/>
  <c r="V96" i="17"/>
  <c r="V115" i="17"/>
  <c r="V12" i="17"/>
  <c r="V37" i="17"/>
  <c r="V85" i="17"/>
  <c r="V65" i="17"/>
  <c r="V123" i="17"/>
  <c r="V66" i="17"/>
  <c r="V20" i="17"/>
  <c r="V94" i="17"/>
  <c r="V53" i="17"/>
  <c r="V111" i="17"/>
  <c r="V62" i="17"/>
  <c r="V46" i="17"/>
  <c r="V19" i="17"/>
  <c r="V35" i="17"/>
  <c r="V63" i="17"/>
  <c r="V51" i="17"/>
  <c r="V22" i="17"/>
  <c r="V42" i="17"/>
  <c r="V116" i="17"/>
  <c r="V26" i="17"/>
  <c r="V78" i="17"/>
  <c r="V58" i="17"/>
  <c r="V13" i="17"/>
  <c r="V44" i="17"/>
  <c r="V90" i="17"/>
  <c r="V72" i="17"/>
  <c r="V129" i="17"/>
  <c r="V73" i="17"/>
  <c r="V23" i="17"/>
  <c r="V103" i="17"/>
  <c r="V61" i="17"/>
  <c r="V119" i="17"/>
  <c r="V70" i="17"/>
  <c r="V55" i="17"/>
  <c r="V125" i="17"/>
  <c r="V2" i="17"/>
  <c r="V88" i="17"/>
  <c r="V108" i="17"/>
  <c r="V34" i="17"/>
  <c r="V48" i="17"/>
  <c r="V30" i="17"/>
  <c r="V40" i="17"/>
  <c r="V16" i="17"/>
  <c r="V50" i="17"/>
  <c r="V99" i="17"/>
  <c r="V32" i="17"/>
  <c r="V81" i="17"/>
  <c r="V137" i="17"/>
  <c r="V82" i="17"/>
  <c r="V10" i="17"/>
  <c r="V109" i="17"/>
  <c r="V69" i="17"/>
  <c r="V24" i="17"/>
  <c r="V92" i="17"/>
  <c r="V67" i="17"/>
  <c r="V127" i="17"/>
  <c r="V131" i="17"/>
  <c r="V135" i="17"/>
  <c r="V83" i="17"/>
  <c r="V49" i="17"/>
  <c r="V57" i="17"/>
  <c r="V5" i="17"/>
  <c r="V14" i="17"/>
  <c r="V106" i="17"/>
  <c r="V18" i="17"/>
  <c r="V87" i="17"/>
  <c r="V39" i="17"/>
  <c r="V93" i="17"/>
  <c r="V59" i="17"/>
  <c r="V117" i="17"/>
  <c r="V28" i="17"/>
  <c r="V76" i="17"/>
  <c r="V133" i="17"/>
  <c r="U2" i="3"/>
  <c r="K50" i="4" s="1"/>
  <c r="U3" i="3" l="1"/>
  <c r="K51" i="4" s="1"/>
  <c r="V3" i="3"/>
  <c r="L51" i="4" s="1"/>
  <c r="W3" i="3"/>
  <c r="M51" i="4" s="1"/>
  <c r="X3" i="3"/>
  <c r="N51" i="4" s="1"/>
  <c r="Y3" i="3"/>
  <c r="O51" i="4" s="1"/>
  <c r="Z3" i="3"/>
  <c r="K51" i="7" s="1"/>
  <c r="AA3" i="3"/>
  <c r="L51" i="7" s="1"/>
  <c r="AB3" i="3"/>
  <c r="M51" i="7" s="1"/>
  <c r="AC3" i="3"/>
  <c r="N51" i="7" s="1"/>
  <c r="AD3" i="3"/>
  <c r="O51" i="7" s="1"/>
  <c r="AE3" i="3"/>
  <c r="U4" i="3"/>
  <c r="K7" i="4" s="1"/>
  <c r="V4" i="3"/>
  <c r="L7" i="4" s="1"/>
  <c r="W4" i="3"/>
  <c r="M7" i="4" s="1"/>
  <c r="X4" i="3"/>
  <c r="N7" i="4" s="1"/>
  <c r="Y4" i="3"/>
  <c r="O7" i="4" s="1"/>
  <c r="Z4" i="3"/>
  <c r="K7" i="7" s="1"/>
  <c r="AA4" i="3"/>
  <c r="L7" i="7" s="1"/>
  <c r="AB4" i="3"/>
  <c r="M7" i="7" s="1"/>
  <c r="AC4" i="3"/>
  <c r="N7" i="7" s="1"/>
  <c r="AD4" i="3"/>
  <c r="O7" i="7" s="1"/>
  <c r="AE4" i="3"/>
  <c r="U5" i="3"/>
  <c r="K52" i="4" s="1"/>
  <c r="V5" i="3"/>
  <c r="L52" i="4" s="1"/>
  <c r="W5" i="3"/>
  <c r="M52" i="4" s="1"/>
  <c r="X5" i="3"/>
  <c r="N52" i="4" s="1"/>
  <c r="Y5" i="3"/>
  <c r="O52" i="4" s="1"/>
  <c r="Z5" i="3"/>
  <c r="K52" i="7" s="1"/>
  <c r="AA5" i="3"/>
  <c r="L52" i="7" s="1"/>
  <c r="AB5" i="3"/>
  <c r="M52" i="7" s="1"/>
  <c r="AC5" i="3"/>
  <c r="N52" i="7" s="1"/>
  <c r="AD5" i="3"/>
  <c r="O52" i="7" s="1"/>
  <c r="AE5" i="3"/>
  <c r="U6" i="3"/>
  <c r="K35" i="4" s="1"/>
  <c r="V6" i="3"/>
  <c r="L35" i="4" s="1"/>
  <c r="W6" i="3"/>
  <c r="M35" i="4" s="1"/>
  <c r="X6" i="3"/>
  <c r="N35" i="4" s="1"/>
  <c r="Y6" i="3"/>
  <c r="O35" i="4" s="1"/>
  <c r="Z6" i="3"/>
  <c r="K35" i="7" s="1"/>
  <c r="AA6" i="3"/>
  <c r="L35" i="7" s="1"/>
  <c r="AB6" i="3"/>
  <c r="M35" i="7" s="1"/>
  <c r="AC6" i="3"/>
  <c r="N35" i="7" s="1"/>
  <c r="AD6" i="3"/>
  <c r="O35" i="7" s="1"/>
  <c r="AE6" i="3"/>
  <c r="U7" i="3"/>
  <c r="K12" i="4" s="1"/>
  <c r="V7" i="3"/>
  <c r="L12" i="4" s="1"/>
  <c r="W7" i="3"/>
  <c r="M12" i="4" s="1"/>
  <c r="X7" i="3"/>
  <c r="N12" i="4" s="1"/>
  <c r="Y7" i="3"/>
  <c r="O12" i="4" s="1"/>
  <c r="Z7" i="3"/>
  <c r="K12" i="7" s="1"/>
  <c r="AA7" i="3"/>
  <c r="L12" i="7" s="1"/>
  <c r="AB7" i="3"/>
  <c r="M12" i="7" s="1"/>
  <c r="AC7" i="3"/>
  <c r="N12" i="7" s="1"/>
  <c r="AD7" i="3"/>
  <c r="O12" i="7" s="1"/>
  <c r="AE7" i="3"/>
  <c r="U8" i="3"/>
  <c r="K36" i="4" s="1"/>
  <c r="V8" i="3"/>
  <c r="L36" i="4" s="1"/>
  <c r="W8" i="3"/>
  <c r="M36" i="4" s="1"/>
  <c r="X8" i="3"/>
  <c r="N36" i="4" s="1"/>
  <c r="Y8" i="3"/>
  <c r="O36" i="4" s="1"/>
  <c r="Z8" i="3"/>
  <c r="K36" i="7" s="1"/>
  <c r="AA8" i="3"/>
  <c r="L36" i="7" s="1"/>
  <c r="AB8" i="3"/>
  <c r="M36" i="7" s="1"/>
  <c r="AC8" i="3"/>
  <c r="N36" i="7" s="1"/>
  <c r="AD8" i="3"/>
  <c r="O36" i="7" s="1"/>
  <c r="AE8" i="3"/>
  <c r="U9" i="3"/>
  <c r="K37" i="4" s="1"/>
  <c r="V9" i="3"/>
  <c r="L37" i="4" s="1"/>
  <c r="W9" i="3"/>
  <c r="M37" i="4" s="1"/>
  <c r="X9" i="3"/>
  <c r="N37" i="4" s="1"/>
  <c r="Y9" i="3"/>
  <c r="O37" i="4" s="1"/>
  <c r="Z9" i="3"/>
  <c r="K37" i="7" s="1"/>
  <c r="AA9" i="3"/>
  <c r="L37" i="7" s="1"/>
  <c r="AB9" i="3"/>
  <c r="M37" i="7" s="1"/>
  <c r="AC9" i="3"/>
  <c r="N37" i="7" s="1"/>
  <c r="AD9" i="3"/>
  <c r="O37" i="7" s="1"/>
  <c r="AE9" i="3"/>
  <c r="U10" i="3"/>
  <c r="K13" i="4" s="1"/>
  <c r="V10" i="3"/>
  <c r="L13" i="4" s="1"/>
  <c r="W10" i="3"/>
  <c r="M13" i="4" s="1"/>
  <c r="X10" i="3"/>
  <c r="N13" i="4" s="1"/>
  <c r="Y10" i="3"/>
  <c r="O13" i="4" s="1"/>
  <c r="Z10" i="3"/>
  <c r="K13" i="7" s="1"/>
  <c r="AA10" i="3"/>
  <c r="L13" i="7" s="1"/>
  <c r="AB10" i="3"/>
  <c r="M13" i="7" s="1"/>
  <c r="AC10" i="3"/>
  <c r="N13" i="7" s="1"/>
  <c r="AD10" i="3"/>
  <c r="O13" i="7" s="1"/>
  <c r="AE10" i="3"/>
  <c r="U11" i="3"/>
  <c r="K38" i="4" s="1"/>
  <c r="V11" i="3"/>
  <c r="L38" i="4" s="1"/>
  <c r="W11" i="3"/>
  <c r="M38" i="4" s="1"/>
  <c r="X11" i="3"/>
  <c r="N38" i="4" s="1"/>
  <c r="Y11" i="3"/>
  <c r="O38" i="4" s="1"/>
  <c r="Z11" i="3"/>
  <c r="K38" i="7" s="1"/>
  <c r="AA11" i="3"/>
  <c r="L38" i="7" s="1"/>
  <c r="AB11" i="3"/>
  <c r="M38" i="7" s="1"/>
  <c r="AC11" i="3"/>
  <c r="N38" i="7" s="1"/>
  <c r="AD11" i="3"/>
  <c r="O38" i="7" s="1"/>
  <c r="AE11" i="3"/>
  <c r="U12" i="3"/>
  <c r="K26" i="4" s="1"/>
  <c r="V12" i="3"/>
  <c r="L26" i="4" s="1"/>
  <c r="W12" i="3"/>
  <c r="M26" i="4" s="1"/>
  <c r="X12" i="3"/>
  <c r="N26" i="4" s="1"/>
  <c r="Y12" i="3"/>
  <c r="O26" i="4" s="1"/>
  <c r="Z12" i="3"/>
  <c r="K26" i="7" s="1"/>
  <c r="AA12" i="3"/>
  <c r="L26" i="7" s="1"/>
  <c r="AB12" i="3"/>
  <c r="M26" i="7" s="1"/>
  <c r="AC12" i="3"/>
  <c r="N26" i="7" s="1"/>
  <c r="AD12" i="3"/>
  <c r="O26" i="7" s="1"/>
  <c r="AE12" i="3"/>
  <c r="U13" i="3"/>
  <c r="K21" i="4" s="1"/>
  <c r="V13" i="3"/>
  <c r="L21" i="4" s="1"/>
  <c r="W13" i="3"/>
  <c r="M21" i="4" s="1"/>
  <c r="X13" i="3"/>
  <c r="N21" i="4" s="1"/>
  <c r="Y13" i="3"/>
  <c r="O21" i="4" s="1"/>
  <c r="Z13" i="3"/>
  <c r="K21" i="7" s="1"/>
  <c r="AA13" i="3"/>
  <c r="L21" i="7" s="1"/>
  <c r="AB13" i="3"/>
  <c r="M21" i="7" s="1"/>
  <c r="AC13" i="3"/>
  <c r="N21" i="7" s="1"/>
  <c r="AD13" i="3"/>
  <c r="O21" i="7" s="1"/>
  <c r="AE13" i="3"/>
  <c r="U14" i="3"/>
  <c r="K22" i="4" s="1"/>
  <c r="V14" i="3"/>
  <c r="L22" i="4" s="1"/>
  <c r="W14" i="3"/>
  <c r="M22" i="4" s="1"/>
  <c r="X14" i="3"/>
  <c r="N22" i="4" s="1"/>
  <c r="Y14" i="3"/>
  <c r="O22" i="4" s="1"/>
  <c r="Z14" i="3"/>
  <c r="K22" i="7" s="1"/>
  <c r="AA14" i="3"/>
  <c r="L22" i="7" s="1"/>
  <c r="AB14" i="3"/>
  <c r="M22" i="7" s="1"/>
  <c r="AC14" i="3"/>
  <c r="N22" i="7" s="1"/>
  <c r="AD14" i="3"/>
  <c r="O22" i="7" s="1"/>
  <c r="AE14" i="3"/>
  <c r="U15" i="3"/>
  <c r="K23" i="4" s="1"/>
  <c r="V15" i="3"/>
  <c r="L23" i="4" s="1"/>
  <c r="W15" i="3"/>
  <c r="M23" i="4" s="1"/>
  <c r="X15" i="3"/>
  <c r="N23" i="4" s="1"/>
  <c r="Y15" i="3"/>
  <c r="O23" i="4" s="1"/>
  <c r="Z15" i="3"/>
  <c r="K23" i="7" s="1"/>
  <c r="AA15" i="3"/>
  <c r="L23" i="7" s="1"/>
  <c r="AB15" i="3"/>
  <c r="M23" i="7" s="1"/>
  <c r="AC15" i="3"/>
  <c r="N23" i="7" s="1"/>
  <c r="AD15" i="3"/>
  <c r="O23" i="7" s="1"/>
  <c r="AE15" i="3"/>
  <c r="U16" i="3"/>
  <c r="K8" i="4" s="1"/>
  <c r="V16" i="3"/>
  <c r="L8" i="4" s="1"/>
  <c r="W16" i="3"/>
  <c r="M8" i="4" s="1"/>
  <c r="X16" i="3"/>
  <c r="N8" i="4" s="1"/>
  <c r="Y16" i="3"/>
  <c r="O8" i="4" s="1"/>
  <c r="Z16" i="3"/>
  <c r="K8" i="7" s="1"/>
  <c r="AA16" i="3"/>
  <c r="L8" i="7" s="1"/>
  <c r="AB16" i="3"/>
  <c r="M8" i="7" s="1"/>
  <c r="AC16" i="3"/>
  <c r="N8" i="7" s="1"/>
  <c r="AD16" i="3"/>
  <c r="O8" i="7" s="1"/>
  <c r="AE16" i="3"/>
  <c r="U17" i="3"/>
  <c r="K24" i="4" s="1"/>
  <c r="V17" i="3"/>
  <c r="L24" i="4" s="1"/>
  <c r="W17" i="3"/>
  <c r="M24" i="4" s="1"/>
  <c r="X17" i="3"/>
  <c r="N24" i="4" s="1"/>
  <c r="Y17" i="3"/>
  <c r="O24" i="4" s="1"/>
  <c r="Z17" i="3"/>
  <c r="K24" i="7" s="1"/>
  <c r="AA17" i="3"/>
  <c r="L24" i="7" s="1"/>
  <c r="AB17" i="3"/>
  <c r="M24" i="7" s="1"/>
  <c r="AC17" i="3"/>
  <c r="N24" i="7" s="1"/>
  <c r="AD17" i="3"/>
  <c r="O24" i="7" s="1"/>
  <c r="AE17" i="3"/>
  <c r="U18" i="3"/>
  <c r="K17" i="4" s="1"/>
  <c r="V18" i="3"/>
  <c r="L17" i="4" s="1"/>
  <c r="W18" i="3"/>
  <c r="M17" i="4" s="1"/>
  <c r="X18" i="3"/>
  <c r="N17" i="4" s="1"/>
  <c r="Y18" i="3"/>
  <c r="O17" i="4" s="1"/>
  <c r="Z18" i="3"/>
  <c r="K17" i="7" s="1"/>
  <c r="AA18" i="3"/>
  <c r="L17" i="7" s="1"/>
  <c r="AB18" i="3"/>
  <c r="M17" i="7" s="1"/>
  <c r="AC18" i="3"/>
  <c r="N17" i="7" s="1"/>
  <c r="AD18" i="3"/>
  <c r="O17" i="7" s="1"/>
  <c r="AE18" i="3"/>
  <c r="U19" i="3"/>
  <c r="K18" i="4" s="1"/>
  <c r="V19" i="3"/>
  <c r="L18" i="4" s="1"/>
  <c r="W19" i="3"/>
  <c r="M18" i="4" s="1"/>
  <c r="X19" i="3"/>
  <c r="N18" i="4" s="1"/>
  <c r="Y19" i="3"/>
  <c r="O18" i="4" s="1"/>
  <c r="Z19" i="3"/>
  <c r="K18" i="7" s="1"/>
  <c r="AA19" i="3"/>
  <c r="L18" i="7" s="1"/>
  <c r="AB19" i="3"/>
  <c r="M18" i="7" s="1"/>
  <c r="AC19" i="3"/>
  <c r="N18" i="7" s="1"/>
  <c r="AD19" i="3"/>
  <c r="O18" i="7" s="1"/>
  <c r="AE19" i="3"/>
  <c r="U20" i="3"/>
  <c r="K39" i="4" s="1"/>
  <c r="V20" i="3"/>
  <c r="L39" i="4" s="1"/>
  <c r="W20" i="3"/>
  <c r="M39" i="4" s="1"/>
  <c r="X20" i="3"/>
  <c r="N39" i="4" s="1"/>
  <c r="Y20" i="3"/>
  <c r="O39" i="4" s="1"/>
  <c r="Z20" i="3"/>
  <c r="K39" i="7" s="1"/>
  <c r="AA20" i="3"/>
  <c r="L39" i="7" s="1"/>
  <c r="AB20" i="3"/>
  <c r="M39" i="7" s="1"/>
  <c r="AC20" i="3"/>
  <c r="N39" i="7" s="1"/>
  <c r="AD20" i="3"/>
  <c r="O39" i="7" s="1"/>
  <c r="AE20" i="3"/>
  <c r="U21" i="3"/>
  <c r="K53" i="4" s="1"/>
  <c r="V21" i="3"/>
  <c r="L53" i="4" s="1"/>
  <c r="W21" i="3"/>
  <c r="M53" i="4" s="1"/>
  <c r="X21" i="3"/>
  <c r="N53" i="4" s="1"/>
  <c r="Y21" i="3"/>
  <c r="O53" i="4" s="1"/>
  <c r="Z21" i="3"/>
  <c r="K53" i="7" s="1"/>
  <c r="AA21" i="3"/>
  <c r="L53" i="7" s="1"/>
  <c r="AB21" i="3"/>
  <c r="M53" i="7" s="1"/>
  <c r="AC21" i="3"/>
  <c r="N53" i="7" s="1"/>
  <c r="AD21" i="3"/>
  <c r="O53" i="7" s="1"/>
  <c r="AE21" i="3"/>
  <c r="U22" i="3"/>
  <c r="K40" i="4" s="1"/>
  <c r="V22" i="3"/>
  <c r="L40" i="4" s="1"/>
  <c r="W22" i="3"/>
  <c r="M40" i="4" s="1"/>
  <c r="X22" i="3"/>
  <c r="N40" i="4" s="1"/>
  <c r="Y22" i="3"/>
  <c r="O40" i="4" s="1"/>
  <c r="Z22" i="3"/>
  <c r="K40" i="7" s="1"/>
  <c r="AA22" i="3"/>
  <c r="L40" i="7" s="1"/>
  <c r="AB22" i="3"/>
  <c r="M40" i="7" s="1"/>
  <c r="AC22" i="3"/>
  <c r="N40" i="7" s="1"/>
  <c r="AD22" i="3"/>
  <c r="O40" i="7" s="1"/>
  <c r="AE22" i="3"/>
  <c r="U23" i="3"/>
  <c r="K41" i="4" s="1"/>
  <c r="V23" i="3"/>
  <c r="L41" i="4" s="1"/>
  <c r="W23" i="3"/>
  <c r="M41" i="4" s="1"/>
  <c r="X23" i="3"/>
  <c r="N41" i="4" s="1"/>
  <c r="Y23" i="3"/>
  <c r="O41" i="4" s="1"/>
  <c r="Z23" i="3"/>
  <c r="K41" i="7" s="1"/>
  <c r="AA23" i="3"/>
  <c r="L41" i="7" s="1"/>
  <c r="AB23" i="3"/>
  <c r="M41" i="7" s="1"/>
  <c r="AC23" i="3"/>
  <c r="N41" i="7" s="1"/>
  <c r="AD23" i="3"/>
  <c r="O41" i="7" s="1"/>
  <c r="AE23" i="3"/>
  <c r="U24" i="3"/>
  <c r="K27" i="4" s="1"/>
  <c r="V24" i="3"/>
  <c r="L27" i="4" s="1"/>
  <c r="W24" i="3"/>
  <c r="M27" i="4" s="1"/>
  <c r="X24" i="3"/>
  <c r="N27" i="4" s="1"/>
  <c r="Y24" i="3"/>
  <c r="O27" i="4" s="1"/>
  <c r="Z24" i="3"/>
  <c r="K27" i="7" s="1"/>
  <c r="AA24" i="3"/>
  <c r="L27" i="7" s="1"/>
  <c r="AB24" i="3"/>
  <c r="M27" i="7" s="1"/>
  <c r="AC24" i="3"/>
  <c r="N27" i="7" s="1"/>
  <c r="AD24" i="3"/>
  <c r="O27" i="7" s="1"/>
  <c r="AE24" i="3"/>
  <c r="U25" i="3"/>
  <c r="K54" i="4" s="1"/>
  <c r="V25" i="3"/>
  <c r="L54" i="4" s="1"/>
  <c r="W25" i="3"/>
  <c r="M54" i="4" s="1"/>
  <c r="X25" i="3"/>
  <c r="N54" i="4" s="1"/>
  <c r="Y25" i="3"/>
  <c r="O54" i="4" s="1"/>
  <c r="Z25" i="3"/>
  <c r="K54" i="7" s="1"/>
  <c r="AA25" i="3"/>
  <c r="L54" i="7" s="1"/>
  <c r="AB25" i="3"/>
  <c r="M54" i="7" s="1"/>
  <c r="AC25" i="3"/>
  <c r="N54" i="7" s="1"/>
  <c r="AD25" i="3"/>
  <c r="O54" i="7" s="1"/>
  <c r="AE25" i="3"/>
  <c r="U26" i="3"/>
  <c r="K55" i="4" s="1"/>
  <c r="V26" i="3"/>
  <c r="L55" i="4" s="1"/>
  <c r="W26" i="3"/>
  <c r="M55" i="4" s="1"/>
  <c r="X26" i="3"/>
  <c r="N55" i="4" s="1"/>
  <c r="Y26" i="3"/>
  <c r="O55" i="4" s="1"/>
  <c r="Z26" i="3"/>
  <c r="K55" i="7" s="1"/>
  <c r="AA26" i="3"/>
  <c r="L55" i="7" s="1"/>
  <c r="AB26" i="3"/>
  <c r="M55" i="7" s="1"/>
  <c r="AC26" i="3"/>
  <c r="N55" i="7" s="1"/>
  <c r="AD26" i="3"/>
  <c r="O55" i="7" s="1"/>
  <c r="AE26" i="3"/>
  <c r="U27" i="3"/>
  <c r="K56" i="4" s="1"/>
  <c r="V27" i="3"/>
  <c r="L56" i="4" s="1"/>
  <c r="W27" i="3"/>
  <c r="M56" i="4" s="1"/>
  <c r="X27" i="3"/>
  <c r="N56" i="4" s="1"/>
  <c r="Y27" i="3"/>
  <c r="O56" i="4" s="1"/>
  <c r="Z27" i="3"/>
  <c r="K56" i="7" s="1"/>
  <c r="AA27" i="3"/>
  <c r="L56" i="7" s="1"/>
  <c r="AB27" i="3"/>
  <c r="M56" i="7" s="1"/>
  <c r="AC27" i="3"/>
  <c r="N56" i="7" s="1"/>
  <c r="AD27" i="3"/>
  <c r="O56" i="7" s="1"/>
  <c r="AE27" i="3"/>
  <c r="U28" i="3"/>
  <c r="K57" i="4" s="1"/>
  <c r="V28" i="3"/>
  <c r="L57" i="4" s="1"/>
  <c r="W28" i="3"/>
  <c r="M57" i="4" s="1"/>
  <c r="X28" i="3"/>
  <c r="N57" i="4" s="1"/>
  <c r="Y28" i="3"/>
  <c r="O57" i="4" s="1"/>
  <c r="Z28" i="3"/>
  <c r="K57" i="7" s="1"/>
  <c r="AA28" i="3"/>
  <c r="L57" i="7" s="1"/>
  <c r="AB28" i="3"/>
  <c r="M57" i="7" s="1"/>
  <c r="AC28" i="3"/>
  <c r="N57" i="7" s="1"/>
  <c r="AD28" i="3"/>
  <c r="O57" i="7" s="1"/>
  <c r="AE28" i="3"/>
  <c r="U29" i="3"/>
  <c r="K58" i="4" s="1"/>
  <c r="V29" i="3"/>
  <c r="L58" i="4" s="1"/>
  <c r="W29" i="3"/>
  <c r="M58" i="4" s="1"/>
  <c r="X29" i="3"/>
  <c r="N58" i="4" s="1"/>
  <c r="Y29" i="3"/>
  <c r="O58" i="4" s="1"/>
  <c r="Z29" i="3"/>
  <c r="K58" i="7" s="1"/>
  <c r="AA29" i="3"/>
  <c r="L58" i="7" s="1"/>
  <c r="AB29" i="3"/>
  <c r="M58" i="7" s="1"/>
  <c r="AC29" i="3"/>
  <c r="N58" i="7" s="1"/>
  <c r="AD29" i="3"/>
  <c r="O58" i="7" s="1"/>
  <c r="AE29" i="3"/>
  <c r="U30" i="3"/>
  <c r="K59" i="4" s="1"/>
  <c r="V30" i="3"/>
  <c r="L59" i="4" s="1"/>
  <c r="W30" i="3"/>
  <c r="M59" i="4" s="1"/>
  <c r="X30" i="3"/>
  <c r="N59" i="4" s="1"/>
  <c r="Y30" i="3"/>
  <c r="O59" i="4" s="1"/>
  <c r="Z30" i="3"/>
  <c r="K59" i="7" s="1"/>
  <c r="AA30" i="3"/>
  <c r="L59" i="7" s="1"/>
  <c r="AB30" i="3"/>
  <c r="M59" i="7" s="1"/>
  <c r="AC30" i="3"/>
  <c r="N59" i="7" s="1"/>
  <c r="AD30" i="3"/>
  <c r="O59" i="7" s="1"/>
  <c r="AE30" i="3"/>
  <c r="U31" i="3"/>
  <c r="K60" i="4" s="1"/>
  <c r="V31" i="3"/>
  <c r="L60" i="4" s="1"/>
  <c r="W31" i="3"/>
  <c r="M60" i="4" s="1"/>
  <c r="X31" i="3"/>
  <c r="N60" i="4" s="1"/>
  <c r="Y31" i="3"/>
  <c r="O60" i="4" s="1"/>
  <c r="Z31" i="3"/>
  <c r="K60" i="7" s="1"/>
  <c r="AA31" i="3"/>
  <c r="L60" i="7" s="1"/>
  <c r="AB31" i="3"/>
  <c r="M60" i="7" s="1"/>
  <c r="AC31" i="3"/>
  <c r="N60" i="7" s="1"/>
  <c r="AD31" i="3"/>
  <c r="O60" i="7" s="1"/>
  <c r="AE31" i="3"/>
  <c r="U32" i="3"/>
  <c r="K42" i="4" s="1"/>
  <c r="V32" i="3"/>
  <c r="L42" i="4" s="1"/>
  <c r="W32" i="3"/>
  <c r="M42" i="4" s="1"/>
  <c r="X32" i="3"/>
  <c r="N42" i="4" s="1"/>
  <c r="Y32" i="3"/>
  <c r="O42" i="4" s="1"/>
  <c r="Z32" i="3"/>
  <c r="K42" i="7" s="1"/>
  <c r="AA32" i="3"/>
  <c r="L42" i="7" s="1"/>
  <c r="AB32" i="3"/>
  <c r="M42" i="7" s="1"/>
  <c r="AC32" i="3"/>
  <c r="N42" i="7" s="1"/>
  <c r="AD32" i="3"/>
  <c r="O42" i="7" s="1"/>
  <c r="AE32" i="3"/>
  <c r="U33" i="3"/>
  <c r="K61" i="4" s="1"/>
  <c r="V33" i="3"/>
  <c r="L61" i="4" s="1"/>
  <c r="W33" i="3"/>
  <c r="M61" i="4" s="1"/>
  <c r="X33" i="3"/>
  <c r="N61" i="4" s="1"/>
  <c r="Y33" i="3"/>
  <c r="O61" i="4" s="1"/>
  <c r="Z33" i="3"/>
  <c r="K61" i="7" s="1"/>
  <c r="AA33" i="3"/>
  <c r="L61" i="7" s="1"/>
  <c r="AB33" i="3"/>
  <c r="M61" i="7" s="1"/>
  <c r="AC33" i="3"/>
  <c r="N61" i="7" s="1"/>
  <c r="AD33" i="3"/>
  <c r="O61" i="7" s="1"/>
  <c r="AE33" i="3"/>
  <c r="U34" i="3"/>
  <c r="K62" i="4" s="1"/>
  <c r="V34" i="3"/>
  <c r="L62" i="4" s="1"/>
  <c r="W34" i="3"/>
  <c r="M62" i="4" s="1"/>
  <c r="X34" i="3"/>
  <c r="N62" i="4" s="1"/>
  <c r="Y34" i="3"/>
  <c r="O62" i="4" s="1"/>
  <c r="Z34" i="3"/>
  <c r="K62" i="7" s="1"/>
  <c r="AA34" i="3"/>
  <c r="L62" i="7" s="1"/>
  <c r="AB34" i="3"/>
  <c r="M62" i="7" s="1"/>
  <c r="AC34" i="3"/>
  <c r="N62" i="7" s="1"/>
  <c r="AD34" i="3"/>
  <c r="O62" i="7" s="1"/>
  <c r="AE34" i="3"/>
  <c r="U35" i="3"/>
  <c r="K63" i="4" s="1"/>
  <c r="V35" i="3"/>
  <c r="L63" i="4" s="1"/>
  <c r="W35" i="3"/>
  <c r="M63" i="4" s="1"/>
  <c r="X35" i="3"/>
  <c r="N63" i="4" s="1"/>
  <c r="Y35" i="3"/>
  <c r="O63" i="4" s="1"/>
  <c r="Z35" i="3"/>
  <c r="K63" i="7" s="1"/>
  <c r="AA35" i="3"/>
  <c r="L63" i="7" s="1"/>
  <c r="AB35" i="3"/>
  <c r="M63" i="7" s="1"/>
  <c r="AC35" i="3"/>
  <c r="N63" i="7" s="1"/>
  <c r="AD35" i="3"/>
  <c r="O63" i="7" s="1"/>
  <c r="AE35" i="3"/>
  <c r="U36" i="3"/>
  <c r="K64" i="4" s="1"/>
  <c r="V36" i="3"/>
  <c r="L64" i="4" s="1"/>
  <c r="W36" i="3"/>
  <c r="M64" i="4" s="1"/>
  <c r="X36" i="3"/>
  <c r="N64" i="4" s="1"/>
  <c r="Y36" i="3"/>
  <c r="O64" i="4" s="1"/>
  <c r="Z36" i="3"/>
  <c r="K64" i="7" s="1"/>
  <c r="AA36" i="3"/>
  <c r="L64" i="7" s="1"/>
  <c r="AB36" i="3"/>
  <c r="M64" i="7" s="1"/>
  <c r="AC36" i="3"/>
  <c r="N64" i="7" s="1"/>
  <c r="AD36" i="3"/>
  <c r="O64" i="7" s="1"/>
  <c r="AE36" i="3"/>
  <c r="U37" i="3"/>
  <c r="K65" i="4" s="1"/>
  <c r="V37" i="3"/>
  <c r="L65" i="4" s="1"/>
  <c r="W37" i="3"/>
  <c r="M65" i="4" s="1"/>
  <c r="X37" i="3"/>
  <c r="N65" i="4" s="1"/>
  <c r="Y37" i="3"/>
  <c r="O65" i="4" s="1"/>
  <c r="Z37" i="3"/>
  <c r="K65" i="7" s="1"/>
  <c r="AA37" i="3"/>
  <c r="L65" i="7" s="1"/>
  <c r="AB37" i="3"/>
  <c r="M65" i="7" s="1"/>
  <c r="AC37" i="3"/>
  <c r="N65" i="7" s="1"/>
  <c r="AD37" i="3"/>
  <c r="O65" i="7" s="1"/>
  <c r="AE37" i="3"/>
  <c r="U38" i="3"/>
  <c r="K66" i="4" s="1"/>
  <c r="V38" i="3"/>
  <c r="L66" i="4" s="1"/>
  <c r="W38" i="3"/>
  <c r="M66" i="4" s="1"/>
  <c r="X38" i="3"/>
  <c r="N66" i="4" s="1"/>
  <c r="Y38" i="3"/>
  <c r="O66" i="4" s="1"/>
  <c r="Z38" i="3"/>
  <c r="K66" i="7" s="1"/>
  <c r="AA38" i="3"/>
  <c r="L66" i="7" s="1"/>
  <c r="AB38" i="3"/>
  <c r="M66" i="7" s="1"/>
  <c r="AC38" i="3"/>
  <c r="N66" i="7" s="1"/>
  <c r="AD38" i="3"/>
  <c r="O66" i="7" s="1"/>
  <c r="AE38" i="3"/>
  <c r="U39" i="3"/>
  <c r="K67" i="4" s="1"/>
  <c r="V39" i="3"/>
  <c r="L67" i="4" s="1"/>
  <c r="W39" i="3"/>
  <c r="M67" i="4" s="1"/>
  <c r="X39" i="3"/>
  <c r="N67" i="4" s="1"/>
  <c r="Y39" i="3"/>
  <c r="O67" i="4" s="1"/>
  <c r="Z39" i="3"/>
  <c r="K67" i="7" s="1"/>
  <c r="AA39" i="3"/>
  <c r="L67" i="7" s="1"/>
  <c r="AB39" i="3"/>
  <c r="M67" i="7" s="1"/>
  <c r="AC39" i="3"/>
  <c r="N67" i="7" s="1"/>
  <c r="AD39" i="3"/>
  <c r="O67" i="7" s="1"/>
  <c r="AE39" i="3"/>
  <c r="U40" i="3"/>
  <c r="K68" i="4" s="1"/>
  <c r="V40" i="3"/>
  <c r="L68" i="4" s="1"/>
  <c r="W40" i="3"/>
  <c r="M68" i="4" s="1"/>
  <c r="X40" i="3"/>
  <c r="N68" i="4" s="1"/>
  <c r="Y40" i="3"/>
  <c r="O68" i="4" s="1"/>
  <c r="Z40" i="3"/>
  <c r="K68" i="7" s="1"/>
  <c r="AA40" i="3"/>
  <c r="L68" i="7" s="1"/>
  <c r="AB40" i="3"/>
  <c r="M68" i="7" s="1"/>
  <c r="AC40" i="3"/>
  <c r="N68" i="7" s="1"/>
  <c r="AD40" i="3"/>
  <c r="O68" i="7" s="1"/>
  <c r="AE40" i="3"/>
  <c r="U41" i="3"/>
  <c r="K69" i="4" s="1"/>
  <c r="V41" i="3"/>
  <c r="L69" i="4" s="1"/>
  <c r="W41" i="3"/>
  <c r="M69" i="4" s="1"/>
  <c r="X41" i="3"/>
  <c r="N69" i="4" s="1"/>
  <c r="Y41" i="3"/>
  <c r="O69" i="4" s="1"/>
  <c r="Z41" i="3"/>
  <c r="K69" i="7" s="1"/>
  <c r="AA41" i="3"/>
  <c r="L69" i="7" s="1"/>
  <c r="AB41" i="3"/>
  <c r="M69" i="7" s="1"/>
  <c r="AC41" i="3"/>
  <c r="N69" i="7" s="1"/>
  <c r="AD41" i="3"/>
  <c r="O69" i="7" s="1"/>
  <c r="AE41" i="3"/>
  <c r="U42" i="3"/>
  <c r="K71" i="4" s="1"/>
  <c r="V42" i="3"/>
  <c r="L71" i="4" s="1"/>
  <c r="W42" i="3"/>
  <c r="M71" i="4" s="1"/>
  <c r="X42" i="3"/>
  <c r="N71" i="4" s="1"/>
  <c r="Y42" i="3"/>
  <c r="O71" i="4" s="1"/>
  <c r="Z42" i="3"/>
  <c r="K71" i="7" s="1"/>
  <c r="AA42" i="3"/>
  <c r="L71" i="7" s="1"/>
  <c r="AB42" i="3"/>
  <c r="M71" i="7" s="1"/>
  <c r="AC42" i="3"/>
  <c r="N71" i="7" s="1"/>
  <c r="AD42" i="3"/>
  <c r="O71" i="7" s="1"/>
  <c r="AE42" i="3"/>
  <c r="U43" i="3"/>
  <c r="K25" i="4" s="1"/>
  <c r="V43" i="3"/>
  <c r="L25" i="4" s="1"/>
  <c r="W43" i="3"/>
  <c r="M25" i="4" s="1"/>
  <c r="X43" i="3"/>
  <c r="N25" i="4" s="1"/>
  <c r="Y43" i="3"/>
  <c r="O25" i="4" s="1"/>
  <c r="Z43" i="3"/>
  <c r="K25" i="7" s="1"/>
  <c r="AA43" i="3"/>
  <c r="L25" i="7" s="1"/>
  <c r="AB43" i="3"/>
  <c r="M25" i="7" s="1"/>
  <c r="AC43" i="3"/>
  <c r="N25" i="7" s="1"/>
  <c r="AD43" i="3"/>
  <c r="O25" i="7" s="1"/>
  <c r="AE43" i="3"/>
  <c r="U44" i="3"/>
  <c r="K72" i="4" s="1"/>
  <c r="V44" i="3"/>
  <c r="L72" i="4" s="1"/>
  <c r="W44" i="3"/>
  <c r="M72" i="4" s="1"/>
  <c r="X44" i="3"/>
  <c r="N72" i="4" s="1"/>
  <c r="Y44" i="3"/>
  <c r="O72" i="4" s="1"/>
  <c r="Z44" i="3"/>
  <c r="K72" i="7" s="1"/>
  <c r="AA44" i="3"/>
  <c r="L72" i="7" s="1"/>
  <c r="AB44" i="3"/>
  <c r="M72" i="7" s="1"/>
  <c r="AC44" i="3"/>
  <c r="N72" i="7" s="1"/>
  <c r="AD44" i="3"/>
  <c r="O72" i="7" s="1"/>
  <c r="AE44" i="3"/>
  <c r="U45" i="3"/>
  <c r="K73" i="4" s="1"/>
  <c r="V45" i="3"/>
  <c r="L73" i="4" s="1"/>
  <c r="W45" i="3"/>
  <c r="M73" i="4" s="1"/>
  <c r="X45" i="3"/>
  <c r="N73" i="4" s="1"/>
  <c r="Y45" i="3"/>
  <c r="O73" i="4" s="1"/>
  <c r="Z45" i="3"/>
  <c r="K73" i="7" s="1"/>
  <c r="AA45" i="3"/>
  <c r="L73" i="7" s="1"/>
  <c r="AB45" i="3"/>
  <c r="M73" i="7" s="1"/>
  <c r="AC45" i="3"/>
  <c r="N73" i="7" s="1"/>
  <c r="AD45" i="3"/>
  <c r="O73" i="7" s="1"/>
  <c r="AE45" i="3"/>
  <c r="U46" i="3"/>
  <c r="K74" i="4" s="1"/>
  <c r="V46" i="3"/>
  <c r="L74" i="4" s="1"/>
  <c r="W46" i="3"/>
  <c r="M74" i="4" s="1"/>
  <c r="X46" i="3"/>
  <c r="N74" i="4" s="1"/>
  <c r="Y46" i="3"/>
  <c r="O74" i="4" s="1"/>
  <c r="Z46" i="3"/>
  <c r="K74" i="7" s="1"/>
  <c r="AA46" i="3"/>
  <c r="L74" i="7" s="1"/>
  <c r="AB46" i="3"/>
  <c r="M74" i="7" s="1"/>
  <c r="AC46" i="3"/>
  <c r="N74" i="7" s="1"/>
  <c r="AD46" i="3"/>
  <c r="O74" i="7" s="1"/>
  <c r="AE46" i="3"/>
  <c r="U47" i="3"/>
  <c r="K75" i="4" s="1"/>
  <c r="V47" i="3"/>
  <c r="L75" i="4" s="1"/>
  <c r="W47" i="3"/>
  <c r="M75" i="4" s="1"/>
  <c r="X47" i="3"/>
  <c r="N75" i="4" s="1"/>
  <c r="Y47" i="3"/>
  <c r="O75" i="4" s="1"/>
  <c r="Z47" i="3"/>
  <c r="K75" i="7" s="1"/>
  <c r="AA47" i="3"/>
  <c r="L75" i="7" s="1"/>
  <c r="AB47" i="3"/>
  <c r="M75" i="7" s="1"/>
  <c r="AC47" i="3"/>
  <c r="N75" i="7" s="1"/>
  <c r="AD47" i="3"/>
  <c r="O75" i="7" s="1"/>
  <c r="AE47" i="3"/>
  <c r="U48" i="3"/>
  <c r="K76" i="4" s="1"/>
  <c r="V48" i="3"/>
  <c r="L76" i="4" s="1"/>
  <c r="W48" i="3"/>
  <c r="M76" i="4" s="1"/>
  <c r="X48" i="3"/>
  <c r="N76" i="4" s="1"/>
  <c r="Y48" i="3"/>
  <c r="O76" i="4" s="1"/>
  <c r="Z48" i="3"/>
  <c r="K76" i="7" s="1"/>
  <c r="AA48" i="3"/>
  <c r="L76" i="7" s="1"/>
  <c r="AB48" i="3"/>
  <c r="M76" i="7" s="1"/>
  <c r="AC48" i="3"/>
  <c r="N76" i="7" s="1"/>
  <c r="AD48" i="3"/>
  <c r="O76" i="7" s="1"/>
  <c r="AE48" i="3"/>
  <c r="U49" i="3"/>
  <c r="K77" i="4" s="1"/>
  <c r="V49" i="3"/>
  <c r="L77" i="4" s="1"/>
  <c r="W49" i="3"/>
  <c r="M77" i="4" s="1"/>
  <c r="X49" i="3"/>
  <c r="N77" i="4" s="1"/>
  <c r="Y49" i="3"/>
  <c r="O77" i="4" s="1"/>
  <c r="Z49" i="3"/>
  <c r="K77" i="7" s="1"/>
  <c r="AA49" i="3"/>
  <c r="L77" i="7" s="1"/>
  <c r="AB49" i="3"/>
  <c r="M77" i="7" s="1"/>
  <c r="AC49" i="3"/>
  <c r="N77" i="7" s="1"/>
  <c r="AD49" i="3"/>
  <c r="O77" i="7" s="1"/>
  <c r="AE49" i="3"/>
  <c r="U50" i="3"/>
  <c r="K78" i="4" s="1"/>
  <c r="V50" i="3"/>
  <c r="L78" i="4" s="1"/>
  <c r="W50" i="3"/>
  <c r="M78" i="4" s="1"/>
  <c r="X50" i="3"/>
  <c r="N78" i="4" s="1"/>
  <c r="Y50" i="3"/>
  <c r="O78" i="4" s="1"/>
  <c r="Z50" i="3"/>
  <c r="K78" i="7" s="1"/>
  <c r="AA50" i="3"/>
  <c r="L78" i="7" s="1"/>
  <c r="AB50" i="3"/>
  <c r="M78" i="7" s="1"/>
  <c r="AC50" i="3"/>
  <c r="N78" i="7" s="1"/>
  <c r="AD50" i="3"/>
  <c r="O78" i="7" s="1"/>
  <c r="AE50" i="3"/>
  <c r="U51" i="3"/>
  <c r="K79" i="4" s="1"/>
  <c r="V51" i="3"/>
  <c r="L79" i="4" s="1"/>
  <c r="W51" i="3"/>
  <c r="M79" i="4" s="1"/>
  <c r="X51" i="3"/>
  <c r="N79" i="4" s="1"/>
  <c r="Y51" i="3"/>
  <c r="O79" i="4" s="1"/>
  <c r="Z51" i="3"/>
  <c r="K79" i="7" s="1"/>
  <c r="AA51" i="3"/>
  <c r="L79" i="7" s="1"/>
  <c r="AB51" i="3"/>
  <c r="M79" i="7" s="1"/>
  <c r="AC51" i="3"/>
  <c r="N79" i="7" s="1"/>
  <c r="AD51" i="3"/>
  <c r="O79" i="7" s="1"/>
  <c r="AE51" i="3"/>
  <c r="U52" i="3"/>
  <c r="K80" i="4" s="1"/>
  <c r="V52" i="3"/>
  <c r="L80" i="4" s="1"/>
  <c r="W52" i="3"/>
  <c r="M80" i="4" s="1"/>
  <c r="X52" i="3"/>
  <c r="N80" i="4" s="1"/>
  <c r="Y52" i="3"/>
  <c r="O80" i="4" s="1"/>
  <c r="Z52" i="3"/>
  <c r="K80" i="7" s="1"/>
  <c r="AA52" i="3"/>
  <c r="L80" i="7" s="1"/>
  <c r="AB52" i="3"/>
  <c r="M80" i="7" s="1"/>
  <c r="AC52" i="3"/>
  <c r="N80" i="7" s="1"/>
  <c r="AD52" i="3"/>
  <c r="O80" i="7" s="1"/>
  <c r="AE52" i="3"/>
  <c r="U53" i="3"/>
  <c r="K44" i="4" s="1"/>
  <c r="V53" i="3"/>
  <c r="L44" i="4" s="1"/>
  <c r="W53" i="3"/>
  <c r="M44" i="4" s="1"/>
  <c r="X53" i="3"/>
  <c r="N44" i="4" s="1"/>
  <c r="Y53" i="3"/>
  <c r="O44" i="4" s="1"/>
  <c r="Z53" i="3"/>
  <c r="K44" i="7" s="1"/>
  <c r="AA53" i="3"/>
  <c r="L44" i="7" s="1"/>
  <c r="AB53" i="3"/>
  <c r="M44" i="7" s="1"/>
  <c r="AC53" i="3"/>
  <c r="N44" i="7" s="1"/>
  <c r="AD53" i="3"/>
  <c r="O44" i="7" s="1"/>
  <c r="AE53" i="3"/>
  <c r="U54" i="3"/>
  <c r="K81" i="4" s="1"/>
  <c r="V54" i="3"/>
  <c r="L81" i="4" s="1"/>
  <c r="W54" i="3"/>
  <c r="M81" i="4" s="1"/>
  <c r="X54" i="3"/>
  <c r="N81" i="4" s="1"/>
  <c r="Y54" i="3"/>
  <c r="O81" i="4" s="1"/>
  <c r="Z54" i="3"/>
  <c r="K81" i="7" s="1"/>
  <c r="AA54" i="3"/>
  <c r="L81" i="7" s="1"/>
  <c r="AB54" i="3"/>
  <c r="M81" i="7" s="1"/>
  <c r="AC54" i="3"/>
  <c r="N81" i="7" s="1"/>
  <c r="AD54" i="3"/>
  <c r="O81" i="7" s="1"/>
  <c r="AE54" i="3"/>
  <c r="U55" i="3"/>
  <c r="K82" i="4" s="1"/>
  <c r="V55" i="3"/>
  <c r="L82" i="4" s="1"/>
  <c r="W55" i="3"/>
  <c r="M82" i="4" s="1"/>
  <c r="X55" i="3"/>
  <c r="N82" i="4" s="1"/>
  <c r="Y55" i="3"/>
  <c r="O82" i="4" s="1"/>
  <c r="Z55" i="3"/>
  <c r="K82" i="7" s="1"/>
  <c r="AA55" i="3"/>
  <c r="L82" i="7" s="1"/>
  <c r="AB55" i="3"/>
  <c r="M82" i="7" s="1"/>
  <c r="AC55" i="3"/>
  <c r="N82" i="7" s="1"/>
  <c r="AD55" i="3"/>
  <c r="O82" i="7" s="1"/>
  <c r="AE55" i="3"/>
  <c r="U56" i="3"/>
  <c r="K83" i="4" s="1"/>
  <c r="V56" i="3"/>
  <c r="L83" i="4" s="1"/>
  <c r="W56" i="3"/>
  <c r="M83" i="4" s="1"/>
  <c r="X56" i="3"/>
  <c r="N83" i="4" s="1"/>
  <c r="Y56" i="3"/>
  <c r="O83" i="4" s="1"/>
  <c r="Z56" i="3"/>
  <c r="K83" i="7" s="1"/>
  <c r="AA56" i="3"/>
  <c r="L83" i="7" s="1"/>
  <c r="AB56" i="3"/>
  <c r="M83" i="7" s="1"/>
  <c r="AC56" i="3"/>
  <c r="N83" i="7" s="1"/>
  <c r="AD56" i="3"/>
  <c r="O83" i="7" s="1"/>
  <c r="AE56" i="3"/>
  <c r="U57" i="3"/>
  <c r="K84" i="4" s="1"/>
  <c r="V57" i="3"/>
  <c r="L84" i="4" s="1"/>
  <c r="W57" i="3"/>
  <c r="M84" i="4" s="1"/>
  <c r="X57" i="3"/>
  <c r="N84" i="4" s="1"/>
  <c r="Y57" i="3"/>
  <c r="O84" i="4" s="1"/>
  <c r="Z57" i="3"/>
  <c r="K84" i="7" s="1"/>
  <c r="AA57" i="3"/>
  <c r="L84" i="7" s="1"/>
  <c r="AB57" i="3"/>
  <c r="M84" i="7" s="1"/>
  <c r="AC57" i="3"/>
  <c r="N84" i="7" s="1"/>
  <c r="AD57" i="3"/>
  <c r="O84" i="7" s="1"/>
  <c r="AE57" i="3"/>
  <c r="U58" i="3"/>
  <c r="K85" i="4" s="1"/>
  <c r="V58" i="3"/>
  <c r="L85" i="4" s="1"/>
  <c r="W58" i="3"/>
  <c r="M85" i="4" s="1"/>
  <c r="X58" i="3"/>
  <c r="N85" i="4" s="1"/>
  <c r="Y58" i="3"/>
  <c r="O85" i="4" s="1"/>
  <c r="Z58" i="3"/>
  <c r="K85" i="7" s="1"/>
  <c r="AA58" i="3"/>
  <c r="L85" i="7" s="1"/>
  <c r="AB58" i="3"/>
  <c r="M85" i="7" s="1"/>
  <c r="AC58" i="3"/>
  <c r="N85" i="7" s="1"/>
  <c r="AD58" i="3"/>
  <c r="O85" i="7" s="1"/>
  <c r="AE58" i="3"/>
  <c r="U59" i="3"/>
  <c r="K2" i="4" s="1"/>
  <c r="V59" i="3"/>
  <c r="L2" i="4" s="1"/>
  <c r="W59" i="3"/>
  <c r="M2" i="4" s="1"/>
  <c r="X59" i="3"/>
  <c r="N2" i="4" s="1"/>
  <c r="Y59" i="3"/>
  <c r="O2" i="4" s="1"/>
  <c r="Z59" i="3"/>
  <c r="K2" i="7" s="1"/>
  <c r="AA59" i="3"/>
  <c r="L2" i="7" s="1"/>
  <c r="AB59" i="3"/>
  <c r="M2" i="7" s="1"/>
  <c r="AC59" i="3"/>
  <c r="N2" i="7" s="1"/>
  <c r="AD59" i="3"/>
  <c r="O2" i="7" s="1"/>
  <c r="AE59" i="3"/>
  <c r="U60" i="3"/>
  <c r="K3" i="4" s="1"/>
  <c r="V60" i="3"/>
  <c r="L3" i="4" s="1"/>
  <c r="W60" i="3"/>
  <c r="M3" i="4" s="1"/>
  <c r="X60" i="3"/>
  <c r="N3" i="4" s="1"/>
  <c r="Y60" i="3"/>
  <c r="O3" i="4" s="1"/>
  <c r="Z60" i="3"/>
  <c r="K3" i="7" s="1"/>
  <c r="AA60" i="3"/>
  <c r="L3" i="7" s="1"/>
  <c r="AB60" i="3"/>
  <c r="M3" i="7" s="1"/>
  <c r="AC60" i="3"/>
  <c r="N3" i="7" s="1"/>
  <c r="AD60" i="3"/>
  <c r="O3" i="7" s="1"/>
  <c r="AE60" i="3"/>
  <c r="U61" i="3"/>
  <c r="K28" i="4" s="1"/>
  <c r="V61" i="3"/>
  <c r="L28" i="4" s="1"/>
  <c r="W61" i="3"/>
  <c r="M28" i="4" s="1"/>
  <c r="X61" i="3"/>
  <c r="N28" i="4" s="1"/>
  <c r="Y61" i="3"/>
  <c r="O28" i="4" s="1"/>
  <c r="Z61" i="3"/>
  <c r="K28" i="7" s="1"/>
  <c r="AA61" i="3"/>
  <c r="L28" i="7" s="1"/>
  <c r="AB61" i="3"/>
  <c r="M28" i="7" s="1"/>
  <c r="AC61" i="3"/>
  <c r="N28" i="7" s="1"/>
  <c r="AD61" i="3"/>
  <c r="O28" i="7" s="1"/>
  <c r="AE61" i="3"/>
  <c r="U62" i="3"/>
  <c r="K45" i="4" s="1"/>
  <c r="V62" i="3"/>
  <c r="L45" i="4" s="1"/>
  <c r="W62" i="3"/>
  <c r="M45" i="4" s="1"/>
  <c r="X62" i="3"/>
  <c r="N45" i="4" s="1"/>
  <c r="Y62" i="3"/>
  <c r="O45" i="4" s="1"/>
  <c r="Z62" i="3"/>
  <c r="K45" i="7" s="1"/>
  <c r="AA62" i="3"/>
  <c r="L45" i="7" s="1"/>
  <c r="AB62" i="3"/>
  <c r="M45" i="7" s="1"/>
  <c r="AC62" i="3"/>
  <c r="N45" i="7" s="1"/>
  <c r="AD62" i="3"/>
  <c r="O45" i="7" s="1"/>
  <c r="AE62" i="3"/>
  <c r="U63" i="3"/>
  <c r="K46" i="4" s="1"/>
  <c r="V63" i="3"/>
  <c r="L46" i="4" s="1"/>
  <c r="W63" i="3"/>
  <c r="M46" i="4" s="1"/>
  <c r="X63" i="3"/>
  <c r="N46" i="4" s="1"/>
  <c r="Y63" i="3"/>
  <c r="O46" i="4" s="1"/>
  <c r="Z63" i="3"/>
  <c r="K46" i="7" s="1"/>
  <c r="AA63" i="3"/>
  <c r="L46" i="7" s="1"/>
  <c r="AB63" i="3"/>
  <c r="M46" i="7" s="1"/>
  <c r="AC63" i="3"/>
  <c r="N46" i="7" s="1"/>
  <c r="AD63" i="3"/>
  <c r="O46" i="7" s="1"/>
  <c r="AE63" i="3"/>
  <c r="U64" i="3"/>
  <c r="K29" i="4" s="1"/>
  <c r="V64" i="3"/>
  <c r="L29" i="4" s="1"/>
  <c r="W64" i="3"/>
  <c r="M29" i="4" s="1"/>
  <c r="X64" i="3"/>
  <c r="N29" i="4" s="1"/>
  <c r="Y64" i="3"/>
  <c r="O29" i="4" s="1"/>
  <c r="Z64" i="3"/>
  <c r="K29" i="7" s="1"/>
  <c r="AA64" i="3"/>
  <c r="L29" i="7" s="1"/>
  <c r="AB64" i="3"/>
  <c r="M29" i="7" s="1"/>
  <c r="AC64" i="3"/>
  <c r="N29" i="7" s="1"/>
  <c r="AD64" i="3"/>
  <c r="O29" i="7" s="1"/>
  <c r="AE64" i="3"/>
  <c r="U65" i="3"/>
  <c r="K9" i="4" s="1"/>
  <c r="V65" i="3"/>
  <c r="L9" i="4" s="1"/>
  <c r="W65" i="3"/>
  <c r="M9" i="4" s="1"/>
  <c r="X65" i="3"/>
  <c r="N9" i="4" s="1"/>
  <c r="Y65" i="3"/>
  <c r="O9" i="4" s="1"/>
  <c r="Z65" i="3"/>
  <c r="K9" i="7" s="1"/>
  <c r="AA65" i="3"/>
  <c r="L9" i="7" s="1"/>
  <c r="AB65" i="3"/>
  <c r="M9" i="7" s="1"/>
  <c r="AC65" i="3"/>
  <c r="N9" i="7" s="1"/>
  <c r="AD65" i="3"/>
  <c r="O9" i="7" s="1"/>
  <c r="AE65" i="3"/>
  <c r="U66" i="3"/>
  <c r="K4" i="4" s="1"/>
  <c r="V66" i="3"/>
  <c r="L4" i="4" s="1"/>
  <c r="W66" i="3"/>
  <c r="M4" i="4" s="1"/>
  <c r="X66" i="3"/>
  <c r="N4" i="4" s="1"/>
  <c r="Y66" i="3"/>
  <c r="O4" i="4" s="1"/>
  <c r="Z66" i="3"/>
  <c r="K4" i="7" s="1"/>
  <c r="AA66" i="3"/>
  <c r="L4" i="7" s="1"/>
  <c r="AB66" i="3"/>
  <c r="M4" i="7" s="1"/>
  <c r="AC66" i="3"/>
  <c r="N4" i="7" s="1"/>
  <c r="AD66" i="3"/>
  <c r="O4" i="7" s="1"/>
  <c r="AE66" i="3"/>
  <c r="U67" i="3"/>
  <c r="K5" i="4" s="1"/>
  <c r="V67" i="3"/>
  <c r="L5" i="4" s="1"/>
  <c r="W67" i="3"/>
  <c r="M5" i="4" s="1"/>
  <c r="X67" i="3"/>
  <c r="N5" i="4" s="1"/>
  <c r="Y67" i="3"/>
  <c r="O5" i="4" s="1"/>
  <c r="Z67" i="3"/>
  <c r="K5" i="7" s="1"/>
  <c r="AA67" i="3"/>
  <c r="L5" i="7" s="1"/>
  <c r="AB67" i="3"/>
  <c r="M5" i="7" s="1"/>
  <c r="AC67" i="3"/>
  <c r="N5" i="7" s="1"/>
  <c r="AD67" i="3"/>
  <c r="O5" i="7" s="1"/>
  <c r="AE67" i="3"/>
  <c r="U68" i="3"/>
  <c r="K6" i="4" s="1"/>
  <c r="V68" i="3"/>
  <c r="L6" i="4" s="1"/>
  <c r="W68" i="3"/>
  <c r="M6" i="4" s="1"/>
  <c r="X68" i="3"/>
  <c r="N6" i="4" s="1"/>
  <c r="Y68" i="3"/>
  <c r="O6" i="4" s="1"/>
  <c r="Z68" i="3"/>
  <c r="K6" i="7" s="1"/>
  <c r="AA68" i="3"/>
  <c r="L6" i="7" s="1"/>
  <c r="AB68" i="3"/>
  <c r="M6" i="7" s="1"/>
  <c r="AC68" i="3"/>
  <c r="N6" i="7" s="1"/>
  <c r="AD68" i="3"/>
  <c r="O6" i="7" s="1"/>
  <c r="AE68" i="3"/>
  <c r="U69" i="3"/>
  <c r="K30" i="4" s="1"/>
  <c r="V69" i="3"/>
  <c r="L30" i="4" s="1"/>
  <c r="W69" i="3"/>
  <c r="M30" i="4" s="1"/>
  <c r="X69" i="3"/>
  <c r="N30" i="4" s="1"/>
  <c r="Y69" i="3"/>
  <c r="O30" i="4" s="1"/>
  <c r="Z69" i="3"/>
  <c r="K30" i="7" s="1"/>
  <c r="AA69" i="3"/>
  <c r="L30" i="7" s="1"/>
  <c r="AB69" i="3"/>
  <c r="M30" i="7" s="1"/>
  <c r="AC69" i="3"/>
  <c r="N30" i="7" s="1"/>
  <c r="AD69" i="3"/>
  <c r="O30" i="7" s="1"/>
  <c r="AE69" i="3"/>
  <c r="U70" i="3"/>
  <c r="K31" i="4" s="1"/>
  <c r="V70" i="3"/>
  <c r="L31" i="4" s="1"/>
  <c r="W70" i="3"/>
  <c r="M31" i="4" s="1"/>
  <c r="X70" i="3"/>
  <c r="N31" i="4" s="1"/>
  <c r="Y70" i="3"/>
  <c r="O31" i="4" s="1"/>
  <c r="Z70" i="3"/>
  <c r="K31" i="7" s="1"/>
  <c r="AA70" i="3"/>
  <c r="L31" i="7" s="1"/>
  <c r="AB70" i="3"/>
  <c r="M31" i="7" s="1"/>
  <c r="AC70" i="3"/>
  <c r="N31" i="7" s="1"/>
  <c r="AD70" i="3"/>
  <c r="O31" i="7" s="1"/>
  <c r="AE70" i="3"/>
  <c r="U71" i="3"/>
  <c r="K89" i="4" s="1"/>
  <c r="V71" i="3"/>
  <c r="L89" i="4" s="1"/>
  <c r="W71" i="3"/>
  <c r="M89" i="4" s="1"/>
  <c r="X71" i="3"/>
  <c r="N89" i="4" s="1"/>
  <c r="Y71" i="3"/>
  <c r="O89" i="4" s="1"/>
  <c r="Z71" i="3"/>
  <c r="K89" i="7" s="1"/>
  <c r="AA71" i="3"/>
  <c r="L89" i="7" s="1"/>
  <c r="AB71" i="3"/>
  <c r="M89" i="7" s="1"/>
  <c r="AC71" i="3"/>
  <c r="N89" i="7" s="1"/>
  <c r="AD71" i="3"/>
  <c r="O89" i="7" s="1"/>
  <c r="AE71" i="3"/>
  <c r="U72" i="3"/>
  <c r="K90" i="4" s="1"/>
  <c r="V72" i="3"/>
  <c r="L90" i="4" s="1"/>
  <c r="W72" i="3"/>
  <c r="M90" i="4" s="1"/>
  <c r="X72" i="3"/>
  <c r="N90" i="4" s="1"/>
  <c r="Y72" i="3"/>
  <c r="O90" i="4" s="1"/>
  <c r="Z72" i="3"/>
  <c r="K90" i="7" s="1"/>
  <c r="AA72" i="3"/>
  <c r="L90" i="7" s="1"/>
  <c r="AB72" i="3"/>
  <c r="M90" i="7" s="1"/>
  <c r="AC72" i="3"/>
  <c r="N90" i="7" s="1"/>
  <c r="AD72" i="3"/>
  <c r="O90" i="7" s="1"/>
  <c r="AE72" i="3"/>
  <c r="U73" i="3"/>
  <c r="K91" i="4" s="1"/>
  <c r="V73" i="3"/>
  <c r="L91" i="4" s="1"/>
  <c r="W73" i="3"/>
  <c r="M91" i="4" s="1"/>
  <c r="X73" i="3"/>
  <c r="N91" i="4" s="1"/>
  <c r="Y73" i="3"/>
  <c r="O91" i="4" s="1"/>
  <c r="Z73" i="3"/>
  <c r="K91" i="7" s="1"/>
  <c r="AA73" i="3"/>
  <c r="L91" i="7" s="1"/>
  <c r="AB73" i="3"/>
  <c r="M91" i="7" s="1"/>
  <c r="AC73" i="3"/>
  <c r="N91" i="7" s="1"/>
  <c r="AD73" i="3"/>
  <c r="O91" i="7" s="1"/>
  <c r="AE73" i="3"/>
  <c r="U74" i="3"/>
  <c r="K92" i="4" s="1"/>
  <c r="V74" i="3"/>
  <c r="L92" i="4" s="1"/>
  <c r="W74" i="3"/>
  <c r="M92" i="4" s="1"/>
  <c r="X74" i="3"/>
  <c r="N92" i="4" s="1"/>
  <c r="Y74" i="3"/>
  <c r="O92" i="4" s="1"/>
  <c r="Z74" i="3"/>
  <c r="K92" i="7" s="1"/>
  <c r="AA74" i="3"/>
  <c r="L92" i="7" s="1"/>
  <c r="AB74" i="3"/>
  <c r="M92" i="7" s="1"/>
  <c r="AC74" i="3"/>
  <c r="N92" i="7" s="1"/>
  <c r="AD74" i="3"/>
  <c r="O92" i="7" s="1"/>
  <c r="AE74" i="3"/>
  <c r="U75" i="3"/>
  <c r="K93" i="4" s="1"/>
  <c r="V75" i="3"/>
  <c r="L93" i="4" s="1"/>
  <c r="W75" i="3"/>
  <c r="M93" i="4" s="1"/>
  <c r="X75" i="3"/>
  <c r="N93" i="4" s="1"/>
  <c r="Y75" i="3"/>
  <c r="O93" i="4" s="1"/>
  <c r="Z75" i="3"/>
  <c r="K93" i="7" s="1"/>
  <c r="AA75" i="3"/>
  <c r="L93" i="7" s="1"/>
  <c r="AB75" i="3"/>
  <c r="M93" i="7" s="1"/>
  <c r="AC75" i="3"/>
  <c r="N93" i="7" s="1"/>
  <c r="AD75" i="3"/>
  <c r="O93" i="7" s="1"/>
  <c r="AE75" i="3"/>
  <c r="U76" i="3"/>
  <c r="K15" i="4" s="1"/>
  <c r="V76" i="3"/>
  <c r="L15" i="4" s="1"/>
  <c r="W76" i="3"/>
  <c r="M15" i="4" s="1"/>
  <c r="X76" i="3"/>
  <c r="N15" i="4" s="1"/>
  <c r="Y76" i="3"/>
  <c r="O15" i="4" s="1"/>
  <c r="Z76" i="3"/>
  <c r="K15" i="7" s="1"/>
  <c r="AA76" i="3"/>
  <c r="L15" i="7" s="1"/>
  <c r="AB76" i="3"/>
  <c r="M15" i="7" s="1"/>
  <c r="AC76" i="3"/>
  <c r="N15" i="7" s="1"/>
  <c r="AD76" i="3"/>
  <c r="O15" i="7" s="1"/>
  <c r="AE76" i="3"/>
  <c r="U77" i="3"/>
  <c r="K94" i="4" s="1"/>
  <c r="V77" i="3"/>
  <c r="L94" i="4" s="1"/>
  <c r="W77" i="3"/>
  <c r="M94" i="4" s="1"/>
  <c r="X77" i="3"/>
  <c r="N94" i="4" s="1"/>
  <c r="Y77" i="3"/>
  <c r="O94" i="4" s="1"/>
  <c r="Z77" i="3"/>
  <c r="K94" i="7" s="1"/>
  <c r="AA77" i="3"/>
  <c r="L94" i="7" s="1"/>
  <c r="AB77" i="3"/>
  <c r="M94" i="7" s="1"/>
  <c r="AC77" i="3"/>
  <c r="N94" i="7" s="1"/>
  <c r="AD77" i="3"/>
  <c r="O94" i="7" s="1"/>
  <c r="AE77" i="3"/>
  <c r="U78" i="3"/>
  <c r="K32" i="4" s="1"/>
  <c r="V78" i="3"/>
  <c r="L32" i="4" s="1"/>
  <c r="W78" i="3"/>
  <c r="M32" i="4" s="1"/>
  <c r="X78" i="3"/>
  <c r="N32" i="4" s="1"/>
  <c r="Y78" i="3"/>
  <c r="O32" i="4" s="1"/>
  <c r="Z78" i="3"/>
  <c r="K32" i="7" s="1"/>
  <c r="AA78" i="3"/>
  <c r="L32" i="7" s="1"/>
  <c r="AB78" i="3"/>
  <c r="M32" i="7" s="1"/>
  <c r="AC78" i="3"/>
  <c r="N32" i="7" s="1"/>
  <c r="AD78" i="3"/>
  <c r="O32" i="7" s="1"/>
  <c r="AE78" i="3"/>
  <c r="U79" i="3"/>
  <c r="K95" i="4" s="1"/>
  <c r="V79" i="3"/>
  <c r="L95" i="4" s="1"/>
  <c r="W79" i="3"/>
  <c r="M95" i="4" s="1"/>
  <c r="X79" i="3"/>
  <c r="N95" i="4" s="1"/>
  <c r="Y79" i="3"/>
  <c r="O95" i="4" s="1"/>
  <c r="Z79" i="3"/>
  <c r="K95" i="7" s="1"/>
  <c r="AA79" i="3"/>
  <c r="L95" i="7" s="1"/>
  <c r="AB79" i="3"/>
  <c r="M95" i="7" s="1"/>
  <c r="AC79" i="3"/>
  <c r="N95" i="7" s="1"/>
  <c r="AD79" i="3"/>
  <c r="O95" i="7" s="1"/>
  <c r="AE79" i="3"/>
  <c r="U80" i="3"/>
  <c r="K96" i="4" s="1"/>
  <c r="V80" i="3"/>
  <c r="L96" i="4" s="1"/>
  <c r="W80" i="3"/>
  <c r="M96" i="4" s="1"/>
  <c r="X80" i="3"/>
  <c r="N96" i="4" s="1"/>
  <c r="Y80" i="3"/>
  <c r="O96" i="4" s="1"/>
  <c r="Z80" i="3"/>
  <c r="K96" i="7" s="1"/>
  <c r="AA80" i="3"/>
  <c r="L96" i="7" s="1"/>
  <c r="AB80" i="3"/>
  <c r="M96" i="7" s="1"/>
  <c r="AC80" i="3"/>
  <c r="N96" i="7" s="1"/>
  <c r="AD80" i="3"/>
  <c r="O96" i="7" s="1"/>
  <c r="AE80" i="3"/>
  <c r="U81" i="3"/>
  <c r="K97" i="4" s="1"/>
  <c r="V81" i="3"/>
  <c r="L97" i="4" s="1"/>
  <c r="W81" i="3"/>
  <c r="M97" i="4" s="1"/>
  <c r="X81" i="3"/>
  <c r="N97" i="4" s="1"/>
  <c r="Y81" i="3"/>
  <c r="O97" i="4" s="1"/>
  <c r="Z81" i="3"/>
  <c r="K97" i="7" s="1"/>
  <c r="AA81" i="3"/>
  <c r="L97" i="7" s="1"/>
  <c r="AB81" i="3"/>
  <c r="M97" i="7" s="1"/>
  <c r="AC81" i="3"/>
  <c r="N97" i="7" s="1"/>
  <c r="AD81" i="3"/>
  <c r="O97" i="7" s="1"/>
  <c r="AE81" i="3"/>
  <c r="U82" i="3"/>
  <c r="K98" i="4" s="1"/>
  <c r="V82" i="3"/>
  <c r="L98" i="4" s="1"/>
  <c r="W82" i="3"/>
  <c r="M98" i="4" s="1"/>
  <c r="X82" i="3"/>
  <c r="N98" i="4" s="1"/>
  <c r="Y82" i="3"/>
  <c r="O98" i="4" s="1"/>
  <c r="Z82" i="3"/>
  <c r="K98" i="7" s="1"/>
  <c r="AA82" i="3"/>
  <c r="L98" i="7" s="1"/>
  <c r="AB82" i="3"/>
  <c r="M98" i="7" s="1"/>
  <c r="AC82" i="3"/>
  <c r="N98" i="7" s="1"/>
  <c r="AD82" i="3"/>
  <c r="O98" i="7" s="1"/>
  <c r="AE82" i="3"/>
  <c r="U83" i="3"/>
  <c r="K99" i="4" s="1"/>
  <c r="V83" i="3"/>
  <c r="L99" i="4" s="1"/>
  <c r="W83" i="3"/>
  <c r="M99" i="4" s="1"/>
  <c r="X83" i="3"/>
  <c r="N99" i="4" s="1"/>
  <c r="Y83" i="3"/>
  <c r="O99" i="4" s="1"/>
  <c r="Z83" i="3"/>
  <c r="K99" i="7" s="1"/>
  <c r="AA83" i="3"/>
  <c r="L99" i="7" s="1"/>
  <c r="AB83" i="3"/>
  <c r="M99" i="7" s="1"/>
  <c r="AC83" i="3"/>
  <c r="N99" i="7" s="1"/>
  <c r="AD83" i="3"/>
  <c r="O99" i="7" s="1"/>
  <c r="AE83" i="3"/>
  <c r="U84" i="3"/>
  <c r="K47" i="4" s="1"/>
  <c r="V84" i="3"/>
  <c r="L47" i="4" s="1"/>
  <c r="W84" i="3"/>
  <c r="M47" i="4" s="1"/>
  <c r="X84" i="3"/>
  <c r="N47" i="4" s="1"/>
  <c r="Y84" i="3"/>
  <c r="O47" i="4" s="1"/>
  <c r="Z84" i="3"/>
  <c r="K47" i="7" s="1"/>
  <c r="AA84" i="3"/>
  <c r="L47" i="7" s="1"/>
  <c r="AB84" i="3"/>
  <c r="M47" i="7" s="1"/>
  <c r="AC84" i="3"/>
  <c r="N47" i="7" s="1"/>
  <c r="AD84" i="3"/>
  <c r="O47" i="7" s="1"/>
  <c r="AE84" i="3"/>
  <c r="U85" i="3"/>
  <c r="K100" i="4" s="1"/>
  <c r="V85" i="3"/>
  <c r="L100" i="4" s="1"/>
  <c r="W85" i="3"/>
  <c r="M100" i="4" s="1"/>
  <c r="X85" i="3"/>
  <c r="N100" i="4" s="1"/>
  <c r="Y85" i="3"/>
  <c r="O100" i="4" s="1"/>
  <c r="Z85" i="3"/>
  <c r="K100" i="7" s="1"/>
  <c r="AA85" i="3"/>
  <c r="L100" i="7" s="1"/>
  <c r="AB85" i="3"/>
  <c r="M100" i="7" s="1"/>
  <c r="AC85" i="3"/>
  <c r="N100" i="7" s="1"/>
  <c r="AD85" i="3"/>
  <c r="O100" i="7" s="1"/>
  <c r="AE85" i="3"/>
  <c r="U86" i="3"/>
  <c r="K48" i="4" s="1"/>
  <c r="V86" i="3"/>
  <c r="L48" i="4" s="1"/>
  <c r="W86" i="3"/>
  <c r="M48" i="4" s="1"/>
  <c r="X86" i="3"/>
  <c r="N48" i="4" s="1"/>
  <c r="Y86" i="3"/>
  <c r="O48" i="4" s="1"/>
  <c r="Z86" i="3"/>
  <c r="K48" i="7" s="1"/>
  <c r="AA86" i="3"/>
  <c r="L48" i="7" s="1"/>
  <c r="AB86" i="3"/>
  <c r="M48" i="7" s="1"/>
  <c r="AC86" i="3"/>
  <c r="N48" i="7" s="1"/>
  <c r="AD86" i="3"/>
  <c r="O48" i="7" s="1"/>
  <c r="AE86" i="3"/>
  <c r="U87" i="3"/>
  <c r="K101" i="4" s="1"/>
  <c r="V87" i="3"/>
  <c r="L101" i="4" s="1"/>
  <c r="W87" i="3"/>
  <c r="M101" i="4" s="1"/>
  <c r="X87" i="3"/>
  <c r="N101" i="4" s="1"/>
  <c r="Y87" i="3"/>
  <c r="O101" i="4" s="1"/>
  <c r="Z87" i="3"/>
  <c r="K101" i="7" s="1"/>
  <c r="AA87" i="3"/>
  <c r="L101" i="7" s="1"/>
  <c r="AB87" i="3"/>
  <c r="M101" i="7" s="1"/>
  <c r="AC87" i="3"/>
  <c r="N101" i="7" s="1"/>
  <c r="AD87" i="3"/>
  <c r="O101" i="7" s="1"/>
  <c r="AE87" i="3"/>
  <c r="U88" i="3"/>
  <c r="K102" i="4" s="1"/>
  <c r="V88" i="3"/>
  <c r="L102" i="4" s="1"/>
  <c r="W88" i="3"/>
  <c r="M102" i="4" s="1"/>
  <c r="X88" i="3"/>
  <c r="N102" i="4" s="1"/>
  <c r="Y88" i="3"/>
  <c r="O102" i="4" s="1"/>
  <c r="Z88" i="3"/>
  <c r="K102" i="7" s="1"/>
  <c r="AA88" i="3"/>
  <c r="L102" i="7" s="1"/>
  <c r="AB88" i="3"/>
  <c r="M102" i="7" s="1"/>
  <c r="AC88" i="3"/>
  <c r="N102" i="7" s="1"/>
  <c r="AD88" i="3"/>
  <c r="O102" i="7" s="1"/>
  <c r="AE88" i="3"/>
  <c r="U89" i="3"/>
  <c r="K103" i="4" s="1"/>
  <c r="V89" i="3"/>
  <c r="L103" i="4" s="1"/>
  <c r="W89" i="3"/>
  <c r="M103" i="4" s="1"/>
  <c r="X89" i="3"/>
  <c r="N103" i="4" s="1"/>
  <c r="Y89" i="3"/>
  <c r="O103" i="4" s="1"/>
  <c r="Z89" i="3"/>
  <c r="K103" i="7" s="1"/>
  <c r="AA89" i="3"/>
  <c r="L103" i="7" s="1"/>
  <c r="AB89" i="3"/>
  <c r="M103" i="7" s="1"/>
  <c r="AC89" i="3"/>
  <c r="N103" i="7" s="1"/>
  <c r="AD89" i="3"/>
  <c r="O103" i="7" s="1"/>
  <c r="AE89" i="3"/>
  <c r="U90" i="3"/>
  <c r="K104" i="4" s="1"/>
  <c r="V90" i="3"/>
  <c r="L104" i="4" s="1"/>
  <c r="W90" i="3"/>
  <c r="M104" i="4" s="1"/>
  <c r="X90" i="3"/>
  <c r="N104" i="4" s="1"/>
  <c r="Y90" i="3"/>
  <c r="O104" i="4" s="1"/>
  <c r="Z90" i="3"/>
  <c r="K104" i="7" s="1"/>
  <c r="AA90" i="3"/>
  <c r="L104" i="7" s="1"/>
  <c r="AB90" i="3"/>
  <c r="M104" i="7" s="1"/>
  <c r="AC90" i="3"/>
  <c r="N104" i="7" s="1"/>
  <c r="AD90" i="3"/>
  <c r="O104" i="7" s="1"/>
  <c r="AE90" i="3"/>
  <c r="U91" i="3"/>
  <c r="K105" i="4" s="1"/>
  <c r="V91" i="3"/>
  <c r="L105" i="4" s="1"/>
  <c r="W91" i="3"/>
  <c r="M105" i="4" s="1"/>
  <c r="X91" i="3"/>
  <c r="N105" i="4" s="1"/>
  <c r="Y91" i="3"/>
  <c r="O105" i="4" s="1"/>
  <c r="Z91" i="3"/>
  <c r="K105" i="7" s="1"/>
  <c r="AA91" i="3"/>
  <c r="L105" i="7" s="1"/>
  <c r="AB91" i="3"/>
  <c r="M105" i="7" s="1"/>
  <c r="AC91" i="3"/>
  <c r="N105" i="7" s="1"/>
  <c r="AD91" i="3"/>
  <c r="O105" i="7" s="1"/>
  <c r="AE91" i="3"/>
  <c r="U92" i="3"/>
  <c r="K106" i="4" s="1"/>
  <c r="V92" i="3"/>
  <c r="L106" i="4" s="1"/>
  <c r="W92" i="3"/>
  <c r="M106" i="4" s="1"/>
  <c r="X92" i="3"/>
  <c r="N106" i="4" s="1"/>
  <c r="Y92" i="3"/>
  <c r="O106" i="4" s="1"/>
  <c r="Z92" i="3"/>
  <c r="K106" i="7" s="1"/>
  <c r="AA92" i="3"/>
  <c r="L106" i="7" s="1"/>
  <c r="AB92" i="3"/>
  <c r="M106" i="7" s="1"/>
  <c r="AC92" i="3"/>
  <c r="N106" i="7" s="1"/>
  <c r="AD92" i="3"/>
  <c r="O106" i="7" s="1"/>
  <c r="AE92" i="3"/>
  <c r="U93" i="3"/>
  <c r="K107" i="4" s="1"/>
  <c r="V93" i="3"/>
  <c r="L107" i="4" s="1"/>
  <c r="W93" i="3"/>
  <c r="M107" i="4" s="1"/>
  <c r="X93" i="3"/>
  <c r="N107" i="4" s="1"/>
  <c r="Y93" i="3"/>
  <c r="O107" i="4" s="1"/>
  <c r="Z93" i="3"/>
  <c r="K107" i="7" s="1"/>
  <c r="AA93" i="3"/>
  <c r="L107" i="7" s="1"/>
  <c r="AB93" i="3"/>
  <c r="M107" i="7" s="1"/>
  <c r="AC93" i="3"/>
  <c r="N107" i="7" s="1"/>
  <c r="AD93" i="3"/>
  <c r="O107" i="7" s="1"/>
  <c r="AE93" i="3"/>
  <c r="U94" i="3"/>
  <c r="K108" i="4" s="1"/>
  <c r="V94" i="3"/>
  <c r="L108" i="4" s="1"/>
  <c r="W94" i="3"/>
  <c r="M108" i="4" s="1"/>
  <c r="X94" i="3"/>
  <c r="N108" i="4" s="1"/>
  <c r="Y94" i="3"/>
  <c r="O108" i="4" s="1"/>
  <c r="Z94" i="3"/>
  <c r="K108" i="7" s="1"/>
  <c r="AA94" i="3"/>
  <c r="L108" i="7" s="1"/>
  <c r="AB94" i="3"/>
  <c r="M108" i="7" s="1"/>
  <c r="AC94" i="3"/>
  <c r="N108" i="7" s="1"/>
  <c r="AD94" i="3"/>
  <c r="O108" i="7" s="1"/>
  <c r="AE94" i="3"/>
  <c r="U95" i="3"/>
  <c r="K109" i="4" s="1"/>
  <c r="V95" i="3"/>
  <c r="L109" i="4" s="1"/>
  <c r="W95" i="3"/>
  <c r="M109" i="4" s="1"/>
  <c r="X95" i="3"/>
  <c r="N109" i="4" s="1"/>
  <c r="Y95" i="3"/>
  <c r="O109" i="4" s="1"/>
  <c r="Z95" i="3"/>
  <c r="K109" i="7" s="1"/>
  <c r="AA95" i="3"/>
  <c r="L109" i="7" s="1"/>
  <c r="AB95" i="3"/>
  <c r="M109" i="7" s="1"/>
  <c r="AC95" i="3"/>
  <c r="N109" i="7" s="1"/>
  <c r="AD95" i="3"/>
  <c r="O109" i="7" s="1"/>
  <c r="AE95" i="3"/>
  <c r="U96" i="3"/>
  <c r="K49" i="4" s="1"/>
  <c r="V96" i="3"/>
  <c r="L49" i="4" s="1"/>
  <c r="W96" i="3"/>
  <c r="M49" i="4" s="1"/>
  <c r="X96" i="3"/>
  <c r="N49" i="4" s="1"/>
  <c r="Y96" i="3"/>
  <c r="O49" i="4" s="1"/>
  <c r="Z96" i="3"/>
  <c r="K49" i="7" s="1"/>
  <c r="AA96" i="3"/>
  <c r="L49" i="7" s="1"/>
  <c r="AB96" i="3"/>
  <c r="M49" i="7" s="1"/>
  <c r="AC96" i="3"/>
  <c r="N49" i="7" s="1"/>
  <c r="AD96" i="3"/>
  <c r="O49" i="7" s="1"/>
  <c r="AE96" i="3"/>
  <c r="U97" i="3"/>
  <c r="K33" i="4" s="1"/>
  <c r="V97" i="3"/>
  <c r="L33" i="4" s="1"/>
  <c r="W97" i="3"/>
  <c r="M33" i="4" s="1"/>
  <c r="X97" i="3"/>
  <c r="N33" i="4" s="1"/>
  <c r="Y97" i="3"/>
  <c r="O33" i="4" s="1"/>
  <c r="Z97" i="3"/>
  <c r="K33" i="7" s="1"/>
  <c r="AA97" i="3"/>
  <c r="L33" i="7" s="1"/>
  <c r="AB97" i="3"/>
  <c r="M33" i="7" s="1"/>
  <c r="AC97" i="3"/>
  <c r="N33" i="7" s="1"/>
  <c r="AD97" i="3"/>
  <c r="O33" i="7" s="1"/>
  <c r="AE97" i="3"/>
  <c r="U98" i="3"/>
  <c r="K110" i="4" s="1"/>
  <c r="V98" i="3"/>
  <c r="L110" i="4" s="1"/>
  <c r="W98" i="3"/>
  <c r="M110" i="4" s="1"/>
  <c r="X98" i="3"/>
  <c r="N110" i="4" s="1"/>
  <c r="Y98" i="3"/>
  <c r="O110" i="4" s="1"/>
  <c r="Z98" i="3"/>
  <c r="K110" i="7" s="1"/>
  <c r="AA98" i="3"/>
  <c r="L110" i="7" s="1"/>
  <c r="AB98" i="3"/>
  <c r="M110" i="7" s="1"/>
  <c r="AC98" i="3"/>
  <c r="N110" i="7" s="1"/>
  <c r="AD98" i="3"/>
  <c r="O110" i="7" s="1"/>
  <c r="AE98" i="3"/>
  <c r="U99" i="3"/>
  <c r="K111" i="4" s="1"/>
  <c r="V99" i="3"/>
  <c r="L111" i="4" s="1"/>
  <c r="W99" i="3"/>
  <c r="M111" i="4" s="1"/>
  <c r="X99" i="3"/>
  <c r="N111" i="4" s="1"/>
  <c r="Y99" i="3"/>
  <c r="O111" i="4" s="1"/>
  <c r="Z99" i="3"/>
  <c r="K111" i="7" s="1"/>
  <c r="AA99" i="3"/>
  <c r="L111" i="7" s="1"/>
  <c r="AB99" i="3"/>
  <c r="M111" i="7" s="1"/>
  <c r="AC99" i="3"/>
  <c r="N111" i="7" s="1"/>
  <c r="AD99" i="3"/>
  <c r="O111" i="7" s="1"/>
  <c r="AE99" i="3"/>
  <c r="U100" i="3"/>
  <c r="K112" i="4" s="1"/>
  <c r="V100" i="3"/>
  <c r="L112" i="4" s="1"/>
  <c r="W100" i="3"/>
  <c r="M112" i="4" s="1"/>
  <c r="X100" i="3"/>
  <c r="N112" i="4" s="1"/>
  <c r="Y100" i="3"/>
  <c r="O112" i="4" s="1"/>
  <c r="Z100" i="3"/>
  <c r="K112" i="7" s="1"/>
  <c r="AA100" i="3"/>
  <c r="L112" i="7" s="1"/>
  <c r="AB100" i="3"/>
  <c r="M112" i="7" s="1"/>
  <c r="AC100" i="3"/>
  <c r="N112" i="7" s="1"/>
  <c r="AD100" i="3"/>
  <c r="O112" i="7" s="1"/>
  <c r="AE100" i="3"/>
  <c r="U101" i="3"/>
  <c r="K113" i="4" s="1"/>
  <c r="V101" i="3"/>
  <c r="L113" i="4" s="1"/>
  <c r="W101" i="3"/>
  <c r="M113" i="4" s="1"/>
  <c r="X101" i="3"/>
  <c r="N113" i="4" s="1"/>
  <c r="Y101" i="3"/>
  <c r="O113" i="4" s="1"/>
  <c r="Z101" i="3"/>
  <c r="K113" i="7" s="1"/>
  <c r="AA101" i="3"/>
  <c r="L113" i="7" s="1"/>
  <c r="AB101" i="3"/>
  <c r="M113" i="7" s="1"/>
  <c r="AC101" i="3"/>
  <c r="N113" i="7" s="1"/>
  <c r="AD101" i="3"/>
  <c r="O113" i="7" s="1"/>
  <c r="AE101" i="3"/>
  <c r="U102" i="3"/>
  <c r="K114" i="4" s="1"/>
  <c r="V102" i="3"/>
  <c r="L114" i="4" s="1"/>
  <c r="W102" i="3"/>
  <c r="M114" i="4" s="1"/>
  <c r="X102" i="3"/>
  <c r="N114" i="4" s="1"/>
  <c r="Y102" i="3"/>
  <c r="O114" i="4" s="1"/>
  <c r="Z102" i="3"/>
  <c r="K114" i="7" s="1"/>
  <c r="AA102" i="3"/>
  <c r="L114" i="7" s="1"/>
  <c r="AB102" i="3"/>
  <c r="M114" i="7" s="1"/>
  <c r="AC102" i="3"/>
  <c r="N114" i="7" s="1"/>
  <c r="AD102" i="3"/>
  <c r="O114" i="7" s="1"/>
  <c r="AE102" i="3"/>
  <c r="U103" i="3"/>
  <c r="K115" i="4" s="1"/>
  <c r="V103" i="3"/>
  <c r="L115" i="4" s="1"/>
  <c r="W103" i="3"/>
  <c r="M115" i="4" s="1"/>
  <c r="X103" i="3"/>
  <c r="N115" i="4" s="1"/>
  <c r="Y103" i="3"/>
  <c r="O115" i="4" s="1"/>
  <c r="Z103" i="3"/>
  <c r="K115" i="7" s="1"/>
  <c r="AA103" i="3"/>
  <c r="L115" i="7" s="1"/>
  <c r="AB103" i="3"/>
  <c r="M115" i="7" s="1"/>
  <c r="AC103" i="3"/>
  <c r="N115" i="7" s="1"/>
  <c r="AD103" i="3"/>
  <c r="O115" i="7" s="1"/>
  <c r="AE103" i="3"/>
  <c r="U104" i="3"/>
  <c r="K116" i="4" s="1"/>
  <c r="V104" i="3"/>
  <c r="L116" i="4" s="1"/>
  <c r="W104" i="3"/>
  <c r="M116" i="4" s="1"/>
  <c r="X104" i="3"/>
  <c r="N116" i="4" s="1"/>
  <c r="Y104" i="3"/>
  <c r="O116" i="4" s="1"/>
  <c r="Z104" i="3"/>
  <c r="K116" i="7" s="1"/>
  <c r="AA104" i="3"/>
  <c r="L116" i="7" s="1"/>
  <c r="AB104" i="3"/>
  <c r="M116" i="7" s="1"/>
  <c r="AC104" i="3"/>
  <c r="N116" i="7" s="1"/>
  <c r="AD104" i="3"/>
  <c r="O116" i="7" s="1"/>
  <c r="AE104" i="3"/>
  <c r="U105" i="3"/>
  <c r="K117" i="4" s="1"/>
  <c r="V105" i="3"/>
  <c r="L117" i="4" s="1"/>
  <c r="W105" i="3"/>
  <c r="M117" i="4" s="1"/>
  <c r="X105" i="3"/>
  <c r="N117" i="4" s="1"/>
  <c r="Y105" i="3"/>
  <c r="O117" i="4" s="1"/>
  <c r="Z105" i="3"/>
  <c r="K117" i="7" s="1"/>
  <c r="AA105" i="3"/>
  <c r="L117" i="7" s="1"/>
  <c r="AB105" i="3"/>
  <c r="M117" i="7" s="1"/>
  <c r="AC105" i="3"/>
  <c r="N117" i="7" s="1"/>
  <c r="AD105" i="3"/>
  <c r="O117" i="7" s="1"/>
  <c r="AE105" i="3"/>
  <c r="U106" i="3"/>
  <c r="K118" i="4" s="1"/>
  <c r="V106" i="3"/>
  <c r="L118" i="4" s="1"/>
  <c r="W106" i="3"/>
  <c r="M118" i="4" s="1"/>
  <c r="X106" i="3"/>
  <c r="N118" i="4" s="1"/>
  <c r="Y106" i="3"/>
  <c r="O118" i="4" s="1"/>
  <c r="Z106" i="3"/>
  <c r="K118" i="7" s="1"/>
  <c r="AA106" i="3"/>
  <c r="L118" i="7" s="1"/>
  <c r="AB106" i="3"/>
  <c r="M118" i="7" s="1"/>
  <c r="AC106" i="3"/>
  <c r="N118" i="7" s="1"/>
  <c r="AD106" i="3"/>
  <c r="O118" i="7" s="1"/>
  <c r="AE106" i="3"/>
  <c r="U107" i="3"/>
  <c r="K119" i="4" s="1"/>
  <c r="V107" i="3"/>
  <c r="L119" i="4" s="1"/>
  <c r="W107" i="3"/>
  <c r="M119" i="4" s="1"/>
  <c r="X107" i="3"/>
  <c r="N119" i="4" s="1"/>
  <c r="Y107" i="3"/>
  <c r="O119" i="4" s="1"/>
  <c r="Z107" i="3"/>
  <c r="K119" i="7" s="1"/>
  <c r="AA107" i="3"/>
  <c r="L119" i="7" s="1"/>
  <c r="AB107" i="3"/>
  <c r="M119" i="7" s="1"/>
  <c r="AC107" i="3"/>
  <c r="N119" i="7" s="1"/>
  <c r="AD107" i="3"/>
  <c r="O119" i="7" s="1"/>
  <c r="AE107" i="3"/>
  <c r="U108" i="3"/>
  <c r="K120" i="4" s="1"/>
  <c r="V108" i="3"/>
  <c r="L120" i="4" s="1"/>
  <c r="W108" i="3"/>
  <c r="M120" i="4" s="1"/>
  <c r="X108" i="3"/>
  <c r="N120" i="4" s="1"/>
  <c r="Y108" i="3"/>
  <c r="O120" i="4" s="1"/>
  <c r="Z108" i="3"/>
  <c r="K120" i="7" s="1"/>
  <c r="AA108" i="3"/>
  <c r="L120" i="7" s="1"/>
  <c r="AB108" i="3"/>
  <c r="M120" i="7" s="1"/>
  <c r="AC108" i="3"/>
  <c r="N120" i="7" s="1"/>
  <c r="AD108" i="3"/>
  <c r="O120" i="7" s="1"/>
  <c r="AE108" i="3"/>
  <c r="U109" i="3"/>
  <c r="K121" i="4" s="1"/>
  <c r="V109" i="3"/>
  <c r="L121" i="4" s="1"/>
  <c r="W109" i="3"/>
  <c r="M121" i="4" s="1"/>
  <c r="X109" i="3"/>
  <c r="N121" i="4" s="1"/>
  <c r="Y109" i="3"/>
  <c r="O121" i="4" s="1"/>
  <c r="Z109" i="3"/>
  <c r="K121" i="7" s="1"/>
  <c r="AA109" i="3"/>
  <c r="L121" i="7" s="1"/>
  <c r="AB109" i="3"/>
  <c r="M121" i="7" s="1"/>
  <c r="AC109" i="3"/>
  <c r="N121" i="7" s="1"/>
  <c r="AD109" i="3"/>
  <c r="O121" i="7" s="1"/>
  <c r="AE109" i="3"/>
  <c r="U110" i="3"/>
  <c r="K122" i="4" s="1"/>
  <c r="V110" i="3"/>
  <c r="L122" i="4" s="1"/>
  <c r="W110" i="3"/>
  <c r="M122" i="4" s="1"/>
  <c r="X110" i="3"/>
  <c r="N122" i="4" s="1"/>
  <c r="Y110" i="3"/>
  <c r="O122" i="4" s="1"/>
  <c r="Z110" i="3"/>
  <c r="K122" i="7" s="1"/>
  <c r="AA110" i="3"/>
  <c r="L122" i="7" s="1"/>
  <c r="AB110" i="3"/>
  <c r="M122" i="7" s="1"/>
  <c r="AC110" i="3"/>
  <c r="N122" i="7" s="1"/>
  <c r="AD110" i="3"/>
  <c r="O122" i="7" s="1"/>
  <c r="AE110" i="3"/>
  <c r="U111" i="3"/>
  <c r="K123" i="4" s="1"/>
  <c r="V111" i="3"/>
  <c r="L123" i="4" s="1"/>
  <c r="W111" i="3"/>
  <c r="M123" i="4" s="1"/>
  <c r="X111" i="3"/>
  <c r="N123" i="4" s="1"/>
  <c r="Y111" i="3"/>
  <c r="O123" i="4" s="1"/>
  <c r="Z111" i="3"/>
  <c r="K123" i="7" s="1"/>
  <c r="AA111" i="3"/>
  <c r="L123" i="7" s="1"/>
  <c r="AB111" i="3"/>
  <c r="M123" i="7" s="1"/>
  <c r="AC111" i="3"/>
  <c r="N123" i="7" s="1"/>
  <c r="AD111" i="3"/>
  <c r="O123" i="7" s="1"/>
  <c r="AE111" i="3"/>
  <c r="U112" i="3"/>
  <c r="K124" i="4" s="1"/>
  <c r="V112" i="3"/>
  <c r="L124" i="4" s="1"/>
  <c r="W112" i="3"/>
  <c r="M124" i="4" s="1"/>
  <c r="X112" i="3"/>
  <c r="N124" i="4" s="1"/>
  <c r="Y112" i="3"/>
  <c r="O124" i="4" s="1"/>
  <c r="Z112" i="3"/>
  <c r="K124" i="7" s="1"/>
  <c r="AA112" i="3"/>
  <c r="L124" i="7" s="1"/>
  <c r="AB112" i="3"/>
  <c r="M124" i="7" s="1"/>
  <c r="AC112" i="3"/>
  <c r="N124" i="7" s="1"/>
  <c r="AD112" i="3"/>
  <c r="O124" i="7" s="1"/>
  <c r="AE112" i="3"/>
  <c r="U113" i="3"/>
  <c r="K125" i="4" s="1"/>
  <c r="V113" i="3"/>
  <c r="L125" i="4" s="1"/>
  <c r="W113" i="3"/>
  <c r="M125" i="4" s="1"/>
  <c r="X113" i="3"/>
  <c r="N125" i="4" s="1"/>
  <c r="Y113" i="3"/>
  <c r="O125" i="4" s="1"/>
  <c r="Z113" i="3"/>
  <c r="K125" i="7" s="1"/>
  <c r="AA113" i="3"/>
  <c r="L125" i="7" s="1"/>
  <c r="AB113" i="3"/>
  <c r="M125" i="7" s="1"/>
  <c r="AC113" i="3"/>
  <c r="N125" i="7" s="1"/>
  <c r="AD113" i="3"/>
  <c r="O125" i="7" s="1"/>
  <c r="AE113" i="3"/>
  <c r="U114" i="3"/>
  <c r="K126" i="4" s="1"/>
  <c r="V114" i="3"/>
  <c r="L126" i="4" s="1"/>
  <c r="W114" i="3"/>
  <c r="M126" i="4" s="1"/>
  <c r="X114" i="3"/>
  <c r="N126" i="4" s="1"/>
  <c r="Y114" i="3"/>
  <c r="O126" i="4" s="1"/>
  <c r="Z114" i="3"/>
  <c r="K126" i="7" s="1"/>
  <c r="AA114" i="3"/>
  <c r="L126" i="7" s="1"/>
  <c r="AB114" i="3"/>
  <c r="M126" i="7" s="1"/>
  <c r="AC114" i="3"/>
  <c r="N126" i="7" s="1"/>
  <c r="AD114" i="3"/>
  <c r="O126" i="7" s="1"/>
  <c r="AE114" i="3"/>
  <c r="U115" i="3"/>
  <c r="K14" i="4" s="1"/>
  <c r="V115" i="3"/>
  <c r="L14" i="4" s="1"/>
  <c r="W115" i="3"/>
  <c r="M14" i="4" s="1"/>
  <c r="X115" i="3"/>
  <c r="N14" i="4" s="1"/>
  <c r="Y115" i="3"/>
  <c r="O14" i="4" s="1"/>
  <c r="Z115" i="3"/>
  <c r="K14" i="7" s="1"/>
  <c r="AA115" i="3"/>
  <c r="L14" i="7" s="1"/>
  <c r="AB115" i="3"/>
  <c r="M14" i="7" s="1"/>
  <c r="AC115" i="3"/>
  <c r="N14" i="7" s="1"/>
  <c r="AD115" i="3"/>
  <c r="O14" i="7" s="1"/>
  <c r="AE115" i="3"/>
  <c r="U116" i="3"/>
  <c r="K127" i="4" s="1"/>
  <c r="V116" i="3"/>
  <c r="L127" i="4" s="1"/>
  <c r="W116" i="3"/>
  <c r="M127" i="4" s="1"/>
  <c r="X116" i="3"/>
  <c r="N127" i="4" s="1"/>
  <c r="Y116" i="3"/>
  <c r="O127" i="4" s="1"/>
  <c r="Z116" i="3"/>
  <c r="K127" i="7" s="1"/>
  <c r="AA116" i="3"/>
  <c r="L127" i="7" s="1"/>
  <c r="AB116" i="3"/>
  <c r="M127" i="7" s="1"/>
  <c r="AC116" i="3"/>
  <c r="N127" i="7" s="1"/>
  <c r="AD116" i="3"/>
  <c r="O127" i="7" s="1"/>
  <c r="AE116" i="3"/>
  <c r="U117" i="3"/>
  <c r="K128" i="4" s="1"/>
  <c r="V117" i="3"/>
  <c r="L128" i="4" s="1"/>
  <c r="W117" i="3"/>
  <c r="M128" i="4" s="1"/>
  <c r="X117" i="3"/>
  <c r="N128" i="4" s="1"/>
  <c r="Y117" i="3"/>
  <c r="O128" i="4" s="1"/>
  <c r="Z117" i="3"/>
  <c r="K128" i="7" s="1"/>
  <c r="AA117" i="3"/>
  <c r="L128" i="7" s="1"/>
  <c r="AB117" i="3"/>
  <c r="M128" i="7" s="1"/>
  <c r="AC117" i="3"/>
  <c r="N128" i="7" s="1"/>
  <c r="AD117" i="3"/>
  <c r="O128" i="7" s="1"/>
  <c r="AE117" i="3"/>
  <c r="U118" i="3"/>
  <c r="K129" i="4" s="1"/>
  <c r="V118" i="3"/>
  <c r="L129" i="4" s="1"/>
  <c r="W118" i="3"/>
  <c r="M129" i="4" s="1"/>
  <c r="X118" i="3"/>
  <c r="N129" i="4" s="1"/>
  <c r="Y118" i="3"/>
  <c r="O129" i="4" s="1"/>
  <c r="Z118" i="3"/>
  <c r="K129" i="7" s="1"/>
  <c r="AA118" i="3"/>
  <c r="L129" i="7" s="1"/>
  <c r="AB118" i="3"/>
  <c r="M129" i="7" s="1"/>
  <c r="AC118" i="3"/>
  <c r="N129" i="7" s="1"/>
  <c r="AD118" i="3"/>
  <c r="O129" i="7" s="1"/>
  <c r="AE118" i="3"/>
  <c r="U119" i="3"/>
  <c r="K130" i="4" s="1"/>
  <c r="V119" i="3"/>
  <c r="L130" i="4" s="1"/>
  <c r="W119" i="3"/>
  <c r="M130" i="4" s="1"/>
  <c r="X119" i="3"/>
  <c r="N130" i="4" s="1"/>
  <c r="Y119" i="3"/>
  <c r="O130" i="4" s="1"/>
  <c r="Z119" i="3"/>
  <c r="K130" i="7" s="1"/>
  <c r="AA119" i="3"/>
  <c r="L130" i="7" s="1"/>
  <c r="AB119" i="3"/>
  <c r="M130" i="7" s="1"/>
  <c r="AC119" i="3"/>
  <c r="N130" i="7" s="1"/>
  <c r="AD119" i="3"/>
  <c r="O130" i="7" s="1"/>
  <c r="AE119" i="3"/>
  <c r="U120" i="3"/>
  <c r="K131" i="4" s="1"/>
  <c r="V120" i="3"/>
  <c r="L131" i="4" s="1"/>
  <c r="W120" i="3"/>
  <c r="M131" i="4" s="1"/>
  <c r="X120" i="3"/>
  <c r="N131" i="4" s="1"/>
  <c r="Y120" i="3"/>
  <c r="O131" i="4" s="1"/>
  <c r="Z120" i="3"/>
  <c r="K131" i="7" s="1"/>
  <c r="AA120" i="3"/>
  <c r="L131" i="7" s="1"/>
  <c r="AB120" i="3"/>
  <c r="M131" i="7" s="1"/>
  <c r="AC120" i="3"/>
  <c r="N131" i="7" s="1"/>
  <c r="AD120" i="3"/>
  <c r="O131" i="7" s="1"/>
  <c r="AE120" i="3"/>
  <c r="U121" i="3"/>
  <c r="K132" i="4" s="1"/>
  <c r="V121" i="3"/>
  <c r="L132" i="4" s="1"/>
  <c r="W121" i="3"/>
  <c r="M132" i="4" s="1"/>
  <c r="X121" i="3"/>
  <c r="N132" i="4" s="1"/>
  <c r="Y121" i="3"/>
  <c r="O132" i="4" s="1"/>
  <c r="Z121" i="3"/>
  <c r="K132" i="7" s="1"/>
  <c r="AA121" i="3"/>
  <c r="L132" i="7" s="1"/>
  <c r="AB121" i="3"/>
  <c r="M132" i="7" s="1"/>
  <c r="AC121" i="3"/>
  <c r="N132" i="7" s="1"/>
  <c r="AD121" i="3"/>
  <c r="O132" i="7" s="1"/>
  <c r="AE121" i="3"/>
  <c r="U122" i="3"/>
  <c r="K133" i="4" s="1"/>
  <c r="V122" i="3"/>
  <c r="L133" i="4" s="1"/>
  <c r="W122" i="3"/>
  <c r="M133" i="4" s="1"/>
  <c r="X122" i="3"/>
  <c r="N133" i="4" s="1"/>
  <c r="Y122" i="3"/>
  <c r="O133" i="4" s="1"/>
  <c r="Z122" i="3"/>
  <c r="K133" i="7" s="1"/>
  <c r="AA122" i="3"/>
  <c r="L133" i="7" s="1"/>
  <c r="AB122" i="3"/>
  <c r="M133" i="7" s="1"/>
  <c r="AC122" i="3"/>
  <c r="N133" i="7" s="1"/>
  <c r="AD122" i="3"/>
  <c r="O133" i="7" s="1"/>
  <c r="AE122" i="3"/>
  <c r="U123" i="3"/>
  <c r="K134" i="4" s="1"/>
  <c r="V123" i="3"/>
  <c r="L134" i="4" s="1"/>
  <c r="W123" i="3"/>
  <c r="M134" i="4" s="1"/>
  <c r="X123" i="3"/>
  <c r="N134" i="4" s="1"/>
  <c r="Y123" i="3"/>
  <c r="O134" i="4" s="1"/>
  <c r="Z123" i="3"/>
  <c r="K134" i="7" s="1"/>
  <c r="AA123" i="3"/>
  <c r="L134" i="7" s="1"/>
  <c r="AB123" i="3"/>
  <c r="M134" i="7" s="1"/>
  <c r="AC123" i="3"/>
  <c r="N134" i="7" s="1"/>
  <c r="AD123" i="3"/>
  <c r="O134" i="7" s="1"/>
  <c r="AE123" i="3"/>
  <c r="U124" i="3"/>
  <c r="K139" i="4" s="1"/>
  <c r="V124" i="3"/>
  <c r="L139" i="4" s="1"/>
  <c r="W124" i="3"/>
  <c r="M139" i="4" s="1"/>
  <c r="X124" i="3"/>
  <c r="N139" i="4" s="1"/>
  <c r="Y124" i="3"/>
  <c r="O139" i="4" s="1"/>
  <c r="Z124" i="3"/>
  <c r="K139" i="7" s="1"/>
  <c r="AA124" i="3"/>
  <c r="L139" i="7" s="1"/>
  <c r="AB124" i="3"/>
  <c r="M139" i="7" s="1"/>
  <c r="AC124" i="3"/>
  <c r="N139" i="7" s="1"/>
  <c r="AD124" i="3"/>
  <c r="O139" i="7" s="1"/>
  <c r="AE124" i="3"/>
  <c r="U125" i="3"/>
  <c r="K34" i="4" s="1"/>
  <c r="V125" i="3"/>
  <c r="L34" i="4" s="1"/>
  <c r="W125" i="3"/>
  <c r="M34" i="4" s="1"/>
  <c r="X125" i="3"/>
  <c r="N34" i="4" s="1"/>
  <c r="Y125" i="3"/>
  <c r="O34" i="4" s="1"/>
  <c r="Z125" i="3"/>
  <c r="K34" i="7" s="1"/>
  <c r="AA125" i="3"/>
  <c r="L34" i="7" s="1"/>
  <c r="AB125" i="3"/>
  <c r="M34" i="7" s="1"/>
  <c r="AC125" i="3"/>
  <c r="N34" i="7" s="1"/>
  <c r="AD125" i="3"/>
  <c r="O34" i="7" s="1"/>
  <c r="AE125" i="3"/>
  <c r="U126" i="3"/>
  <c r="K11" i="4" s="1"/>
  <c r="V126" i="3"/>
  <c r="L11" i="4" s="1"/>
  <c r="W126" i="3"/>
  <c r="M11" i="4" s="1"/>
  <c r="X126" i="3"/>
  <c r="N11" i="4" s="1"/>
  <c r="Y126" i="3"/>
  <c r="O11" i="4" s="1"/>
  <c r="Z126" i="3"/>
  <c r="K11" i="7" s="1"/>
  <c r="AA126" i="3"/>
  <c r="L11" i="7" s="1"/>
  <c r="AB126" i="3"/>
  <c r="M11" i="7" s="1"/>
  <c r="AC126" i="3"/>
  <c r="N11" i="7" s="1"/>
  <c r="AD126" i="3"/>
  <c r="O11" i="7" s="1"/>
  <c r="AE126" i="3"/>
  <c r="U127" i="3"/>
  <c r="K19" i="4" s="1"/>
  <c r="V127" i="3"/>
  <c r="L19" i="4" s="1"/>
  <c r="W127" i="3"/>
  <c r="M19" i="4" s="1"/>
  <c r="X127" i="3"/>
  <c r="N19" i="4" s="1"/>
  <c r="Y127" i="3"/>
  <c r="O19" i="4" s="1"/>
  <c r="Z127" i="3"/>
  <c r="K19" i="7" s="1"/>
  <c r="AA127" i="3"/>
  <c r="L19" i="7" s="1"/>
  <c r="AB127" i="3"/>
  <c r="M19" i="7" s="1"/>
  <c r="AC127" i="3"/>
  <c r="N19" i="7" s="1"/>
  <c r="AD127" i="3"/>
  <c r="O19" i="7" s="1"/>
  <c r="AE127" i="3"/>
  <c r="U128" i="3"/>
  <c r="K20" i="4" s="1"/>
  <c r="V128" i="3"/>
  <c r="L20" i="4" s="1"/>
  <c r="W128" i="3"/>
  <c r="M20" i="4" s="1"/>
  <c r="X128" i="3"/>
  <c r="N20" i="4" s="1"/>
  <c r="Y128" i="3"/>
  <c r="O20" i="4" s="1"/>
  <c r="Z128" i="3"/>
  <c r="K20" i="7" s="1"/>
  <c r="AA128" i="3"/>
  <c r="L20" i="7" s="1"/>
  <c r="AB128" i="3"/>
  <c r="M20" i="7" s="1"/>
  <c r="AC128" i="3"/>
  <c r="N20" i="7" s="1"/>
  <c r="AD128" i="3"/>
  <c r="O20" i="7" s="1"/>
  <c r="AE128" i="3"/>
  <c r="U129" i="3"/>
  <c r="K43" i="4" s="1"/>
  <c r="V129" i="3"/>
  <c r="L43" i="4" s="1"/>
  <c r="W129" i="3"/>
  <c r="M43" i="4" s="1"/>
  <c r="X129" i="3"/>
  <c r="N43" i="4" s="1"/>
  <c r="Y129" i="3"/>
  <c r="O43" i="4" s="1"/>
  <c r="Z129" i="3"/>
  <c r="K43" i="7" s="1"/>
  <c r="AA129" i="3"/>
  <c r="L43" i="7" s="1"/>
  <c r="AB129" i="3"/>
  <c r="M43" i="7" s="1"/>
  <c r="AC129" i="3"/>
  <c r="N43" i="7" s="1"/>
  <c r="AD129" i="3"/>
  <c r="O43" i="7" s="1"/>
  <c r="AE129" i="3"/>
  <c r="U130" i="3"/>
  <c r="K70" i="4" s="1"/>
  <c r="V130" i="3"/>
  <c r="L70" i="4" s="1"/>
  <c r="W130" i="3"/>
  <c r="M70" i="4" s="1"/>
  <c r="X130" i="3"/>
  <c r="N70" i="4" s="1"/>
  <c r="Y130" i="3"/>
  <c r="O70" i="4" s="1"/>
  <c r="Z130" i="3"/>
  <c r="K70" i="7" s="1"/>
  <c r="AA130" i="3"/>
  <c r="L70" i="7" s="1"/>
  <c r="AB130" i="3"/>
  <c r="M70" i="7" s="1"/>
  <c r="AC130" i="3"/>
  <c r="N70" i="7" s="1"/>
  <c r="AD130" i="3"/>
  <c r="O70" i="7" s="1"/>
  <c r="AE130" i="3"/>
  <c r="U131" i="3"/>
  <c r="K86" i="4" s="1"/>
  <c r="V131" i="3"/>
  <c r="L86" i="4" s="1"/>
  <c r="W131" i="3"/>
  <c r="M86" i="4" s="1"/>
  <c r="X131" i="3"/>
  <c r="N86" i="4" s="1"/>
  <c r="Y131" i="3"/>
  <c r="O86" i="4" s="1"/>
  <c r="Z131" i="3"/>
  <c r="K86" i="7" s="1"/>
  <c r="AA131" i="3"/>
  <c r="L86" i="7" s="1"/>
  <c r="AB131" i="3"/>
  <c r="M86" i="7" s="1"/>
  <c r="AC131" i="3"/>
  <c r="N86" i="7" s="1"/>
  <c r="AD131" i="3"/>
  <c r="O86" i="7" s="1"/>
  <c r="AE131" i="3"/>
  <c r="U132" i="3"/>
  <c r="K87" i="4" s="1"/>
  <c r="V132" i="3"/>
  <c r="L87" i="4" s="1"/>
  <c r="W132" i="3"/>
  <c r="M87" i="4" s="1"/>
  <c r="X132" i="3"/>
  <c r="N87" i="4" s="1"/>
  <c r="Y132" i="3"/>
  <c r="O87" i="4" s="1"/>
  <c r="Z132" i="3"/>
  <c r="K87" i="7" s="1"/>
  <c r="AA132" i="3"/>
  <c r="L87" i="7" s="1"/>
  <c r="AB132" i="3"/>
  <c r="M87" i="7" s="1"/>
  <c r="AC132" i="3"/>
  <c r="N87" i="7" s="1"/>
  <c r="AD132" i="3"/>
  <c r="O87" i="7" s="1"/>
  <c r="AE132" i="3"/>
  <c r="U133" i="3"/>
  <c r="K88" i="4" s="1"/>
  <c r="V133" i="3"/>
  <c r="L88" i="4" s="1"/>
  <c r="W133" i="3"/>
  <c r="M88" i="4" s="1"/>
  <c r="X133" i="3"/>
  <c r="N88" i="4" s="1"/>
  <c r="Y133" i="3"/>
  <c r="O88" i="4" s="1"/>
  <c r="Z133" i="3"/>
  <c r="K88" i="7" s="1"/>
  <c r="AA133" i="3"/>
  <c r="L88" i="7" s="1"/>
  <c r="AB133" i="3"/>
  <c r="M88" i="7" s="1"/>
  <c r="AC133" i="3"/>
  <c r="N88" i="7" s="1"/>
  <c r="AD133" i="3"/>
  <c r="O88" i="7" s="1"/>
  <c r="AE133" i="3"/>
  <c r="U134" i="3"/>
  <c r="K10" i="4" s="1"/>
  <c r="V134" i="3"/>
  <c r="L10" i="4" s="1"/>
  <c r="W134" i="3"/>
  <c r="M10" i="4" s="1"/>
  <c r="X134" i="3"/>
  <c r="N10" i="4" s="1"/>
  <c r="Y134" i="3"/>
  <c r="O10" i="4" s="1"/>
  <c r="Z134" i="3"/>
  <c r="K10" i="7" s="1"/>
  <c r="AA134" i="3"/>
  <c r="L10" i="7" s="1"/>
  <c r="AB134" i="3"/>
  <c r="M10" i="7" s="1"/>
  <c r="AC134" i="3"/>
  <c r="N10" i="7" s="1"/>
  <c r="AD134" i="3"/>
  <c r="O10" i="7" s="1"/>
  <c r="AE134" i="3"/>
  <c r="U135" i="3"/>
  <c r="K16" i="4" s="1"/>
  <c r="V135" i="3"/>
  <c r="L16" i="4" s="1"/>
  <c r="W135" i="3"/>
  <c r="M16" i="4" s="1"/>
  <c r="X135" i="3"/>
  <c r="N16" i="4" s="1"/>
  <c r="Y135" i="3"/>
  <c r="O16" i="4" s="1"/>
  <c r="Z135" i="3"/>
  <c r="K16" i="7" s="1"/>
  <c r="AA135" i="3"/>
  <c r="L16" i="7" s="1"/>
  <c r="AB135" i="3"/>
  <c r="M16" i="7" s="1"/>
  <c r="AC135" i="3"/>
  <c r="N16" i="7" s="1"/>
  <c r="AD135" i="3"/>
  <c r="O16" i="7" s="1"/>
  <c r="AE135" i="3"/>
  <c r="U136" i="3"/>
  <c r="K135" i="4" s="1"/>
  <c r="V136" i="3"/>
  <c r="L135" i="4" s="1"/>
  <c r="W136" i="3"/>
  <c r="M135" i="4" s="1"/>
  <c r="X136" i="3"/>
  <c r="N135" i="4" s="1"/>
  <c r="Y136" i="3"/>
  <c r="O135" i="4" s="1"/>
  <c r="Z136" i="3"/>
  <c r="K135" i="7" s="1"/>
  <c r="AA136" i="3"/>
  <c r="L135" i="7" s="1"/>
  <c r="AB136" i="3"/>
  <c r="M135" i="7" s="1"/>
  <c r="AC136" i="3"/>
  <c r="N135" i="7" s="1"/>
  <c r="AD136" i="3"/>
  <c r="O135" i="7" s="1"/>
  <c r="AE136" i="3"/>
  <c r="U137" i="3"/>
  <c r="K136" i="4" s="1"/>
  <c r="V137" i="3"/>
  <c r="L136" i="4" s="1"/>
  <c r="W137" i="3"/>
  <c r="M136" i="4" s="1"/>
  <c r="X137" i="3"/>
  <c r="N136" i="4" s="1"/>
  <c r="Y137" i="3"/>
  <c r="O136" i="4" s="1"/>
  <c r="Z137" i="3"/>
  <c r="K136" i="7" s="1"/>
  <c r="AA137" i="3"/>
  <c r="L136" i="7" s="1"/>
  <c r="AB137" i="3"/>
  <c r="M136" i="7" s="1"/>
  <c r="AC137" i="3"/>
  <c r="N136" i="7" s="1"/>
  <c r="AD137" i="3"/>
  <c r="O136" i="7" s="1"/>
  <c r="AE137" i="3"/>
  <c r="U138" i="3"/>
  <c r="K137" i="4" s="1"/>
  <c r="V138" i="3"/>
  <c r="L137" i="4" s="1"/>
  <c r="W138" i="3"/>
  <c r="M137" i="4" s="1"/>
  <c r="X138" i="3"/>
  <c r="N137" i="4" s="1"/>
  <c r="Y138" i="3"/>
  <c r="O137" i="4" s="1"/>
  <c r="Z138" i="3"/>
  <c r="K137" i="7" s="1"/>
  <c r="AA138" i="3"/>
  <c r="L137" i="7" s="1"/>
  <c r="AB138" i="3"/>
  <c r="M137" i="7" s="1"/>
  <c r="AC138" i="3"/>
  <c r="N137" i="7" s="1"/>
  <c r="AD138" i="3"/>
  <c r="O137" i="7" s="1"/>
  <c r="AE138" i="3"/>
  <c r="U139" i="3"/>
  <c r="K138" i="4" s="1"/>
  <c r="V139" i="3"/>
  <c r="L138" i="4" s="1"/>
  <c r="W139" i="3"/>
  <c r="M138" i="4" s="1"/>
  <c r="X139" i="3"/>
  <c r="N138" i="4" s="1"/>
  <c r="Y139" i="3"/>
  <c r="O138" i="4" s="1"/>
  <c r="Z139" i="3"/>
  <c r="K138" i="7" s="1"/>
  <c r="AA139" i="3"/>
  <c r="L138" i="7" s="1"/>
  <c r="AB139" i="3"/>
  <c r="M138" i="7" s="1"/>
  <c r="AC139" i="3"/>
  <c r="N138" i="7" s="1"/>
  <c r="AD139" i="3"/>
  <c r="O138" i="7" s="1"/>
  <c r="AE139" i="3"/>
  <c r="AE2" i="3"/>
  <c r="AD2" i="3"/>
  <c r="O50" i="7" s="1"/>
  <c r="AC2" i="3"/>
  <c r="N50" i="7" s="1"/>
  <c r="AB2" i="3"/>
  <c r="M50" i="7" s="1"/>
  <c r="AA2" i="3"/>
  <c r="L50" i="7" s="1"/>
  <c r="Z2" i="3"/>
  <c r="K50" i="7" s="1"/>
  <c r="Y2" i="3"/>
  <c r="O50" i="4" s="1"/>
  <c r="X2" i="3"/>
  <c r="N50" i="4" s="1"/>
  <c r="W2" i="3"/>
  <c r="M50" i="4" s="1"/>
  <c r="V2" i="3"/>
  <c r="L50" i="4" s="1"/>
  <c r="I139" i="7" l="1"/>
  <c r="H139" i="7"/>
  <c r="G139" i="7"/>
  <c r="F139" i="7"/>
  <c r="E139" i="7"/>
  <c r="I138" i="7"/>
  <c r="H138" i="7"/>
  <c r="G138" i="7"/>
  <c r="F138" i="7"/>
  <c r="E138" i="7"/>
  <c r="I137" i="7"/>
  <c r="H137" i="7"/>
  <c r="G137" i="7"/>
  <c r="F137" i="7"/>
  <c r="E137" i="7"/>
  <c r="I136" i="7"/>
  <c r="H136" i="7"/>
  <c r="G136" i="7"/>
  <c r="F136" i="7"/>
  <c r="E136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P53" i="7" l="1"/>
  <c r="R53" i="7" s="1"/>
  <c r="P53" i="4"/>
  <c r="Q53" i="4" s="1"/>
  <c r="P93" i="7"/>
  <c r="P15" i="7"/>
  <c r="P19" i="4"/>
  <c r="J3" i="7"/>
  <c r="J11" i="7"/>
  <c r="J20" i="7"/>
  <c r="J28" i="7"/>
  <c r="J36" i="7"/>
  <c r="J44" i="7"/>
  <c r="J52" i="7"/>
  <c r="J61" i="7"/>
  <c r="J69" i="7"/>
  <c r="J77" i="7"/>
  <c r="J85" i="7"/>
  <c r="J94" i="7"/>
  <c r="J102" i="7"/>
  <c r="J19" i="7"/>
  <c r="J110" i="7"/>
  <c r="J118" i="7"/>
  <c r="J126" i="7"/>
  <c r="J134" i="7"/>
  <c r="J17" i="7"/>
  <c r="J33" i="7"/>
  <c r="J66" i="7"/>
  <c r="J8" i="7"/>
  <c r="J25" i="7"/>
  <c r="J41" i="7"/>
  <c r="J49" i="7"/>
  <c r="J58" i="7"/>
  <c r="J2" i="7"/>
  <c r="J10" i="7"/>
  <c r="J27" i="7"/>
  <c r="J35" i="7"/>
  <c r="J43" i="7"/>
  <c r="J51" i="7"/>
  <c r="J60" i="7"/>
  <c r="J68" i="7"/>
  <c r="J76" i="7"/>
  <c r="J84" i="7"/>
  <c r="J92" i="7"/>
  <c r="J101" i="7"/>
  <c r="J109" i="7"/>
  <c r="J117" i="7"/>
  <c r="J125" i="7"/>
  <c r="J133" i="7"/>
  <c r="J74" i="7"/>
  <c r="J82" i="7"/>
  <c r="J90" i="7"/>
  <c r="J99" i="7"/>
  <c r="J107" i="7"/>
  <c r="J115" i="7"/>
  <c r="J123" i="7"/>
  <c r="J131" i="7"/>
  <c r="J139" i="7"/>
  <c r="J5" i="7"/>
  <c r="J13" i="7"/>
  <c r="J22" i="7"/>
  <c r="J30" i="7"/>
  <c r="J38" i="7"/>
  <c r="J46" i="7"/>
  <c r="J55" i="7"/>
  <c r="J63" i="7"/>
  <c r="J71" i="7"/>
  <c r="J79" i="7"/>
  <c r="J87" i="7"/>
  <c r="J96" i="7"/>
  <c r="J104" i="7"/>
  <c r="J112" i="7"/>
  <c r="J120" i="7"/>
  <c r="J128" i="7"/>
  <c r="J136" i="7"/>
  <c r="J7" i="7"/>
  <c r="J16" i="7"/>
  <c r="J24" i="7"/>
  <c r="J32" i="7"/>
  <c r="J40" i="7"/>
  <c r="J48" i="7"/>
  <c r="J57" i="7"/>
  <c r="J65" i="7"/>
  <c r="J73" i="7"/>
  <c r="J81" i="7"/>
  <c r="J89" i="7"/>
  <c r="J98" i="7"/>
  <c r="J106" i="7"/>
  <c r="J114" i="7"/>
  <c r="J122" i="7"/>
  <c r="J130" i="7"/>
  <c r="J138" i="7"/>
  <c r="J4" i="7"/>
  <c r="J12" i="7"/>
  <c r="J21" i="7"/>
  <c r="J29" i="7"/>
  <c r="J37" i="7"/>
  <c r="J45" i="7"/>
  <c r="J54" i="7"/>
  <c r="J62" i="7"/>
  <c r="J70" i="7"/>
  <c r="J78" i="7"/>
  <c r="J86" i="7"/>
  <c r="J95" i="7"/>
  <c r="J103" i="7"/>
  <c r="J111" i="7"/>
  <c r="J119" i="7"/>
  <c r="J127" i="7"/>
  <c r="J135" i="7"/>
  <c r="J9" i="7"/>
  <c r="J18" i="7"/>
  <c r="J26" i="7"/>
  <c r="J34" i="7"/>
  <c r="J42" i="7"/>
  <c r="J50" i="7"/>
  <c r="J59" i="7"/>
  <c r="J67" i="7"/>
  <c r="J75" i="7"/>
  <c r="J83" i="7"/>
  <c r="J91" i="7"/>
  <c r="J100" i="7"/>
  <c r="J108" i="7"/>
  <c r="J116" i="7"/>
  <c r="J124" i="7"/>
  <c r="J132" i="7"/>
  <c r="J6" i="7"/>
  <c r="J14" i="7"/>
  <c r="J23" i="7"/>
  <c r="J31" i="7"/>
  <c r="J39" i="7"/>
  <c r="J47" i="7"/>
  <c r="J56" i="7"/>
  <c r="J64" i="7"/>
  <c r="J72" i="7"/>
  <c r="J80" i="7"/>
  <c r="J88" i="7"/>
  <c r="J97" i="7"/>
  <c r="J105" i="7"/>
  <c r="J113" i="7"/>
  <c r="J121" i="7"/>
  <c r="J129" i="7"/>
  <c r="J137" i="7"/>
  <c r="R53" i="4" l="1"/>
  <c r="Q53" i="7"/>
  <c r="I139" i="4"/>
  <c r="H139" i="4"/>
  <c r="G139" i="4"/>
  <c r="F139" i="4"/>
  <c r="E139" i="4"/>
  <c r="I138" i="4"/>
  <c r="H138" i="4"/>
  <c r="G138" i="4"/>
  <c r="F138" i="4"/>
  <c r="E138" i="4"/>
  <c r="I137" i="4"/>
  <c r="H137" i="4"/>
  <c r="G137" i="4"/>
  <c r="F137" i="4"/>
  <c r="E137" i="4"/>
  <c r="I136" i="4"/>
  <c r="H136" i="4"/>
  <c r="G136" i="4"/>
  <c r="F136" i="4"/>
  <c r="E136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E2" i="4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8" i="13"/>
  <c r="F7" i="13"/>
  <c r="F6" i="13"/>
  <c r="F5" i="13"/>
  <c r="F4" i="13"/>
  <c r="F3" i="13"/>
  <c r="F2" i="13"/>
  <c r="P93" i="4" l="1"/>
  <c r="P15" i="4"/>
  <c r="R15" i="4" s="1"/>
  <c r="N10" i="6"/>
  <c r="N7" i="6"/>
  <c r="E21" i="6"/>
  <c r="M8" i="5"/>
  <c r="L8" i="5"/>
  <c r="K8" i="5"/>
  <c r="J8" i="5"/>
  <c r="I8" i="5"/>
  <c r="G8" i="5"/>
  <c r="F8" i="5"/>
  <c r="E8" i="5"/>
  <c r="D8" i="5"/>
  <c r="C8" i="5"/>
  <c r="M7" i="5"/>
  <c r="L7" i="5"/>
  <c r="K7" i="5"/>
  <c r="J7" i="5"/>
  <c r="I7" i="5"/>
  <c r="G7" i="5"/>
  <c r="F7" i="5"/>
  <c r="E7" i="5"/>
  <c r="D7" i="5"/>
  <c r="C7" i="5"/>
  <c r="M6" i="5"/>
  <c r="L6" i="5"/>
  <c r="K6" i="5"/>
  <c r="J6" i="5"/>
  <c r="I6" i="5"/>
  <c r="G6" i="5"/>
  <c r="F6" i="5"/>
  <c r="E6" i="5"/>
  <c r="D6" i="5"/>
  <c r="C6" i="5"/>
  <c r="M5" i="5"/>
  <c r="L5" i="5"/>
  <c r="K5" i="5"/>
  <c r="J5" i="5"/>
  <c r="I5" i="5"/>
  <c r="G5" i="5"/>
  <c r="F5" i="5"/>
  <c r="E5" i="5"/>
  <c r="D5" i="5"/>
  <c r="C5" i="5"/>
  <c r="M4" i="5"/>
  <c r="L4" i="5"/>
  <c r="K4" i="5"/>
  <c r="J4" i="5"/>
  <c r="I4" i="5"/>
  <c r="G4" i="5"/>
  <c r="F4" i="5"/>
  <c r="E4" i="5"/>
  <c r="D4" i="5"/>
  <c r="C4" i="5"/>
  <c r="Q2" i="13"/>
  <c r="U139" i="13"/>
  <c r="T139" i="13"/>
  <c r="S139" i="13"/>
  <c r="R139" i="13"/>
  <c r="Q139" i="13"/>
  <c r="T138" i="13"/>
  <c r="R138" i="13"/>
  <c r="T137" i="13"/>
  <c r="R137" i="13"/>
  <c r="T136" i="13"/>
  <c r="R136" i="13"/>
  <c r="T135" i="13"/>
  <c r="S135" i="13"/>
  <c r="R135" i="13"/>
  <c r="U134" i="13"/>
  <c r="T134" i="13"/>
  <c r="S134" i="13"/>
  <c r="R134" i="13"/>
  <c r="Q134" i="13"/>
  <c r="U133" i="13"/>
  <c r="T133" i="13"/>
  <c r="S133" i="13"/>
  <c r="R133" i="13"/>
  <c r="Q133" i="13"/>
  <c r="U132" i="13"/>
  <c r="T132" i="13"/>
  <c r="S132" i="13"/>
  <c r="R132" i="13"/>
  <c r="Q132" i="13"/>
  <c r="U131" i="13"/>
  <c r="T131" i="13"/>
  <c r="S131" i="13"/>
  <c r="R131" i="13"/>
  <c r="Q131" i="13"/>
  <c r="U130" i="13"/>
  <c r="T130" i="13"/>
  <c r="S130" i="13"/>
  <c r="R130" i="13"/>
  <c r="Q130" i="13"/>
  <c r="U129" i="13"/>
  <c r="T129" i="13"/>
  <c r="S129" i="13"/>
  <c r="R129" i="13"/>
  <c r="Q129" i="13"/>
  <c r="U128" i="13"/>
  <c r="T128" i="13"/>
  <c r="S128" i="13"/>
  <c r="R128" i="13"/>
  <c r="Q128" i="13"/>
  <c r="U127" i="13"/>
  <c r="T127" i="13"/>
  <c r="S127" i="13"/>
  <c r="R127" i="13"/>
  <c r="Q127" i="13"/>
  <c r="U126" i="13"/>
  <c r="T126" i="13"/>
  <c r="S126" i="13"/>
  <c r="R126" i="13"/>
  <c r="Q126" i="13"/>
  <c r="U125" i="13"/>
  <c r="T125" i="13"/>
  <c r="S125" i="13"/>
  <c r="R125" i="13"/>
  <c r="Q125" i="13"/>
  <c r="U124" i="13"/>
  <c r="T124" i="13"/>
  <c r="S124" i="13"/>
  <c r="R124" i="13"/>
  <c r="Q124" i="13"/>
  <c r="U123" i="13"/>
  <c r="T123" i="13"/>
  <c r="S123" i="13"/>
  <c r="R123" i="13"/>
  <c r="Q123" i="13"/>
  <c r="U122" i="13"/>
  <c r="T122" i="13"/>
  <c r="S122" i="13"/>
  <c r="R122" i="13"/>
  <c r="Q122" i="13"/>
  <c r="U121" i="13"/>
  <c r="T121" i="13"/>
  <c r="S121" i="13"/>
  <c r="R121" i="13"/>
  <c r="Q121" i="13"/>
  <c r="U120" i="13"/>
  <c r="T120" i="13"/>
  <c r="S120" i="13"/>
  <c r="R120" i="13"/>
  <c r="Q120" i="13"/>
  <c r="U119" i="13"/>
  <c r="T119" i="13"/>
  <c r="S119" i="13"/>
  <c r="R119" i="13"/>
  <c r="Q119" i="13"/>
  <c r="U118" i="13"/>
  <c r="T118" i="13"/>
  <c r="S118" i="13"/>
  <c r="R118" i="13"/>
  <c r="Q118" i="13"/>
  <c r="U117" i="13"/>
  <c r="T117" i="13"/>
  <c r="S117" i="13"/>
  <c r="R117" i="13"/>
  <c r="Q117" i="13"/>
  <c r="U116" i="13"/>
  <c r="T116" i="13"/>
  <c r="S116" i="13"/>
  <c r="R116" i="13"/>
  <c r="Q116" i="13"/>
  <c r="U115" i="13"/>
  <c r="T115" i="13"/>
  <c r="S115" i="13"/>
  <c r="R115" i="13"/>
  <c r="Q115" i="13"/>
  <c r="U114" i="13"/>
  <c r="T114" i="13"/>
  <c r="S114" i="13"/>
  <c r="R114" i="13"/>
  <c r="Q114" i="13"/>
  <c r="U113" i="13"/>
  <c r="T113" i="13"/>
  <c r="S113" i="13"/>
  <c r="R113" i="13"/>
  <c r="Q113" i="13"/>
  <c r="U112" i="13"/>
  <c r="T112" i="13"/>
  <c r="S112" i="13"/>
  <c r="R112" i="13"/>
  <c r="Q112" i="13"/>
  <c r="T111" i="13"/>
  <c r="S111" i="13"/>
  <c r="U110" i="13"/>
  <c r="T110" i="13"/>
  <c r="S110" i="13"/>
  <c r="R110" i="13"/>
  <c r="Q110" i="13"/>
  <c r="U109" i="13"/>
  <c r="T109" i="13"/>
  <c r="S109" i="13"/>
  <c r="R109" i="13"/>
  <c r="U108" i="13"/>
  <c r="T108" i="13"/>
  <c r="S108" i="13"/>
  <c r="R108" i="13"/>
  <c r="Q108" i="13"/>
  <c r="U107" i="13"/>
  <c r="T107" i="13"/>
  <c r="S107" i="13"/>
  <c r="R107" i="13"/>
  <c r="U106" i="13"/>
  <c r="T106" i="13"/>
  <c r="S106" i="13"/>
  <c r="R106" i="13"/>
  <c r="Q106" i="13"/>
  <c r="U105" i="13"/>
  <c r="T105" i="13"/>
  <c r="S105" i="13"/>
  <c r="R105" i="13"/>
  <c r="Q105" i="13"/>
  <c r="U104" i="13"/>
  <c r="T104" i="13"/>
  <c r="S104" i="13"/>
  <c r="R104" i="13"/>
  <c r="Q104" i="13"/>
  <c r="U103" i="13"/>
  <c r="T103" i="13"/>
  <c r="S103" i="13"/>
  <c r="R103" i="13"/>
  <c r="Q103" i="13"/>
  <c r="U102" i="13"/>
  <c r="T102" i="13"/>
  <c r="S102" i="13"/>
  <c r="R102" i="13"/>
  <c r="Q102" i="13"/>
  <c r="T101" i="13"/>
  <c r="S101" i="13"/>
  <c r="R101" i="13"/>
  <c r="Q101" i="13"/>
  <c r="U100" i="13"/>
  <c r="T100" i="13"/>
  <c r="S100" i="13"/>
  <c r="R100" i="13"/>
  <c r="Q100" i="13"/>
  <c r="T99" i="13"/>
  <c r="S99" i="13"/>
  <c r="R99" i="13"/>
  <c r="T98" i="13"/>
  <c r="S98" i="13"/>
  <c r="R98" i="13"/>
  <c r="Q98" i="13"/>
  <c r="T97" i="13"/>
  <c r="S97" i="13"/>
  <c r="R97" i="13"/>
  <c r="U96" i="13"/>
  <c r="T96" i="13"/>
  <c r="S96" i="13"/>
  <c r="R96" i="13"/>
  <c r="Q96" i="13"/>
  <c r="U95" i="13"/>
  <c r="T95" i="13"/>
  <c r="S95" i="13"/>
  <c r="R95" i="13"/>
  <c r="Q95" i="13"/>
  <c r="U94" i="13"/>
  <c r="T94" i="13"/>
  <c r="S94" i="13"/>
  <c r="R94" i="13"/>
  <c r="Q94" i="13"/>
  <c r="U93" i="13"/>
  <c r="T93" i="13"/>
  <c r="S93" i="13"/>
  <c r="R93" i="13"/>
  <c r="Q93" i="13"/>
  <c r="U92" i="13"/>
  <c r="T92" i="13"/>
  <c r="S92" i="13"/>
  <c r="R92" i="13"/>
  <c r="U91" i="13"/>
  <c r="T91" i="13"/>
  <c r="S91" i="13"/>
  <c r="R91" i="13"/>
  <c r="U90" i="13"/>
  <c r="T90" i="13"/>
  <c r="S90" i="13"/>
  <c r="R90" i="13"/>
  <c r="Q90" i="13"/>
  <c r="U89" i="13"/>
  <c r="T89" i="13"/>
  <c r="S89" i="13"/>
  <c r="R89" i="13"/>
  <c r="Q89" i="13"/>
  <c r="T88" i="13"/>
  <c r="R88" i="13"/>
  <c r="T87" i="13"/>
  <c r="S87" i="13"/>
  <c r="R87" i="13"/>
  <c r="T86" i="13"/>
  <c r="S86" i="13"/>
  <c r="R86" i="13"/>
  <c r="U85" i="13"/>
  <c r="T85" i="13"/>
  <c r="S85" i="13"/>
  <c r="R85" i="13"/>
  <c r="T84" i="13"/>
  <c r="S84" i="13"/>
  <c r="R84" i="13"/>
  <c r="Q84" i="13"/>
  <c r="U83" i="13"/>
  <c r="T83" i="13"/>
  <c r="S83" i="13"/>
  <c r="R83" i="13"/>
  <c r="U82" i="13"/>
  <c r="T82" i="13"/>
  <c r="S82" i="13"/>
  <c r="R82" i="13"/>
  <c r="Q82" i="13"/>
  <c r="S81" i="13"/>
  <c r="R81" i="13"/>
  <c r="Q81" i="13"/>
  <c r="U80" i="13"/>
  <c r="T80" i="13"/>
  <c r="S80" i="13"/>
  <c r="R80" i="13"/>
  <c r="Q80" i="13"/>
  <c r="U79" i="13"/>
  <c r="T79" i="13"/>
  <c r="S79" i="13"/>
  <c r="R79" i="13"/>
  <c r="T78" i="13"/>
  <c r="S78" i="13"/>
  <c r="R78" i="13"/>
  <c r="U77" i="13"/>
  <c r="T77" i="13"/>
  <c r="S77" i="13"/>
  <c r="R77" i="13"/>
  <c r="Q77" i="13"/>
  <c r="U76" i="13"/>
  <c r="T76" i="13"/>
  <c r="S76" i="13"/>
  <c r="R76" i="13"/>
  <c r="U75" i="13"/>
  <c r="T75" i="13"/>
  <c r="S75" i="13"/>
  <c r="R75" i="13"/>
  <c r="Q75" i="13"/>
  <c r="U74" i="13"/>
  <c r="T74" i="13"/>
  <c r="S74" i="13"/>
  <c r="R74" i="13"/>
  <c r="Q74" i="13"/>
  <c r="U73" i="13"/>
  <c r="T73" i="13"/>
  <c r="S73" i="13"/>
  <c r="R73" i="13"/>
  <c r="Q73" i="13"/>
  <c r="U72" i="13"/>
  <c r="T72" i="13"/>
  <c r="S72" i="13"/>
  <c r="R72" i="13"/>
  <c r="Q72" i="13"/>
  <c r="U71" i="13"/>
  <c r="T71" i="13"/>
  <c r="S71" i="13"/>
  <c r="R71" i="13"/>
  <c r="Q71" i="13"/>
  <c r="T70" i="13"/>
  <c r="S70" i="13"/>
  <c r="R70" i="13"/>
  <c r="Q70" i="13"/>
  <c r="U69" i="13"/>
  <c r="T69" i="13"/>
  <c r="S69" i="13"/>
  <c r="R69" i="13"/>
  <c r="Q69" i="13"/>
  <c r="U68" i="13"/>
  <c r="T68" i="13"/>
  <c r="S68" i="13"/>
  <c r="R68" i="13"/>
  <c r="Q68" i="13"/>
  <c r="U67" i="13"/>
  <c r="T67" i="13"/>
  <c r="S67" i="13"/>
  <c r="R67" i="13"/>
  <c r="Q67" i="13"/>
  <c r="T66" i="13"/>
  <c r="S66" i="13"/>
  <c r="R66" i="13"/>
  <c r="Q66" i="13"/>
  <c r="U65" i="13"/>
  <c r="T65" i="13"/>
  <c r="S65" i="13"/>
  <c r="R65" i="13"/>
  <c r="Q65" i="13"/>
  <c r="T64" i="13"/>
  <c r="S64" i="13"/>
  <c r="R64" i="13"/>
  <c r="Q64" i="13"/>
  <c r="U63" i="13"/>
  <c r="T63" i="13"/>
  <c r="S63" i="13"/>
  <c r="R63" i="13"/>
  <c r="Q63" i="13"/>
  <c r="U62" i="13"/>
  <c r="T62" i="13"/>
  <c r="S62" i="13"/>
  <c r="R62" i="13"/>
  <c r="Q62" i="13"/>
  <c r="T61" i="13"/>
  <c r="S61" i="13"/>
  <c r="R61" i="13"/>
  <c r="Q61" i="13"/>
  <c r="U60" i="13"/>
  <c r="T60" i="13"/>
  <c r="S60" i="13"/>
  <c r="R60" i="13"/>
  <c r="Q60" i="13"/>
  <c r="U59" i="13"/>
  <c r="T59" i="13"/>
  <c r="S59" i="13"/>
  <c r="R59" i="13"/>
  <c r="Q59" i="13"/>
  <c r="U58" i="13"/>
  <c r="T58" i="13"/>
  <c r="S58" i="13"/>
  <c r="R58" i="13"/>
  <c r="Q58" i="13"/>
  <c r="U57" i="13"/>
  <c r="T57" i="13"/>
  <c r="S57" i="13"/>
  <c r="R57" i="13"/>
  <c r="Q57" i="13"/>
  <c r="U56" i="13"/>
  <c r="T56" i="13"/>
  <c r="S56" i="13"/>
  <c r="R56" i="13"/>
  <c r="Q56" i="13"/>
  <c r="U55" i="13"/>
  <c r="T55" i="13"/>
  <c r="S55" i="13"/>
  <c r="R55" i="13"/>
  <c r="Q55" i="13"/>
  <c r="U54" i="13"/>
  <c r="T54" i="13"/>
  <c r="S54" i="13"/>
  <c r="R54" i="13"/>
  <c r="Q54" i="13"/>
  <c r="U52" i="13"/>
  <c r="T52" i="13"/>
  <c r="S52" i="13"/>
  <c r="R52" i="13"/>
  <c r="Q52" i="13"/>
  <c r="U51" i="13"/>
  <c r="T51" i="13"/>
  <c r="S51" i="13"/>
  <c r="R51" i="13"/>
  <c r="Q51" i="13"/>
  <c r="U50" i="13"/>
  <c r="T50" i="13"/>
  <c r="S50" i="13"/>
  <c r="R50" i="13"/>
  <c r="Q50" i="13"/>
  <c r="U49" i="13"/>
  <c r="T49" i="13"/>
  <c r="S49" i="13"/>
  <c r="R49" i="13"/>
  <c r="Q49" i="13"/>
  <c r="T48" i="13"/>
  <c r="S48" i="13"/>
  <c r="R48" i="13"/>
  <c r="T47" i="13"/>
  <c r="S47" i="13"/>
  <c r="R47" i="13"/>
  <c r="U46" i="13"/>
  <c r="T46" i="13"/>
  <c r="S46" i="13"/>
  <c r="R46" i="13"/>
  <c r="Q46" i="13"/>
  <c r="U45" i="13"/>
  <c r="T45" i="13"/>
  <c r="S45" i="13"/>
  <c r="R45" i="13"/>
  <c r="Q45" i="13"/>
  <c r="U44" i="13"/>
  <c r="T44" i="13"/>
  <c r="S44" i="13"/>
  <c r="R44" i="13"/>
  <c r="Q44" i="13"/>
  <c r="U43" i="13"/>
  <c r="T43" i="13"/>
  <c r="S43" i="13"/>
  <c r="R43" i="13"/>
  <c r="Q43" i="13"/>
  <c r="U42" i="13"/>
  <c r="T42" i="13"/>
  <c r="S42" i="13"/>
  <c r="R42" i="13"/>
  <c r="Q42" i="13"/>
  <c r="U41" i="13"/>
  <c r="T41" i="13"/>
  <c r="S41" i="13"/>
  <c r="R41" i="13"/>
  <c r="Q41" i="13"/>
  <c r="U40" i="13"/>
  <c r="T40" i="13"/>
  <c r="S40" i="13"/>
  <c r="R40" i="13"/>
  <c r="Q40" i="13"/>
  <c r="U39" i="13"/>
  <c r="T39" i="13"/>
  <c r="S39" i="13"/>
  <c r="R39" i="13"/>
  <c r="T38" i="13"/>
  <c r="S38" i="13"/>
  <c r="R38" i="13"/>
  <c r="T37" i="13"/>
  <c r="S37" i="13"/>
  <c r="R37" i="13"/>
  <c r="Q37" i="13"/>
  <c r="U36" i="13"/>
  <c r="T36" i="13"/>
  <c r="S36" i="13"/>
  <c r="R36" i="13"/>
  <c r="Q36" i="13"/>
  <c r="U35" i="13"/>
  <c r="T35" i="13"/>
  <c r="S35" i="13"/>
  <c r="R35" i="13"/>
  <c r="Q35" i="13"/>
  <c r="U34" i="13"/>
  <c r="T34" i="13"/>
  <c r="S34" i="13"/>
  <c r="R34" i="13"/>
  <c r="Q34" i="13"/>
  <c r="U33" i="13"/>
  <c r="T33" i="13"/>
  <c r="S33" i="13"/>
  <c r="R33" i="13"/>
  <c r="Q33" i="13"/>
  <c r="U32" i="13"/>
  <c r="T32" i="13"/>
  <c r="S32" i="13"/>
  <c r="R32" i="13"/>
  <c r="Q32" i="13"/>
  <c r="U31" i="13"/>
  <c r="T31" i="13"/>
  <c r="S31" i="13"/>
  <c r="R31" i="13"/>
  <c r="Q31" i="13"/>
  <c r="U30" i="13"/>
  <c r="T30" i="13"/>
  <c r="S30" i="13"/>
  <c r="R30" i="13"/>
  <c r="Q30" i="13"/>
  <c r="U29" i="13"/>
  <c r="T29" i="13"/>
  <c r="S29" i="13"/>
  <c r="R29" i="13"/>
  <c r="Q29" i="13"/>
  <c r="U28" i="13"/>
  <c r="T28" i="13"/>
  <c r="S28" i="13"/>
  <c r="R28" i="13"/>
  <c r="Q28" i="13"/>
  <c r="U27" i="13"/>
  <c r="T27" i="13"/>
  <c r="S27" i="13"/>
  <c r="R27" i="13"/>
  <c r="Q27" i="13"/>
  <c r="U26" i="13"/>
  <c r="T26" i="13"/>
  <c r="S26" i="13"/>
  <c r="R26" i="13"/>
  <c r="Q26" i="13"/>
  <c r="U24" i="13"/>
  <c r="T24" i="13"/>
  <c r="S24" i="13"/>
  <c r="R24" i="13"/>
  <c r="Q24" i="13"/>
  <c r="U23" i="13"/>
  <c r="T23" i="13"/>
  <c r="S23" i="13"/>
  <c r="R23" i="13"/>
  <c r="U22" i="13"/>
  <c r="T22" i="13"/>
  <c r="S22" i="13"/>
  <c r="R22" i="13"/>
  <c r="Q22" i="13"/>
  <c r="T21" i="13"/>
  <c r="R21" i="13"/>
  <c r="T20" i="13"/>
  <c r="S20" i="13"/>
  <c r="R20" i="13"/>
  <c r="Q20" i="13"/>
  <c r="U19" i="13"/>
  <c r="T19" i="13"/>
  <c r="S19" i="13"/>
  <c r="R19" i="13"/>
  <c r="Q19" i="13"/>
  <c r="U18" i="13"/>
  <c r="T18" i="13"/>
  <c r="S18" i="13"/>
  <c r="R18" i="13"/>
  <c r="Q18" i="13"/>
  <c r="U17" i="13"/>
  <c r="T17" i="13"/>
  <c r="S17" i="13"/>
  <c r="R17" i="13"/>
  <c r="Q17" i="13"/>
  <c r="T16" i="13"/>
  <c r="R16" i="13"/>
  <c r="U15" i="13"/>
  <c r="T15" i="13"/>
  <c r="S15" i="13"/>
  <c r="R15" i="13"/>
  <c r="Q15" i="13"/>
  <c r="U14" i="13"/>
  <c r="T14" i="13"/>
  <c r="S14" i="13"/>
  <c r="R14" i="13"/>
  <c r="Q14" i="13"/>
  <c r="U13" i="13"/>
  <c r="T13" i="13"/>
  <c r="S13" i="13"/>
  <c r="R13" i="13"/>
  <c r="Q13" i="13"/>
  <c r="U12" i="13"/>
  <c r="T12" i="13"/>
  <c r="S12" i="13"/>
  <c r="R12" i="13"/>
  <c r="Q12" i="13"/>
  <c r="U11" i="13"/>
  <c r="T11" i="13"/>
  <c r="S11" i="13"/>
  <c r="R11" i="13"/>
  <c r="Q11" i="13"/>
  <c r="T10" i="13"/>
  <c r="S10" i="13"/>
  <c r="R10" i="13"/>
  <c r="Q10" i="13"/>
  <c r="T9" i="13"/>
  <c r="S9" i="13"/>
  <c r="R9" i="13"/>
  <c r="Q9" i="13"/>
  <c r="U8" i="13"/>
  <c r="T8" i="13"/>
  <c r="S8" i="13"/>
  <c r="R8" i="13"/>
  <c r="Q8" i="13"/>
  <c r="U7" i="13"/>
  <c r="T7" i="13"/>
  <c r="S7" i="13"/>
  <c r="R7" i="13"/>
  <c r="Q7" i="13"/>
  <c r="U6" i="13"/>
  <c r="T6" i="13"/>
  <c r="S6" i="13"/>
  <c r="R6" i="13"/>
  <c r="Q6" i="13"/>
  <c r="U5" i="13"/>
  <c r="T5" i="13"/>
  <c r="S5" i="13"/>
  <c r="R5" i="13"/>
  <c r="Q5" i="13"/>
  <c r="U4" i="13"/>
  <c r="T4" i="13"/>
  <c r="S4" i="13"/>
  <c r="R4" i="13"/>
  <c r="Q4" i="13"/>
  <c r="U3" i="13"/>
  <c r="T3" i="13"/>
  <c r="S3" i="13"/>
  <c r="R3" i="13"/>
  <c r="Q3" i="13"/>
  <c r="U2" i="13"/>
  <c r="T2" i="13"/>
  <c r="S2" i="13"/>
  <c r="R2" i="13"/>
  <c r="R15" i="7" l="1"/>
  <c r="Q15" i="7"/>
  <c r="Q15" i="4"/>
  <c r="J139" i="4"/>
  <c r="J138" i="4"/>
  <c r="O4" i="5"/>
  <c r="C9" i="5"/>
  <c r="P138" i="7"/>
  <c r="P139" i="4"/>
  <c r="P138" i="4"/>
  <c r="C14" i="5"/>
  <c r="C24" i="5" s="1"/>
  <c r="P139" i="7"/>
  <c r="B26" i="6"/>
  <c r="B25" i="6"/>
  <c r="B22" i="6"/>
  <c r="B21" i="6"/>
  <c r="R139" i="4" l="1"/>
  <c r="R138" i="7"/>
  <c r="Q138" i="4"/>
  <c r="C34" i="5"/>
  <c r="Q139" i="4"/>
  <c r="Q138" i="7"/>
  <c r="R139" i="7"/>
  <c r="Q139" i="7"/>
  <c r="R138" i="4"/>
  <c r="N4" i="6"/>
  <c r="O4" i="6" s="1"/>
  <c r="N1" i="6"/>
  <c r="O1" i="6" s="1"/>
  <c r="M14" i="5"/>
  <c r="L14" i="5"/>
  <c r="K14" i="5"/>
  <c r="J14" i="5"/>
  <c r="I14" i="5"/>
  <c r="J4" i="6"/>
  <c r="K4" i="6" s="1"/>
  <c r="J1" i="6"/>
  <c r="K1" i="6" s="1"/>
  <c r="G14" i="5"/>
  <c r="F14" i="5"/>
  <c r="E14" i="5"/>
  <c r="P99" i="7" l="1"/>
  <c r="N14" i="5"/>
  <c r="D15" i="5"/>
  <c r="D25" i="5" s="1"/>
  <c r="F16" i="5"/>
  <c r="M15" i="5"/>
  <c r="M35" i="5" s="1"/>
  <c r="I16" i="5"/>
  <c r="L17" i="5"/>
  <c r="L27" i="5" s="1"/>
  <c r="K16" i="5"/>
  <c r="D14" i="5"/>
  <c r="H14" i="5" s="1"/>
  <c r="P2" i="4"/>
  <c r="M16" i="5"/>
  <c r="C17" i="5"/>
  <c r="G17" i="5"/>
  <c r="J15" i="5"/>
  <c r="J35" i="5" s="1"/>
  <c r="I17" i="5"/>
  <c r="L18" i="5"/>
  <c r="E18" i="5"/>
  <c r="E38" i="5" s="1"/>
  <c r="M17" i="5"/>
  <c r="M37" i="5" s="1"/>
  <c r="C15" i="5"/>
  <c r="D18" i="5"/>
  <c r="D28" i="5" s="1"/>
  <c r="D16" i="5"/>
  <c r="D26" i="5" s="1"/>
  <c r="F15" i="5"/>
  <c r="F25" i="5" s="1"/>
  <c r="G18" i="5"/>
  <c r="G38" i="5" s="1"/>
  <c r="C16" i="5"/>
  <c r="E15" i="5"/>
  <c r="E35" i="5" s="1"/>
  <c r="F18" i="5"/>
  <c r="F38" i="5" s="1"/>
  <c r="G16" i="5"/>
  <c r="G26" i="5" s="1"/>
  <c r="K15" i="5"/>
  <c r="K25" i="5" s="1"/>
  <c r="J17" i="5"/>
  <c r="M18" i="5"/>
  <c r="M38" i="5" s="1"/>
  <c r="E17" i="5"/>
  <c r="E27" i="5" s="1"/>
  <c r="J16" i="5"/>
  <c r="J36" i="5" s="1"/>
  <c r="E16" i="5"/>
  <c r="E36" i="5" s="1"/>
  <c r="G15" i="5"/>
  <c r="G25" i="5" s="1"/>
  <c r="I18" i="5"/>
  <c r="I38" i="5" s="1"/>
  <c r="D17" i="5"/>
  <c r="D27" i="5" s="1"/>
  <c r="L16" i="5"/>
  <c r="L36" i="5" s="1"/>
  <c r="J18" i="5"/>
  <c r="J38" i="5" s="1"/>
  <c r="C18" i="5"/>
  <c r="I15" i="5"/>
  <c r="K18" i="5"/>
  <c r="K28" i="5" s="1"/>
  <c r="F17" i="5"/>
  <c r="F37" i="5" s="1"/>
  <c r="L15" i="5"/>
  <c r="L35" i="5" s="1"/>
  <c r="K17" i="5"/>
  <c r="G24" i="5"/>
  <c r="O14" i="5"/>
  <c r="J24" i="5"/>
  <c r="P7" i="7"/>
  <c r="P21" i="7"/>
  <c r="P24" i="7"/>
  <c r="P35" i="7"/>
  <c r="P57" i="7"/>
  <c r="P76" i="7"/>
  <c r="P116" i="7"/>
  <c r="Q14" i="5"/>
  <c r="P42" i="7"/>
  <c r="P13" i="7"/>
  <c r="P95" i="7"/>
  <c r="R14" i="5"/>
  <c r="I24" i="5"/>
  <c r="S14" i="5"/>
  <c r="F34" i="5"/>
  <c r="E24" i="5"/>
  <c r="L24" i="5"/>
  <c r="P104" i="7"/>
  <c r="M34" i="5"/>
  <c r="K24" i="5"/>
  <c r="P31" i="7"/>
  <c r="K34" i="5"/>
  <c r="E34" i="5"/>
  <c r="P5" i="5"/>
  <c r="S5" i="5"/>
  <c r="L34" i="5"/>
  <c r="I34" i="5"/>
  <c r="O7" i="5"/>
  <c r="R5" i="5"/>
  <c r="N4" i="5"/>
  <c r="J34" i="5"/>
  <c r="P6" i="5"/>
  <c r="P8" i="5"/>
  <c r="P7" i="5"/>
  <c r="O8" i="5"/>
  <c r="Q6" i="5"/>
  <c r="S7" i="5"/>
  <c r="G34" i="5"/>
  <c r="O6" i="5"/>
  <c r="R4" i="5"/>
  <c r="Q7" i="5"/>
  <c r="S4" i="5"/>
  <c r="M24" i="5"/>
  <c r="F24" i="5"/>
  <c r="P136" i="7"/>
  <c r="P16" i="7"/>
  <c r="P94" i="7"/>
  <c r="P8" i="7"/>
  <c r="P17" i="7"/>
  <c r="P25" i="7"/>
  <c r="P33" i="7"/>
  <c r="P41" i="7"/>
  <c r="P49" i="7"/>
  <c r="P58" i="7"/>
  <c r="P66" i="7"/>
  <c r="P74" i="7"/>
  <c r="P82" i="7"/>
  <c r="P90" i="7"/>
  <c r="P98" i="7"/>
  <c r="P106" i="7"/>
  <c r="P114" i="7"/>
  <c r="P122" i="7"/>
  <c r="P130" i="7"/>
  <c r="P5" i="7"/>
  <c r="P63" i="7"/>
  <c r="P43" i="7"/>
  <c r="P105" i="7"/>
  <c r="P137" i="7"/>
  <c r="P54" i="7"/>
  <c r="P84" i="7"/>
  <c r="P124" i="7"/>
  <c r="P6" i="7"/>
  <c r="P9" i="7"/>
  <c r="P12" i="7"/>
  <c r="P18" i="7"/>
  <c r="P26" i="7"/>
  <c r="P39" i="7"/>
  <c r="P69" i="7"/>
  <c r="P72" i="7"/>
  <c r="P80" i="7"/>
  <c r="P85" i="7"/>
  <c r="P101" i="7"/>
  <c r="P107" i="7"/>
  <c r="P110" i="7"/>
  <c r="P117" i="7"/>
  <c r="P128" i="7"/>
  <c r="P3" i="7"/>
  <c r="P11" i="7"/>
  <c r="P23" i="7"/>
  <c r="P37" i="7"/>
  <c r="P56" i="7"/>
  <c r="P59" i="7"/>
  <c r="P64" i="7"/>
  <c r="P70" i="7"/>
  <c r="P75" i="7"/>
  <c r="P78" i="7"/>
  <c r="P88" i="7"/>
  <c r="P96" i="7"/>
  <c r="P112" i="7"/>
  <c r="P120" i="7"/>
  <c r="P126" i="7"/>
  <c r="P134" i="7"/>
  <c r="P46" i="7"/>
  <c r="P79" i="7"/>
  <c r="P10" i="7"/>
  <c r="P19" i="7"/>
  <c r="P27" i="7"/>
  <c r="P51" i="7"/>
  <c r="P60" i="7"/>
  <c r="P68" i="7"/>
  <c r="P92" i="7"/>
  <c r="P100" i="7"/>
  <c r="P108" i="7"/>
  <c r="P132" i="7"/>
  <c r="P4" i="7"/>
  <c r="P14" i="7"/>
  <c r="P20" i="7"/>
  <c r="P29" i="7"/>
  <c r="P36" i="7"/>
  <c r="P45" i="7"/>
  <c r="P47" i="7"/>
  <c r="P52" i="7"/>
  <c r="P62" i="7"/>
  <c r="P86" i="7"/>
  <c r="P91" i="7"/>
  <c r="P102" i="7"/>
  <c r="P118" i="7"/>
  <c r="P123" i="7"/>
  <c r="P133" i="7"/>
  <c r="P30" i="7"/>
  <c r="P111" i="7"/>
  <c r="P127" i="7"/>
  <c r="P40" i="7"/>
  <c r="P73" i="7"/>
  <c r="P89" i="7"/>
  <c r="P121" i="7"/>
  <c r="P2" i="7"/>
  <c r="Q4" i="5"/>
  <c r="O5" i="5"/>
  <c r="R6" i="5"/>
  <c r="S8" i="5"/>
  <c r="N6" i="5"/>
  <c r="Q5" i="5"/>
  <c r="Q8" i="5"/>
  <c r="R8" i="5"/>
  <c r="S6" i="5"/>
  <c r="N7" i="5"/>
  <c r="N5" i="5"/>
  <c r="R7" i="5"/>
  <c r="P4" i="5"/>
  <c r="H8" i="5"/>
  <c r="N8" i="5"/>
  <c r="P34" i="7"/>
  <c r="P50" i="7"/>
  <c r="P67" i="7"/>
  <c r="P83" i="7"/>
  <c r="P115" i="7"/>
  <c r="P131" i="7"/>
  <c r="P28" i="7"/>
  <c r="P44" i="7"/>
  <c r="P61" i="7"/>
  <c r="P77" i="7"/>
  <c r="P109" i="7"/>
  <c r="P125" i="7"/>
  <c r="P22" i="7"/>
  <c r="P38" i="7"/>
  <c r="P55" i="7"/>
  <c r="P71" i="7"/>
  <c r="P87" i="7"/>
  <c r="P103" i="7"/>
  <c r="P119" i="7"/>
  <c r="P135" i="7"/>
  <c r="P32" i="7"/>
  <c r="P48" i="7"/>
  <c r="P65" i="7"/>
  <c r="P81" i="7"/>
  <c r="P97" i="7"/>
  <c r="P113" i="7"/>
  <c r="P129" i="7"/>
  <c r="J9" i="5"/>
  <c r="K9" i="5"/>
  <c r="L9" i="5"/>
  <c r="H7" i="5"/>
  <c r="H5" i="5"/>
  <c r="I9" i="5"/>
  <c r="M9" i="5"/>
  <c r="H6" i="5"/>
  <c r="H4" i="5"/>
  <c r="D9" i="5"/>
  <c r="E9" i="5"/>
  <c r="P10" i="4"/>
  <c r="P17" i="4"/>
  <c r="P74" i="4"/>
  <c r="P82" i="4"/>
  <c r="P112" i="4"/>
  <c r="N9" i="5" l="1"/>
  <c r="N34" i="5"/>
  <c r="S1" i="7"/>
  <c r="K35" i="5"/>
  <c r="C26" i="5"/>
  <c r="H16" i="5"/>
  <c r="C28" i="5"/>
  <c r="H18" i="5"/>
  <c r="I27" i="5"/>
  <c r="N17" i="5"/>
  <c r="N27" i="5" s="1"/>
  <c r="I25" i="5"/>
  <c r="N15" i="5"/>
  <c r="N35" i="5" s="1"/>
  <c r="N16" i="5"/>
  <c r="N26" i="5" s="1"/>
  <c r="C37" i="5"/>
  <c r="H17" i="5"/>
  <c r="H15" i="5"/>
  <c r="P14" i="5"/>
  <c r="P24" i="5" s="1"/>
  <c r="I28" i="5"/>
  <c r="N18" i="5"/>
  <c r="N28" i="5" s="1"/>
  <c r="F12" i="6"/>
  <c r="D24" i="5"/>
  <c r="D34" i="5"/>
  <c r="T1" i="7"/>
  <c r="F14" i="6"/>
  <c r="Q65" i="7"/>
  <c r="R65" i="7"/>
  <c r="R125" i="7"/>
  <c r="Q125" i="7"/>
  <c r="R77" i="7"/>
  <c r="Q77" i="7"/>
  <c r="Q111" i="7"/>
  <c r="R111" i="7"/>
  <c r="R62" i="7"/>
  <c r="Q62" i="7"/>
  <c r="R27" i="7"/>
  <c r="Q27" i="7"/>
  <c r="Q56" i="7"/>
  <c r="R56" i="7"/>
  <c r="R107" i="7"/>
  <c r="Q107" i="7"/>
  <c r="Q105" i="7"/>
  <c r="R105" i="7"/>
  <c r="R33" i="7"/>
  <c r="Q33" i="7"/>
  <c r="R7" i="7"/>
  <c r="Q7" i="7"/>
  <c r="Q131" i="7"/>
  <c r="R131" i="7"/>
  <c r="Q96" i="7"/>
  <c r="R96" i="7"/>
  <c r="Q25" i="7"/>
  <c r="R25" i="7"/>
  <c r="F28" i="5"/>
  <c r="E14" i="6"/>
  <c r="R93" i="7"/>
  <c r="Q93" i="7"/>
  <c r="R34" i="7"/>
  <c r="Q34" i="7"/>
  <c r="R102" i="7"/>
  <c r="Q102" i="7"/>
  <c r="R29" i="7"/>
  <c r="Q29" i="7"/>
  <c r="R68" i="7"/>
  <c r="Q68" i="7"/>
  <c r="R70" i="7"/>
  <c r="Q70" i="7"/>
  <c r="R128" i="7"/>
  <c r="Q128" i="7"/>
  <c r="R69" i="7"/>
  <c r="Q69" i="7"/>
  <c r="R84" i="7"/>
  <c r="Q84" i="7"/>
  <c r="R122" i="7"/>
  <c r="Q122" i="7"/>
  <c r="Q16" i="7"/>
  <c r="R16" i="7"/>
  <c r="Q95" i="7"/>
  <c r="R95" i="7"/>
  <c r="R35" i="7"/>
  <c r="Q35" i="7"/>
  <c r="Q119" i="7"/>
  <c r="R119" i="7"/>
  <c r="Q39" i="7"/>
  <c r="R39" i="7"/>
  <c r="Q71" i="7"/>
  <c r="R71" i="7"/>
  <c r="R83" i="7"/>
  <c r="Q83" i="7"/>
  <c r="R127" i="7"/>
  <c r="Q127" i="7"/>
  <c r="Q14" i="7"/>
  <c r="R14" i="7"/>
  <c r="Q120" i="7"/>
  <c r="R120" i="7"/>
  <c r="R110" i="7"/>
  <c r="Q110" i="7"/>
  <c r="Q26" i="7"/>
  <c r="M8" i="6"/>
  <c r="N8" i="6" s="1"/>
  <c r="R26" i="7"/>
  <c r="I31" i="9"/>
  <c r="Q106" i="7"/>
  <c r="R106" i="7"/>
  <c r="R42" i="7"/>
  <c r="Q42" i="7"/>
  <c r="E25" i="5"/>
  <c r="E15" i="6"/>
  <c r="Q81" i="7"/>
  <c r="R81" i="7"/>
  <c r="R99" i="7"/>
  <c r="Q99" i="7"/>
  <c r="R73" i="7"/>
  <c r="Q73" i="7"/>
  <c r="R134" i="7"/>
  <c r="Q134" i="7"/>
  <c r="R58" i="7"/>
  <c r="Q58" i="7"/>
  <c r="R64" i="7"/>
  <c r="Q64" i="7"/>
  <c r="R113" i="7"/>
  <c r="Q113" i="7"/>
  <c r="R86" i="7"/>
  <c r="Q86" i="7"/>
  <c r="R51" i="7"/>
  <c r="Q51" i="7"/>
  <c r="R59" i="7"/>
  <c r="Q59" i="7"/>
  <c r="R137" i="7"/>
  <c r="Q137" i="7"/>
  <c r="Q41" i="7"/>
  <c r="R41" i="7"/>
  <c r="R21" i="7"/>
  <c r="Q21" i="7"/>
  <c r="R22" i="7"/>
  <c r="Q22" i="7"/>
  <c r="R28" i="7"/>
  <c r="Q28" i="7"/>
  <c r="R4" i="7"/>
  <c r="Q4" i="7"/>
  <c r="R112" i="7"/>
  <c r="Q112" i="7"/>
  <c r="R18" i="7"/>
  <c r="Q18" i="7"/>
  <c r="R98" i="7"/>
  <c r="Q98" i="7"/>
  <c r="Q104" i="7"/>
  <c r="R104" i="7"/>
  <c r="F15" i="6"/>
  <c r="Q30" i="7"/>
  <c r="R30" i="7"/>
  <c r="R132" i="7"/>
  <c r="Q132" i="7"/>
  <c r="R37" i="7"/>
  <c r="Q37" i="7"/>
  <c r="R43" i="7"/>
  <c r="Q43" i="7"/>
  <c r="J26" i="5"/>
  <c r="Q97" i="7"/>
  <c r="R97" i="7"/>
  <c r="R133" i="7"/>
  <c r="Q133" i="7"/>
  <c r="R108" i="7"/>
  <c r="Q108" i="7"/>
  <c r="R88" i="7"/>
  <c r="Q88" i="7"/>
  <c r="R85" i="7"/>
  <c r="Q85" i="7"/>
  <c r="R63" i="7"/>
  <c r="Q63" i="7"/>
  <c r="R17" i="7"/>
  <c r="Q17" i="7"/>
  <c r="R116" i="7"/>
  <c r="Q116" i="7"/>
  <c r="R48" i="7"/>
  <c r="Q48" i="7"/>
  <c r="R45" i="7"/>
  <c r="Q45" i="7"/>
  <c r="R11" i="7"/>
  <c r="Q11" i="7"/>
  <c r="R74" i="7"/>
  <c r="Q74" i="7"/>
  <c r="R76" i="7"/>
  <c r="Q76" i="7"/>
  <c r="E13" i="6"/>
  <c r="R38" i="7"/>
  <c r="Q38" i="7"/>
  <c r="Q32" i="7"/>
  <c r="R32" i="7"/>
  <c r="R44" i="7"/>
  <c r="Q44" i="7"/>
  <c r="Q40" i="7"/>
  <c r="R40" i="7"/>
  <c r="Q91" i="7"/>
  <c r="R91" i="7"/>
  <c r="R20" i="7"/>
  <c r="Q20" i="7"/>
  <c r="R60" i="7"/>
  <c r="Q60" i="7"/>
  <c r="R126" i="7"/>
  <c r="Q126" i="7"/>
  <c r="R117" i="7"/>
  <c r="Q117" i="7"/>
  <c r="R54" i="7"/>
  <c r="Q54" i="7"/>
  <c r="R114" i="7"/>
  <c r="Q114" i="7"/>
  <c r="R49" i="7"/>
  <c r="Q49" i="7"/>
  <c r="Q136" i="7"/>
  <c r="R136" i="7"/>
  <c r="Q13" i="7"/>
  <c r="R13" i="7"/>
  <c r="R24" i="7"/>
  <c r="Q24" i="7"/>
  <c r="D11" i="6"/>
  <c r="C11" i="6"/>
  <c r="R103" i="7"/>
  <c r="Q103" i="7"/>
  <c r="Q67" i="7"/>
  <c r="R67" i="7"/>
  <c r="R52" i="7"/>
  <c r="Q52" i="7"/>
  <c r="R19" i="7"/>
  <c r="Q19" i="7"/>
  <c r="R101" i="7"/>
  <c r="Q101" i="7"/>
  <c r="R12" i="7"/>
  <c r="Q12" i="7"/>
  <c r="Q90" i="7"/>
  <c r="R90" i="7"/>
  <c r="Q55" i="7"/>
  <c r="R55" i="7"/>
  <c r="R109" i="7"/>
  <c r="Q109" i="7"/>
  <c r="R2" i="7"/>
  <c r="Q2" i="7"/>
  <c r="M11" i="6"/>
  <c r="N11" i="6" s="1"/>
  <c r="F11" i="6"/>
  <c r="N24" i="5"/>
  <c r="E11" i="6"/>
  <c r="J31" i="9"/>
  <c r="R47" i="7"/>
  <c r="Q47" i="7"/>
  <c r="R10" i="7"/>
  <c r="Q10" i="7"/>
  <c r="R23" i="7"/>
  <c r="Q23" i="7"/>
  <c r="R9" i="7"/>
  <c r="Q9" i="7"/>
  <c r="R82" i="7"/>
  <c r="Q82" i="7"/>
  <c r="Q31" i="7"/>
  <c r="R31" i="7"/>
  <c r="Q135" i="7"/>
  <c r="R135" i="7"/>
  <c r="R61" i="7"/>
  <c r="Q61" i="7"/>
  <c r="Q115" i="7"/>
  <c r="R115" i="7"/>
  <c r="Q50" i="7"/>
  <c r="R50" i="7"/>
  <c r="R121" i="7"/>
  <c r="Q121" i="7"/>
  <c r="R123" i="7"/>
  <c r="Q123" i="7"/>
  <c r="R100" i="7"/>
  <c r="Q100" i="7"/>
  <c r="Q79" i="7"/>
  <c r="R79" i="7"/>
  <c r="R78" i="7"/>
  <c r="Q78" i="7"/>
  <c r="Q80" i="7"/>
  <c r="R80" i="7"/>
  <c r="Q6" i="7"/>
  <c r="R6" i="7"/>
  <c r="R5" i="7"/>
  <c r="Q5" i="7"/>
  <c r="R8" i="7"/>
  <c r="Q8" i="7"/>
  <c r="Q129" i="7"/>
  <c r="R129" i="7"/>
  <c r="R87" i="7"/>
  <c r="Q87" i="7"/>
  <c r="R89" i="7"/>
  <c r="Q89" i="7"/>
  <c r="R118" i="7"/>
  <c r="Q118" i="7"/>
  <c r="R36" i="7"/>
  <c r="Q36" i="7"/>
  <c r="R92" i="7"/>
  <c r="Q92" i="7"/>
  <c r="R46" i="7"/>
  <c r="Q46" i="7"/>
  <c r="R75" i="7"/>
  <c r="Q75" i="7"/>
  <c r="R3" i="7"/>
  <c r="Q3" i="7"/>
  <c r="Q72" i="7"/>
  <c r="R72" i="7"/>
  <c r="R124" i="7"/>
  <c r="Q124" i="7"/>
  <c r="Q130" i="7"/>
  <c r="R130" i="7"/>
  <c r="Q66" i="7"/>
  <c r="R66" i="7"/>
  <c r="R94" i="7"/>
  <c r="Q94" i="7"/>
  <c r="Q57" i="7"/>
  <c r="R57" i="7"/>
  <c r="E12" i="6"/>
  <c r="F13" i="6"/>
  <c r="R18" i="5"/>
  <c r="R28" i="5" s="1"/>
  <c r="S16" i="5"/>
  <c r="S36" i="5" s="1"/>
  <c r="S34" i="5"/>
  <c r="O24" i="5"/>
  <c r="K38" i="5"/>
  <c r="S17" i="5"/>
  <c r="S27" i="5" s="1"/>
  <c r="M27" i="5"/>
  <c r="G37" i="5"/>
  <c r="L25" i="5"/>
  <c r="E37" i="5"/>
  <c r="P17" i="5"/>
  <c r="P27" i="5" s="1"/>
  <c r="Q16" i="5"/>
  <c r="Q26" i="5" s="1"/>
  <c r="G27" i="5"/>
  <c r="Q17" i="5"/>
  <c r="Q37" i="5" s="1"/>
  <c r="D37" i="5"/>
  <c r="M25" i="5"/>
  <c r="Q18" i="5"/>
  <c r="Q28" i="5" s="1"/>
  <c r="M28" i="5"/>
  <c r="K27" i="5"/>
  <c r="E28" i="5"/>
  <c r="I37" i="5"/>
  <c r="Q15" i="5"/>
  <c r="Q25" i="5" s="1"/>
  <c r="J28" i="5"/>
  <c r="M36" i="5"/>
  <c r="Q34" i="5"/>
  <c r="G28" i="5"/>
  <c r="F35" i="5"/>
  <c r="L38" i="5"/>
  <c r="D36" i="5"/>
  <c r="O16" i="5"/>
  <c r="O36" i="5" s="1"/>
  <c r="S15" i="5"/>
  <c r="G36" i="5"/>
  <c r="C36" i="5"/>
  <c r="D35" i="5"/>
  <c r="M19" i="5"/>
  <c r="M39" i="5" s="1"/>
  <c r="K37" i="5"/>
  <c r="C38" i="5"/>
  <c r="G35" i="5"/>
  <c r="F27" i="5"/>
  <c r="G19" i="5"/>
  <c r="C19" i="5"/>
  <c r="K19" i="5"/>
  <c r="K39" i="5" s="1"/>
  <c r="K26" i="5"/>
  <c r="C27" i="5"/>
  <c r="L19" i="5"/>
  <c r="R16" i="5"/>
  <c r="R26" i="5" s="1"/>
  <c r="J27" i="5"/>
  <c r="D38" i="5"/>
  <c r="R17" i="5"/>
  <c r="R37" i="5" s="1"/>
  <c r="D19" i="5"/>
  <c r="D29" i="5" s="1"/>
  <c r="O17" i="5"/>
  <c r="C25" i="5"/>
  <c r="P16" i="5"/>
  <c r="P36" i="5" s="1"/>
  <c r="I19" i="5"/>
  <c r="O15" i="5"/>
  <c r="O25" i="5" s="1"/>
  <c r="F19" i="5"/>
  <c r="E26" i="5"/>
  <c r="L26" i="5"/>
  <c r="I36" i="5"/>
  <c r="K36" i="5"/>
  <c r="L28" i="5"/>
  <c r="P15" i="5"/>
  <c r="P18" i="5"/>
  <c r="P28" i="5" s="1"/>
  <c r="F26" i="5"/>
  <c r="M26" i="5"/>
  <c r="R15" i="5"/>
  <c r="R35" i="5" s="1"/>
  <c r="E19" i="5"/>
  <c r="E29" i="5" s="1"/>
  <c r="J37" i="5"/>
  <c r="C35" i="5"/>
  <c r="I26" i="5"/>
  <c r="J25" i="5"/>
  <c r="F36" i="5"/>
  <c r="I35" i="5"/>
  <c r="O18" i="5"/>
  <c r="O28" i="5" s="1"/>
  <c r="L37" i="5"/>
  <c r="S18" i="5"/>
  <c r="S38" i="5" s="1"/>
  <c r="J19" i="5"/>
  <c r="S24" i="5"/>
  <c r="O34" i="5"/>
  <c r="R34" i="5"/>
  <c r="R24" i="5"/>
  <c r="T4" i="5"/>
  <c r="E31" i="9"/>
  <c r="Q9" i="5"/>
  <c r="G31" i="9"/>
  <c r="Q24" i="5"/>
  <c r="T7" i="5"/>
  <c r="F31" i="9"/>
  <c r="H31" i="9"/>
  <c r="T6" i="5"/>
  <c r="T5" i="5"/>
  <c r="P9" i="5"/>
  <c r="O9" i="5"/>
  <c r="T8" i="5"/>
  <c r="J107" i="4"/>
  <c r="J91" i="4"/>
  <c r="J42" i="4"/>
  <c r="J83" i="4"/>
  <c r="J9" i="4"/>
  <c r="J99" i="4"/>
  <c r="J75" i="4"/>
  <c r="J135" i="4"/>
  <c r="J131" i="4"/>
  <c r="J122" i="4"/>
  <c r="J119" i="4"/>
  <c r="J106" i="4"/>
  <c r="J103" i="4"/>
  <c r="J90" i="4"/>
  <c r="J87" i="4"/>
  <c r="J74" i="4"/>
  <c r="Q74" i="4" s="1"/>
  <c r="J71" i="4"/>
  <c r="J67" i="4"/>
  <c r="J49" i="4"/>
  <c r="J46" i="4"/>
  <c r="J41" i="4"/>
  <c r="J38" i="4"/>
  <c r="J33" i="4"/>
  <c r="J30" i="4"/>
  <c r="J25" i="4"/>
  <c r="J22" i="4"/>
  <c r="J17" i="4"/>
  <c r="Q17" i="4" s="1"/>
  <c r="J13" i="4"/>
  <c r="J8" i="4"/>
  <c r="J5" i="4"/>
  <c r="J123" i="4"/>
  <c r="J59" i="4"/>
  <c r="J34" i="4"/>
  <c r="J18" i="4"/>
  <c r="J130" i="4"/>
  <c r="J127" i="4"/>
  <c r="J114" i="4"/>
  <c r="J111" i="4"/>
  <c r="J98" i="4"/>
  <c r="J95" i="4"/>
  <c r="J82" i="4"/>
  <c r="R82" i="4" s="1"/>
  <c r="J79" i="4"/>
  <c r="J66" i="4"/>
  <c r="J63" i="4"/>
  <c r="J58" i="4"/>
  <c r="J55" i="4"/>
  <c r="J115" i="4"/>
  <c r="J50" i="4"/>
  <c r="J26" i="4"/>
  <c r="G9" i="5"/>
  <c r="F9" i="5"/>
  <c r="J125" i="4"/>
  <c r="J120" i="4"/>
  <c r="J101" i="4"/>
  <c r="J96" i="4"/>
  <c r="J77" i="4"/>
  <c r="J72" i="4"/>
  <c r="J44" i="4"/>
  <c r="J39" i="4"/>
  <c r="J20" i="4"/>
  <c r="J6" i="4"/>
  <c r="J133" i="4"/>
  <c r="J128" i="4"/>
  <c r="J109" i="4"/>
  <c r="J104" i="4"/>
  <c r="J85" i="4"/>
  <c r="J80" i="4"/>
  <c r="J61" i="4"/>
  <c r="J56" i="4"/>
  <c r="J28" i="4"/>
  <c r="J23" i="4"/>
  <c r="J11" i="4"/>
  <c r="J3" i="4"/>
  <c r="J134" i="4"/>
  <c r="J118" i="4"/>
  <c r="J102" i="4"/>
  <c r="J86" i="4"/>
  <c r="J70" i="4"/>
  <c r="J54" i="4"/>
  <c r="J37" i="4"/>
  <c r="J29" i="4"/>
  <c r="J4" i="4"/>
  <c r="J137" i="4"/>
  <c r="J132" i="4"/>
  <c r="J129" i="4"/>
  <c r="J124" i="4"/>
  <c r="J121" i="4"/>
  <c r="J116" i="4"/>
  <c r="J113" i="4"/>
  <c r="J108" i="4"/>
  <c r="J105" i="4"/>
  <c r="J100" i="4"/>
  <c r="J97" i="4"/>
  <c r="J92" i="4"/>
  <c r="J89" i="4"/>
  <c r="J84" i="4"/>
  <c r="J81" i="4"/>
  <c r="J76" i="4"/>
  <c r="J73" i="4"/>
  <c r="J68" i="4"/>
  <c r="J65" i="4"/>
  <c r="J60" i="4"/>
  <c r="J57" i="4"/>
  <c r="J51" i="4"/>
  <c r="J48" i="4"/>
  <c r="J43" i="4"/>
  <c r="J40" i="4"/>
  <c r="J35" i="4"/>
  <c r="J32" i="4"/>
  <c r="J27" i="4"/>
  <c r="J24" i="4"/>
  <c r="J19" i="4"/>
  <c r="J16" i="4"/>
  <c r="J10" i="4"/>
  <c r="R10" i="4" s="1"/>
  <c r="J7" i="4"/>
  <c r="J136" i="4"/>
  <c r="J117" i="4"/>
  <c r="J112" i="4"/>
  <c r="R112" i="4" s="1"/>
  <c r="J93" i="4"/>
  <c r="J88" i="4"/>
  <c r="J69" i="4"/>
  <c r="J64" i="4"/>
  <c r="J52" i="4"/>
  <c r="J47" i="4"/>
  <c r="J36" i="4"/>
  <c r="J31" i="4"/>
  <c r="J14" i="4"/>
  <c r="J126" i="4"/>
  <c r="J110" i="4"/>
  <c r="J94" i="4"/>
  <c r="J78" i="4"/>
  <c r="J62" i="4"/>
  <c r="J45" i="4"/>
  <c r="J21" i="4"/>
  <c r="J12" i="4"/>
  <c r="J2" i="4"/>
  <c r="Q2" i="4" s="1"/>
  <c r="P8" i="4"/>
  <c r="P130" i="4"/>
  <c r="P122" i="4"/>
  <c r="P114" i="4"/>
  <c r="P106" i="4"/>
  <c r="P98" i="4"/>
  <c r="P90" i="4"/>
  <c r="P66" i="4"/>
  <c r="P58" i="4"/>
  <c r="P49" i="4"/>
  <c r="P41" i="4"/>
  <c r="P33" i="4"/>
  <c r="P25" i="4"/>
  <c r="P81" i="4"/>
  <c r="P24" i="4"/>
  <c r="P23" i="4"/>
  <c r="P14" i="4"/>
  <c r="P61" i="4"/>
  <c r="P11" i="4"/>
  <c r="P124" i="4"/>
  <c r="P76" i="4"/>
  <c r="P70" i="4"/>
  <c r="P20" i="4"/>
  <c r="P123" i="4"/>
  <c r="P50" i="4"/>
  <c r="P18" i="4"/>
  <c r="P121" i="4"/>
  <c r="P97" i="4"/>
  <c r="P73" i="4"/>
  <c r="P48" i="4"/>
  <c r="P16" i="4"/>
  <c r="P136" i="4"/>
  <c r="P128" i="4"/>
  <c r="P120" i="4"/>
  <c r="P104" i="4"/>
  <c r="P96" i="4"/>
  <c r="P88" i="4"/>
  <c r="P80" i="4"/>
  <c r="P72" i="4"/>
  <c r="P64" i="4"/>
  <c r="P56" i="4"/>
  <c r="P47" i="4"/>
  <c r="P39" i="4"/>
  <c r="P31" i="4"/>
  <c r="P6" i="4"/>
  <c r="P135" i="4"/>
  <c r="P127" i="4"/>
  <c r="P119" i="4"/>
  <c r="P111" i="4"/>
  <c r="P103" i="4"/>
  <c r="P95" i="4"/>
  <c r="P87" i="4"/>
  <c r="P79" i="4"/>
  <c r="P71" i="4"/>
  <c r="P63" i="4"/>
  <c r="P55" i="4"/>
  <c r="P46" i="4"/>
  <c r="P38" i="4"/>
  <c r="P30" i="4"/>
  <c r="P22" i="4"/>
  <c r="P13" i="4"/>
  <c r="P5" i="4"/>
  <c r="P129" i="4"/>
  <c r="P105" i="4"/>
  <c r="P89" i="4"/>
  <c r="P65" i="4"/>
  <c r="P40" i="4"/>
  <c r="P32" i="4"/>
  <c r="P126" i="4"/>
  <c r="P110" i="4"/>
  <c r="P94" i="4"/>
  <c r="P54" i="4"/>
  <c r="P37" i="4"/>
  <c r="P29" i="4"/>
  <c r="P12" i="4"/>
  <c r="P125" i="4"/>
  <c r="P109" i="4"/>
  <c r="P77" i="4"/>
  <c r="P44" i="4"/>
  <c r="P28" i="4"/>
  <c r="P132" i="4"/>
  <c r="P116" i="4"/>
  <c r="P108" i="4"/>
  <c r="P100" i="4"/>
  <c r="P92" i="4"/>
  <c r="P84" i="4"/>
  <c r="P68" i="4"/>
  <c r="P60" i="4"/>
  <c r="P51" i="4"/>
  <c r="P43" i="4"/>
  <c r="P35" i="4"/>
  <c r="P27" i="4"/>
  <c r="P137" i="4"/>
  <c r="P113" i="4"/>
  <c r="P57" i="4"/>
  <c r="P7" i="4"/>
  <c r="P134" i="4"/>
  <c r="P118" i="4"/>
  <c r="P102" i="4"/>
  <c r="P86" i="4"/>
  <c r="P78" i="4"/>
  <c r="P62" i="4"/>
  <c r="P45" i="4"/>
  <c r="P21" i="4"/>
  <c r="P4" i="4"/>
  <c r="P133" i="4"/>
  <c r="P117" i="4"/>
  <c r="P101" i="4"/>
  <c r="P85" i="4"/>
  <c r="P69" i="4"/>
  <c r="P52" i="4"/>
  <c r="P36" i="4"/>
  <c r="P3" i="4"/>
  <c r="P131" i="4"/>
  <c r="P115" i="4"/>
  <c r="P107" i="4"/>
  <c r="P99" i="4"/>
  <c r="P91" i="4"/>
  <c r="P83" i="4"/>
  <c r="P75" i="4"/>
  <c r="P67" i="4"/>
  <c r="P59" i="4"/>
  <c r="P42" i="4"/>
  <c r="P34" i="4"/>
  <c r="P26" i="4"/>
  <c r="P9" i="4"/>
  <c r="U1" i="7" l="1"/>
  <c r="R74" i="4"/>
  <c r="R17" i="4"/>
  <c r="Q82" i="4"/>
  <c r="R2" i="4"/>
  <c r="E29" i="8" s="1"/>
  <c r="Q112" i="4"/>
  <c r="Q10" i="4"/>
  <c r="S1" i="4"/>
  <c r="T1" i="4"/>
  <c r="P34" i="5"/>
  <c r="C39" i="5"/>
  <c r="H19" i="5"/>
  <c r="N19" i="5"/>
  <c r="N29" i="5" s="1"/>
  <c r="C14" i="6"/>
  <c r="J31" i="8"/>
  <c r="R38" i="5"/>
  <c r="E22" i="8"/>
  <c r="E15" i="8"/>
  <c r="E7" i="8"/>
  <c r="E25" i="8"/>
  <c r="E10" i="8"/>
  <c r="E13" i="8"/>
  <c r="E27" i="8"/>
  <c r="E12" i="8"/>
  <c r="E14" i="8"/>
  <c r="E9" i="8"/>
  <c r="E11" i="8"/>
  <c r="E26" i="8"/>
  <c r="E21" i="8"/>
  <c r="E8" i="8"/>
  <c r="R55" i="4"/>
  <c r="Q55" i="4"/>
  <c r="F16" i="6"/>
  <c r="G21" i="9"/>
  <c r="G9" i="9"/>
  <c r="G26" i="9"/>
  <c r="G12" i="9"/>
  <c r="G15" i="9"/>
  <c r="G7" i="9"/>
  <c r="G25" i="9"/>
  <c r="G14" i="9"/>
  <c r="G27" i="9"/>
  <c r="G11" i="9"/>
  <c r="G22" i="9"/>
  <c r="G13" i="9"/>
  <c r="G8" i="9"/>
  <c r="G10" i="9"/>
  <c r="Q9" i="4"/>
  <c r="R9" i="4"/>
  <c r="Q91" i="4"/>
  <c r="R91" i="4"/>
  <c r="R69" i="4"/>
  <c r="Q69" i="4"/>
  <c r="R62" i="4"/>
  <c r="Q62" i="4"/>
  <c r="R113" i="4"/>
  <c r="Q113" i="4"/>
  <c r="Q84" i="4"/>
  <c r="R84" i="4"/>
  <c r="R77" i="4"/>
  <c r="Q77" i="4"/>
  <c r="R94" i="4"/>
  <c r="Q94" i="4"/>
  <c r="R129" i="4"/>
  <c r="Q129" i="4"/>
  <c r="R63" i="4"/>
  <c r="Q63" i="4"/>
  <c r="R127" i="4"/>
  <c r="Q127" i="4"/>
  <c r="R72" i="4"/>
  <c r="Q72" i="4"/>
  <c r="R16" i="4"/>
  <c r="T16" i="5"/>
  <c r="Q16" i="4"/>
  <c r="R20" i="4"/>
  <c r="Q20" i="4"/>
  <c r="R23" i="4"/>
  <c r="Q23" i="4"/>
  <c r="Q66" i="4"/>
  <c r="R66" i="4"/>
  <c r="F14" i="9"/>
  <c r="F21" i="9"/>
  <c r="F9" i="9"/>
  <c r="F26" i="9"/>
  <c r="F12" i="9"/>
  <c r="F25" i="9"/>
  <c r="F27" i="9"/>
  <c r="F11" i="9"/>
  <c r="F22" i="9"/>
  <c r="F10" i="9"/>
  <c r="F8" i="9"/>
  <c r="F13" i="9"/>
  <c r="F15" i="9"/>
  <c r="F7" i="9"/>
  <c r="I15" i="9"/>
  <c r="I7" i="9"/>
  <c r="I22" i="9"/>
  <c r="I10" i="9"/>
  <c r="I27" i="9"/>
  <c r="I13" i="9"/>
  <c r="I8" i="9"/>
  <c r="I14" i="9"/>
  <c r="I12" i="9"/>
  <c r="I21" i="9"/>
  <c r="I9" i="9"/>
  <c r="I26" i="9"/>
  <c r="I25" i="9"/>
  <c r="I11" i="9"/>
  <c r="Q75" i="4"/>
  <c r="R75" i="4"/>
  <c r="R36" i="4"/>
  <c r="Q36" i="4"/>
  <c r="R21" i="4"/>
  <c r="Q21" i="4"/>
  <c r="D13" i="6"/>
  <c r="C13" i="6"/>
  <c r="R7" i="4"/>
  <c r="Q7" i="4"/>
  <c r="R60" i="4"/>
  <c r="Q60" i="4"/>
  <c r="Q28" i="4"/>
  <c r="R28" i="4"/>
  <c r="R37" i="4"/>
  <c r="Q37" i="4"/>
  <c r="R89" i="4"/>
  <c r="Q89" i="4"/>
  <c r="R46" i="4"/>
  <c r="Q46" i="4"/>
  <c r="R111" i="4"/>
  <c r="Q111" i="4"/>
  <c r="R56" i="4"/>
  <c r="Q56" i="4"/>
  <c r="R128" i="4"/>
  <c r="Q128" i="4"/>
  <c r="Q50" i="4"/>
  <c r="R50" i="4"/>
  <c r="R61" i="4"/>
  <c r="Q61" i="4"/>
  <c r="Q49" i="4"/>
  <c r="R49" i="4"/>
  <c r="Q130" i="4"/>
  <c r="R130" i="4"/>
  <c r="I29" i="9"/>
  <c r="Q52" i="4"/>
  <c r="R52" i="4"/>
  <c r="R57" i="4"/>
  <c r="Q57" i="4"/>
  <c r="R105" i="4"/>
  <c r="Q105" i="4"/>
  <c r="R64" i="4"/>
  <c r="Q64" i="4"/>
  <c r="Q123" i="4"/>
  <c r="R123" i="4"/>
  <c r="R58" i="4"/>
  <c r="Q58" i="4"/>
  <c r="J25" i="9"/>
  <c r="E25" i="9"/>
  <c r="E11" i="9"/>
  <c r="J26" i="9"/>
  <c r="E14" i="9"/>
  <c r="E21" i="9"/>
  <c r="E9" i="9"/>
  <c r="E13" i="9"/>
  <c r="E22" i="9"/>
  <c r="E10" i="9"/>
  <c r="J27" i="9"/>
  <c r="E27" i="9"/>
  <c r="E7" i="9"/>
  <c r="E15" i="9"/>
  <c r="E12" i="9"/>
  <c r="E26" i="9"/>
  <c r="E8" i="9"/>
  <c r="H37" i="5"/>
  <c r="Q34" i="4"/>
  <c r="R34" i="4"/>
  <c r="Q107" i="4"/>
  <c r="R107" i="4"/>
  <c r="R101" i="4"/>
  <c r="Q101" i="4"/>
  <c r="Q86" i="4"/>
  <c r="R86" i="4"/>
  <c r="R27" i="4"/>
  <c r="Q27" i="4"/>
  <c r="R100" i="4"/>
  <c r="Q100" i="4"/>
  <c r="R109" i="4"/>
  <c r="Q109" i="4"/>
  <c r="R126" i="4"/>
  <c r="Q126" i="4"/>
  <c r="R13" i="4"/>
  <c r="Q13" i="4"/>
  <c r="R79" i="4"/>
  <c r="Q79" i="4"/>
  <c r="R6" i="4"/>
  <c r="Q6" i="4"/>
  <c r="R88" i="4"/>
  <c r="Q88" i="4"/>
  <c r="R73" i="4"/>
  <c r="Q73" i="4"/>
  <c r="Q19" i="4"/>
  <c r="R19" i="4"/>
  <c r="R81" i="4"/>
  <c r="Q81" i="4"/>
  <c r="Q98" i="4"/>
  <c r="R98" i="4"/>
  <c r="J29" i="9"/>
  <c r="D14" i="6"/>
  <c r="Q42" i="4"/>
  <c r="R42" i="4"/>
  <c r="Q115" i="4"/>
  <c r="R115" i="4"/>
  <c r="Q117" i="4"/>
  <c r="R117" i="4"/>
  <c r="R102" i="4"/>
  <c r="Q102" i="4"/>
  <c r="R35" i="4"/>
  <c r="Q35" i="4"/>
  <c r="Q108" i="4"/>
  <c r="R108" i="4"/>
  <c r="R125" i="4"/>
  <c r="Q125" i="4"/>
  <c r="R32" i="4"/>
  <c r="Q32" i="4"/>
  <c r="R22" i="4"/>
  <c r="Q22" i="4"/>
  <c r="R87" i="4"/>
  <c r="Q87" i="4"/>
  <c r="R31" i="4"/>
  <c r="Q31" i="4"/>
  <c r="R96" i="4"/>
  <c r="Q96" i="4"/>
  <c r="R97" i="4"/>
  <c r="Q97" i="4"/>
  <c r="Q76" i="4"/>
  <c r="R76" i="4"/>
  <c r="R25" i="4"/>
  <c r="Q25" i="4"/>
  <c r="Q106" i="4"/>
  <c r="R106" i="4"/>
  <c r="Q83" i="4"/>
  <c r="R83" i="4"/>
  <c r="R45" i="4"/>
  <c r="Q45" i="4"/>
  <c r="R68" i="4"/>
  <c r="Q68" i="4"/>
  <c r="Q54" i="4"/>
  <c r="R54" i="4"/>
  <c r="R119" i="4"/>
  <c r="Q119" i="4"/>
  <c r="R136" i="4"/>
  <c r="Q136" i="4"/>
  <c r="R14" i="4"/>
  <c r="Q14" i="4"/>
  <c r="Q8" i="4"/>
  <c r="R8" i="4"/>
  <c r="Q99" i="4"/>
  <c r="R99" i="4"/>
  <c r="R78" i="4"/>
  <c r="Q78" i="4"/>
  <c r="R92" i="4"/>
  <c r="Q92" i="4"/>
  <c r="R110" i="4"/>
  <c r="Q110" i="4"/>
  <c r="R135" i="4"/>
  <c r="Q135" i="4"/>
  <c r="R48" i="4"/>
  <c r="Q48" i="4"/>
  <c r="R70" i="4"/>
  <c r="Q70" i="4"/>
  <c r="R90" i="4"/>
  <c r="Q90" i="4"/>
  <c r="R59" i="4"/>
  <c r="Q59" i="4"/>
  <c r="Q131" i="4"/>
  <c r="R131" i="4"/>
  <c r="Q133" i="4"/>
  <c r="R133" i="4"/>
  <c r="Q118" i="4"/>
  <c r="R118" i="4"/>
  <c r="Q43" i="4"/>
  <c r="R43" i="4"/>
  <c r="Q116" i="4"/>
  <c r="R116" i="4"/>
  <c r="R12" i="4"/>
  <c r="Q12" i="4"/>
  <c r="R40" i="4"/>
  <c r="Q40" i="4"/>
  <c r="Q30" i="4"/>
  <c r="R30" i="4"/>
  <c r="R95" i="4"/>
  <c r="Q95" i="4"/>
  <c r="R39" i="4"/>
  <c r="Q39" i="4"/>
  <c r="R104" i="4"/>
  <c r="Q104" i="4"/>
  <c r="R121" i="4"/>
  <c r="Q121" i="4"/>
  <c r="Q124" i="4"/>
  <c r="R124" i="4"/>
  <c r="Q33" i="4"/>
  <c r="R33" i="4"/>
  <c r="Q114" i="4"/>
  <c r="R114" i="4"/>
  <c r="S26" i="5"/>
  <c r="H26" i="9"/>
  <c r="H12" i="9"/>
  <c r="H15" i="9"/>
  <c r="H7" i="9"/>
  <c r="H22" i="9"/>
  <c r="H10" i="9"/>
  <c r="H27" i="9"/>
  <c r="H11" i="9"/>
  <c r="H13" i="9"/>
  <c r="H8" i="9"/>
  <c r="H14" i="9"/>
  <c r="H21" i="9"/>
  <c r="H9" i="9"/>
  <c r="H25" i="9"/>
  <c r="Q44" i="4"/>
  <c r="R44" i="4"/>
  <c r="T18" i="5"/>
  <c r="R26" i="4"/>
  <c r="Q26" i="4"/>
  <c r="C15" i="6"/>
  <c r="I31" i="8"/>
  <c r="D15" i="6"/>
  <c r="Q85" i="4"/>
  <c r="R85" i="4"/>
  <c r="R137" i="4"/>
  <c r="Q137" i="4"/>
  <c r="R93" i="4"/>
  <c r="Q93" i="4"/>
  <c r="R5" i="4"/>
  <c r="Q5" i="4"/>
  <c r="Q71" i="4"/>
  <c r="R71" i="4"/>
  <c r="R80" i="4"/>
  <c r="Q80" i="4"/>
  <c r="R24" i="4"/>
  <c r="Q24" i="4"/>
  <c r="Q67" i="4"/>
  <c r="R67" i="4"/>
  <c r="T15" i="5"/>
  <c r="C12" i="6"/>
  <c r="R3" i="4"/>
  <c r="Q3" i="4"/>
  <c r="D12" i="6"/>
  <c r="R4" i="4"/>
  <c r="Q4" i="4"/>
  <c r="R134" i="4"/>
  <c r="Q134" i="4"/>
  <c r="Q51" i="4"/>
  <c r="R51" i="4"/>
  <c r="Q132" i="4"/>
  <c r="R132" i="4"/>
  <c r="Q29" i="4"/>
  <c r="R29" i="4"/>
  <c r="R65" i="4"/>
  <c r="Q65" i="4"/>
  <c r="Q38" i="4"/>
  <c r="R38" i="4"/>
  <c r="R103" i="4"/>
  <c r="Q103" i="4"/>
  <c r="R47" i="4"/>
  <c r="Q47" i="4"/>
  <c r="R120" i="4"/>
  <c r="Q120" i="4"/>
  <c r="Q18" i="4"/>
  <c r="R18" i="4"/>
  <c r="R11" i="4"/>
  <c r="Q11" i="4"/>
  <c r="Q41" i="4"/>
  <c r="R41" i="4"/>
  <c r="Q122" i="4"/>
  <c r="R122" i="4"/>
  <c r="M2" i="6"/>
  <c r="N2" i="6" s="1"/>
  <c r="O2" i="6" s="1"/>
  <c r="Q35" i="5"/>
  <c r="P37" i="5"/>
  <c r="S37" i="5"/>
  <c r="P19" i="5"/>
  <c r="P39" i="5" s="1"/>
  <c r="D39" i="5"/>
  <c r="O26" i="5"/>
  <c r="S28" i="5"/>
  <c r="E39" i="5"/>
  <c r="Q36" i="5"/>
  <c r="S19" i="5"/>
  <c r="Q38" i="5"/>
  <c r="Q27" i="5"/>
  <c r="M29" i="5"/>
  <c r="C29" i="5"/>
  <c r="O19" i="5"/>
  <c r="O39" i="5" s="1"/>
  <c r="K29" i="5"/>
  <c r="O38" i="5"/>
  <c r="S35" i="5"/>
  <c r="S25" i="5"/>
  <c r="N37" i="5"/>
  <c r="N25" i="5"/>
  <c r="R25" i="5"/>
  <c r="L39" i="5"/>
  <c r="R19" i="5"/>
  <c r="J29" i="5"/>
  <c r="P26" i="5"/>
  <c r="J39" i="5"/>
  <c r="P25" i="5"/>
  <c r="P35" i="5"/>
  <c r="R27" i="5"/>
  <c r="L29" i="5"/>
  <c r="R36" i="5"/>
  <c r="P38" i="5"/>
  <c r="Q19" i="5"/>
  <c r="Q39" i="5" s="1"/>
  <c r="H34" i="5"/>
  <c r="H24" i="5"/>
  <c r="I29" i="5"/>
  <c r="O35" i="5"/>
  <c r="T14" i="5"/>
  <c r="T24" i="5" s="1"/>
  <c r="O37" i="5"/>
  <c r="O27" i="5"/>
  <c r="N36" i="5"/>
  <c r="N38" i="5"/>
  <c r="I39" i="5"/>
  <c r="H29" i="9"/>
  <c r="M5" i="6"/>
  <c r="H9" i="5"/>
  <c r="T9" i="5" s="1"/>
  <c r="R9" i="5"/>
  <c r="F29" i="9"/>
  <c r="G29" i="9"/>
  <c r="F39" i="5"/>
  <c r="F29" i="5"/>
  <c r="S9" i="5"/>
  <c r="G29" i="5"/>
  <c r="G39" i="5"/>
  <c r="E29" i="9"/>
  <c r="E31" i="8"/>
  <c r="G31" i="8"/>
  <c r="H31" i="8"/>
  <c r="F31" i="8"/>
  <c r="N39" i="5" l="1"/>
  <c r="U1" i="4"/>
  <c r="H9" i="8"/>
  <c r="H13" i="8"/>
  <c r="D16" i="6"/>
  <c r="D22" i="6" s="1"/>
  <c r="E22" i="6" s="1"/>
  <c r="H27" i="8"/>
  <c r="H21" i="8"/>
  <c r="B16" i="9"/>
  <c r="G16" i="9" s="1"/>
  <c r="J29" i="8"/>
  <c r="H14" i="8"/>
  <c r="H7" i="8"/>
  <c r="G13" i="8"/>
  <c r="G26" i="8"/>
  <c r="G8" i="8"/>
  <c r="G11" i="8"/>
  <c r="G9" i="8"/>
  <c r="G15" i="8"/>
  <c r="G25" i="8"/>
  <c r="G12" i="8"/>
  <c r="G7" i="8"/>
  <c r="G22" i="8"/>
  <c r="G27" i="8"/>
  <c r="G10" i="8"/>
  <c r="G21" i="8"/>
  <c r="G14" i="8"/>
  <c r="H11" i="8"/>
  <c r="H8" i="8"/>
  <c r="F25" i="8"/>
  <c r="F10" i="8"/>
  <c r="F13" i="8"/>
  <c r="F26" i="8"/>
  <c r="F8" i="8"/>
  <c r="F14" i="8"/>
  <c r="F9" i="8"/>
  <c r="F11" i="8"/>
  <c r="F21" i="8"/>
  <c r="F12" i="8"/>
  <c r="F7" i="8"/>
  <c r="F22" i="8"/>
  <c r="F15" i="8"/>
  <c r="F27" i="8"/>
  <c r="I29" i="8"/>
  <c r="H25" i="8"/>
  <c r="H26" i="8"/>
  <c r="B16" i="8"/>
  <c r="H15" i="8"/>
  <c r="H12" i="8"/>
  <c r="E23" i="8"/>
  <c r="J26" i="8"/>
  <c r="J27" i="8"/>
  <c r="H22" i="8"/>
  <c r="J25" i="8"/>
  <c r="C6" i="8"/>
  <c r="C6" i="9"/>
  <c r="I11" i="8"/>
  <c r="I27" i="8"/>
  <c r="I21" i="8"/>
  <c r="I14" i="8"/>
  <c r="I9" i="8"/>
  <c r="I22" i="8"/>
  <c r="I26" i="8"/>
  <c r="I13" i="8"/>
  <c r="I8" i="8"/>
  <c r="I12" i="8"/>
  <c r="I10" i="8"/>
  <c r="I25" i="8"/>
  <c r="I15" i="8"/>
  <c r="I7" i="8"/>
  <c r="H10" i="8"/>
  <c r="N5" i="6"/>
  <c r="O5" i="6" s="1"/>
  <c r="P29" i="5"/>
  <c r="O29" i="5"/>
  <c r="T34" i="5"/>
  <c r="H27" i="5"/>
  <c r="T17" i="5"/>
  <c r="F29" i="8"/>
  <c r="T38" i="5"/>
  <c r="T28" i="5"/>
  <c r="T36" i="5"/>
  <c r="T26" i="5"/>
  <c r="T25" i="5"/>
  <c r="T35" i="5"/>
  <c r="H36" i="5"/>
  <c r="H26" i="5"/>
  <c r="T19" i="5"/>
  <c r="T29" i="5" s="1"/>
  <c r="Q29" i="5"/>
  <c r="H25" i="5"/>
  <c r="H35" i="5"/>
  <c r="H28" i="5"/>
  <c r="H38" i="5"/>
  <c r="G29" i="8"/>
  <c r="H29" i="8"/>
  <c r="J14" i="9"/>
  <c r="S39" i="5"/>
  <c r="S29" i="5"/>
  <c r="G18" i="9"/>
  <c r="J10" i="9"/>
  <c r="E18" i="9"/>
  <c r="J8" i="9"/>
  <c r="H23" i="9"/>
  <c r="N21" i="9" s="1"/>
  <c r="J22" i="9"/>
  <c r="F17" i="9"/>
  <c r="F19" i="9"/>
  <c r="J7" i="9"/>
  <c r="F23" i="9"/>
  <c r="L8" i="9" s="1"/>
  <c r="I19" i="9"/>
  <c r="R29" i="5"/>
  <c r="R39" i="5"/>
  <c r="F18" i="9"/>
  <c r="G19" i="9"/>
  <c r="E17" i="9"/>
  <c r="J12" i="9"/>
  <c r="H17" i="9"/>
  <c r="J13" i="9"/>
  <c r="J15" i="9"/>
  <c r="H18" i="9"/>
  <c r="J21" i="9"/>
  <c r="E23" i="9"/>
  <c r="K15" i="9" s="1"/>
  <c r="I18" i="9"/>
  <c r="I17" i="9"/>
  <c r="G23" i="9"/>
  <c r="M14" i="9" s="1"/>
  <c r="H19" i="9"/>
  <c r="I5" i="6"/>
  <c r="J5" i="6" s="1"/>
  <c r="K5" i="6" s="1"/>
  <c r="E19" i="9"/>
  <c r="J9" i="9"/>
  <c r="J11" i="9"/>
  <c r="G17" i="9"/>
  <c r="I23" i="9"/>
  <c r="O15" i="9" s="1"/>
  <c r="I2" i="6"/>
  <c r="J2" i="6" s="1"/>
  <c r="K2" i="6" s="1"/>
  <c r="E16" i="9" l="1"/>
  <c r="F16" i="9"/>
  <c r="L16" i="9" s="1"/>
  <c r="I16" i="9"/>
  <c r="O16" i="9" s="1"/>
  <c r="H16" i="9"/>
  <c r="N16" i="9" s="1"/>
  <c r="J21" i="8"/>
  <c r="I6" i="8"/>
  <c r="H6" i="8"/>
  <c r="G6" i="8"/>
  <c r="F6" i="8"/>
  <c r="E6" i="8"/>
  <c r="I16" i="8"/>
  <c r="G16" i="8"/>
  <c r="F16" i="8"/>
  <c r="E16" i="8"/>
  <c r="K16" i="8" s="1"/>
  <c r="H16" i="8"/>
  <c r="F6" i="9"/>
  <c r="L6" i="9" s="1"/>
  <c r="E6" i="9"/>
  <c r="H6" i="9"/>
  <c r="N6" i="9" s="1"/>
  <c r="G6" i="9"/>
  <c r="M6" i="9" s="1"/>
  <c r="I6" i="9"/>
  <c r="O6" i="9" s="1"/>
  <c r="T37" i="5"/>
  <c r="T27" i="5"/>
  <c r="T39" i="5"/>
  <c r="M8" i="9"/>
  <c r="H39" i="5"/>
  <c r="H29" i="5"/>
  <c r="M13" i="9"/>
  <c r="M22" i="9"/>
  <c r="L13" i="9"/>
  <c r="L22" i="9"/>
  <c r="N7" i="9"/>
  <c r="J19" i="9"/>
  <c r="L11" i="9"/>
  <c r="O9" i="9"/>
  <c r="K14" i="9"/>
  <c r="L7" i="9"/>
  <c r="L9" i="9"/>
  <c r="J23" i="9"/>
  <c r="P21" i="9" s="1"/>
  <c r="K9" i="9"/>
  <c r="K13" i="9"/>
  <c r="L10" i="9"/>
  <c r="N8" i="9"/>
  <c r="N10" i="9"/>
  <c r="K21" i="9"/>
  <c r="M7" i="9"/>
  <c r="L15" i="9"/>
  <c r="K22" i="9"/>
  <c r="M10" i="9"/>
  <c r="N13" i="9"/>
  <c r="N14" i="9"/>
  <c r="N11" i="9"/>
  <c r="O10" i="9"/>
  <c r="K11" i="9"/>
  <c r="M15" i="9"/>
  <c r="J17" i="9"/>
  <c r="L14" i="9"/>
  <c r="M11" i="9"/>
  <c r="O22" i="9"/>
  <c r="L21" i="9"/>
  <c r="O12" i="9"/>
  <c r="L12" i="9"/>
  <c r="O13" i="9"/>
  <c r="M16" i="9"/>
  <c r="O11" i="9"/>
  <c r="O8" i="9"/>
  <c r="O21" i="9"/>
  <c r="N9" i="9"/>
  <c r="K12" i="9"/>
  <c r="N15" i="9"/>
  <c r="K8" i="9"/>
  <c r="N12" i="9"/>
  <c r="M12" i="9"/>
  <c r="M21" i="9"/>
  <c r="K7" i="9"/>
  <c r="O7" i="9"/>
  <c r="K10" i="9"/>
  <c r="O14" i="9"/>
  <c r="N22" i="9"/>
  <c r="N23" i="9" s="1"/>
  <c r="M9" i="9"/>
  <c r="J18" i="9"/>
  <c r="J8" i="8"/>
  <c r="F17" i="8"/>
  <c r="J12" i="8"/>
  <c r="E19" i="8"/>
  <c r="J9" i="8"/>
  <c r="I17" i="8"/>
  <c r="J22" i="8"/>
  <c r="H17" i="8"/>
  <c r="G23" i="8"/>
  <c r="M8" i="8" s="1"/>
  <c r="J13" i="8"/>
  <c r="I23" i="8"/>
  <c r="O22" i="8" s="1"/>
  <c r="F23" i="8"/>
  <c r="L15" i="8" s="1"/>
  <c r="J15" i="8"/>
  <c r="F19" i="8"/>
  <c r="F18" i="8"/>
  <c r="H19" i="8"/>
  <c r="E17" i="8"/>
  <c r="J11" i="8"/>
  <c r="H18" i="8"/>
  <c r="G19" i="8"/>
  <c r="I19" i="8"/>
  <c r="E18" i="8"/>
  <c r="J10" i="8"/>
  <c r="I18" i="8"/>
  <c r="G18" i="8"/>
  <c r="G17" i="8"/>
  <c r="J14" i="8"/>
  <c r="J7" i="8"/>
  <c r="H23" i="8"/>
  <c r="N14" i="8" s="1"/>
  <c r="O17" i="9" l="1"/>
  <c r="J6" i="8"/>
  <c r="K6" i="8"/>
  <c r="O6" i="8"/>
  <c r="K22" i="8"/>
  <c r="L17" i="9"/>
  <c r="K23" i="9"/>
  <c r="O16" i="8"/>
  <c r="P22" i="9"/>
  <c r="P23" i="9" s="1"/>
  <c r="M23" i="9"/>
  <c r="P9" i="9"/>
  <c r="L23" i="9"/>
  <c r="O19" i="9"/>
  <c r="L9" i="8"/>
  <c r="M18" i="9"/>
  <c r="P13" i="9"/>
  <c r="P15" i="9"/>
  <c r="N16" i="8"/>
  <c r="P7" i="9"/>
  <c r="L16" i="8"/>
  <c r="P14" i="9"/>
  <c r="O12" i="8"/>
  <c r="N7" i="8"/>
  <c r="O7" i="8"/>
  <c r="M13" i="8"/>
  <c r="O11" i="8"/>
  <c r="M12" i="8"/>
  <c r="M9" i="8"/>
  <c r="M19" i="9"/>
  <c r="P11" i="9"/>
  <c r="K17" i="9"/>
  <c r="N21" i="8"/>
  <c r="M11" i="8"/>
  <c r="O21" i="8"/>
  <c r="O23" i="8" s="1"/>
  <c r="M6" i="8"/>
  <c r="P8" i="9"/>
  <c r="O18" i="9"/>
  <c r="L19" i="9"/>
  <c r="N15" i="8"/>
  <c r="N9" i="8"/>
  <c r="N17" i="9"/>
  <c r="N10" i="8"/>
  <c r="L7" i="8"/>
  <c r="P10" i="9"/>
  <c r="K18" i="9"/>
  <c r="N19" i="9"/>
  <c r="M17" i="9"/>
  <c r="N8" i="8"/>
  <c r="N6" i="8"/>
  <c r="N12" i="8"/>
  <c r="O23" i="9"/>
  <c r="J16" i="9"/>
  <c r="K16" i="9"/>
  <c r="P16" i="9" s="1"/>
  <c r="J6" i="9"/>
  <c r="K6" i="9"/>
  <c r="P6" i="9" s="1"/>
  <c r="N13" i="8"/>
  <c r="N11" i="8"/>
  <c r="P12" i="9"/>
  <c r="M15" i="8"/>
  <c r="M16" i="8"/>
  <c r="N22" i="8"/>
  <c r="K19" i="9"/>
  <c r="L18" i="9"/>
  <c r="N18" i="9"/>
  <c r="J18" i="8"/>
  <c r="O15" i="8"/>
  <c r="O8" i="8"/>
  <c r="L8" i="8"/>
  <c r="K12" i="8"/>
  <c r="M14" i="8"/>
  <c r="J16" i="8"/>
  <c r="J23" i="8"/>
  <c r="P21" i="8" s="1"/>
  <c r="M22" i="8"/>
  <c r="L21" i="8"/>
  <c r="K13" i="8"/>
  <c r="L13" i="8"/>
  <c r="L14" i="8"/>
  <c r="L12" i="8"/>
  <c r="K21" i="8"/>
  <c r="L10" i="8"/>
  <c r="O10" i="8"/>
  <c r="O9" i="8"/>
  <c r="J17" i="8"/>
  <c r="O14" i="8"/>
  <c r="L6" i="8"/>
  <c r="L22" i="8"/>
  <c r="K9" i="8"/>
  <c r="M10" i="8"/>
  <c r="K8" i="8"/>
  <c r="K7" i="8"/>
  <c r="K11" i="8"/>
  <c r="L11" i="8"/>
  <c r="K14" i="8"/>
  <c r="K10" i="8"/>
  <c r="O13" i="8"/>
  <c r="J19" i="8"/>
  <c r="M7" i="8"/>
  <c r="K15" i="8"/>
  <c r="M21" i="8"/>
  <c r="K23" i="8" l="1"/>
  <c r="P16" i="8"/>
  <c r="P11" i="8"/>
  <c r="P6" i="8"/>
  <c r="P13" i="8"/>
  <c r="P12" i="8"/>
  <c r="P10" i="8"/>
  <c r="P14" i="8"/>
  <c r="P7" i="8"/>
  <c r="P9" i="8"/>
  <c r="P8" i="8"/>
  <c r="P15" i="8"/>
  <c r="P22" i="8"/>
  <c r="P23" i="8" s="1"/>
  <c r="L23" i="8"/>
  <c r="N19" i="8"/>
  <c r="P19" i="9"/>
  <c r="M18" i="8"/>
  <c r="L17" i="8"/>
  <c r="P17" i="9"/>
  <c r="O18" i="8"/>
  <c r="N18" i="8"/>
  <c r="O17" i="8"/>
  <c r="N17" i="8"/>
  <c r="M17" i="8"/>
  <c r="N23" i="8"/>
  <c r="P18" i="9"/>
  <c r="M23" i="8"/>
  <c r="K18" i="8"/>
  <c r="O19" i="8"/>
  <c r="K19" i="8"/>
  <c r="K17" i="8"/>
  <c r="L18" i="8"/>
  <c r="L19" i="8"/>
  <c r="M19" i="8"/>
  <c r="P19" i="8" l="1"/>
  <c r="P18" i="8"/>
  <c r="P1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C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=280</t>
        </r>
      </text>
    </comment>
    <comment ref="C5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added based on model. Observed not availlable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change to 288 later</t>
        </r>
      </text>
    </comment>
    <comment ref="C5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=new 301 observed</t>
        </r>
      </text>
    </comment>
    <comment ref="C8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observed not available, so use the old 371</t>
        </r>
      </text>
    </comment>
    <comment ref="C97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observed not available, so use the old observed 833</t>
        </r>
      </text>
    </comment>
    <comment ref="C125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=new 945 + new 946</t>
        </r>
      </text>
    </comment>
    <comment ref="C139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 days/week, not in model, Tom suggest to remove</t>
        </r>
      </text>
    </comment>
    <comment ref="C140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add with 945, to match 945 in model</t>
        </r>
      </text>
    </comment>
    <comment ref="C141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original 945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o280=m288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9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m288=o280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rb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]('256')"/>
  </connection>
  <connection id="2" xr16:uid="{00000000-0015-0000-FFFF-FFFF01000000}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2016]('873')"/>
  </connection>
</connections>
</file>

<file path=xl/sharedStrings.xml><?xml version="1.0" encoding="utf-8"?>
<sst xmlns="http://schemas.openxmlformats.org/spreadsheetml/2006/main" count="1082" uniqueCount="143">
  <si>
    <t>Local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</si>
  <si>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</si>
  <si>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</si>
  <si>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</si>
  <si>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</si>
  <si>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</si>
  <si>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</si>
  <si>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</si>
  <si>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</si>
  <si>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</si>
  <si>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</si>
  <si>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</si>
  <si>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</si>
  <si>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</si>
  <si>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</si>
  <si>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scenario_id</t>
  </si>
  <si>
    <t>route</t>
  </si>
  <si>
    <t>boarding_EA</t>
  </si>
  <si>
    <t>boarding_AM</t>
  </si>
  <si>
    <t>boarding_MD</t>
  </si>
  <si>
    <t>boarding_PM</t>
  </si>
  <si>
    <t>boarding_EV</t>
  </si>
  <si>
    <t>passenger_mile_EA</t>
  </si>
  <si>
    <t>passenger_mile_AM</t>
  </si>
  <si>
    <t>passenger_mile_MD</t>
  </si>
  <si>
    <t>passenger_mile_PM</t>
  </si>
  <si>
    <t>passenger_mile_EV</t>
  </si>
  <si>
    <t>Observed Transit Ridership</t>
  </si>
  <si>
    <t>Boardings</t>
  </si>
  <si>
    <t>Passenger Miles</t>
  </si>
  <si>
    <t>Ave Trip Length</t>
  </si>
  <si>
    <t>Total</t>
  </si>
  <si>
    <t>Line Haul Mode</t>
  </si>
  <si>
    <t>Estimatd Transit Ridership</t>
  </si>
  <si>
    <t>Estimatd-Observed Transit Ridership</t>
  </si>
  <si>
    <t>% Estimatd-Observed Transit Ridership</t>
  </si>
  <si>
    <t>mode desc</t>
  </si>
  <si>
    <t>order</t>
  </si>
  <si>
    <t>mymode</t>
  </si>
  <si>
    <t>EA</t>
  </si>
  <si>
    <t>AM</t>
  </si>
  <si>
    <t>MD</t>
  </si>
  <si>
    <t>PM</t>
  </si>
  <si>
    <t>EV</t>
  </si>
  <si>
    <t>Day</t>
  </si>
  <si>
    <t>min</t>
  </si>
  <si>
    <t>max</t>
  </si>
  <si>
    <t>Rapid</t>
  </si>
  <si>
    <t>rail</t>
  </si>
  <si>
    <t>bus</t>
  </si>
  <si>
    <t>boardings</t>
  </si>
  <si>
    <t>passenger-miles</t>
  </si>
  <si>
    <t>Gap Range</t>
  </si>
  <si>
    <t>Percents of Gap Range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</si>
  <si>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</si>
  <si>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</si>
  <si>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</si>
  <si>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</si>
  <si>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</si>
  <si>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</si>
  <si>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</si>
  <si>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</si>
  <si>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</si>
  <si>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</si>
  <si>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</si>
  <si>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</si>
  <si>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</si>
  <si>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</si>
  <si>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</si>
  <si>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</si>
  <si>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</si>
  <si>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</si>
  <si>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</si>
  <si>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</si>
  <si>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</si>
  <si>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</si>
  <si>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</si>
  <si>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</si>
  <si>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</si>
  <si>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Gap_Day</t>
  </si>
  <si>
    <t>positive lines</t>
  </si>
  <si>
    <t>negative lines</t>
  </si>
  <si>
    <t>total lines</t>
  </si>
  <si>
    <t>Number of lines within Gap Range</t>
  </si>
  <si>
    <t>by mode</t>
  </si>
  <si>
    <t>x2</t>
  </si>
  <si>
    <t>local</t>
  </si>
  <si>
    <t>author</t>
  </si>
  <si>
    <t>Wu's comments:</t>
  </si>
  <si>
    <t>12% over, better than 15% previously.</t>
  </si>
  <si>
    <t>Local bus still a lot over by 20%.  Any reasons?</t>
  </si>
  <si>
    <t>AM and PM over, related to demand; RSG to adjust.</t>
  </si>
  <si>
    <t>Mode Desc_old</t>
  </si>
  <si>
    <t>Mode Desc_new</t>
  </si>
  <si>
    <t>mode_transit_route_id</t>
  </si>
  <si>
    <t>mode_description</t>
  </si>
  <si>
    <t xml:space="preserve">Local Bus                                                                  </t>
  </si>
  <si>
    <t xml:space="preserve">Express Bus                                                                </t>
  </si>
  <si>
    <t xml:space="preserve">Arterial Rapid                                                             </t>
  </si>
  <si>
    <t xml:space="preserve">Freeway Rapid                                                              </t>
  </si>
  <si>
    <t xml:space="preserve">Commuter Rail                                                              </t>
  </si>
  <si>
    <t xml:space="preserve">Light Rail                                                                 </t>
  </si>
  <si>
    <t xml:space="preserve">Premium Express Bus                                                        </t>
  </si>
  <si>
    <t>config</t>
  </si>
  <si>
    <t>709E</t>
  </si>
  <si>
    <t>Row Labels</t>
  </si>
  <si>
    <t>AM Early Ons</t>
  </si>
  <si>
    <t>AM Peak Ons</t>
  </si>
  <si>
    <t>Midday Ons</t>
  </si>
  <si>
    <t>PM Peak Ons</t>
  </si>
  <si>
    <t>Evening Ons</t>
  </si>
  <si>
    <t>AM Early PMs</t>
  </si>
  <si>
    <t>AM Peak PMs</t>
  </si>
  <si>
    <t>Midday PMs</t>
  </si>
  <si>
    <t>PM Peak PMs</t>
  </si>
  <si>
    <t>Evening PMs</t>
  </si>
  <si>
    <t>AM Early ATL</t>
  </si>
  <si>
    <t>AM Peak ATL</t>
  </si>
  <si>
    <t>Midday ATL</t>
  </si>
  <si>
    <t>PM Peak ATL</t>
  </si>
  <si>
    <t>Evening ATL</t>
  </si>
  <si>
    <t>Sum of AM Early Ons</t>
  </si>
  <si>
    <t>Sum of AM Peak Ons</t>
  </si>
  <si>
    <t>Sum of Midday Ons</t>
  </si>
  <si>
    <t>Sum of PM Peak Ons</t>
  </si>
  <si>
    <t>Sum of Evening Ons</t>
  </si>
  <si>
    <t>Sum of AM Early PMs</t>
  </si>
  <si>
    <t>Sum of AM Peak PMs</t>
  </si>
  <si>
    <t>Sum of Midday PMs</t>
  </si>
  <si>
    <t>Sum of PM Peak PMs</t>
  </si>
  <si>
    <t>Sum of Evening PMs</t>
  </si>
  <si>
    <t>(blank)</t>
  </si>
  <si>
    <t>Grand Total</t>
  </si>
  <si>
    <t>Id_tem</t>
  </si>
  <si>
    <t>order_tem</t>
  </si>
  <si>
    <t>ID_new</t>
  </si>
  <si>
    <t>10_945</t>
  </si>
  <si>
    <t>id_all</t>
  </si>
  <si>
    <t>check</t>
  </si>
  <si>
    <t>cliu@sandag.org</t>
  </si>
  <si>
    <t>route, mode_transit_route_id, boarding_XX and passenger_mile_XX are linked to source_EMME.xlsx</t>
  </si>
  <si>
    <t>mode_transit_route_id2</t>
  </si>
  <si>
    <t>routeC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</si>
</sst>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"/>
    <numFmt numFmtId="167" formatCode="#,##0.0_);\(#,##0.0\)"/>
    <numFmt numFmtId="168" formatCode="0_);\(0\)"/>
    <numFmt numFmtId="169" formatCode="0.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FF99FF"/>
      <name val="Calibri"/>
      <family val="2"/>
      <scheme val="minor"/>
    </font>
    <font>
      <sz val="10"/>
      <color rgb="FFFF99FF"/>
      <name val="Calibri"/>
      <family val="2"/>
      <scheme val="minor"/>
    </font>
    <font>
      <sz val="1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8" tint="0.39997558519241921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07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0" fontId="0" fillId="0" borderId="0" xfId="0" applyBorder="1"/>
    <xf numFmtId="0" fontId="4" fillId="3" borderId="0" xfId="0" applyFont="1" applyFill="1" applyBorder="1"/>
    <xf numFmtId="0" fontId="4" fillId="0" borderId="0" xfId="0" applyFont="1" applyBorder="1"/>
    <xf numFmtId="1" fontId="3" fillId="0" borderId="0" xfId="0" applyNumberFormat="1" applyFont="1"/>
    <xf numFmtId="0" fontId="0" fillId="4" borderId="0" xfId="0" applyFill="1"/>
    <xf numFmtId="1" fontId="3" fillId="4" borderId="0" xfId="0" applyNumberFormat="1" applyFont="1" applyFill="1"/>
    <xf numFmtId="0" fontId="6" fillId="3" borderId="9" xfId="0" applyFont="1" applyFill="1" applyBorder="1"/>
    <xf numFmtId="164" fontId="5" fillId="0" borderId="9" xfId="1" applyNumberFormat="1" applyFont="1" applyBorder="1"/>
    <xf numFmtId="0" fontId="5" fillId="3" borderId="5" xfId="0" applyFont="1" applyFill="1" applyBorder="1"/>
    <xf numFmtId="0" fontId="5" fillId="3" borderId="6" xfId="0" applyFont="1" applyFill="1" applyBorder="1"/>
    <xf numFmtId="0" fontId="6" fillId="3" borderId="7" xfId="0" applyFont="1" applyFill="1" applyBorder="1"/>
    <xf numFmtId="0" fontId="6" fillId="3" borderId="17" xfId="0" applyFont="1" applyFill="1" applyBorder="1"/>
    <xf numFmtId="0" fontId="7" fillId="3" borderId="17" xfId="0" applyFont="1" applyFill="1" applyBorder="1"/>
    <xf numFmtId="164" fontId="8" fillId="0" borderId="9" xfId="1" applyNumberFormat="1" applyFont="1" applyBorder="1"/>
    <xf numFmtId="164" fontId="8" fillId="3" borderId="9" xfId="1" applyNumberFormat="1" applyFont="1" applyFill="1" applyBorder="1"/>
    <xf numFmtId="0" fontId="6" fillId="3" borderId="19" xfId="0" applyFont="1" applyFill="1" applyBorder="1"/>
    <xf numFmtId="164" fontId="6" fillId="0" borderId="8" xfId="1" applyNumberFormat="1" applyFont="1" applyBorder="1"/>
    <xf numFmtId="0" fontId="7" fillId="3" borderId="23" xfId="0" applyFont="1" applyFill="1" applyBorder="1"/>
    <xf numFmtId="0" fontId="7" fillId="3" borderId="24" xfId="0" applyFont="1" applyFill="1" applyBorder="1"/>
    <xf numFmtId="164" fontId="8" fillId="0" borderId="25" xfId="1" applyNumberFormat="1" applyFont="1" applyBorder="1"/>
    <xf numFmtId="164" fontId="7" fillId="0" borderId="26" xfId="1" applyNumberFormat="1" applyFont="1" applyBorder="1"/>
    <xf numFmtId="164" fontId="8" fillId="3" borderId="25" xfId="1" applyNumberFormat="1" applyFont="1" applyFill="1" applyBorder="1"/>
    <xf numFmtId="0" fontId="5" fillId="3" borderId="29" xfId="0" applyFont="1" applyFill="1" applyBorder="1"/>
    <xf numFmtId="0" fontId="5" fillId="3" borderId="17" xfId="0" applyFont="1" applyFill="1" applyBorder="1"/>
    <xf numFmtId="0" fontId="9" fillId="3" borderId="20" xfId="0" applyFont="1" applyFill="1" applyBorder="1"/>
    <xf numFmtId="0" fontId="9" fillId="3" borderId="17" xfId="0" applyFont="1" applyFill="1" applyBorder="1"/>
    <xf numFmtId="0" fontId="9" fillId="3" borderId="18" xfId="0" applyFont="1" applyFill="1" applyBorder="1"/>
    <xf numFmtId="165" fontId="10" fillId="0" borderId="11" xfId="1" applyNumberFormat="1" applyFont="1" applyBorder="1"/>
    <xf numFmtId="165" fontId="10" fillId="0" borderId="9" xfId="1" applyNumberFormat="1" applyFont="1" applyBorder="1"/>
    <xf numFmtId="165" fontId="10" fillId="0" borderId="10" xfId="1" applyNumberFormat="1" applyFont="1" applyBorder="1"/>
    <xf numFmtId="0" fontId="6" fillId="4" borderId="12" xfId="0" applyFont="1" applyFill="1" applyBorder="1"/>
    <xf numFmtId="0" fontId="6" fillId="4" borderId="14" xfId="0" applyFont="1" applyFill="1" applyBorder="1"/>
    <xf numFmtId="164" fontId="5" fillId="4" borderId="14" xfId="1" applyNumberFormat="1" applyFont="1" applyFill="1" applyBorder="1"/>
    <xf numFmtId="164" fontId="6" fillId="4" borderId="13" xfId="1" applyNumberFormat="1" applyFont="1" applyFill="1" applyBorder="1"/>
    <xf numFmtId="164" fontId="8" fillId="4" borderId="27" xfId="1" applyNumberFormat="1" applyFont="1" applyFill="1" applyBorder="1"/>
    <xf numFmtId="164" fontId="8" fillId="4" borderId="14" xfId="1" applyNumberFormat="1" applyFont="1" applyFill="1" applyBorder="1"/>
    <xf numFmtId="164" fontId="7" fillId="4" borderId="28" xfId="1" applyNumberFormat="1" applyFont="1" applyFill="1" applyBorder="1"/>
    <xf numFmtId="165" fontId="10" fillId="4" borderId="16" xfId="1" applyNumberFormat="1" applyFont="1" applyFill="1" applyBorder="1"/>
    <xf numFmtId="165" fontId="10" fillId="4" borderId="14" xfId="1" applyNumberFormat="1" applyFont="1" applyFill="1" applyBorder="1"/>
    <xf numFmtId="165" fontId="10" fillId="4" borderId="15" xfId="1" applyNumberFormat="1" applyFont="1" applyFill="1" applyBorder="1"/>
    <xf numFmtId="0" fontId="0" fillId="0" borderId="0" xfId="0" applyFill="1"/>
    <xf numFmtId="1" fontId="3" fillId="0" borderId="0" xfId="0" applyNumberFormat="1" applyFont="1" applyFill="1"/>
    <xf numFmtId="0" fontId="0" fillId="5" borderId="0" xfId="0" applyFill="1"/>
    <xf numFmtId="1" fontId="3" fillId="5" borderId="0" xfId="0" applyNumberFormat="1" applyFont="1" applyFill="1"/>
    <xf numFmtId="0" fontId="0" fillId="6" borderId="0" xfId="0" applyFill="1"/>
    <xf numFmtId="1" fontId="3" fillId="6" borderId="0" xfId="0" applyNumberFormat="1" applyFont="1" applyFill="1"/>
    <xf numFmtId="0" fontId="0" fillId="7" borderId="0" xfId="0" applyFill="1"/>
    <xf numFmtId="1" fontId="3" fillId="7" borderId="0" xfId="0" applyNumberFormat="1" applyFont="1" applyFill="1"/>
    <xf numFmtId="0" fontId="0" fillId="8" borderId="0" xfId="0" applyFill="1"/>
    <xf numFmtId="1" fontId="3" fillId="8" borderId="0" xfId="0" applyNumberFormat="1" applyFont="1" applyFill="1"/>
    <xf numFmtId="1" fontId="11" fillId="0" borderId="0" xfId="0" applyNumberFormat="1" applyFont="1"/>
    <xf numFmtId="1" fontId="11" fillId="8" borderId="0" xfId="0" applyNumberFormat="1" applyFont="1" applyFill="1"/>
    <xf numFmtId="1" fontId="11" fillId="0" borderId="0" xfId="0" applyNumberFormat="1" applyFont="1" applyFill="1"/>
    <xf numFmtId="1" fontId="11" fillId="7" borderId="0" xfId="0" applyNumberFormat="1" applyFont="1" applyFill="1"/>
    <xf numFmtId="1" fontId="11" fillId="6" borderId="0" xfId="0" applyNumberFormat="1" applyFont="1" applyFill="1"/>
    <xf numFmtId="1" fontId="11" fillId="5" borderId="0" xfId="0" applyNumberFormat="1" applyFont="1" applyFill="1"/>
    <xf numFmtId="1" fontId="11" fillId="4" borderId="0" xfId="0" applyNumberFormat="1" applyFont="1" applyFill="1"/>
    <xf numFmtId="0" fontId="11" fillId="0" borderId="0" xfId="0" applyFont="1"/>
    <xf numFmtId="0" fontId="12" fillId="3" borderId="5" xfId="0" applyFont="1" applyFill="1" applyBorder="1"/>
    <xf numFmtId="0" fontId="12" fillId="3" borderId="6" xfId="0" applyFont="1" applyFill="1" applyBorder="1"/>
    <xf numFmtId="0" fontId="12" fillId="3" borderId="29" xfId="0" applyFont="1" applyFill="1" applyBorder="1"/>
    <xf numFmtId="0" fontId="12" fillId="3" borderId="17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7" xfId="0" applyFont="1" applyFill="1" applyBorder="1"/>
    <xf numFmtId="0" fontId="13" fillId="3" borderId="9" xfId="0" applyFont="1" applyFill="1" applyBorder="1"/>
    <xf numFmtId="164" fontId="12" fillId="0" borderId="9" xfId="1" applyNumberFormat="1" applyFont="1" applyBorder="1"/>
    <xf numFmtId="164" fontId="13" fillId="0" borderId="8" xfId="1" applyNumberFormat="1" applyFont="1" applyBorder="1"/>
    <xf numFmtId="0" fontId="13" fillId="4" borderId="12" xfId="0" applyFont="1" applyFill="1" applyBorder="1"/>
    <xf numFmtId="0" fontId="13" fillId="4" borderId="14" xfId="0" applyFont="1" applyFill="1" applyBorder="1"/>
    <xf numFmtId="164" fontId="12" fillId="4" borderId="14" xfId="1" applyNumberFormat="1" applyFont="1" applyFill="1" applyBorder="1"/>
    <xf numFmtId="164" fontId="13" fillId="4" borderId="13" xfId="1" applyNumberFormat="1" applyFont="1" applyFill="1" applyBorder="1"/>
    <xf numFmtId="0" fontId="14" fillId="3" borderId="23" xfId="0" applyFont="1" applyFill="1" applyBorder="1"/>
    <xf numFmtId="0" fontId="14" fillId="3" borderId="17" xfId="0" applyFont="1" applyFill="1" applyBorder="1"/>
    <xf numFmtId="0" fontId="14" fillId="3" borderId="24" xfId="0" applyFont="1" applyFill="1" applyBorder="1"/>
    <xf numFmtId="164" fontId="15" fillId="0" borderId="25" xfId="1" applyNumberFormat="1" applyFont="1" applyBorder="1"/>
    <xf numFmtId="164" fontId="15" fillId="0" borderId="9" xfId="1" applyNumberFormat="1" applyFont="1" applyBorder="1"/>
    <xf numFmtId="164" fontId="14" fillId="0" borderId="26" xfId="1" applyNumberFormat="1" applyFont="1" applyBorder="1"/>
    <xf numFmtId="164" fontId="15" fillId="3" borderId="25" xfId="1" applyNumberFormat="1" applyFont="1" applyFill="1" applyBorder="1"/>
    <xf numFmtId="164" fontId="15" fillId="3" borderId="9" xfId="1" applyNumberFormat="1" applyFont="1" applyFill="1" applyBorder="1"/>
    <xf numFmtId="164" fontId="15" fillId="4" borderId="27" xfId="1" applyNumberFormat="1" applyFont="1" applyFill="1" applyBorder="1"/>
    <xf numFmtId="164" fontId="15" fillId="4" borderId="14" xfId="1" applyNumberFormat="1" applyFont="1" applyFill="1" applyBorder="1"/>
    <xf numFmtId="164" fontId="14" fillId="4" borderId="28" xfId="1" applyNumberFormat="1" applyFont="1" applyFill="1" applyBorder="1"/>
    <xf numFmtId="0" fontId="16" fillId="3" borderId="20" xfId="0" applyFont="1" applyFill="1" applyBorder="1"/>
    <xf numFmtId="0" fontId="16" fillId="3" borderId="17" xfId="0" applyFont="1" applyFill="1" applyBorder="1"/>
    <xf numFmtId="0" fontId="16" fillId="3" borderId="18" xfId="0" applyFont="1" applyFill="1" applyBorder="1"/>
    <xf numFmtId="165" fontId="17" fillId="0" borderId="11" xfId="1" applyNumberFormat="1" applyFont="1" applyBorder="1"/>
    <xf numFmtId="165" fontId="17" fillId="0" borderId="9" xfId="1" applyNumberFormat="1" applyFont="1" applyBorder="1"/>
    <xf numFmtId="165" fontId="17" fillId="0" borderId="10" xfId="1" applyNumberFormat="1" applyFont="1" applyBorder="1"/>
    <xf numFmtId="165" fontId="17" fillId="4" borderId="16" xfId="1" applyNumberFormat="1" applyFont="1" applyFill="1" applyBorder="1"/>
    <xf numFmtId="165" fontId="17" fillId="4" borderId="14" xfId="1" applyNumberFormat="1" applyFont="1" applyFill="1" applyBorder="1"/>
    <xf numFmtId="165" fontId="17" fillId="4" borderId="15" xfId="1" applyNumberFormat="1" applyFont="1" applyFill="1" applyBorder="1"/>
    <xf numFmtId="0" fontId="18" fillId="3" borderId="5" xfId="0" applyFont="1" applyFill="1" applyBorder="1"/>
    <xf numFmtId="0" fontId="18" fillId="3" borderId="6" xfId="0" applyFont="1" applyFill="1" applyBorder="1"/>
    <xf numFmtId="0" fontId="18" fillId="3" borderId="29" xfId="0" applyFont="1" applyFill="1" applyBorder="1"/>
    <xf numFmtId="0" fontId="18" fillId="3" borderId="17" xfId="0" applyFont="1" applyFill="1" applyBorder="1"/>
    <xf numFmtId="0" fontId="19" fillId="3" borderId="17" xfId="0" applyFont="1" applyFill="1" applyBorder="1"/>
    <xf numFmtId="0" fontId="19" fillId="3" borderId="19" xfId="0" applyFont="1" applyFill="1" applyBorder="1"/>
    <xf numFmtId="0" fontId="19" fillId="3" borderId="23" xfId="0" applyFont="1" applyFill="1" applyBorder="1"/>
    <xf numFmtId="0" fontId="19" fillId="3" borderId="24" xfId="0" applyFont="1" applyFill="1" applyBorder="1"/>
    <xf numFmtId="0" fontId="19" fillId="3" borderId="20" xfId="0" applyFont="1" applyFill="1" applyBorder="1"/>
    <xf numFmtId="0" fontId="19" fillId="3" borderId="18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2" fontId="18" fillId="0" borderId="9" xfId="1" applyNumberFormat="1" applyFont="1" applyBorder="1"/>
    <xf numFmtId="2" fontId="18" fillId="0" borderId="11" xfId="1" applyNumberFormat="1" applyFont="1" applyBorder="1"/>
    <xf numFmtId="2" fontId="18" fillId="0" borderId="10" xfId="1" applyNumberFormat="1" applyFont="1" applyBorder="1"/>
    <xf numFmtId="1" fontId="18" fillId="0" borderId="9" xfId="1" applyNumberFormat="1" applyFont="1" applyBorder="1"/>
    <xf numFmtId="1" fontId="19" fillId="0" borderId="8" xfId="1" applyNumberFormat="1" applyFont="1" applyBorder="1"/>
    <xf numFmtId="1" fontId="18" fillId="0" borderId="25" xfId="1" applyNumberFormat="1" applyFont="1" applyBorder="1"/>
    <xf numFmtId="1" fontId="19" fillId="0" borderId="26" xfId="1" applyNumberFormat="1" applyFont="1" applyBorder="1"/>
    <xf numFmtId="1" fontId="18" fillId="3" borderId="25" xfId="1" applyNumberFormat="1" applyFont="1" applyFill="1" applyBorder="1"/>
    <xf numFmtId="1" fontId="18" fillId="3" borderId="9" xfId="1" applyNumberFormat="1" applyFont="1" applyFill="1" applyBorder="1"/>
    <xf numFmtId="9" fontId="18" fillId="0" borderId="9" xfId="2" applyFont="1" applyBorder="1"/>
    <xf numFmtId="9" fontId="18" fillId="0" borderId="25" xfId="2" applyFont="1" applyBorder="1"/>
    <xf numFmtId="9" fontId="19" fillId="0" borderId="26" xfId="2" applyFont="1" applyBorder="1"/>
    <xf numFmtId="9" fontId="18" fillId="0" borderId="11" xfId="2" applyFont="1" applyBorder="1"/>
    <xf numFmtId="9" fontId="18" fillId="0" borderId="10" xfId="2" applyFont="1" applyBorder="1"/>
    <xf numFmtId="9" fontId="18" fillId="3" borderId="25" xfId="2" applyFont="1" applyFill="1" applyBorder="1"/>
    <xf numFmtId="9" fontId="18" fillId="3" borderId="9" xfId="2" applyFont="1" applyFill="1" applyBorder="1"/>
    <xf numFmtId="3" fontId="0" fillId="0" borderId="0" xfId="0" applyNumberFormat="1"/>
    <xf numFmtId="0" fontId="20" fillId="0" borderId="0" xfId="0" applyFont="1"/>
    <xf numFmtId="9" fontId="22" fillId="0" borderId="0" xfId="0" applyNumberFormat="1" applyFont="1" applyFill="1"/>
    <xf numFmtId="0" fontId="5" fillId="0" borderId="7" xfId="0" applyFont="1" applyFill="1" applyBorder="1" applyAlignment="1">
      <alignment horizontal="center"/>
    </xf>
    <xf numFmtId="0" fontId="5" fillId="0" borderId="42" xfId="0" applyFont="1" applyBorder="1"/>
    <xf numFmtId="0" fontId="5" fillId="0" borderId="8" xfId="0" applyFont="1" applyFill="1" applyBorder="1"/>
    <xf numFmtId="9" fontId="5" fillId="0" borderId="43" xfId="0" applyNumberFormat="1" applyFont="1" applyBorder="1"/>
    <xf numFmtId="9" fontId="5" fillId="0" borderId="42" xfId="0" applyNumberFormat="1" applyFont="1" applyBorder="1"/>
    <xf numFmtId="9" fontId="5" fillId="0" borderId="10" xfId="0" applyNumberFormat="1" applyFont="1" applyFill="1" applyBorder="1"/>
    <xf numFmtId="0" fontId="5" fillId="0" borderId="9" xfId="0" applyFont="1" applyBorder="1"/>
    <xf numFmtId="9" fontId="5" fillId="0" borderId="25" xfId="0" applyNumberFormat="1" applyFont="1" applyBorder="1"/>
    <xf numFmtId="9" fontId="5" fillId="0" borderId="9" xfId="0" applyNumberFormat="1" applyFont="1" applyBorder="1"/>
    <xf numFmtId="0" fontId="5" fillId="9" borderId="7" xfId="0" applyFont="1" applyFill="1" applyBorder="1" applyAlignment="1">
      <alignment horizontal="center"/>
    </xf>
    <xf numFmtId="0" fontId="5" fillId="9" borderId="9" xfId="0" applyFont="1" applyFill="1" applyBorder="1"/>
    <xf numFmtId="0" fontId="5" fillId="9" borderId="8" xfId="0" applyFont="1" applyFill="1" applyBorder="1"/>
    <xf numFmtId="9" fontId="5" fillId="9" borderId="25" xfId="0" applyNumberFormat="1" applyFont="1" applyFill="1" applyBorder="1"/>
    <xf numFmtId="9" fontId="5" fillId="9" borderId="9" xfId="0" applyNumberFormat="1" applyFont="1" applyFill="1" applyBorder="1"/>
    <xf numFmtId="9" fontId="5" fillId="9" borderId="10" xfId="0" applyNumberFormat="1" applyFont="1" applyFill="1" applyBorder="1"/>
    <xf numFmtId="0" fontId="12" fillId="9" borderId="44" xfId="0" applyFont="1" applyFill="1" applyBorder="1" applyAlignment="1">
      <alignment horizontal="center"/>
    </xf>
    <xf numFmtId="0" fontId="12" fillId="9" borderId="42" xfId="0" applyFont="1" applyFill="1" applyBorder="1"/>
    <xf numFmtId="0" fontId="12" fillId="9" borderId="45" xfId="0" applyFont="1" applyFill="1" applyBorder="1"/>
    <xf numFmtId="9" fontId="12" fillId="9" borderId="43" xfId="0" applyNumberFormat="1" applyFont="1" applyFill="1" applyBorder="1"/>
    <xf numFmtId="9" fontId="12" fillId="9" borderId="42" xfId="0" applyNumberFormat="1" applyFont="1" applyFill="1" applyBorder="1"/>
    <xf numFmtId="9" fontId="12" fillId="9" borderId="46" xfId="0" applyNumberFormat="1" applyFont="1" applyFill="1" applyBorder="1"/>
    <xf numFmtId="0" fontId="12" fillId="9" borderId="7" xfId="0" quotePrefix="1" applyFont="1" applyFill="1" applyBorder="1" applyAlignment="1">
      <alignment horizontal="center"/>
    </xf>
    <xf numFmtId="0" fontId="12" fillId="9" borderId="9" xfId="0" applyFont="1" applyFill="1" applyBorder="1"/>
    <xf numFmtId="0" fontId="12" fillId="9" borderId="8" xfId="0" applyFont="1" applyFill="1" applyBorder="1"/>
    <xf numFmtId="9" fontId="12" fillId="9" borderId="25" xfId="0" applyNumberFormat="1" applyFont="1" applyFill="1" applyBorder="1"/>
    <xf numFmtId="9" fontId="12" fillId="9" borderId="9" xfId="0" applyNumberFormat="1" applyFont="1" applyFill="1" applyBorder="1"/>
    <xf numFmtId="9" fontId="12" fillId="9" borderId="10" xfId="0" applyNumberFormat="1" applyFont="1" applyFill="1" applyBorder="1"/>
    <xf numFmtId="0" fontId="12" fillId="0" borderId="7" xfId="0" quotePrefix="1" applyFont="1" applyFill="1" applyBorder="1" applyAlignment="1">
      <alignment horizontal="center"/>
    </xf>
    <xf numFmtId="0" fontId="12" fillId="0" borderId="9" xfId="0" applyFont="1" applyBorder="1"/>
    <xf numFmtId="0" fontId="12" fillId="0" borderId="8" xfId="0" applyFont="1" applyFill="1" applyBorder="1"/>
    <xf numFmtId="9" fontId="12" fillId="0" borderId="25" xfId="0" applyNumberFormat="1" applyFont="1" applyBorder="1"/>
    <xf numFmtId="9" fontId="12" fillId="0" borderId="9" xfId="0" applyNumberFormat="1" applyFont="1" applyBorder="1"/>
    <xf numFmtId="9" fontId="12" fillId="0" borderId="10" xfId="0" applyNumberFormat="1" applyFont="1" applyFill="1" applyBorder="1"/>
    <xf numFmtId="0" fontId="23" fillId="10" borderId="47" xfId="0" quotePrefix="1" applyFont="1" applyFill="1" applyBorder="1" applyAlignment="1">
      <alignment horizontal="center"/>
    </xf>
    <xf numFmtId="0" fontId="23" fillId="10" borderId="42" xfId="0" applyFont="1" applyFill="1" applyBorder="1"/>
    <xf numFmtId="0" fontId="23" fillId="10" borderId="45" xfId="0" applyFont="1" applyFill="1" applyBorder="1"/>
    <xf numFmtId="9" fontId="23" fillId="10" borderId="43" xfId="0" applyNumberFormat="1" applyFont="1" applyFill="1" applyBorder="1"/>
    <xf numFmtId="9" fontId="23" fillId="10" borderId="42" xfId="0" applyNumberFormat="1" applyFont="1" applyFill="1" applyBorder="1"/>
    <xf numFmtId="9" fontId="23" fillId="10" borderId="45" xfId="0" applyNumberFormat="1" applyFont="1" applyFill="1" applyBorder="1"/>
    <xf numFmtId="9" fontId="23" fillId="10" borderId="46" xfId="0" applyNumberFormat="1" applyFont="1" applyFill="1" applyBorder="1"/>
    <xf numFmtId="0" fontId="23" fillId="10" borderId="48" xfId="0" quotePrefix="1" applyFont="1" applyFill="1" applyBorder="1" applyAlignment="1">
      <alignment horizontal="center"/>
    </xf>
    <xf numFmtId="0" fontId="23" fillId="10" borderId="9" xfId="0" applyFont="1" applyFill="1" applyBorder="1"/>
    <xf numFmtId="0" fontId="23" fillId="10" borderId="8" xfId="0" applyFont="1" applyFill="1" applyBorder="1"/>
    <xf numFmtId="9" fontId="23" fillId="10" borderId="25" xfId="0" applyNumberFormat="1" applyFont="1" applyFill="1" applyBorder="1"/>
    <xf numFmtId="9" fontId="23" fillId="10" borderId="9" xfId="0" applyNumberFormat="1" applyFont="1" applyFill="1" applyBorder="1"/>
    <xf numFmtId="9" fontId="23" fillId="10" borderId="8" xfId="0" applyNumberFormat="1" applyFont="1" applyFill="1" applyBorder="1"/>
    <xf numFmtId="9" fontId="23" fillId="10" borderId="10" xfId="0" applyNumberFormat="1" applyFont="1" applyFill="1" applyBorder="1"/>
    <xf numFmtId="0" fontId="23" fillId="10" borderId="12" xfId="0" quotePrefix="1" applyFont="1" applyFill="1" applyBorder="1" applyAlignment="1">
      <alignment horizontal="center"/>
    </xf>
    <xf numFmtId="0" fontId="23" fillId="10" borderId="14" xfId="0" applyFont="1" applyFill="1" applyBorder="1"/>
    <xf numFmtId="0" fontId="23" fillId="10" borderId="13" xfId="0" applyFont="1" applyFill="1" applyBorder="1"/>
    <xf numFmtId="9" fontId="23" fillId="10" borderId="27" xfId="0" applyNumberFormat="1" applyFont="1" applyFill="1" applyBorder="1"/>
    <xf numFmtId="9" fontId="23" fillId="10" borderId="14" xfId="0" applyNumberFormat="1" applyFont="1" applyFill="1" applyBorder="1"/>
    <xf numFmtId="9" fontId="23" fillId="10" borderId="13" xfId="0" applyNumberFormat="1" applyFont="1" applyFill="1" applyBorder="1"/>
    <xf numFmtId="9" fontId="23" fillId="10" borderId="15" xfId="0" applyNumberFormat="1" applyFont="1" applyFill="1" applyBorder="1"/>
    <xf numFmtId="0" fontId="22" fillId="0" borderId="0" xfId="0" applyFont="1"/>
    <xf numFmtId="0" fontId="18" fillId="0" borderId="7" xfId="0" applyFont="1" applyFill="1" applyBorder="1" applyAlignment="1">
      <alignment horizontal="center"/>
    </xf>
    <xf numFmtId="0" fontId="18" fillId="0" borderId="9" xfId="0" applyFont="1" applyFill="1" applyBorder="1"/>
    <xf numFmtId="0" fontId="18" fillId="0" borderId="8" xfId="0" applyFont="1" applyFill="1" applyBorder="1"/>
    <xf numFmtId="9" fontId="18" fillId="0" borderId="25" xfId="2" applyFont="1" applyFill="1" applyBorder="1"/>
    <xf numFmtId="9" fontId="18" fillId="0" borderId="9" xfId="2" applyFont="1" applyFill="1" applyBorder="1"/>
    <xf numFmtId="9" fontId="18" fillId="0" borderId="10" xfId="2" applyFont="1" applyFill="1" applyBorder="1"/>
    <xf numFmtId="0" fontId="18" fillId="0" borderId="7" xfId="0" quotePrefix="1" applyFont="1" applyFill="1" applyBorder="1" applyAlignment="1">
      <alignment horizontal="center"/>
    </xf>
    <xf numFmtId="9" fontId="18" fillId="0" borderId="8" xfId="2" applyFont="1" applyFill="1" applyBorder="1"/>
    <xf numFmtId="0" fontId="19" fillId="0" borderId="44" xfId="0" applyFont="1" applyBorder="1" applyAlignment="1">
      <alignment horizontal="center"/>
    </xf>
    <xf numFmtId="0" fontId="19" fillId="0" borderId="42" xfId="0" applyFont="1" applyBorder="1"/>
    <xf numFmtId="0" fontId="19" fillId="0" borderId="45" xfId="0" applyFont="1" applyBorder="1"/>
    <xf numFmtId="9" fontId="18" fillId="0" borderId="50" xfId="2" applyFont="1" applyBorder="1"/>
    <xf numFmtId="9" fontId="18" fillId="0" borderId="51" xfId="2" applyFont="1" applyBorder="1"/>
    <xf numFmtId="9" fontId="18" fillId="0" borderId="52" xfId="2" applyFont="1" applyBorder="1"/>
    <xf numFmtId="9" fontId="18" fillId="0" borderId="48" xfId="0" applyNumberFormat="1" applyFont="1" applyFill="1" applyBorder="1"/>
    <xf numFmtId="9" fontId="18" fillId="0" borderId="0" xfId="0" applyNumberFormat="1" applyFont="1" applyFill="1" applyBorder="1"/>
    <xf numFmtId="9" fontId="18" fillId="0" borderId="48" xfId="2" applyFont="1" applyFill="1" applyBorder="1"/>
    <xf numFmtId="9" fontId="18" fillId="0" borderId="0" xfId="2" applyFont="1" applyFill="1" applyBorder="1"/>
    <xf numFmtId="0" fontId="0" fillId="0" borderId="48" xfId="0" applyBorder="1"/>
    <xf numFmtId="0" fontId="23" fillId="11" borderId="48" xfId="0" applyFont="1" applyFill="1" applyBorder="1"/>
    <xf numFmtId="9" fontId="23" fillId="11" borderId="0" xfId="0" applyNumberFormat="1" applyFont="1" applyFill="1" applyBorder="1"/>
    <xf numFmtId="0" fontId="23" fillId="11" borderId="58" xfId="0" applyFont="1" applyFill="1" applyBorder="1"/>
    <xf numFmtId="2" fontId="23" fillId="11" borderId="59" xfId="0" applyNumberFormat="1" applyFont="1" applyFill="1" applyBorder="1"/>
    <xf numFmtId="0" fontId="5" fillId="0" borderId="8" xfId="0" applyFont="1" applyBorder="1"/>
    <xf numFmtId="0" fontId="12" fillId="0" borderId="8" xfId="0" applyFont="1" applyBorder="1"/>
    <xf numFmtId="9" fontId="5" fillId="0" borderId="8" xfId="0" applyNumberFormat="1" applyFont="1" applyBorder="1"/>
    <xf numFmtId="9" fontId="5" fillId="9" borderId="8" xfId="0" applyNumberFormat="1" applyFont="1" applyFill="1" applyBorder="1"/>
    <xf numFmtId="9" fontId="12" fillId="9" borderId="45" xfId="0" applyNumberFormat="1" applyFont="1" applyFill="1" applyBorder="1"/>
    <xf numFmtId="9" fontId="12" fillId="9" borderId="8" xfId="0" applyNumberFormat="1" applyFont="1" applyFill="1" applyBorder="1"/>
    <xf numFmtId="9" fontId="12" fillId="0" borderId="8" xfId="0" applyNumberFormat="1" applyFont="1" applyBorder="1"/>
    <xf numFmtId="9" fontId="18" fillId="0" borderId="60" xfId="2" applyFont="1" applyBorder="1"/>
    <xf numFmtId="0" fontId="11" fillId="0" borderId="38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9" fillId="0" borderId="37" xfId="0" applyFont="1" applyFill="1" applyBorder="1" applyAlignment="1">
      <alignment horizontal="center"/>
    </xf>
    <xf numFmtId="0" fontId="24" fillId="0" borderId="37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19" fillId="0" borderId="39" xfId="0" applyFont="1" applyFill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9" fontId="0" fillId="0" borderId="0" xfId="0" applyNumberFormat="1"/>
    <xf numFmtId="1" fontId="3" fillId="2" borderId="0" xfId="0" applyNumberFormat="1" applyFont="1" applyFill="1"/>
    <xf numFmtId="1" fontId="11" fillId="2" borderId="0" xfId="0" applyNumberFormat="1" applyFont="1" applyFill="1"/>
    <xf numFmtId="0" fontId="19" fillId="3" borderId="39" xfId="0" applyFont="1" applyFill="1" applyBorder="1" applyAlignment="1">
      <alignment horizontal="center"/>
    </xf>
    <xf numFmtId="0" fontId="19" fillId="11" borderId="12" xfId="0" applyFont="1" applyFill="1" applyBorder="1"/>
    <xf numFmtId="0" fontId="19" fillId="11" borderId="14" xfId="0" applyFont="1" applyFill="1" applyBorder="1"/>
    <xf numFmtId="9" fontId="18" fillId="11" borderId="14" xfId="2" applyFont="1" applyFill="1" applyBorder="1"/>
    <xf numFmtId="9" fontId="18" fillId="11" borderId="27" xfId="2" applyFont="1" applyFill="1" applyBorder="1"/>
    <xf numFmtId="9" fontId="19" fillId="11" borderId="28" xfId="2" applyFont="1" applyFill="1" applyBorder="1"/>
    <xf numFmtId="9" fontId="18" fillId="11" borderId="16" xfId="2" applyFont="1" applyFill="1" applyBorder="1"/>
    <xf numFmtId="9" fontId="18" fillId="11" borderId="15" xfId="2" applyFont="1" applyFill="1" applyBorder="1"/>
    <xf numFmtId="1" fontId="25" fillId="0" borderId="0" xfId="0" applyNumberFormat="1" applyFont="1"/>
    <xf numFmtId="0" fontId="25" fillId="0" borderId="0" xfId="0" applyFont="1"/>
    <xf numFmtId="3" fontId="25" fillId="0" borderId="0" xfId="0" applyNumberFormat="1" applyFont="1"/>
    <xf numFmtId="0" fontId="5" fillId="0" borderId="44" xfId="0" applyFont="1" applyFill="1" applyBorder="1" applyAlignment="1">
      <alignment horizontal="center"/>
    </xf>
    <xf numFmtId="9" fontId="5" fillId="0" borderId="42" xfId="0" applyNumberFormat="1" applyFont="1" applyFill="1" applyBorder="1"/>
    <xf numFmtId="9" fontId="5" fillId="0" borderId="45" xfId="0" applyNumberFormat="1" applyFont="1" applyFill="1" applyBorder="1"/>
    <xf numFmtId="0" fontId="12" fillId="0" borderId="7" xfId="0" applyFont="1" applyFill="1" applyBorder="1" applyAlignment="1">
      <alignment horizontal="center"/>
    </xf>
    <xf numFmtId="9" fontId="12" fillId="0" borderId="9" xfId="0" applyNumberFormat="1" applyFont="1" applyFill="1" applyBorder="1"/>
    <xf numFmtId="9" fontId="12" fillId="0" borderId="8" xfId="0" applyNumberFormat="1" applyFont="1" applyFill="1" applyBorder="1"/>
    <xf numFmtId="164" fontId="0" fillId="0" borderId="38" xfId="1" applyNumberFormat="1" applyFont="1" applyBorder="1"/>
    <xf numFmtId="0" fontId="0" fillId="0" borderId="38" xfId="0" applyBorder="1"/>
    <xf numFmtId="0" fontId="3" fillId="0" borderId="0" xfId="0" applyFont="1"/>
    <xf numFmtId="164" fontId="3" fillId="0" borderId="0" xfId="1" applyNumberFormat="1" applyFont="1"/>
    <xf numFmtId="164" fontId="3" fillId="0" borderId="38" xfId="1" applyNumberFormat="1" applyFont="1" applyBorder="1"/>
    <xf numFmtId="164" fontId="3" fillId="0" borderId="0" xfId="0" applyNumberFormat="1" applyFont="1"/>
    <xf numFmtId="0" fontId="26" fillId="0" borderId="0" xfId="0" applyFont="1"/>
    <xf numFmtId="43" fontId="26" fillId="0" borderId="0" xfId="1" applyFont="1"/>
    <xf numFmtId="43" fontId="26" fillId="0" borderId="38" xfId="1" applyFont="1" applyBorder="1"/>
    <xf numFmtId="1" fontId="18" fillId="11" borderId="14" xfId="1" applyNumberFormat="1" applyFont="1" applyFill="1" applyBorder="1"/>
    <xf numFmtId="1" fontId="19" fillId="11" borderId="13" xfId="1" applyNumberFormat="1" applyFont="1" applyFill="1" applyBorder="1"/>
    <xf numFmtId="1" fontId="18" fillId="11" borderId="27" xfId="1" applyNumberFormat="1" applyFont="1" applyFill="1" applyBorder="1"/>
    <xf numFmtId="1" fontId="19" fillId="11" borderId="28" xfId="1" applyNumberFormat="1" applyFont="1" applyFill="1" applyBorder="1"/>
    <xf numFmtId="2" fontId="18" fillId="11" borderId="16" xfId="1" applyNumberFormat="1" applyFont="1" applyFill="1" applyBorder="1"/>
    <xf numFmtId="2" fontId="18" fillId="11" borderId="14" xfId="1" applyNumberFormat="1" applyFont="1" applyFill="1" applyBorder="1"/>
    <xf numFmtId="2" fontId="18" fillId="11" borderId="15" xfId="1" applyNumberFormat="1" applyFont="1" applyFill="1" applyBorder="1"/>
    <xf numFmtId="0" fontId="27" fillId="0" borderId="0" xfId="3"/>
    <xf numFmtId="1" fontId="0" fillId="0" borderId="0" xfId="0" applyNumberFormat="1" applyFill="1"/>
    <xf numFmtId="164" fontId="0" fillId="2" borderId="0" xfId="1" applyNumberFormat="1" applyFont="1" applyFill="1"/>
    <xf numFmtId="164" fontId="3" fillId="2" borderId="0" xfId="1" applyNumberFormat="1" applyFont="1" applyFill="1"/>
    <xf numFmtId="43" fontId="26" fillId="2" borderId="0" xfId="1" applyFont="1" applyFill="1"/>
    <xf numFmtId="1" fontId="0" fillId="0" borderId="0" xfId="1" applyNumberFormat="1" applyFont="1"/>
    <xf numFmtId="1" fontId="26" fillId="0" borderId="0" xfId="0" applyNumberFormat="1" applyFont="1"/>
    <xf numFmtId="43" fontId="3" fillId="0" borderId="0" xfId="0" applyNumberFormat="1" applyFont="1"/>
    <xf numFmtId="166" fontId="3" fillId="2" borderId="0" xfId="1" applyNumberFormat="1" applyFont="1" applyFill="1"/>
    <xf numFmtId="167" fontId="3" fillId="0" borderId="0" xfId="0" applyNumberFormat="1" applyFont="1"/>
    <xf numFmtId="164" fontId="0" fillId="11" borderId="0" xfId="1" applyNumberFormat="1" applyFont="1" applyFill="1"/>
    <xf numFmtId="0" fontId="0" fillId="11" borderId="0" xfId="0" applyFill="1"/>
    <xf numFmtId="164" fontId="3" fillId="11" borderId="0" xfId="1" applyNumberFormat="1" applyFont="1" applyFill="1"/>
    <xf numFmtId="43" fontId="26" fillId="11" borderId="0" xfId="1" applyFont="1" applyFill="1"/>
    <xf numFmtId="164" fontId="0" fillId="2" borderId="0" xfId="1" applyNumberFormat="1" applyFont="1" applyFill="1" applyAlignment="1">
      <alignment horizontal="right"/>
    </xf>
    <xf numFmtId="0" fontId="0" fillId="11" borderId="0" xfId="0" applyFont="1" applyFill="1"/>
    <xf numFmtId="0" fontId="0" fillId="2" borderId="0" xfId="0" applyFont="1" applyFill="1"/>
    <xf numFmtId="0" fontId="0" fillId="0" borderId="38" xfId="0" applyFont="1" applyBorder="1"/>
    <xf numFmtId="164" fontId="1" fillId="0" borderId="0" xfId="1" applyNumberFormat="1" applyFont="1"/>
    <xf numFmtId="1" fontId="1" fillId="0" borderId="0" xfId="1" applyNumberFormat="1" applyFont="1"/>
    <xf numFmtId="0" fontId="28" fillId="0" borderId="0" xfId="0" applyFont="1"/>
    <xf numFmtId="0" fontId="28" fillId="11" borderId="0" xfId="0" applyFont="1" applyFill="1"/>
    <xf numFmtId="0" fontId="28" fillId="2" borderId="0" xfId="0" applyFont="1" applyFill="1"/>
    <xf numFmtId="0" fontId="28" fillId="0" borderId="38" xfId="0" applyFont="1" applyBorder="1"/>
    <xf numFmtId="164" fontId="28" fillId="0" borderId="0" xfId="1" applyNumberFormat="1" applyFont="1"/>
    <xf numFmtId="1" fontId="28" fillId="0" borderId="0" xfId="1" applyNumberFormat="1" applyFont="1"/>
    <xf numFmtId="0" fontId="3" fillId="0" borderId="0" xfId="0" applyFont="1" applyFill="1"/>
    <xf numFmtId="1" fontId="25" fillId="0" borderId="0" xfId="0" applyNumberFormat="1" applyFont="1" applyFill="1"/>
    <xf numFmtId="9" fontId="0" fillId="0" borderId="0" xfId="0" applyNumberFormat="1" applyFill="1"/>
    <xf numFmtId="0" fontId="11" fillId="0" borderId="0" xfId="0" applyFont="1" applyFill="1"/>
    <xf numFmtId="0" fontId="25" fillId="0" borderId="0" xfId="0" applyFont="1" applyFill="1"/>
    <xf numFmtId="1" fontId="3" fillId="0" borderId="0" xfId="0" applyNumberFormat="1" applyFont="1" applyFill="1" applyAlignment="1">
      <alignment horizontal="right"/>
    </xf>
    <xf numFmtId="2" fontId="3" fillId="0" borderId="0" xfId="0" applyNumberFormat="1" applyFont="1"/>
    <xf numFmtId="9" fontId="0" fillId="2" borderId="0" xfId="0" applyNumberFormat="1" applyFill="1"/>
    <xf numFmtId="3" fontId="25" fillId="2" borderId="0" xfId="0" applyNumberFormat="1" applyFont="1" applyFill="1"/>
    <xf numFmtId="9" fontId="3" fillId="2" borderId="0" xfId="0" applyNumberFormat="1" applyFont="1" applyFill="1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NumberFormat="1"/>
    <xf numFmtId="43" fontId="0" fillId="2" borderId="0" xfId="1" applyFont="1" applyFill="1"/>
    <xf numFmtId="0" fontId="3" fillId="2" borderId="0" xfId="0" applyFont="1" applyFill="1"/>
    <xf numFmtId="0" fontId="29" fillId="0" borderId="0" xfId="0" applyFont="1"/>
    <xf numFmtId="0" fontId="29" fillId="11" borderId="0" xfId="0" applyFont="1" applyFill="1"/>
    <xf numFmtId="43" fontId="29" fillId="11" borderId="0" xfId="1" applyFont="1" applyFill="1"/>
    <xf numFmtId="0" fontId="29" fillId="12" borderId="0" xfId="0" applyFont="1" applyFill="1"/>
    <xf numFmtId="43" fontId="29" fillId="12" borderId="0" xfId="1" applyFont="1" applyFill="1"/>
    <xf numFmtId="0" fontId="3" fillId="10" borderId="0" xfId="0" applyFont="1" applyFill="1"/>
    <xf numFmtId="43" fontId="3" fillId="10" borderId="0" xfId="1" applyFont="1" applyFill="1"/>
    <xf numFmtId="0" fontId="0" fillId="13" borderId="0" xfId="0" applyFill="1"/>
    <xf numFmtId="43" fontId="0" fillId="13" borderId="0" xfId="1" applyFont="1" applyFill="1"/>
    <xf numFmtId="0" fontId="0" fillId="14" borderId="0" xfId="0" applyFill="1"/>
    <xf numFmtId="0" fontId="3" fillId="14" borderId="0" xfId="0" applyFont="1" applyFill="1"/>
    <xf numFmtId="43" fontId="3" fillId="14" borderId="0" xfId="1" applyFont="1" applyFill="1"/>
    <xf numFmtId="43" fontId="0" fillId="14" borderId="0" xfId="1" applyFont="1" applyFill="1"/>
    <xf numFmtId="0" fontId="32" fillId="0" borderId="0" xfId="0" applyFont="1"/>
    <xf numFmtId="43" fontId="32" fillId="0" borderId="0" xfId="1" applyFont="1"/>
    <xf numFmtId="1" fontId="32" fillId="0" borderId="0" xfId="0" applyNumberFormat="1" applyFont="1"/>
    <xf numFmtId="168" fontId="0" fillId="0" borderId="0" xfId="1" applyNumberFormat="1" applyFont="1"/>
    <xf numFmtId="37" fontId="11" fillId="0" borderId="0" xfId="1" applyNumberFormat="1" applyFont="1"/>
    <xf numFmtId="164" fontId="32" fillId="0" borderId="0" xfId="1" applyNumberFormat="1" applyFont="1"/>
    <xf numFmtId="164" fontId="32" fillId="14" borderId="0" xfId="1" applyNumberFormat="1" applyFont="1" applyFill="1"/>
    <xf numFmtId="164" fontId="32" fillId="13" borderId="0" xfId="1" applyNumberFormat="1" applyFont="1" applyFill="1"/>
    <xf numFmtId="164" fontId="32" fillId="10" borderId="0" xfId="1" applyNumberFormat="1" applyFont="1" applyFill="1"/>
    <xf numFmtId="164" fontId="32" fillId="2" borderId="0" xfId="1" applyNumberFormat="1" applyFont="1" applyFill="1"/>
    <xf numFmtId="164" fontId="32" fillId="11" borderId="0" xfId="1" applyNumberFormat="1" applyFont="1" applyFill="1"/>
    <xf numFmtId="164" fontId="32" fillId="12" borderId="0" xfId="1" applyNumberFormat="1" applyFont="1" applyFill="1"/>
    <xf numFmtId="164" fontId="11" fillId="0" borderId="0" xfId="1" applyNumberFormat="1" applyFont="1"/>
    <xf numFmtId="164" fontId="11" fillId="14" borderId="0" xfId="1" applyNumberFormat="1" applyFont="1" applyFill="1"/>
    <xf numFmtId="164" fontId="11" fillId="13" borderId="0" xfId="1" applyNumberFormat="1" applyFont="1" applyFill="1"/>
    <xf numFmtId="164" fontId="11" fillId="10" borderId="0" xfId="1" applyNumberFormat="1" applyFont="1" applyFill="1"/>
    <xf numFmtId="164" fontId="11" fillId="2" borderId="0" xfId="1" applyNumberFormat="1" applyFont="1" applyFill="1"/>
    <xf numFmtId="164" fontId="11" fillId="11" borderId="0" xfId="1" applyNumberFormat="1" applyFont="1" applyFill="1"/>
    <xf numFmtId="164" fontId="11" fillId="12" borderId="0" xfId="1" applyNumberFormat="1" applyFont="1" applyFill="1"/>
    <xf numFmtId="43" fontId="26" fillId="14" borderId="0" xfId="1" applyFont="1" applyFill="1"/>
    <xf numFmtId="43" fontId="26" fillId="13" borderId="0" xfId="1" applyFont="1" applyFill="1"/>
    <xf numFmtId="43" fontId="26" fillId="10" borderId="0" xfId="1" applyFont="1" applyFill="1"/>
    <xf numFmtId="43" fontId="26" fillId="12" borderId="0" xfId="1" applyFont="1" applyFill="1"/>
    <xf numFmtId="0" fontId="0" fillId="15" borderId="0" xfId="0" applyFill="1"/>
    <xf numFmtId="164" fontId="0" fillId="15" borderId="0" xfId="1" applyNumberFormat="1" applyFont="1" applyFill="1"/>
    <xf numFmtId="0" fontId="0" fillId="15" borderId="0" xfId="0" applyFont="1" applyFill="1"/>
    <xf numFmtId="0" fontId="28" fillId="15" borderId="0" xfId="0" applyFont="1" applyFill="1"/>
    <xf numFmtId="164" fontId="3" fillId="15" borderId="0" xfId="1" applyNumberFormat="1" applyFont="1" applyFill="1"/>
    <xf numFmtId="43" fontId="26" fillId="15" borderId="0" xfId="1" applyFont="1" applyFill="1"/>
    <xf numFmtId="1" fontId="3" fillId="0" borderId="61" xfId="0" applyNumberFormat="1" applyFont="1" applyBorder="1"/>
    <xf numFmtId="166" fontId="32" fillId="0" borderId="0" xfId="0" applyNumberFormat="1" applyFont="1"/>
    <xf numFmtId="37" fontId="11" fillId="11" borderId="0" xfId="1" applyNumberFormat="1" applyFont="1" applyFill="1"/>
    <xf numFmtId="1" fontId="3" fillId="11" borderId="0" xfId="0" applyNumberFormat="1" applyFont="1" applyFill="1"/>
    <xf numFmtId="1" fontId="11" fillId="11" borderId="0" xfId="0" applyNumberFormat="1" applyFont="1" applyFill="1"/>
    <xf numFmtId="9" fontId="0" fillId="11" borderId="0" xfId="0" applyNumberFormat="1" applyFill="1"/>
    <xf numFmtId="164" fontId="32" fillId="15" borderId="0" xfId="1" applyNumberFormat="1" applyFont="1" applyFill="1"/>
    <xf numFmtId="164" fontId="32" fillId="0" borderId="38" xfId="1" applyNumberFormat="1" applyFont="1" applyBorder="1"/>
    <xf numFmtId="43" fontId="32" fillId="0" borderId="0" xfId="0" applyNumberFormat="1" applyFont="1"/>
    <xf numFmtId="167" fontId="32" fillId="0" borderId="0" xfId="0" applyNumberFormat="1" applyFont="1"/>
    <xf numFmtId="169" fontId="19" fillId="0" borderId="8" xfId="2" applyNumberFormat="1" applyFont="1" applyBorder="1"/>
    <xf numFmtId="169" fontId="19" fillId="11" borderId="13" xfId="2" applyNumberFormat="1" applyFont="1" applyFill="1" applyBorder="1"/>
    <xf numFmtId="164" fontId="0" fillId="0" borderId="0" xfId="0" applyNumberFormat="1"/>
    <xf numFmtId="0" fontId="11" fillId="16" borderId="0" xfId="0" applyFont="1" applyFill="1"/>
    <xf numFmtId="1" fontId="0" fillId="0" borderId="0" xfId="0" applyNumberFormat="1" applyFont="1" applyFill="1"/>
    <xf numFmtId="1" fontId="0" fillId="15" borderId="0" xfId="0" applyNumberFormat="1" applyFill="1"/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53" xfId="0" quotePrefix="1" applyFont="1" applyFill="1" applyBorder="1" applyAlignment="1">
      <alignment horizontal="center"/>
    </xf>
    <xf numFmtId="0" fontId="24" fillId="0" borderId="34" xfId="0" applyFont="1" applyBorder="1" applyAlignment="1"/>
    <xf numFmtId="0" fontId="24" fillId="0" borderId="36" xfId="0" applyFont="1" applyBorder="1" applyAlignment="1"/>
    <xf numFmtId="0" fontId="19" fillId="0" borderId="54" xfId="0" applyFont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21" fillId="0" borderId="54" xfId="0" applyNumberFormat="1" applyFont="1" applyBorder="1" applyAlignment="1">
      <alignment horizontal="center"/>
    </xf>
    <xf numFmtId="0" fontId="21" fillId="0" borderId="55" xfId="0" applyNumberFormat="1" applyFont="1" applyBorder="1" applyAlignment="1">
      <alignment horizontal="center"/>
    </xf>
    <xf numFmtId="0" fontId="21" fillId="0" borderId="56" xfId="0" applyNumberFormat="1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57" xfId="0" applyFont="1" applyBorder="1" applyAlignment="1">
      <alignment horizontal="center"/>
    </xf>
    <xf numFmtId="0" fontId="21" fillId="0" borderId="5" xfId="0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21" fillId="0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1" fillId="0" borderId="33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21" fillId="0" borderId="3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1" fillId="0" borderId="49" xfId="0" quotePrefix="1" applyFont="1" applyFill="1" applyBorder="1" applyAlignment="1">
      <alignment horizontal="center"/>
    </xf>
    <xf numFmtId="0" fontId="2" fillId="0" borderId="30" xfId="0" applyFont="1" applyBorder="1" applyAlignment="1"/>
    <xf numFmtId="0" fontId="21" fillId="0" borderId="31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32" xfId="0" applyFont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8"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66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Total Boardings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0BF5AA-BEF9-4CFB-BBA4-A4A6E40CE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D8-4330-82F5-48C6B95C36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45DA0E-4B07-4A2D-9A57-238A2F20C0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D8-4330-82F5-48C6B95C36FB}"/>
                </c:ext>
              </c:extLst>
            </c:dLbl>
            <c:dLbl>
              <c:idx val="2"/>
              <c:layout>
                <c:manualLayout>
                  <c:x val="-5.000000000000001E-2"/>
                  <c:y val="-2.5806451612903226E-2"/>
                </c:manualLayout>
              </c:layout>
              <c:tx>
                <c:rich>
                  <a:bodyPr/>
                  <a:lstStyle/>
                  <a:p>
                    <a:fld id="{05C3780A-880B-46AA-8EF1-EA00F6F867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ED8-4330-82F5-48C6B95C36FB}"/>
                </c:ext>
              </c:extLst>
            </c:dLbl>
            <c:dLbl>
              <c:idx val="3"/>
              <c:layout>
                <c:manualLayout>
                  <c:x val="-2.7777777777777804E-2"/>
                  <c:y val="-3.2258064516129031E-2"/>
                </c:manualLayout>
              </c:layout>
              <c:tx>
                <c:rich>
                  <a:bodyPr/>
                  <a:lstStyle/>
                  <a:p>
                    <a:fld id="{4DE9981C-8B6A-45B9-861C-52E72D12F5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ED8-4330-82F5-48C6B95C36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D8-4330-82F5-48C6B95C3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9303587051618549E-2"/>
                  <c:y val="-2.40614681229362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sum_by_mode!$H$4:$H$8</c:f>
              <c:numCache>
                <c:formatCode>_(* #,##0_);_(* \(#,##0\);_(* "-"??_);_(@_)</c:formatCode>
                <c:ptCount val="5"/>
                <c:pt idx="0">
                  <c:v>5196</c:v>
                </c:pt>
                <c:pt idx="1">
                  <c:v>130911.35</c:v>
                </c:pt>
                <c:pt idx="2">
                  <c:v>17566.13</c:v>
                </c:pt>
                <c:pt idx="3">
                  <c:v>25841.83</c:v>
                </c:pt>
                <c:pt idx="4">
                  <c:v>175628.04445000002</c:v>
                </c:pt>
              </c:numCache>
            </c:numRef>
          </c:xVal>
          <c:yVal>
            <c:numRef>
              <c:f>sum_by_mode!$H$14:$H$18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ED8-4330-82F5-48C6B95C36FB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ref!$A$21:$A$22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xVal>
          <c:yVal>
            <c:numRef>
              <c:f>ref!$B$21:$B$22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ED8-4330-82F5-48C6B95C3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01920"/>
        <c:axId val="232809984"/>
      </c:scatterChart>
      <c:valAx>
        <c:axId val="1812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Boarding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809984"/>
        <c:crosses val="autoZero"/>
        <c:crossBetween val="midCat"/>
      </c:valAx>
      <c:valAx>
        <c:axId val="23280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019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Passenger-Miles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F8658F-12FC-4387-995F-AB371BA008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09-42D4-A9BB-6BB53C62E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3DFDD6-476B-4A7F-8FAB-D6670E5824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09-42D4-A9BB-6BB53C62E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446813-B237-46E1-8D9F-327747736A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09-42D4-A9BB-6BB53C62E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5E4CDE-7113-4CBC-BEAF-FA9EAEB848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09-42D4-A9BB-6BB53C62E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09-42D4-A9BB-6BB53C62E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1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9958702621973738E-2"/>
                  <c:y val="-1.00894481553143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sum_by_mode!$N$4:$N$8</c:f>
              <c:numCache>
                <c:formatCode>_(* #,##0_);_(* \(#,##0\);_(* "-"??_);_(@_)</c:formatCode>
                <c:ptCount val="5"/>
                <c:pt idx="0">
                  <c:v>122712.86</c:v>
                </c:pt>
                <c:pt idx="1">
                  <c:v>748871.29999999993</c:v>
                </c:pt>
                <c:pt idx="2">
                  <c:v>104912.73000000001</c:v>
                </c:pt>
                <c:pt idx="3">
                  <c:v>178167.74999999997</c:v>
                </c:pt>
                <c:pt idx="4">
                  <c:v>581643.12324507744</c:v>
                </c:pt>
              </c:numCache>
            </c:numRef>
          </c:xVal>
          <c:yVal>
            <c:numRef>
              <c:f>sum_by_mode!$N$14:$N$18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C09-42D4-A9BB-6BB53C62EA2A}"/>
            </c:ext>
          </c:extLst>
        </c:ser>
        <c:ser>
          <c:idx val="1"/>
          <c:order val="1"/>
          <c:tx>
            <c:v>45 degree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ref!$A$25:$A$26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xVal>
          <c:yVal>
            <c:numRef>
              <c:f>ref!$B$25:$B$26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09-42D4-A9BB-6BB53C62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45120"/>
        <c:axId val="120646656"/>
        <c:extLst/>
      </c:scatterChart>
      <c:valAx>
        <c:axId val="12064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Passenger-Miles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46656"/>
        <c:crosses val="autoZero"/>
        <c:crossBetween val="midCat"/>
      </c:valAx>
      <c:valAx>
        <c:axId val="12064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Passenger-Miles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451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68768318022747155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584-4186-8F87-F17B548FFB48}"/>
              </c:ext>
            </c:extLst>
          </c:dPt>
          <c:xVal>
            <c:numRef>
              <c:f>bd!$J$2</c:f>
              <c:numCache>
                <c:formatCode>0</c:formatCode>
                <c:ptCount val="1"/>
                <c:pt idx="0">
                  <c:v>5196</c:v>
                </c:pt>
              </c:numCache>
            </c:numRef>
          </c:xVal>
          <c:yVal>
            <c:numRef>
              <c:f>bd!$P$2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84-4186-8F87-F17B548FFB48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bd!$J$3</c:f>
              <c:numCache>
                <c:formatCode>0</c:formatCode>
                <c:ptCount val="1"/>
                <c:pt idx="0">
                  <c:v>10281.499999999998</c:v>
                </c:pt>
              </c:numCache>
            </c:numRef>
          </c:xVal>
          <c:yVal>
            <c:numRef>
              <c:f>bd!$P$3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84-4186-8F87-F17B548FFB48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bd!$J$4</c:f>
              <c:numCache>
                <c:formatCode>0</c:formatCode>
                <c:ptCount val="1"/>
                <c:pt idx="0">
                  <c:v>56230.479999999996</c:v>
                </c:pt>
              </c:numCache>
            </c:numRef>
          </c:xVal>
          <c:yVal>
            <c:numRef>
              <c:f>bd!$P$4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84-4186-8F87-F17B548FFB48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bd!$J$5</c:f>
              <c:numCache>
                <c:formatCode>0</c:formatCode>
                <c:ptCount val="1"/>
                <c:pt idx="0">
                  <c:v>29562.050000000003</c:v>
                </c:pt>
              </c:numCache>
            </c:numRef>
          </c:xVal>
          <c:yVal>
            <c:numRef>
              <c:f>bd!$P$5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84-4186-8F87-F17B548FFB48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bd!$J$6</c:f>
              <c:numCache>
                <c:formatCode>0</c:formatCode>
                <c:ptCount val="1"/>
                <c:pt idx="0">
                  <c:v>34837.32</c:v>
                </c:pt>
              </c:numCache>
            </c:numRef>
          </c:xVal>
          <c:yVal>
            <c:numRef>
              <c:f>bd!$P$6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584-4186-8F87-F17B548FFB48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ref!$J$1:$J$2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ref!$K$1:$K$2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84-4186-8F87-F17B548FFB48}"/>
            </c:ext>
          </c:extLst>
        </c:ser>
        <c:ser>
          <c:idx val="1"/>
          <c:order val="6"/>
          <c:tx>
            <c:v>all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1584-4186-8F87-F17B548FFB48}"/>
              </c:ext>
            </c:extLst>
          </c:dPt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999699256342955E-2"/>
                  <c:y val="4.0025165161227193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bd!$J$2:$J$6</c:f>
              <c:numCache>
                <c:formatCode>0</c:formatCode>
                <c:ptCount val="5"/>
                <c:pt idx="0">
                  <c:v>5196</c:v>
                </c:pt>
                <c:pt idx="1">
                  <c:v>10281.499999999998</c:v>
                </c:pt>
                <c:pt idx="2">
                  <c:v>56230.479999999996</c:v>
                </c:pt>
                <c:pt idx="3">
                  <c:v>29562.050000000003</c:v>
                </c:pt>
                <c:pt idx="4">
                  <c:v>34837.32</c:v>
                </c:pt>
              </c:numCache>
            </c:numRef>
          </c:xVal>
          <c:yVal>
            <c:numRef>
              <c:f>bd!$P$2:$P$6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84-4186-8F87-F17B548FF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949376"/>
        <c:axId val="120955648"/>
      </c:scatterChart>
      <c:valAx>
        <c:axId val="120949376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55648"/>
        <c:crosses val="autoZero"/>
        <c:crossBetween val="midCat"/>
      </c:valAx>
      <c:valAx>
        <c:axId val="120955648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49376"/>
        <c:crosses val="autoZero"/>
        <c:crossBetween val="midCat"/>
        <c:majorUnit val="7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18000874890638"/>
          <c:y val="0.31740787746404742"/>
          <c:w val="0.17298665791776027"/>
          <c:h val="0.339625085846597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BF-4AE3-92E1-1F5E4463EE03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BF-4AE3-92E1-1F5E4463EE03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BF4BF3-A761-4E36-8AA1-2B03A54A68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BF-4AE3-92E1-1F5E4463E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18D943-B649-4505-95FC-C1D05B510D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BF-4AE3-92E1-1F5E4463E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DEA9C8-BDC7-4C30-9611-85283CF557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BF-4AE3-92E1-1F5E4463EE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9D894C-4DF9-4E55-9007-0C8892689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BF-4AE3-92E1-1F5E4463EE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D7D388-1140-4EEA-AEB8-7583A56EB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BF-4AE3-92E1-1F5E4463EE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AE6648-C615-4560-89BC-7DA145DAD8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BF-4AE3-92E1-1F5E4463EE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24F72A-1674-46FE-884D-29DD8CA976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BF-4AE3-92E1-1F5E4463EE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BC3588-E3DA-4F24-AE4E-48100962FD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BF-4AE3-92E1-1F5E4463EE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BF-4AE3-92E1-1F5E4463EE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DAE9A3-44DA-4746-B119-7E8ABD8BD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3C-4F0F-A3E9-4A79D89C48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2351405293088366E-2"/>
                  <c:y val="8.6881609841352909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bd!$J$7:$J$16</c:f>
              <c:numCache>
                <c:formatCode>0</c:formatCode>
                <c:ptCount val="10"/>
                <c:pt idx="0">
                  <c:v>5124.9599999999991</c:v>
                </c:pt>
                <c:pt idx="1">
                  <c:v>2742.0800000000004</c:v>
                </c:pt>
                <c:pt idx="2">
                  <c:v>999.06000000000006</c:v>
                </c:pt>
                <c:pt idx="3">
                  <c:v>339.9</c:v>
                </c:pt>
                <c:pt idx="4">
                  <c:v>223.96</c:v>
                </c:pt>
                <c:pt idx="5">
                  <c:v>2947.99</c:v>
                </c:pt>
                <c:pt idx="6">
                  <c:v>3392.9</c:v>
                </c:pt>
                <c:pt idx="7">
                  <c:v>1273.23</c:v>
                </c:pt>
                <c:pt idx="8">
                  <c:v>466.05000000000007</c:v>
                </c:pt>
                <c:pt idx="9">
                  <c:v>56</c:v>
                </c:pt>
              </c:numCache>
            </c:numRef>
          </c:xVal>
          <c:yVal>
            <c:numRef>
              <c:f>bd!$P$7:$P$16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5FBF-4AE3-92E1-1F5E4463E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27680"/>
        <c:axId val="121129600"/>
      </c:scatterChart>
      <c:valAx>
        <c:axId val="12112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29600"/>
        <c:crosses val="autoZero"/>
        <c:crossBetween val="midCat"/>
      </c:valAx>
      <c:valAx>
        <c:axId val="121129600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2768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70402887139107606"/>
          <c:h val="0.79498535036603779"/>
        </c:manualLayout>
      </c:layout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7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BE-4B59-B5AF-A3830ECF9D2C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BE-4B59-B5AF-A3830ECF9D2C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76B3592-7D95-4A80-81BF-295AFBC68C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BE-4B59-B5AF-A3830ECF9D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31B95D-9FF2-4C5F-8B8C-4824828C7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BE-4B59-B5AF-A3830ECF9D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8B6D1E-0964-46C0-9E57-0728A778C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BE-4B59-B5AF-A3830ECF9D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D33358-04DD-4BDB-A2E0-2920F5A165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BE-4B59-B5AF-A3830ECF9D2C}"/>
                </c:ext>
              </c:extLst>
            </c:dLbl>
            <c:dLbl>
              <c:idx val="4"/>
              <c:layout>
                <c:manualLayout>
                  <c:x val="-1.5625E-2"/>
                  <c:y val="4.2767304069193011E-2"/>
                </c:manualLayout>
              </c:layout>
              <c:tx>
                <c:rich>
                  <a:bodyPr/>
                  <a:lstStyle/>
                  <a:p>
                    <a:fld id="{E36BA65D-4D3A-40CA-893C-879CEE5F5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EBE-4B59-B5AF-A3830ECF9D2C}"/>
                </c:ext>
              </c:extLst>
            </c:dLbl>
            <c:dLbl>
              <c:idx val="5"/>
              <c:layout>
                <c:manualLayout>
                  <c:x val="5.2083333333332697E-3"/>
                  <c:y val="5.0314475375521292E-3"/>
                </c:manualLayout>
              </c:layout>
              <c:tx>
                <c:rich>
                  <a:bodyPr/>
                  <a:lstStyle/>
                  <a:p>
                    <a:fld id="{C2CDA9A6-87C1-4EE0-86E0-85A7A46BA8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EBE-4B59-B5AF-A3830ECF9D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ABBE06-405C-4937-AF84-BBD034EE5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BE-4B59-B5AF-A3830ECF9D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F88CAB-ADD1-4C76-9DD3-87183972C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BE-4B59-B5AF-A3830ECF9D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9B9DD4-FD4D-44E8-9DDF-009788E072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BE-4B59-B5AF-A3830ECF9D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80354604111986"/>
                  <c:y val="-8.7351079552533961E-3"/>
                </c:manualLayout>
              </c:layout>
              <c:numFmt formatCode="General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bd!$J$17:$J$25</c:f>
              <c:numCache>
                <c:formatCode>0</c:formatCode>
                <c:ptCount val="9"/>
                <c:pt idx="0">
                  <c:v>5672.63</c:v>
                </c:pt>
                <c:pt idx="1">
                  <c:v>1108.17</c:v>
                </c:pt>
                <c:pt idx="2">
                  <c:v>536.63999999999987</c:v>
                </c:pt>
                <c:pt idx="3">
                  <c:v>739.73</c:v>
                </c:pt>
                <c:pt idx="4">
                  <c:v>3281.2800000000007</c:v>
                </c:pt>
                <c:pt idx="5">
                  <c:v>4240.55</c:v>
                </c:pt>
                <c:pt idx="6">
                  <c:v>557.93999999999994</c:v>
                </c:pt>
                <c:pt idx="7">
                  <c:v>7657.6300000000019</c:v>
                </c:pt>
                <c:pt idx="8">
                  <c:v>2047.26</c:v>
                </c:pt>
              </c:numCache>
            </c:numRef>
          </c:xVal>
          <c:yVal>
            <c:numRef>
              <c:f>bd!$P$17:$P$25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288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3EBE-4B59-B5AF-A3830ECF9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26592"/>
        <c:axId val="121361536"/>
      </c:scatterChart>
      <c:valAx>
        <c:axId val="121326592"/>
        <c:scaling>
          <c:orientation val="minMax"/>
          <c:max val="1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1536"/>
        <c:crosses val="autoZero"/>
        <c:crossBetween val="midCat"/>
      </c:valAx>
      <c:valAx>
        <c:axId val="121361536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6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48-4E1A-B71F-503A315779E4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48-4E1A-B71F-503A315779E4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49245406824146E-2"/>
                  <c:y val="9.8364799359144123E-3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bd!$J$26:$J$139</c:f>
              <c:numCache>
                <c:formatCode>0</c:formatCode>
                <c:ptCount val="114"/>
                <c:pt idx="0">
                  <c:v>4785.87</c:v>
                </c:pt>
                <c:pt idx="1">
                  <c:v>3711.93</c:v>
                </c:pt>
                <c:pt idx="2">
                  <c:v>5961.5500000000011</c:v>
                </c:pt>
                <c:pt idx="3">
                  <c:v>2699.2</c:v>
                </c:pt>
                <c:pt idx="4">
                  <c:v>3149.2999999999997</c:v>
                </c:pt>
                <c:pt idx="5">
                  <c:v>1727.0500000000002</c:v>
                </c:pt>
                <c:pt idx="6">
                  <c:v>9220.49</c:v>
                </c:pt>
                <c:pt idx="7">
                  <c:v>1449.67</c:v>
                </c:pt>
                <c:pt idx="8">
                  <c:v>1298.8700000000001</c:v>
                </c:pt>
                <c:pt idx="9">
                  <c:v>8155.8200000000015</c:v>
                </c:pt>
                <c:pt idx="10">
                  <c:v>6835.26</c:v>
                </c:pt>
                <c:pt idx="11">
                  <c:v>260</c:v>
                </c:pt>
                <c:pt idx="12">
                  <c:v>141</c:v>
                </c:pt>
                <c:pt idx="13">
                  <c:v>406.99999999999994</c:v>
                </c:pt>
                <c:pt idx="14">
                  <c:v>1242.8599999999999</c:v>
                </c:pt>
                <c:pt idx="15">
                  <c:v>1161.68</c:v>
                </c:pt>
                <c:pt idx="16">
                  <c:v>5528.09</c:v>
                </c:pt>
                <c:pt idx="17">
                  <c:v>374.21</c:v>
                </c:pt>
                <c:pt idx="18">
                  <c:v>1790.3999999999996</c:v>
                </c:pt>
                <c:pt idx="19">
                  <c:v>5099.6499999999996</c:v>
                </c:pt>
                <c:pt idx="20">
                  <c:v>4547.25</c:v>
                </c:pt>
                <c:pt idx="21">
                  <c:v>140</c:v>
                </c:pt>
                <c:pt idx="22">
                  <c:v>121</c:v>
                </c:pt>
                <c:pt idx="23">
                  <c:v>318</c:v>
                </c:pt>
                <c:pt idx="24">
                  <c:v>2598.7699999999995</c:v>
                </c:pt>
                <c:pt idx="25">
                  <c:v>1253.1699999999998</c:v>
                </c:pt>
                <c:pt idx="26">
                  <c:v>1332.63</c:v>
                </c:pt>
                <c:pt idx="27">
                  <c:v>1220.62445</c:v>
                </c:pt>
                <c:pt idx="28">
                  <c:v>2542.5800000000004</c:v>
                </c:pt>
                <c:pt idx="29">
                  <c:v>4962.67</c:v>
                </c:pt>
                <c:pt idx="30">
                  <c:v>985.91</c:v>
                </c:pt>
                <c:pt idx="31">
                  <c:v>2127.0499999999997</c:v>
                </c:pt>
                <c:pt idx="32">
                  <c:v>930.10000000000014</c:v>
                </c:pt>
                <c:pt idx="33">
                  <c:v>487.96999999999997</c:v>
                </c:pt>
                <c:pt idx="34">
                  <c:v>1717.5499999999997</c:v>
                </c:pt>
                <c:pt idx="35">
                  <c:v>334.12</c:v>
                </c:pt>
                <c:pt idx="36">
                  <c:v>400.12</c:v>
                </c:pt>
                <c:pt idx="37">
                  <c:v>363.32000000000005</c:v>
                </c:pt>
                <c:pt idx="38">
                  <c:v>126.95000000000002</c:v>
                </c:pt>
                <c:pt idx="39">
                  <c:v>761.7</c:v>
                </c:pt>
                <c:pt idx="40">
                  <c:v>183.95</c:v>
                </c:pt>
                <c:pt idx="41">
                  <c:v>748.68999999999994</c:v>
                </c:pt>
                <c:pt idx="42">
                  <c:v>1270.57</c:v>
                </c:pt>
                <c:pt idx="43">
                  <c:v>201.17000000000002</c:v>
                </c:pt>
                <c:pt idx="44">
                  <c:v>60.55</c:v>
                </c:pt>
                <c:pt idx="45">
                  <c:v>420.67</c:v>
                </c:pt>
                <c:pt idx="46">
                  <c:v>1006.5100000000001</c:v>
                </c:pt>
                <c:pt idx="47">
                  <c:v>985.5</c:v>
                </c:pt>
                <c:pt idx="48">
                  <c:v>462.95000000000005</c:v>
                </c:pt>
                <c:pt idx="49">
                  <c:v>781.43999999999994</c:v>
                </c:pt>
                <c:pt idx="50">
                  <c:v>253.49999999999997</c:v>
                </c:pt>
                <c:pt idx="51">
                  <c:v>519.86</c:v>
                </c:pt>
                <c:pt idx="52">
                  <c:v>281.22000000000003</c:v>
                </c:pt>
                <c:pt idx="53">
                  <c:v>116.78</c:v>
                </c:pt>
                <c:pt idx="54">
                  <c:v>135.22</c:v>
                </c:pt>
                <c:pt idx="55">
                  <c:v>28.000000000000004</c:v>
                </c:pt>
                <c:pt idx="56">
                  <c:v>689.79</c:v>
                </c:pt>
                <c:pt idx="57">
                  <c:v>155.25</c:v>
                </c:pt>
                <c:pt idx="58">
                  <c:v>170.92999999999998</c:v>
                </c:pt>
                <c:pt idx="59">
                  <c:v>191.18</c:v>
                </c:pt>
                <c:pt idx="60">
                  <c:v>75.400000000000006</c:v>
                </c:pt>
                <c:pt idx="61">
                  <c:v>110.85000000000001</c:v>
                </c:pt>
                <c:pt idx="62">
                  <c:v>15.530000000000001</c:v>
                </c:pt>
                <c:pt idx="63">
                  <c:v>2224.1999999999998</c:v>
                </c:pt>
                <c:pt idx="64">
                  <c:v>1794.88</c:v>
                </c:pt>
                <c:pt idx="65">
                  <c:v>1085.17</c:v>
                </c:pt>
                <c:pt idx="66">
                  <c:v>287.08000000000004</c:v>
                </c:pt>
                <c:pt idx="67">
                  <c:v>3551.34</c:v>
                </c:pt>
                <c:pt idx="68">
                  <c:v>2711.27</c:v>
                </c:pt>
                <c:pt idx="69">
                  <c:v>1031.5800000000002</c:v>
                </c:pt>
                <c:pt idx="70">
                  <c:v>1234.5999999999999</c:v>
                </c:pt>
                <c:pt idx="71">
                  <c:v>266.21000000000004</c:v>
                </c:pt>
                <c:pt idx="72">
                  <c:v>516</c:v>
                </c:pt>
                <c:pt idx="73">
                  <c:v>94.05</c:v>
                </c:pt>
                <c:pt idx="74">
                  <c:v>1367.9699999999998</c:v>
                </c:pt>
                <c:pt idx="75">
                  <c:v>379</c:v>
                </c:pt>
                <c:pt idx="76">
                  <c:v>887.76</c:v>
                </c:pt>
                <c:pt idx="77">
                  <c:v>1021.74</c:v>
                </c:pt>
                <c:pt idx="78">
                  <c:v>2654.76</c:v>
                </c:pt>
                <c:pt idx="79">
                  <c:v>1457.06</c:v>
                </c:pt>
                <c:pt idx="80">
                  <c:v>238.39</c:v>
                </c:pt>
                <c:pt idx="81">
                  <c:v>189.90000000000003</c:v>
                </c:pt>
                <c:pt idx="82">
                  <c:v>919.71</c:v>
                </c:pt>
                <c:pt idx="83">
                  <c:v>814.16000000000008</c:v>
                </c:pt>
                <c:pt idx="84">
                  <c:v>2956.17</c:v>
                </c:pt>
                <c:pt idx="85">
                  <c:v>108.01999999999998</c:v>
                </c:pt>
                <c:pt idx="86">
                  <c:v>2251.52</c:v>
                </c:pt>
                <c:pt idx="87">
                  <c:v>2645.49</c:v>
                </c:pt>
                <c:pt idx="88">
                  <c:v>2684.09</c:v>
                </c:pt>
                <c:pt idx="89">
                  <c:v>441.22</c:v>
                </c:pt>
                <c:pt idx="90">
                  <c:v>426.86</c:v>
                </c:pt>
                <c:pt idx="91">
                  <c:v>1018.6300000000001</c:v>
                </c:pt>
                <c:pt idx="92">
                  <c:v>1015.3999999999999</c:v>
                </c:pt>
                <c:pt idx="93">
                  <c:v>1189.23</c:v>
                </c:pt>
                <c:pt idx="94">
                  <c:v>8199.9299999999985</c:v>
                </c:pt>
                <c:pt idx="95">
                  <c:v>4448.670000000001</c:v>
                </c:pt>
                <c:pt idx="96">
                  <c:v>3270.76</c:v>
                </c:pt>
                <c:pt idx="97">
                  <c:v>3102.45</c:v>
                </c:pt>
                <c:pt idx="98">
                  <c:v>1980.46</c:v>
                </c:pt>
                <c:pt idx="99">
                  <c:v>303</c:v>
                </c:pt>
                <c:pt idx="100">
                  <c:v>714</c:v>
                </c:pt>
                <c:pt idx="101">
                  <c:v>5255.45</c:v>
                </c:pt>
                <c:pt idx="102">
                  <c:v>2288.2800000000007</c:v>
                </c:pt>
                <c:pt idx="103">
                  <c:v>1717.67</c:v>
                </c:pt>
                <c:pt idx="104">
                  <c:v>901.58999999999992</c:v>
                </c:pt>
                <c:pt idx="105">
                  <c:v>819.00000000000011</c:v>
                </c:pt>
                <c:pt idx="106">
                  <c:v>243</c:v>
                </c:pt>
                <c:pt idx="107">
                  <c:v>221.69999999999996</c:v>
                </c:pt>
                <c:pt idx="108">
                  <c:v>234.07</c:v>
                </c:pt>
                <c:pt idx="109">
                  <c:v>133</c:v>
                </c:pt>
                <c:pt idx="110">
                  <c:v>113</c:v>
                </c:pt>
                <c:pt idx="111">
                  <c:v>92</c:v>
                </c:pt>
                <c:pt idx="112">
                  <c:v>104</c:v>
                </c:pt>
                <c:pt idx="113">
                  <c:v>885.66</c:v>
                </c:pt>
              </c:numCache>
            </c:numRef>
          </c:xVal>
          <c:yVal>
            <c:numRef>
              <c:f>bd!$P$26:$P$139</c:f>
              <c:numCache>
                <c:formatCode>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48-4E1A-B71F-503A3157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86112"/>
        <c:axId val="121388032"/>
      </c:scatterChart>
      <c:valAx>
        <c:axId val="121386112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88032"/>
        <c:crosses val="autoZero"/>
        <c:crossBetween val="midCat"/>
      </c:valAx>
      <c:valAx>
        <c:axId val="121388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861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9-431F-A222-44E0BD746366}"/>
              </c:ext>
            </c:extLst>
          </c:dPt>
          <c:xVal>
            <c:numRef>
              <c:f>ref!$D$21:$D$22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ref!$E$21:$E$22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9-431F-A222-44E0BD746366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65704286964133E-2"/>
                  <c:y val="9.8364799359144123E-3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bd!$J$2:$J$139</c:f>
              <c:numCache>
                <c:formatCode>0</c:formatCode>
                <c:ptCount val="138"/>
                <c:pt idx="0">
                  <c:v>5196</c:v>
                </c:pt>
                <c:pt idx="1">
                  <c:v>10281.499999999998</c:v>
                </c:pt>
                <c:pt idx="2">
                  <c:v>56230.479999999996</c:v>
                </c:pt>
                <c:pt idx="3">
                  <c:v>29562.050000000003</c:v>
                </c:pt>
                <c:pt idx="4">
                  <c:v>34837.32</c:v>
                </c:pt>
                <c:pt idx="5">
                  <c:v>5124.9599999999991</c:v>
                </c:pt>
                <c:pt idx="6">
                  <c:v>2742.0800000000004</c:v>
                </c:pt>
                <c:pt idx="7">
                  <c:v>999.06000000000006</c:v>
                </c:pt>
                <c:pt idx="8">
                  <c:v>339.9</c:v>
                </c:pt>
                <c:pt idx="9">
                  <c:v>223.96</c:v>
                </c:pt>
                <c:pt idx="10">
                  <c:v>2947.99</c:v>
                </c:pt>
                <c:pt idx="11">
                  <c:v>3392.9</c:v>
                </c:pt>
                <c:pt idx="12">
                  <c:v>1273.23</c:v>
                </c:pt>
                <c:pt idx="13">
                  <c:v>466.05000000000007</c:v>
                </c:pt>
                <c:pt idx="14">
                  <c:v>56</c:v>
                </c:pt>
                <c:pt idx="15">
                  <c:v>5672.63</c:v>
                </c:pt>
                <c:pt idx="16">
                  <c:v>1108.17</c:v>
                </c:pt>
                <c:pt idx="17">
                  <c:v>536.63999999999987</c:v>
                </c:pt>
                <c:pt idx="18">
                  <c:v>739.73</c:v>
                </c:pt>
                <c:pt idx="19">
                  <c:v>3281.2800000000007</c:v>
                </c:pt>
                <c:pt idx="20">
                  <c:v>4240.55</c:v>
                </c:pt>
                <c:pt idx="21">
                  <c:v>557.93999999999994</c:v>
                </c:pt>
                <c:pt idx="22">
                  <c:v>7657.6300000000019</c:v>
                </c:pt>
                <c:pt idx="23">
                  <c:v>2047.26</c:v>
                </c:pt>
                <c:pt idx="24">
                  <c:v>4785.87</c:v>
                </c:pt>
                <c:pt idx="25">
                  <c:v>3711.93</c:v>
                </c:pt>
                <c:pt idx="26">
                  <c:v>5961.5500000000011</c:v>
                </c:pt>
                <c:pt idx="27">
                  <c:v>2699.2</c:v>
                </c:pt>
                <c:pt idx="28">
                  <c:v>3149.2999999999997</c:v>
                </c:pt>
                <c:pt idx="29">
                  <c:v>1727.0500000000002</c:v>
                </c:pt>
                <c:pt idx="30">
                  <c:v>9220.49</c:v>
                </c:pt>
                <c:pt idx="31">
                  <c:v>1449.67</c:v>
                </c:pt>
                <c:pt idx="32">
                  <c:v>1298.8700000000001</c:v>
                </c:pt>
                <c:pt idx="33">
                  <c:v>8155.8200000000015</c:v>
                </c:pt>
                <c:pt idx="34">
                  <c:v>6835.26</c:v>
                </c:pt>
                <c:pt idx="35">
                  <c:v>260</c:v>
                </c:pt>
                <c:pt idx="36">
                  <c:v>141</c:v>
                </c:pt>
                <c:pt idx="37">
                  <c:v>406.99999999999994</c:v>
                </c:pt>
                <c:pt idx="38">
                  <c:v>1242.8599999999999</c:v>
                </c:pt>
                <c:pt idx="39">
                  <c:v>1161.68</c:v>
                </c:pt>
                <c:pt idx="40">
                  <c:v>5528.09</c:v>
                </c:pt>
                <c:pt idx="41">
                  <c:v>374.21</c:v>
                </c:pt>
                <c:pt idx="42">
                  <c:v>1790.3999999999996</c:v>
                </c:pt>
                <c:pt idx="43">
                  <c:v>5099.6499999999996</c:v>
                </c:pt>
                <c:pt idx="44">
                  <c:v>4547.25</c:v>
                </c:pt>
                <c:pt idx="45">
                  <c:v>140</c:v>
                </c:pt>
                <c:pt idx="46">
                  <c:v>121</c:v>
                </c:pt>
                <c:pt idx="47">
                  <c:v>318</c:v>
                </c:pt>
                <c:pt idx="48">
                  <c:v>2598.7699999999995</c:v>
                </c:pt>
                <c:pt idx="49">
                  <c:v>1253.1699999999998</c:v>
                </c:pt>
                <c:pt idx="50">
                  <c:v>1332.63</c:v>
                </c:pt>
                <c:pt idx="51">
                  <c:v>1220.62445</c:v>
                </c:pt>
                <c:pt idx="52">
                  <c:v>2542.5800000000004</c:v>
                </c:pt>
                <c:pt idx="53">
                  <c:v>4962.67</c:v>
                </c:pt>
                <c:pt idx="54">
                  <c:v>985.91</c:v>
                </c:pt>
                <c:pt idx="55">
                  <c:v>2127.0499999999997</c:v>
                </c:pt>
                <c:pt idx="56">
                  <c:v>930.10000000000014</c:v>
                </c:pt>
                <c:pt idx="57">
                  <c:v>487.96999999999997</c:v>
                </c:pt>
                <c:pt idx="58">
                  <c:v>1717.5499999999997</c:v>
                </c:pt>
                <c:pt idx="59">
                  <c:v>334.12</c:v>
                </c:pt>
                <c:pt idx="60">
                  <c:v>400.12</c:v>
                </c:pt>
                <c:pt idx="61">
                  <c:v>363.32000000000005</c:v>
                </c:pt>
                <c:pt idx="62">
                  <c:v>126.95000000000002</c:v>
                </c:pt>
                <c:pt idx="63">
                  <c:v>761.7</c:v>
                </c:pt>
                <c:pt idx="64">
                  <c:v>183.95</c:v>
                </c:pt>
                <c:pt idx="65">
                  <c:v>748.68999999999994</c:v>
                </c:pt>
                <c:pt idx="66">
                  <c:v>1270.57</c:v>
                </c:pt>
                <c:pt idx="67">
                  <c:v>201.17000000000002</c:v>
                </c:pt>
                <c:pt idx="68">
                  <c:v>60.55</c:v>
                </c:pt>
                <c:pt idx="69">
                  <c:v>420.67</c:v>
                </c:pt>
                <c:pt idx="70">
                  <c:v>1006.5100000000001</c:v>
                </c:pt>
                <c:pt idx="71">
                  <c:v>985.5</c:v>
                </c:pt>
                <c:pt idx="72">
                  <c:v>462.95000000000005</c:v>
                </c:pt>
                <c:pt idx="73">
                  <c:v>781.43999999999994</c:v>
                </c:pt>
                <c:pt idx="74">
                  <c:v>253.49999999999997</c:v>
                </c:pt>
                <c:pt idx="75">
                  <c:v>519.86</c:v>
                </c:pt>
                <c:pt idx="76">
                  <c:v>281.22000000000003</c:v>
                </c:pt>
                <c:pt idx="77">
                  <c:v>116.78</c:v>
                </c:pt>
                <c:pt idx="78">
                  <c:v>135.22</c:v>
                </c:pt>
                <c:pt idx="79">
                  <c:v>28.000000000000004</c:v>
                </c:pt>
                <c:pt idx="80">
                  <c:v>689.79</c:v>
                </c:pt>
                <c:pt idx="81">
                  <c:v>155.25</c:v>
                </c:pt>
                <c:pt idx="82">
                  <c:v>170.92999999999998</c:v>
                </c:pt>
                <c:pt idx="83">
                  <c:v>191.18</c:v>
                </c:pt>
                <c:pt idx="84">
                  <c:v>75.400000000000006</c:v>
                </c:pt>
                <c:pt idx="85">
                  <c:v>110.85000000000001</c:v>
                </c:pt>
                <c:pt idx="86">
                  <c:v>15.530000000000001</c:v>
                </c:pt>
                <c:pt idx="87">
                  <c:v>2224.1999999999998</c:v>
                </c:pt>
                <c:pt idx="88">
                  <c:v>1794.88</c:v>
                </c:pt>
                <c:pt idx="89">
                  <c:v>1085.17</c:v>
                </c:pt>
                <c:pt idx="90">
                  <c:v>287.08000000000004</c:v>
                </c:pt>
                <c:pt idx="91">
                  <c:v>3551.34</c:v>
                </c:pt>
                <c:pt idx="92">
                  <c:v>2711.27</c:v>
                </c:pt>
                <c:pt idx="93">
                  <c:v>1031.5800000000002</c:v>
                </c:pt>
                <c:pt idx="94">
                  <c:v>1234.5999999999999</c:v>
                </c:pt>
                <c:pt idx="95">
                  <c:v>266.21000000000004</c:v>
                </c:pt>
                <c:pt idx="96">
                  <c:v>516</c:v>
                </c:pt>
                <c:pt idx="97">
                  <c:v>94.05</c:v>
                </c:pt>
                <c:pt idx="98">
                  <c:v>1367.9699999999998</c:v>
                </c:pt>
                <c:pt idx="99">
                  <c:v>379</c:v>
                </c:pt>
                <c:pt idx="100">
                  <c:v>887.76</c:v>
                </c:pt>
                <c:pt idx="101">
                  <c:v>1021.74</c:v>
                </c:pt>
                <c:pt idx="102">
                  <c:v>2654.76</c:v>
                </c:pt>
                <c:pt idx="103">
                  <c:v>1457.06</c:v>
                </c:pt>
                <c:pt idx="104">
                  <c:v>238.39</c:v>
                </c:pt>
                <c:pt idx="105">
                  <c:v>189.90000000000003</c:v>
                </c:pt>
                <c:pt idx="106">
                  <c:v>919.71</c:v>
                </c:pt>
                <c:pt idx="107">
                  <c:v>814.16000000000008</c:v>
                </c:pt>
                <c:pt idx="108">
                  <c:v>2956.17</c:v>
                </c:pt>
                <c:pt idx="109">
                  <c:v>108.01999999999998</c:v>
                </c:pt>
                <c:pt idx="110">
                  <c:v>2251.52</c:v>
                </c:pt>
                <c:pt idx="111">
                  <c:v>2645.49</c:v>
                </c:pt>
                <c:pt idx="112">
                  <c:v>2684.09</c:v>
                </c:pt>
                <c:pt idx="113">
                  <c:v>441.22</c:v>
                </c:pt>
                <c:pt idx="114">
                  <c:v>426.86</c:v>
                </c:pt>
                <c:pt idx="115">
                  <c:v>1018.6300000000001</c:v>
                </c:pt>
                <c:pt idx="116">
                  <c:v>1015.3999999999999</c:v>
                </c:pt>
                <c:pt idx="117">
                  <c:v>1189.23</c:v>
                </c:pt>
                <c:pt idx="118">
                  <c:v>8199.9299999999985</c:v>
                </c:pt>
                <c:pt idx="119">
                  <c:v>4448.670000000001</c:v>
                </c:pt>
                <c:pt idx="120">
                  <c:v>3270.76</c:v>
                </c:pt>
                <c:pt idx="121">
                  <c:v>3102.45</c:v>
                </c:pt>
                <c:pt idx="122">
                  <c:v>1980.46</c:v>
                </c:pt>
                <c:pt idx="123">
                  <c:v>303</c:v>
                </c:pt>
                <c:pt idx="124">
                  <c:v>714</c:v>
                </c:pt>
                <c:pt idx="125">
                  <c:v>5255.45</c:v>
                </c:pt>
                <c:pt idx="126">
                  <c:v>2288.2800000000007</c:v>
                </c:pt>
                <c:pt idx="127">
                  <c:v>1717.67</c:v>
                </c:pt>
                <c:pt idx="128">
                  <c:v>901.58999999999992</c:v>
                </c:pt>
                <c:pt idx="129">
                  <c:v>819.00000000000011</c:v>
                </c:pt>
                <c:pt idx="130">
                  <c:v>243</c:v>
                </c:pt>
                <c:pt idx="131">
                  <c:v>221.69999999999996</c:v>
                </c:pt>
                <c:pt idx="132">
                  <c:v>234.07</c:v>
                </c:pt>
                <c:pt idx="133">
                  <c:v>133</c:v>
                </c:pt>
                <c:pt idx="134">
                  <c:v>113</c:v>
                </c:pt>
                <c:pt idx="135">
                  <c:v>92</c:v>
                </c:pt>
                <c:pt idx="136">
                  <c:v>104</c:v>
                </c:pt>
                <c:pt idx="137">
                  <c:v>885.66</c:v>
                </c:pt>
              </c:numCache>
            </c:numRef>
          </c:xVal>
          <c:yVal>
            <c:numRef>
              <c:f>bd!$P$2:$P$139</c:f>
              <c:numCache>
                <c:formatCode>0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C9-431F-A222-44E0BD74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36800"/>
        <c:axId val="122290944"/>
      </c:scatterChart>
      <c:valAx>
        <c:axId val="121436800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90944"/>
        <c:crosses val="autoZero"/>
        <c:crossBetween val="midCat"/>
      </c:valAx>
      <c:valAx>
        <c:axId val="122290944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368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009405074365704"/>
          <c:y val="9.3308194583904241E-2"/>
          <c:w val="0.66018318022747158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018-4ED2-9800-35C3EE583100}"/>
              </c:ext>
            </c:extLst>
          </c:dPt>
          <c:xVal>
            <c:numRef>
              <c:f>pm!$J$2</c:f>
              <c:numCache>
                <c:formatCode>0</c:formatCode>
                <c:ptCount val="1"/>
                <c:pt idx="0">
                  <c:v>122712.86</c:v>
                </c:pt>
              </c:numCache>
            </c:numRef>
          </c:xVal>
          <c:yVal>
            <c:numRef>
              <c:f>pm!$P$2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18-4ED2-9800-35C3EE583100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pm!$J$3</c:f>
              <c:numCache>
                <c:formatCode>0</c:formatCode>
                <c:ptCount val="1"/>
                <c:pt idx="0">
                  <c:v>76454.900000000009</c:v>
                </c:pt>
              </c:numCache>
            </c:numRef>
          </c:xVal>
          <c:yVal>
            <c:numRef>
              <c:f>pm!$P$3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18-4ED2-9800-35C3EE583100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pm!$J$4</c:f>
              <c:numCache>
                <c:formatCode>0</c:formatCode>
                <c:ptCount val="1"/>
                <c:pt idx="0">
                  <c:v>338988.89999999997</c:v>
                </c:pt>
              </c:numCache>
            </c:numRef>
          </c:xVal>
          <c:yVal>
            <c:numRef>
              <c:f>pm!$P$4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18-4ED2-9800-35C3EE583100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pm!$J$5</c:f>
              <c:numCache>
                <c:formatCode>0</c:formatCode>
                <c:ptCount val="1"/>
                <c:pt idx="0">
                  <c:v>141395.79</c:v>
                </c:pt>
              </c:numCache>
            </c:numRef>
          </c:xVal>
          <c:yVal>
            <c:numRef>
              <c:f>pm!$P$5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18-4ED2-9800-35C3EE583100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pm!$J$6</c:f>
              <c:numCache>
                <c:formatCode>0</c:formatCode>
                <c:ptCount val="1"/>
                <c:pt idx="0">
                  <c:v>192031.71000000002</c:v>
                </c:pt>
              </c:numCache>
            </c:numRef>
          </c:xVal>
          <c:yVal>
            <c:numRef>
              <c:f>pm!$P$6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18-4ED2-9800-35C3EE583100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ref!$N$1:$N$2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ref!$O$1:$O$2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018-4ED2-9800-35C3EE583100}"/>
            </c:ext>
          </c:extLst>
        </c:ser>
        <c:ser>
          <c:idx val="1"/>
          <c:order val="6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897432742782152E-2"/>
                  <c:y val="-3.088556051811232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pm!$J$2:$J$6</c:f>
              <c:numCache>
                <c:formatCode>0</c:formatCode>
                <c:ptCount val="5"/>
                <c:pt idx="0">
                  <c:v>122712.86</c:v>
                </c:pt>
                <c:pt idx="1">
                  <c:v>76454.900000000009</c:v>
                </c:pt>
                <c:pt idx="2">
                  <c:v>338988.89999999997</c:v>
                </c:pt>
                <c:pt idx="3">
                  <c:v>141395.79</c:v>
                </c:pt>
                <c:pt idx="4">
                  <c:v>192031.71000000002</c:v>
                </c:pt>
              </c:numCache>
            </c:numRef>
          </c:xVal>
          <c:yVal>
            <c:numRef>
              <c:f>pm!$P$2:$P$6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18-4ED2-9800-35C3EE583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02240"/>
        <c:axId val="123008512"/>
      </c:scatterChart>
      <c:valAx>
        <c:axId val="123002240"/>
        <c:scaling>
          <c:orientation val="minMax"/>
          <c:max val="5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08512"/>
        <c:crosses val="autoZero"/>
        <c:crossBetween val="midCat"/>
      </c:valAx>
      <c:valAx>
        <c:axId val="1230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02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Passenger 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ref!$O$4:$O$6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B4-42CF-B3AB-C4C938F15CDE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D31903-BD28-403B-931D-CC1E8D40EC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B4-42CF-B3AB-C4C938F15C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69CBC-9F54-4961-8918-1C82EC0B86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B4-42CF-B3AB-C4C938F15C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A4DACD-CEBA-49AE-BB62-C3F67DE44B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B4-42CF-B3AB-C4C938F15C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8668C0-AEA1-40C9-B0CE-9A2492023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B4-42CF-B3AB-C4C938F15C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6B2EF5-4FBA-4315-AEFF-3789F45BAE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B4-42CF-B3AB-C4C938F15C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82B944-B304-43F8-96A5-7B6FE46F9A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B4-42CF-B3AB-C4C938F15C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A096F3-0F90-404C-BA28-D3C1D95703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B4-42CF-B3AB-C4C938F15C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66AFA0-E5EE-452B-9A2B-3D3455D976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B4-42CF-B3AB-C4C938F15C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A79F60-CF54-4638-82EB-E5BBACEB7B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B4-42CF-B3AB-C4C938F15C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DF0447-A860-435F-9CFC-C6A3B9976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EF-418F-BFE2-06CABFB11C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6839867672790907E-2"/>
                  <c:y val="8.9417142458702019E-4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pm!$J$7:$J$16</c:f>
              <c:numCache>
                <c:formatCode>0</c:formatCode>
                <c:ptCount val="10"/>
                <c:pt idx="0">
                  <c:v>15476.080000000002</c:v>
                </c:pt>
                <c:pt idx="1">
                  <c:v>23494.010000000002</c:v>
                </c:pt>
                <c:pt idx="2">
                  <c:v>7742.7400000000007</c:v>
                </c:pt>
                <c:pt idx="3">
                  <c:v>3290.24</c:v>
                </c:pt>
                <c:pt idx="4">
                  <c:v>3235.95</c:v>
                </c:pt>
                <c:pt idx="5">
                  <c:v>10075.989999999998</c:v>
                </c:pt>
                <c:pt idx="6">
                  <c:v>27838.670000000002</c:v>
                </c:pt>
                <c:pt idx="7">
                  <c:v>10570.64</c:v>
                </c:pt>
                <c:pt idx="8">
                  <c:v>2496.64</c:v>
                </c:pt>
                <c:pt idx="9">
                  <c:v>691.77</c:v>
                </c:pt>
              </c:numCache>
            </c:numRef>
          </c:xVal>
          <c:yVal>
            <c:numRef>
              <c:f>pm!$P$7:$P$16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3DB4-42CF-B3AB-C4C938F15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44608"/>
        <c:axId val="123046528"/>
      </c:scatterChart>
      <c:valAx>
        <c:axId val="123044608"/>
        <c:scaling>
          <c:orientation val="minMax"/>
          <c:max val="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46528"/>
        <c:crosses val="autoZero"/>
        <c:crossBetween val="midCat"/>
      </c:valAx>
      <c:valAx>
        <c:axId val="123046528"/>
        <c:scaling>
          <c:orientation val="minMax"/>
          <c:max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44608"/>
        <c:crosses val="autoZero"/>
        <c:crossBetween val="midCat"/>
        <c:majorUnit val="8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32-4509-A632-6E34A7398771}"/>
              </c:ext>
            </c:extLst>
          </c:dPt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ref!$O$4:$O$5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2-4509-A632-6E34A7398771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972222222222224E-2"/>
                  <c:y val="3.2704408994088843E-2"/>
                </c:manualLayout>
              </c:layout>
              <c:tx>
                <c:rich>
                  <a:bodyPr/>
                  <a:lstStyle/>
                  <a:p>
                    <a:fld id="{5DBC62B2-A207-40AF-93C2-D5A156E868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32-4509-A632-6E34A73987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6EC2C0-434E-4FF0-B9B4-37E6C4AD8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32-4509-A632-6E34A73987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F583A-4C37-4921-AED3-D0EF0BEBD0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32-4509-A632-6E34A73987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53D785-7424-404B-96F9-C4CE69F776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32-4509-A632-6E34A73987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4EA3AC-8E81-475F-B449-1BBD1C3C3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32-4509-A632-6E34A73987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426B72-C33D-4C3B-81D7-4DFE777A3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32-4509-A632-6E34A73987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F97406-7C64-4D68-958A-84299D6B9B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32-4509-A632-6E34A73987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D85519-C69F-4A58-8507-5190C50E67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32-4509-A632-6E34A73987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BF03BD-46AF-40F7-AA61-A4B7278520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32-4509-A632-6E34A73987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751859142607171E-2"/>
                  <c:y val="3.9887691752130292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pm!$J$17:$J$25</c:f>
              <c:numCache>
                <c:formatCode>0</c:formatCode>
                <c:ptCount val="9"/>
                <c:pt idx="0">
                  <c:v>93645.17</c:v>
                </c:pt>
                <c:pt idx="1">
                  <c:v>7396.8299999999981</c:v>
                </c:pt>
                <c:pt idx="2">
                  <c:v>15852.71</c:v>
                </c:pt>
                <c:pt idx="3">
                  <c:v>14605.359999999997</c:v>
                </c:pt>
                <c:pt idx="4">
                  <c:v>6436.43</c:v>
                </c:pt>
                <c:pt idx="5">
                  <c:v>9227.2099999999973</c:v>
                </c:pt>
                <c:pt idx="6">
                  <c:v>850.62999999999988</c:v>
                </c:pt>
                <c:pt idx="7">
                  <c:v>25429.419999999991</c:v>
                </c:pt>
                <c:pt idx="8">
                  <c:v>4723.99</c:v>
                </c:pt>
              </c:numCache>
            </c:numRef>
          </c:xVal>
          <c:yVal>
            <c:numRef>
              <c:f>pm!$P$17:$P$25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288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E32-4509-A632-6E34A7398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20576"/>
        <c:axId val="123412864"/>
      </c:scatterChart>
      <c:valAx>
        <c:axId val="123320576"/>
        <c:scaling>
          <c:orientation val="minMax"/>
          <c:max val="2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12864"/>
        <c:crosses val="autoZero"/>
        <c:crossBetween val="midCat"/>
      </c:valAx>
      <c:valAx>
        <c:axId val="123412864"/>
        <c:scaling>
          <c:orientation val="minMax"/>
          <c:max val="2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2057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ref!$M$7:$M$8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ref!$N$7:$N$8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54-46C2-BD1D-9EC92C5ECF23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112150043744532E-2"/>
                  <c:y val="5.4280008771358149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pm!$J$26:$J$139</c:f>
              <c:numCache>
                <c:formatCode>0</c:formatCode>
                <c:ptCount val="114"/>
                <c:pt idx="0">
                  <c:v>11008.140000000001</c:v>
                </c:pt>
                <c:pt idx="1">
                  <c:v>6964.9699999999984</c:v>
                </c:pt>
                <c:pt idx="2">
                  <c:v>11979.009999999997</c:v>
                </c:pt>
                <c:pt idx="3">
                  <c:v>7504.28</c:v>
                </c:pt>
                <c:pt idx="4">
                  <c:v>5726.1</c:v>
                </c:pt>
                <c:pt idx="5">
                  <c:v>3914.3700000000003</c:v>
                </c:pt>
                <c:pt idx="6">
                  <c:v>23639.78</c:v>
                </c:pt>
                <c:pt idx="7">
                  <c:v>4053.1099999999997</c:v>
                </c:pt>
                <c:pt idx="8">
                  <c:v>3534.99</c:v>
                </c:pt>
                <c:pt idx="9">
                  <c:v>26721.739999999998</c:v>
                </c:pt>
                <c:pt idx="10">
                  <c:v>18393.93</c:v>
                </c:pt>
                <c:pt idx="11">
                  <c:v>725.47</c:v>
                </c:pt>
                <c:pt idx="12">
                  <c:v>392.26</c:v>
                </c:pt>
                <c:pt idx="13">
                  <c:v>1498.0200000000002</c:v>
                </c:pt>
                <c:pt idx="14">
                  <c:v>3772.5</c:v>
                </c:pt>
                <c:pt idx="15">
                  <c:v>2358.0200000000004</c:v>
                </c:pt>
                <c:pt idx="16">
                  <c:v>36035.19</c:v>
                </c:pt>
                <c:pt idx="17">
                  <c:v>1418.3500000000001</c:v>
                </c:pt>
                <c:pt idx="18">
                  <c:v>3724.72</c:v>
                </c:pt>
                <c:pt idx="19">
                  <c:v>21304.93</c:v>
                </c:pt>
                <c:pt idx="20">
                  <c:v>17260.09</c:v>
                </c:pt>
                <c:pt idx="21">
                  <c:v>328.62</c:v>
                </c:pt>
                <c:pt idx="22">
                  <c:v>371.64</c:v>
                </c:pt>
                <c:pt idx="23">
                  <c:v>541.01</c:v>
                </c:pt>
                <c:pt idx="24">
                  <c:v>18041.11</c:v>
                </c:pt>
                <c:pt idx="25">
                  <c:v>5121.6400000000003</c:v>
                </c:pt>
                <c:pt idx="26">
                  <c:v>6055.8099999999995</c:v>
                </c:pt>
                <c:pt idx="27">
                  <c:v>1538.433245077521</c:v>
                </c:pt>
                <c:pt idx="28">
                  <c:v>9487.56</c:v>
                </c:pt>
                <c:pt idx="29">
                  <c:v>16013.109999999999</c:v>
                </c:pt>
                <c:pt idx="30">
                  <c:v>4902.7900000000009</c:v>
                </c:pt>
                <c:pt idx="31">
                  <c:v>7534.67</c:v>
                </c:pt>
                <c:pt idx="32">
                  <c:v>6310.5599999999995</c:v>
                </c:pt>
                <c:pt idx="33">
                  <c:v>2451.42</c:v>
                </c:pt>
                <c:pt idx="34">
                  <c:v>8781.42</c:v>
                </c:pt>
                <c:pt idx="35">
                  <c:v>1268.57</c:v>
                </c:pt>
                <c:pt idx="36">
                  <c:v>1213.4799999999998</c:v>
                </c:pt>
                <c:pt idx="37">
                  <c:v>1310.2400000000002</c:v>
                </c:pt>
                <c:pt idx="38">
                  <c:v>190.26000000000002</c:v>
                </c:pt>
                <c:pt idx="39">
                  <c:v>2470.06</c:v>
                </c:pt>
                <c:pt idx="40">
                  <c:v>528.41999999999996</c:v>
                </c:pt>
                <c:pt idx="41">
                  <c:v>2059.35</c:v>
                </c:pt>
                <c:pt idx="42">
                  <c:v>4470.7800000000016</c:v>
                </c:pt>
                <c:pt idx="43">
                  <c:v>315.05999999999995</c:v>
                </c:pt>
                <c:pt idx="44">
                  <c:v>143.31</c:v>
                </c:pt>
                <c:pt idx="45">
                  <c:v>656.41</c:v>
                </c:pt>
                <c:pt idx="46">
                  <c:v>2022.6299999999999</c:v>
                </c:pt>
                <c:pt idx="47">
                  <c:v>2050.83</c:v>
                </c:pt>
                <c:pt idx="48">
                  <c:v>714.21</c:v>
                </c:pt>
                <c:pt idx="49">
                  <c:v>1691.4</c:v>
                </c:pt>
                <c:pt idx="50">
                  <c:v>819.99</c:v>
                </c:pt>
                <c:pt idx="51">
                  <c:v>892.26</c:v>
                </c:pt>
                <c:pt idx="52">
                  <c:v>923.9799999999999</c:v>
                </c:pt>
                <c:pt idx="53">
                  <c:v>397.97999999999996</c:v>
                </c:pt>
                <c:pt idx="54">
                  <c:v>478.97999999999996</c:v>
                </c:pt>
                <c:pt idx="55">
                  <c:v>133.53</c:v>
                </c:pt>
                <c:pt idx="56">
                  <c:v>7661.45</c:v>
                </c:pt>
                <c:pt idx="57">
                  <c:v>2632.17</c:v>
                </c:pt>
                <c:pt idx="58">
                  <c:v>240.88</c:v>
                </c:pt>
                <c:pt idx="59">
                  <c:v>2077.96</c:v>
                </c:pt>
                <c:pt idx="60">
                  <c:v>287.38</c:v>
                </c:pt>
                <c:pt idx="61">
                  <c:v>498.15999999999997</c:v>
                </c:pt>
                <c:pt idx="62">
                  <c:v>37.21</c:v>
                </c:pt>
                <c:pt idx="63">
                  <c:v>5428.42</c:v>
                </c:pt>
                <c:pt idx="64">
                  <c:v>6408.29</c:v>
                </c:pt>
                <c:pt idx="65">
                  <c:v>3745.31</c:v>
                </c:pt>
                <c:pt idx="66">
                  <c:v>936.63</c:v>
                </c:pt>
                <c:pt idx="67">
                  <c:v>16052.749999999998</c:v>
                </c:pt>
                <c:pt idx="68">
                  <c:v>10662.37</c:v>
                </c:pt>
                <c:pt idx="69">
                  <c:v>1793.32</c:v>
                </c:pt>
                <c:pt idx="70">
                  <c:v>3633.65</c:v>
                </c:pt>
                <c:pt idx="71">
                  <c:v>922.4</c:v>
                </c:pt>
                <c:pt idx="72">
                  <c:v>1583.0500000000002</c:v>
                </c:pt>
                <c:pt idx="73">
                  <c:v>480.51</c:v>
                </c:pt>
                <c:pt idx="74">
                  <c:v>5168.08</c:v>
                </c:pt>
                <c:pt idx="75">
                  <c:v>1383.46</c:v>
                </c:pt>
                <c:pt idx="76">
                  <c:v>2733.04</c:v>
                </c:pt>
                <c:pt idx="77">
                  <c:v>2374.87</c:v>
                </c:pt>
                <c:pt idx="78">
                  <c:v>10287.209999999999</c:v>
                </c:pt>
                <c:pt idx="79">
                  <c:v>8979.9399999999987</c:v>
                </c:pt>
                <c:pt idx="80">
                  <c:v>618.74</c:v>
                </c:pt>
                <c:pt idx="81">
                  <c:v>403.93</c:v>
                </c:pt>
                <c:pt idx="82">
                  <c:v>2555</c:v>
                </c:pt>
                <c:pt idx="83">
                  <c:v>2440.7099999999996</c:v>
                </c:pt>
                <c:pt idx="84">
                  <c:v>18037.57</c:v>
                </c:pt>
                <c:pt idx="85">
                  <c:v>100.29</c:v>
                </c:pt>
                <c:pt idx="86">
                  <c:v>12694.54</c:v>
                </c:pt>
                <c:pt idx="87">
                  <c:v>3942.6900000000005</c:v>
                </c:pt>
                <c:pt idx="88">
                  <c:v>4081.0899999999997</c:v>
                </c:pt>
                <c:pt idx="89">
                  <c:v>1431.69</c:v>
                </c:pt>
                <c:pt idx="90">
                  <c:v>1424.1100000000001</c:v>
                </c:pt>
                <c:pt idx="91">
                  <c:v>3765.67</c:v>
                </c:pt>
                <c:pt idx="92">
                  <c:v>4420.03</c:v>
                </c:pt>
                <c:pt idx="93">
                  <c:v>5433.45</c:v>
                </c:pt>
                <c:pt idx="94">
                  <c:v>27700.859999999997</c:v>
                </c:pt>
                <c:pt idx="95">
                  <c:v>10641.67</c:v>
                </c:pt>
                <c:pt idx="96">
                  <c:v>10104.16</c:v>
                </c:pt>
                <c:pt idx="97">
                  <c:v>9643.880000000001</c:v>
                </c:pt>
                <c:pt idx="98">
                  <c:v>5010.1500000000005</c:v>
                </c:pt>
                <c:pt idx="99">
                  <c:v>965.06999999999994</c:v>
                </c:pt>
                <c:pt idx="100">
                  <c:v>2916.78</c:v>
                </c:pt>
                <c:pt idx="101">
                  <c:v>12999.45</c:v>
                </c:pt>
                <c:pt idx="102">
                  <c:v>6663.06</c:v>
                </c:pt>
                <c:pt idx="103">
                  <c:v>5087.0599999999995</c:v>
                </c:pt>
                <c:pt idx="104">
                  <c:v>2033.7600000000002</c:v>
                </c:pt>
                <c:pt idx="105">
                  <c:v>1380.61</c:v>
                </c:pt>
                <c:pt idx="106">
                  <c:v>483.44</c:v>
                </c:pt>
                <c:pt idx="107">
                  <c:v>677.63</c:v>
                </c:pt>
                <c:pt idx="108">
                  <c:v>716.31999999999994</c:v>
                </c:pt>
                <c:pt idx="109">
                  <c:v>263.12</c:v>
                </c:pt>
                <c:pt idx="110">
                  <c:v>319.06000000000006</c:v>
                </c:pt>
                <c:pt idx="111">
                  <c:v>160.28999999999996</c:v>
                </c:pt>
                <c:pt idx="112">
                  <c:v>221.84000000000003</c:v>
                </c:pt>
                <c:pt idx="113">
                  <c:v>2135.4</c:v>
                </c:pt>
              </c:numCache>
            </c:numRef>
          </c:xVal>
          <c:yVal>
            <c:numRef>
              <c:f>pm!$P$26:$P$139</c:f>
              <c:numCache>
                <c:formatCode>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54-46C2-BD1D-9EC92C5EC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440128"/>
        <c:axId val="123462784"/>
      </c:scatterChart>
      <c:valAx>
        <c:axId val="12344012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62784"/>
        <c:crosses val="autoZero"/>
        <c:crossBetween val="midCat"/>
      </c:valAx>
      <c:valAx>
        <c:axId val="123462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40128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42-41F3-9191-1CEB14A4C779}"/>
              </c:ext>
            </c:extLst>
          </c:dPt>
          <c:xVal>
            <c:numRef>
              <c:f>ref!$M$10:$M$11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ref!$N$10:$N$11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2-41F3-9191-1CEB14A4C779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0412292213473317E-2"/>
                  <c:y val="-6.1148727014059726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pm!$J$2:$J$139</c:f>
              <c:numCache>
                <c:formatCode>0</c:formatCode>
                <c:ptCount val="138"/>
                <c:pt idx="0">
                  <c:v>122712.86</c:v>
                </c:pt>
                <c:pt idx="1">
                  <c:v>76454.900000000009</c:v>
                </c:pt>
                <c:pt idx="2">
                  <c:v>338988.89999999997</c:v>
                </c:pt>
                <c:pt idx="3">
                  <c:v>141395.79</c:v>
                </c:pt>
                <c:pt idx="4">
                  <c:v>192031.71000000002</c:v>
                </c:pt>
                <c:pt idx="5">
                  <c:v>15476.080000000002</c:v>
                </c:pt>
                <c:pt idx="6">
                  <c:v>23494.010000000002</c:v>
                </c:pt>
                <c:pt idx="7">
                  <c:v>7742.7400000000007</c:v>
                </c:pt>
                <c:pt idx="8">
                  <c:v>3290.24</c:v>
                </c:pt>
                <c:pt idx="9">
                  <c:v>3235.95</c:v>
                </c:pt>
                <c:pt idx="10">
                  <c:v>10075.989999999998</c:v>
                </c:pt>
                <c:pt idx="11">
                  <c:v>27838.670000000002</c:v>
                </c:pt>
                <c:pt idx="12">
                  <c:v>10570.64</c:v>
                </c:pt>
                <c:pt idx="13">
                  <c:v>2496.64</c:v>
                </c:pt>
                <c:pt idx="14">
                  <c:v>691.77</c:v>
                </c:pt>
                <c:pt idx="15">
                  <c:v>93645.17</c:v>
                </c:pt>
                <c:pt idx="16">
                  <c:v>7396.8299999999981</c:v>
                </c:pt>
                <c:pt idx="17">
                  <c:v>15852.71</c:v>
                </c:pt>
                <c:pt idx="18">
                  <c:v>14605.359999999997</c:v>
                </c:pt>
                <c:pt idx="19">
                  <c:v>6436.43</c:v>
                </c:pt>
                <c:pt idx="20">
                  <c:v>9227.2099999999973</c:v>
                </c:pt>
                <c:pt idx="21">
                  <c:v>850.62999999999988</c:v>
                </c:pt>
                <c:pt idx="22">
                  <c:v>25429.419999999991</c:v>
                </c:pt>
                <c:pt idx="23">
                  <c:v>4723.99</c:v>
                </c:pt>
                <c:pt idx="24">
                  <c:v>11008.140000000001</c:v>
                </c:pt>
                <c:pt idx="25">
                  <c:v>6964.9699999999984</c:v>
                </c:pt>
                <c:pt idx="26">
                  <c:v>11979.009999999997</c:v>
                </c:pt>
                <c:pt idx="27">
                  <c:v>7504.28</c:v>
                </c:pt>
                <c:pt idx="28">
                  <c:v>5726.1</c:v>
                </c:pt>
                <c:pt idx="29">
                  <c:v>3914.3700000000003</c:v>
                </c:pt>
                <c:pt idx="30">
                  <c:v>23639.78</c:v>
                </c:pt>
                <c:pt idx="31">
                  <c:v>4053.1099999999997</c:v>
                </c:pt>
                <c:pt idx="32">
                  <c:v>3534.99</c:v>
                </c:pt>
                <c:pt idx="33">
                  <c:v>26721.739999999998</c:v>
                </c:pt>
                <c:pt idx="34">
                  <c:v>18393.93</c:v>
                </c:pt>
                <c:pt idx="35">
                  <c:v>725.47</c:v>
                </c:pt>
                <c:pt idx="36">
                  <c:v>392.26</c:v>
                </c:pt>
                <c:pt idx="37">
                  <c:v>1498.0200000000002</c:v>
                </c:pt>
                <c:pt idx="38">
                  <c:v>3772.5</c:v>
                </c:pt>
                <c:pt idx="39">
                  <c:v>2358.0200000000004</c:v>
                </c:pt>
                <c:pt idx="40">
                  <c:v>36035.19</c:v>
                </c:pt>
                <c:pt idx="41">
                  <c:v>1418.3500000000001</c:v>
                </c:pt>
                <c:pt idx="42">
                  <c:v>3724.72</c:v>
                </c:pt>
                <c:pt idx="43">
                  <c:v>21304.93</c:v>
                </c:pt>
                <c:pt idx="44">
                  <c:v>17260.09</c:v>
                </c:pt>
                <c:pt idx="45">
                  <c:v>328.62</c:v>
                </c:pt>
                <c:pt idx="46">
                  <c:v>371.64</c:v>
                </c:pt>
                <c:pt idx="47">
                  <c:v>541.01</c:v>
                </c:pt>
                <c:pt idx="48">
                  <c:v>18041.11</c:v>
                </c:pt>
                <c:pt idx="49">
                  <c:v>5121.6400000000003</c:v>
                </c:pt>
                <c:pt idx="50">
                  <c:v>6055.8099999999995</c:v>
                </c:pt>
                <c:pt idx="51">
                  <c:v>1538.433245077521</c:v>
                </c:pt>
                <c:pt idx="52">
                  <c:v>9487.56</c:v>
                </c:pt>
                <c:pt idx="53">
                  <c:v>16013.109999999999</c:v>
                </c:pt>
                <c:pt idx="54">
                  <c:v>4902.7900000000009</c:v>
                </c:pt>
                <c:pt idx="55">
                  <c:v>7534.67</c:v>
                </c:pt>
                <c:pt idx="56">
                  <c:v>6310.5599999999995</c:v>
                </c:pt>
                <c:pt idx="57">
                  <c:v>2451.42</c:v>
                </c:pt>
                <c:pt idx="58">
                  <c:v>8781.42</c:v>
                </c:pt>
                <c:pt idx="59">
                  <c:v>1268.57</c:v>
                </c:pt>
                <c:pt idx="60">
                  <c:v>1213.4799999999998</c:v>
                </c:pt>
                <c:pt idx="61">
                  <c:v>1310.2400000000002</c:v>
                </c:pt>
                <c:pt idx="62">
                  <c:v>190.26000000000002</c:v>
                </c:pt>
                <c:pt idx="63">
                  <c:v>2470.06</c:v>
                </c:pt>
                <c:pt idx="64">
                  <c:v>528.41999999999996</c:v>
                </c:pt>
                <c:pt idx="65">
                  <c:v>2059.35</c:v>
                </c:pt>
                <c:pt idx="66">
                  <c:v>4470.7800000000016</c:v>
                </c:pt>
                <c:pt idx="67">
                  <c:v>315.05999999999995</c:v>
                </c:pt>
                <c:pt idx="68">
                  <c:v>143.31</c:v>
                </c:pt>
                <c:pt idx="69">
                  <c:v>656.41</c:v>
                </c:pt>
                <c:pt idx="70">
                  <c:v>2022.6299999999999</c:v>
                </c:pt>
                <c:pt idx="71">
                  <c:v>2050.83</c:v>
                </c:pt>
                <c:pt idx="72">
                  <c:v>714.21</c:v>
                </c:pt>
                <c:pt idx="73">
                  <c:v>1691.4</c:v>
                </c:pt>
                <c:pt idx="74">
                  <c:v>819.99</c:v>
                </c:pt>
                <c:pt idx="75">
                  <c:v>892.26</c:v>
                </c:pt>
                <c:pt idx="76">
                  <c:v>923.9799999999999</c:v>
                </c:pt>
                <c:pt idx="77">
                  <c:v>397.97999999999996</c:v>
                </c:pt>
                <c:pt idx="78">
                  <c:v>478.97999999999996</c:v>
                </c:pt>
                <c:pt idx="79">
                  <c:v>133.53</c:v>
                </c:pt>
                <c:pt idx="80">
                  <c:v>7661.45</c:v>
                </c:pt>
                <c:pt idx="81">
                  <c:v>2632.17</c:v>
                </c:pt>
                <c:pt idx="82">
                  <c:v>240.88</c:v>
                </c:pt>
                <c:pt idx="83">
                  <c:v>2077.96</c:v>
                </c:pt>
                <c:pt idx="84">
                  <c:v>287.38</c:v>
                </c:pt>
                <c:pt idx="85">
                  <c:v>498.15999999999997</c:v>
                </c:pt>
                <c:pt idx="86">
                  <c:v>37.21</c:v>
                </c:pt>
                <c:pt idx="87">
                  <c:v>5428.42</c:v>
                </c:pt>
                <c:pt idx="88">
                  <c:v>6408.29</c:v>
                </c:pt>
                <c:pt idx="89">
                  <c:v>3745.31</c:v>
                </c:pt>
                <c:pt idx="90">
                  <c:v>936.63</c:v>
                </c:pt>
                <c:pt idx="91">
                  <c:v>16052.749999999998</c:v>
                </c:pt>
                <c:pt idx="92">
                  <c:v>10662.37</c:v>
                </c:pt>
                <c:pt idx="93">
                  <c:v>1793.32</c:v>
                </c:pt>
                <c:pt idx="94">
                  <c:v>3633.65</c:v>
                </c:pt>
                <c:pt idx="95">
                  <c:v>922.4</c:v>
                </c:pt>
                <c:pt idx="96">
                  <c:v>1583.0500000000002</c:v>
                </c:pt>
                <c:pt idx="97">
                  <c:v>480.51</c:v>
                </c:pt>
                <c:pt idx="98">
                  <c:v>5168.08</c:v>
                </c:pt>
                <c:pt idx="99">
                  <c:v>1383.46</c:v>
                </c:pt>
                <c:pt idx="100">
                  <c:v>2733.04</c:v>
                </c:pt>
                <c:pt idx="101">
                  <c:v>2374.87</c:v>
                </c:pt>
                <c:pt idx="102">
                  <c:v>10287.209999999999</c:v>
                </c:pt>
                <c:pt idx="103">
                  <c:v>8979.9399999999987</c:v>
                </c:pt>
                <c:pt idx="104">
                  <c:v>618.74</c:v>
                </c:pt>
                <c:pt idx="105">
                  <c:v>403.93</c:v>
                </c:pt>
                <c:pt idx="106">
                  <c:v>2555</c:v>
                </c:pt>
                <c:pt idx="107">
                  <c:v>2440.7099999999996</c:v>
                </c:pt>
                <c:pt idx="108">
                  <c:v>18037.57</c:v>
                </c:pt>
                <c:pt idx="109">
                  <c:v>100.29</c:v>
                </c:pt>
                <c:pt idx="110">
                  <c:v>12694.54</c:v>
                </c:pt>
                <c:pt idx="111">
                  <c:v>3942.6900000000005</c:v>
                </c:pt>
                <c:pt idx="112">
                  <c:v>4081.0899999999997</c:v>
                </c:pt>
                <c:pt idx="113">
                  <c:v>1431.69</c:v>
                </c:pt>
                <c:pt idx="114">
                  <c:v>1424.1100000000001</c:v>
                </c:pt>
                <c:pt idx="115">
                  <c:v>3765.67</c:v>
                </c:pt>
                <c:pt idx="116">
                  <c:v>4420.03</c:v>
                </c:pt>
                <c:pt idx="117">
                  <c:v>5433.45</c:v>
                </c:pt>
                <c:pt idx="118">
                  <c:v>27700.859999999997</c:v>
                </c:pt>
                <c:pt idx="119">
                  <c:v>10641.67</c:v>
                </c:pt>
                <c:pt idx="120">
                  <c:v>10104.16</c:v>
                </c:pt>
                <c:pt idx="121">
                  <c:v>9643.880000000001</c:v>
                </c:pt>
                <c:pt idx="122">
                  <c:v>5010.1500000000005</c:v>
                </c:pt>
                <c:pt idx="123">
                  <c:v>965.06999999999994</c:v>
                </c:pt>
                <c:pt idx="124">
                  <c:v>2916.78</c:v>
                </c:pt>
                <c:pt idx="125">
                  <c:v>12999.45</c:v>
                </c:pt>
                <c:pt idx="126">
                  <c:v>6663.06</c:v>
                </c:pt>
                <c:pt idx="127">
                  <c:v>5087.0599999999995</c:v>
                </c:pt>
                <c:pt idx="128">
                  <c:v>2033.7600000000002</c:v>
                </c:pt>
                <c:pt idx="129">
                  <c:v>1380.61</c:v>
                </c:pt>
                <c:pt idx="130">
                  <c:v>483.44</c:v>
                </c:pt>
                <c:pt idx="131">
                  <c:v>677.63</c:v>
                </c:pt>
                <c:pt idx="132">
                  <c:v>716.31999999999994</c:v>
                </c:pt>
                <c:pt idx="133">
                  <c:v>263.12</c:v>
                </c:pt>
                <c:pt idx="134">
                  <c:v>319.06000000000006</c:v>
                </c:pt>
                <c:pt idx="135">
                  <c:v>160.28999999999996</c:v>
                </c:pt>
                <c:pt idx="136">
                  <c:v>221.84000000000003</c:v>
                </c:pt>
                <c:pt idx="137">
                  <c:v>2135.4</c:v>
                </c:pt>
              </c:numCache>
            </c:numRef>
          </c:xVal>
          <c:yVal>
            <c:numRef>
              <c:f>pm!$P$2:$P$139</c:f>
              <c:numCache>
                <c:formatCode>0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42-41F3-9191-1CEB14A4C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68896"/>
        <c:axId val="123570816"/>
      </c:scatterChart>
      <c:valAx>
        <c:axId val="12356889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70816"/>
        <c:crosses val="autoZero"/>
        <c:crossBetween val="midCat"/>
      </c:valAx>
      <c:valAx>
        <c:axId val="12357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68896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171450</xdr:rowOff>
    </xdr:from>
    <xdr:to>
      <xdr:col>16</xdr:col>
      <xdr:colOff>9525</xdr:colOff>
      <xdr:row>31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E5676B-5239-4404-956A-88A31DC6A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609599</xdr:colOff>
      <xdr:row>35</xdr:row>
      <xdr:rowOff>9525</xdr:rowOff>
    </xdr:from>
    <xdr:to>
      <xdr:col>16</xdr:col>
      <xdr:colOff>9524</xdr:colOff>
      <xdr:row>67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044DC1-EAB2-40BD-8EEA-06ECEBC2A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A5289-D3EB-441B-8DCE-16A24485E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5F6096-4A30-4B17-A87C-C73A998DA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EC61F2-2891-4E0C-99EC-F2E7F961A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931AFB-4533-45F0-A8C6-6480C5F93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DD2D41-9EFB-4270-8AA5-475402E7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BD1701-65DC-43E8-8CF0-B3D8F0F8A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0903A4-BF5F-4EB1-BDE2-FA77F4A5F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94B054-C474-450F-A525-4C0EE1E42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110C40-A668-445E-B102-35FB8348C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8E7F2A-2600-499B-A15B-F7F774CA6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/>
      <sheetData sheetId="2"/>
      <sheetData sheetId="3"/>
      <sheetData sheetId="4"/>
      <sheetData sheetId="5">
        <row r="2">
          <cell r="B2">
            <v>101</v>
          </cell>
          <cell r="C2">
            <v>29</v>
          </cell>
          <cell r="D2"/>
          <cell r="E2"/>
          <cell r="F2"/>
          <cell r="G2"/>
          <cell r="H2"/>
          <cell r="I2"/>
          <cell r="J2"/>
          <cell r="K2"/>
          <cell r="L2"/>
          <cell r="M2"/>
        </row>
        <row r="3">
          <cell r="B3">
            <v>105</v>
          </cell>
          <cell r="C3">
            <v>29</v>
          </cell>
          <cell r="D3"/>
          <cell r="E3"/>
          <cell r="F3"/>
          <cell r="G3"/>
          <cell r="H3"/>
          <cell r="I3"/>
          <cell r="J3"/>
          <cell r="K3"/>
          <cell r="L3"/>
          <cell r="M3"/>
        </row>
        <row r="4">
          <cell r="B4">
            <v>10</v>
          </cell>
          <cell r="C4">
            <v>28</v>
          </cell>
          <cell r="D4"/>
          <cell r="E4"/>
          <cell r="F4"/>
          <cell r="G4"/>
          <cell r="H4"/>
          <cell r="I4"/>
          <cell r="J4"/>
          <cell r="K4"/>
          <cell r="L4"/>
          <cell r="M4"/>
        </row>
        <row r="5">
          <cell r="B5">
            <v>115</v>
          </cell>
          <cell r="C5">
            <v>29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</row>
        <row r="6">
          <cell r="B6">
            <v>11</v>
          </cell>
          <cell r="C6">
            <v>29</v>
          </cell>
          <cell r="D6"/>
          <cell r="E6"/>
          <cell r="F6"/>
          <cell r="G6"/>
          <cell r="H6"/>
          <cell r="I6"/>
          <cell r="J6"/>
          <cell r="K6"/>
          <cell r="L6"/>
          <cell r="M6"/>
        </row>
        <row r="7">
          <cell r="B7">
            <v>120</v>
          </cell>
          <cell r="C7">
            <v>28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</row>
        <row r="8">
          <cell r="B8">
            <v>13</v>
          </cell>
          <cell r="C8">
            <v>29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</row>
        <row r="9">
          <cell r="B9">
            <v>14</v>
          </cell>
          <cell r="C9">
            <v>29</v>
          </cell>
          <cell r="D9"/>
          <cell r="E9"/>
          <cell r="F9"/>
          <cell r="G9"/>
          <cell r="H9"/>
          <cell r="I9"/>
          <cell r="J9"/>
          <cell r="K9"/>
          <cell r="L9"/>
          <cell r="M9"/>
        </row>
        <row r="10">
          <cell r="B10">
            <v>150</v>
          </cell>
          <cell r="C10">
            <v>28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</row>
        <row r="11">
          <cell r="B11">
            <v>18</v>
          </cell>
          <cell r="C11">
            <v>29</v>
          </cell>
          <cell r="D11"/>
          <cell r="E11"/>
          <cell r="F11"/>
          <cell r="G11"/>
          <cell r="H11"/>
          <cell r="I11"/>
          <cell r="J11"/>
          <cell r="K11"/>
          <cell r="L11"/>
          <cell r="M11"/>
        </row>
        <row r="12">
          <cell r="B12">
            <v>1</v>
          </cell>
          <cell r="C12">
            <v>29</v>
          </cell>
          <cell r="D12"/>
          <cell r="E12"/>
          <cell r="F12"/>
          <cell r="G12"/>
          <cell r="H12"/>
          <cell r="I12"/>
          <cell r="J12"/>
          <cell r="K12"/>
          <cell r="L12"/>
          <cell r="M12"/>
        </row>
        <row r="13">
          <cell r="B13">
            <v>201</v>
          </cell>
          <cell r="C13">
            <v>26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</row>
        <row r="14">
          <cell r="B14">
            <v>202</v>
          </cell>
          <cell r="C14">
            <v>26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</row>
        <row r="15">
          <cell r="B15">
            <v>204</v>
          </cell>
          <cell r="C15">
            <v>26</v>
          </cell>
          <cell r="D15"/>
          <cell r="E15"/>
          <cell r="F15"/>
          <cell r="G15"/>
          <cell r="H15"/>
          <cell r="I15"/>
          <cell r="J15"/>
          <cell r="K15"/>
          <cell r="L15"/>
          <cell r="M15"/>
        </row>
        <row r="16">
          <cell r="B16">
            <v>20</v>
          </cell>
          <cell r="C16">
            <v>28</v>
          </cell>
          <cell r="D16"/>
          <cell r="E16"/>
          <cell r="F16"/>
          <cell r="G16"/>
          <cell r="H16"/>
          <cell r="I16"/>
          <cell r="J16"/>
          <cell r="K16"/>
          <cell r="L16"/>
          <cell r="M16"/>
        </row>
        <row r="17">
          <cell r="B17">
            <v>215</v>
          </cell>
          <cell r="C17">
            <v>26</v>
          </cell>
          <cell r="D17"/>
          <cell r="E17"/>
          <cell r="F17"/>
          <cell r="G17"/>
          <cell r="H17"/>
          <cell r="I17"/>
          <cell r="J17"/>
          <cell r="K17"/>
          <cell r="L17"/>
          <cell r="M17"/>
        </row>
        <row r="18">
          <cell r="B18">
            <v>235</v>
          </cell>
          <cell r="C18">
            <v>25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</row>
        <row r="19">
          <cell r="B19">
            <v>237</v>
          </cell>
          <cell r="C19">
            <v>25</v>
          </cell>
          <cell r="D19"/>
          <cell r="E19"/>
          <cell r="F19"/>
          <cell r="G19"/>
          <cell r="H19"/>
          <cell r="I19"/>
          <cell r="J19"/>
          <cell r="K19"/>
          <cell r="L19"/>
          <cell r="M19"/>
        </row>
        <row r="20">
          <cell r="B20">
            <v>25</v>
          </cell>
          <cell r="C20">
            <v>29</v>
          </cell>
          <cell r="D20"/>
          <cell r="E20"/>
          <cell r="F20"/>
          <cell r="G20"/>
          <cell r="H20"/>
          <cell r="I20"/>
          <cell r="J20"/>
          <cell r="K20"/>
          <cell r="L20"/>
          <cell r="M20"/>
        </row>
        <row r="21">
          <cell r="B21">
            <v>276</v>
          </cell>
          <cell r="C21">
            <v>29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</row>
        <row r="22">
          <cell r="B22">
            <v>27</v>
          </cell>
          <cell r="C22">
            <v>29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</row>
        <row r="23">
          <cell r="B23">
            <v>28</v>
          </cell>
          <cell r="C23">
            <v>29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</row>
        <row r="24">
          <cell r="B24">
            <v>2</v>
          </cell>
          <cell r="C24">
            <v>29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</row>
        <row r="25">
          <cell r="B25">
            <v>302</v>
          </cell>
          <cell r="C25">
            <v>29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</row>
        <row r="26">
          <cell r="B26">
            <v>303</v>
          </cell>
          <cell r="C26">
            <v>29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</row>
        <row r="27">
          <cell r="B27">
            <v>304</v>
          </cell>
          <cell r="C27">
            <v>29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</row>
        <row r="28">
          <cell r="B28">
            <v>305</v>
          </cell>
          <cell r="C28">
            <v>29</v>
          </cell>
          <cell r="D28"/>
          <cell r="E28"/>
          <cell r="F28"/>
          <cell r="G28"/>
          <cell r="H28"/>
          <cell r="I28"/>
          <cell r="J28"/>
          <cell r="K28"/>
          <cell r="L28"/>
          <cell r="M28"/>
        </row>
        <row r="29">
          <cell r="B29">
            <v>306</v>
          </cell>
          <cell r="C29">
            <v>29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</row>
        <row r="30">
          <cell r="B30">
            <v>308</v>
          </cell>
          <cell r="C30">
            <v>29</v>
          </cell>
          <cell r="D30"/>
          <cell r="E30"/>
          <cell r="F30"/>
          <cell r="G30"/>
          <cell r="H30"/>
          <cell r="I30"/>
          <cell r="J30"/>
          <cell r="K30"/>
          <cell r="L30"/>
          <cell r="M30"/>
        </row>
        <row r="31">
          <cell r="B31">
            <v>309</v>
          </cell>
          <cell r="C31">
            <v>29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</row>
        <row r="32">
          <cell r="B32">
            <v>30</v>
          </cell>
          <cell r="C32">
            <v>29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</row>
        <row r="33">
          <cell r="B33">
            <v>311</v>
          </cell>
          <cell r="C33">
            <v>29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</row>
        <row r="34">
          <cell r="B34">
            <v>313</v>
          </cell>
          <cell r="C34">
            <v>29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</row>
        <row r="35">
          <cell r="B35">
            <v>315</v>
          </cell>
          <cell r="C35">
            <v>29</v>
          </cell>
          <cell r="D35"/>
          <cell r="E35"/>
          <cell r="F35"/>
          <cell r="G35"/>
          <cell r="H35"/>
          <cell r="I35"/>
          <cell r="J35"/>
          <cell r="K35"/>
          <cell r="L35"/>
          <cell r="M35"/>
        </row>
        <row r="36">
          <cell r="B36">
            <v>316</v>
          </cell>
          <cell r="C36">
            <v>29</v>
          </cell>
          <cell r="D36"/>
          <cell r="E36"/>
          <cell r="F36"/>
          <cell r="G36"/>
          <cell r="H36"/>
          <cell r="I36"/>
          <cell r="J36"/>
          <cell r="K36"/>
          <cell r="L36"/>
          <cell r="M36"/>
        </row>
        <row r="37">
          <cell r="B37">
            <v>318</v>
          </cell>
          <cell r="C37">
            <v>29</v>
          </cell>
          <cell r="D37"/>
          <cell r="E37"/>
          <cell r="F37"/>
          <cell r="G37"/>
          <cell r="H37"/>
          <cell r="I37"/>
          <cell r="J37"/>
          <cell r="K37"/>
          <cell r="L37"/>
          <cell r="M37"/>
        </row>
        <row r="38">
          <cell r="B38">
            <v>323</v>
          </cell>
          <cell r="C38">
            <v>29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</row>
        <row r="39">
          <cell r="B39">
            <v>325</v>
          </cell>
          <cell r="C39">
            <v>29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</row>
        <row r="40">
          <cell r="B40">
            <v>332</v>
          </cell>
          <cell r="C40">
            <v>29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</row>
        <row r="41">
          <cell r="B41">
            <v>334</v>
          </cell>
          <cell r="C41">
            <v>29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</row>
        <row r="42">
          <cell r="B42">
            <v>347</v>
          </cell>
          <cell r="C42">
            <v>29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</row>
        <row r="43">
          <cell r="B43">
            <v>350</v>
          </cell>
          <cell r="C43">
            <v>26</v>
          </cell>
          <cell r="D43"/>
          <cell r="E43"/>
          <cell r="F43"/>
          <cell r="G43"/>
          <cell r="H43"/>
          <cell r="I43"/>
          <cell r="J43"/>
          <cell r="K43"/>
          <cell r="L43"/>
          <cell r="M43"/>
        </row>
        <row r="44">
          <cell r="B44">
            <v>351</v>
          </cell>
          <cell r="C44">
            <v>29</v>
          </cell>
          <cell r="D44"/>
          <cell r="E44"/>
          <cell r="F44"/>
          <cell r="G44"/>
          <cell r="H44"/>
          <cell r="I44"/>
          <cell r="J44"/>
          <cell r="K44"/>
          <cell r="L44"/>
          <cell r="M44"/>
        </row>
        <row r="45">
          <cell r="B45">
            <v>352</v>
          </cell>
          <cell r="C45">
            <v>29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</row>
        <row r="46">
          <cell r="B46">
            <v>353</v>
          </cell>
          <cell r="C46">
            <v>29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</row>
        <row r="47">
          <cell r="B47">
            <v>354</v>
          </cell>
          <cell r="C47">
            <v>29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</row>
        <row r="48">
          <cell r="B48">
            <v>355</v>
          </cell>
          <cell r="C48">
            <v>29</v>
          </cell>
          <cell r="D48"/>
          <cell r="E48"/>
          <cell r="F48"/>
          <cell r="G48"/>
          <cell r="H48"/>
          <cell r="I48"/>
          <cell r="J48"/>
          <cell r="K48"/>
          <cell r="L48"/>
          <cell r="M48"/>
        </row>
        <row r="49">
          <cell r="B49">
            <v>356</v>
          </cell>
          <cell r="C49">
            <v>29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/>
        </row>
        <row r="50">
          <cell r="B50">
            <v>357</v>
          </cell>
          <cell r="C50">
            <v>29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</row>
        <row r="51">
          <cell r="B51">
            <v>358</v>
          </cell>
          <cell r="C51">
            <v>29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</row>
        <row r="52">
          <cell r="B52">
            <v>359</v>
          </cell>
          <cell r="C52">
            <v>29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</row>
        <row r="53">
          <cell r="B53">
            <v>35</v>
          </cell>
          <cell r="C53">
            <v>29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</row>
        <row r="54">
          <cell r="B54">
            <v>371</v>
          </cell>
          <cell r="C54">
            <v>29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</row>
        <row r="55">
          <cell r="B55">
            <v>388</v>
          </cell>
          <cell r="C55">
            <v>29</v>
          </cell>
          <cell r="D55"/>
          <cell r="E55"/>
          <cell r="F55"/>
          <cell r="G55"/>
          <cell r="H55"/>
          <cell r="I55"/>
          <cell r="J55"/>
          <cell r="K55"/>
          <cell r="L55"/>
          <cell r="M55"/>
        </row>
        <row r="56">
          <cell r="B56">
            <v>389</v>
          </cell>
          <cell r="C56">
            <v>29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</row>
        <row r="57">
          <cell r="B57">
            <v>392</v>
          </cell>
          <cell r="C57">
            <v>29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</row>
        <row r="58">
          <cell r="B58">
            <v>395</v>
          </cell>
          <cell r="C58">
            <v>29</v>
          </cell>
          <cell r="D58"/>
          <cell r="E58"/>
          <cell r="F58"/>
          <cell r="G58"/>
          <cell r="H58"/>
          <cell r="I58"/>
          <cell r="J58"/>
          <cell r="K58"/>
          <cell r="L58"/>
          <cell r="M58"/>
        </row>
        <row r="59">
          <cell r="B59">
            <v>398</v>
          </cell>
          <cell r="C59">
            <v>23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</row>
        <row r="60">
          <cell r="B60">
            <v>399</v>
          </cell>
          <cell r="C60">
            <v>24</v>
          </cell>
          <cell r="D60"/>
          <cell r="E60"/>
          <cell r="F60"/>
          <cell r="G60"/>
          <cell r="H60"/>
          <cell r="I60"/>
          <cell r="J60"/>
          <cell r="K60"/>
          <cell r="L60"/>
          <cell r="M60"/>
        </row>
        <row r="61">
          <cell r="B61">
            <v>3</v>
          </cell>
          <cell r="C61">
            <v>29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</row>
        <row r="62">
          <cell r="B62">
            <v>41</v>
          </cell>
          <cell r="C62">
            <v>29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</row>
        <row r="63">
          <cell r="B63">
            <v>44</v>
          </cell>
          <cell r="C63">
            <v>29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</row>
        <row r="64">
          <cell r="B64">
            <v>4</v>
          </cell>
          <cell r="C64">
            <v>29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</row>
        <row r="65">
          <cell r="B65">
            <v>50</v>
          </cell>
          <cell r="C65">
            <v>28</v>
          </cell>
          <cell r="D65"/>
          <cell r="E65"/>
          <cell r="F65"/>
          <cell r="G65"/>
          <cell r="H65"/>
          <cell r="I65"/>
          <cell r="J65"/>
          <cell r="K65"/>
          <cell r="L65"/>
          <cell r="M65"/>
        </row>
        <row r="66">
          <cell r="B66">
            <v>510</v>
          </cell>
          <cell r="C66">
            <v>24</v>
          </cell>
          <cell r="D66"/>
          <cell r="E66"/>
          <cell r="F66"/>
          <cell r="G66"/>
          <cell r="H66"/>
          <cell r="I66"/>
          <cell r="J66"/>
          <cell r="K66"/>
          <cell r="L66"/>
          <cell r="M66"/>
        </row>
        <row r="67">
          <cell r="B67">
            <v>520</v>
          </cell>
          <cell r="C67">
            <v>24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</row>
        <row r="68">
          <cell r="B68">
            <v>530</v>
          </cell>
          <cell r="C68">
            <v>24</v>
          </cell>
          <cell r="D68"/>
          <cell r="E68"/>
          <cell r="F68"/>
          <cell r="G68"/>
          <cell r="H68"/>
          <cell r="I68"/>
          <cell r="J68"/>
          <cell r="K68"/>
          <cell r="L68"/>
          <cell r="M68"/>
        </row>
        <row r="69">
          <cell r="B69">
            <v>5</v>
          </cell>
          <cell r="C69">
            <v>29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</row>
        <row r="70">
          <cell r="B70">
            <v>6</v>
          </cell>
          <cell r="C70">
            <v>29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</row>
        <row r="71">
          <cell r="B71">
            <v>701</v>
          </cell>
          <cell r="C71">
            <v>29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</row>
        <row r="72">
          <cell r="B72">
            <v>704</v>
          </cell>
          <cell r="C72">
            <v>29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</row>
        <row r="73">
          <cell r="B73">
            <v>705</v>
          </cell>
          <cell r="C73">
            <v>29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</row>
        <row r="74">
          <cell r="B74">
            <v>707</v>
          </cell>
          <cell r="C74">
            <v>29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</row>
        <row r="75">
          <cell r="B75">
            <v>709</v>
          </cell>
          <cell r="C75">
            <v>29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</row>
        <row r="76">
          <cell r="B76">
            <v>709</v>
          </cell>
          <cell r="C76">
            <v>28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</row>
        <row r="77">
          <cell r="B77">
            <v>712</v>
          </cell>
          <cell r="C77">
            <v>29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</row>
        <row r="78">
          <cell r="B78">
            <v>7</v>
          </cell>
          <cell r="C78">
            <v>29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</row>
        <row r="79">
          <cell r="B79">
            <v>815</v>
          </cell>
          <cell r="C79">
            <v>29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</row>
        <row r="80">
          <cell r="B80">
            <v>816</v>
          </cell>
          <cell r="C80">
            <v>29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</row>
        <row r="81">
          <cell r="B81">
            <v>832</v>
          </cell>
          <cell r="C81">
            <v>29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</row>
        <row r="82">
          <cell r="B82">
            <v>833</v>
          </cell>
          <cell r="C82">
            <v>29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</row>
        <row r="83">
          <cell r="B83">
            <v>834</v>
          </cell>
          <cell r="C83">
            <v>29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</row>
        <row r="84">
          <cell r="B84">
            <v>83</v>
          </cell>
          <cell r="C84">
            <v>29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</row>
        <row r="85">
          <cell r="B85">
            <v>848</v>
          </cell>
          <cell r="C85">
            <v>29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</row>
        <row r="86">
          <cell r="B86">
            <v>84</v>
          </cell>
          <cell r="C86">
            <v>29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</row>
        <row r="87">
          <cell r="B87">
            <v>851</v>
          </cell>
          <cell r="C87">
            <v>29</v>
          </cell>
          <cell r="D87"/>
          <cell r="E87"/>
          <cell r="F87"/>
          <cell r="G87"/>
          <cell r="H87"/>
          <cell r="I87"/>
          <cell r="J87"/>
          <cell r="K87"/>
          <cell r="L87"/>
          <cell r="M87"/>
        </row>
        <row r="88">
          <cell r="B88">
            <v>854</v>
          </cell>
          <cell r="C88">
            <v>29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</row>
        <row r="89">
          <cell r="B89">
            <v>855</v>
          </cell>
          <cell r="C89">
            <v>29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</row>
        <row r="90">
          <cell r="B90">
            <v>856</v>
          </cell>
          <cell r="C90">
            <v>29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</row>
        <row r="91">
          <cell r="B91">
            <v>864</v>
          </cell>
          <cell r="C91">
            <v>29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</row>
        <row r="92">
          <cell r="B92">
            <v>871</v>
          </cell>
          <cell r="C92">
            <v>29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</row>
        <row r="93">
          <cell r="B93">
            <v>872</v>
          </cell>
          <cell r="C93">
            <v>29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</row>
        <row r="94">
          <cell r="B94">
            <v>874</v>
          </cell>
          <cell r="C94">
            <v>29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</row>
        <row r="95">
          <cell r="B95">
            <v>875</v>
          </cell>
          <cell r="C95">
            <v>29</v>
          </cell>
          <cell r="D95"/>
          <cell r="E95"/>
          <cell r="F95"/>
          <cell r="G95"/>
          <cell r="H95"/>
          <cell r="I95"/>
          <cell r="J95"/>
          <cell r="K95"/>
          <cell r="L95"/>
          <cell r="M95"/>
        </row>
        <row r="96">
          <cell r="B96">
            <v>88</v>
          </cell>
          <cell r="C96">
            <v>29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/>
        </row>
        <row r="97">
          <cell r="B97">
            <v>8</v>
          </cell>
          <cell r="C97">
            <v>29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</row>
        <row r="98">
          <cell r="B98">
            <v>901</v>
          </cell>
          <cell r="C98">
            <v>29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</row>
        <row r="99">
          <cell r="B99">
            <v>904</v>
          </cell>
          <cell r="C99">
            <v>29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</row>
        <row r="100">
          <cell r="B100">
            <v>905</v>
          </cell>
          <cell r="C100">
            <v>29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</row>
        <row r="101">
          <cell r="B101">
            <v>906</v>
          </cell>
          <cell r="C101">
            <v>29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</row>
        <row r="102">
          <cell r="B102">
            <v>907</v>
          </cell>
          <cell r="C102">
            <v>29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</row>
        <row r="103">
          <cell r="B103">
            <v>916</v>
          </cell>
          <cell r="C103">
            <v>29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</row>
        <row r="104">
          <cell r="B104">
            <v>917</v>
          </cell>
          <cell r="C104">
            <v>29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</row>
        <row r="105">
          <cell r="B105">
            <v>921</v>
          </cell>
          <cell r="C105">
            <v>29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</row>
        <row r="106">
          <cell r="B106">
            <v>923</v>
          </cell>
          <cell r="C106">
            <v>29</v>
          </cell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</row>
        <row r="107">
          <cell r="B107">
            <v>928</v>
          </cell>
          <cell r="C107">
            <v>29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</row>
        <row r="108">
          <cell r="B108">
            <v>929</v>
          </cell>
          <cell r="C108">
            <v>29</v>
          </cell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</row>
        <row r="109">
          <cell r="B109">
            <v>932</v>
          </cell>
          <cell r="C109">
            <v>29</v>
          </cell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</row>
        <row r="110">
          <cell r="B110">
            <v>933</v>
          </cell>
          <cell r="C110">
            <v>29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</row>
        <row r="111">
          <cell r="B111">
            <v>934</v>
          </cell>
          <cell r="C111">
            <v>29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</row>
        <row r="112">
          <cell r="B112">
            <v>936</v>
          </cell>
          <cell r="C112">
            <v>29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</row>
        <row r="113">
          <cell r="B113">
            <v>944</v>
          </cell>
          <cell r="C113">
            <v>29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</row>
        <row r="114">
          <cell r="B114">
            <v>945</v>
          </cell>
          <cell r="C114">
            <v>29</v>
          </cell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</row>
        <row r="115">
          <cell r="B115">
            <v>950</v>
          </cell>
          <cell r="C115">
            <v>28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</row>
        <row r="116">
          <cell r="B116">
            <v>955</v>
          </cell>
          <cell r="C116">
            <v>29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</row>
        <row r="117">
          <cell r="B117">
            <v>961</v>
          </cell>
          <cell r="C117">
            <v>29</v>
          </cell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</row>
        <row r="118">
          <cell r="B118">
            <v>962</v>
          </cell>
          <cell r="C118">
            <v>29</v>
          </cell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</row>
        <row r="119">
          <cell r="B119">
            <v>963</v>
          </cell>
          <cell r="C119">
            <v>29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</row>
        <row r="120">
          <cell r="B120">
            <v>964</v>
          </cell>
          <cell r="C120">
            <v>29</v>
          </cell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</row>
        <row r="121">
          <cell r="B121">
            <v>965</v>
          </cell>
          <cell r="C121">
            <v>29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</row>
        <row r="122">
          <cell r="B122">
            <v>967</v>
          </cell>
          <cell r="C122">
            <v>29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</row>
        <row r="123">
          <cell r="B123">
            <v>968</v>
          </cell>
          <cell r="C123">
            <v>29</v>
          </cell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</row>
        <row r="124">
          <cell r="B124">
            <v>992</v>
          </cell>
          <cell r="C124">
            <v>29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</row>
        <row r="125">
          <cell r="B125">
            <v>9</v>
          </cell>
          <cell r="C125">
            <v>29</v>
          </cell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</row>
        <row r="126">
          <cell r="B126">
            <v>110</v>
          </cell>
          <cell r="C126">
            <v>28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</row>
        <row r="127">
          <cell r="B127">
            <v>288</v>
          </cell>
          <cell r="C127">
            <v>25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</row>
        <row r="128">
          <cell r="B128">
            <v>290</v>
          </cell>
          <cell r="C128">
            <v>25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</row>
        <row r="129">
          <cell r="B129">
            <v>31</v>
          </cell>
          <cell r="C129">
            <v>29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</row>
        <row r="130">
          <cell r="B130">
            <v>335</v>
          </cell>
          <cell r="C130">
            <v>29</v>
          </cell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</row>
        <row r="131">
          <cell r="B131">
            <v>444</v>
          </cell>
          <cell r="C131">
            <v>29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</row>
        <row r="132">
          <cell r="B132">
            <v>445</v>
          </cell>
          <cell r="C132">
            <v>29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</row>
        <row r="133">
          <cell r="B133">
            <v>446</v>
          </cell>
          <cell r="C133">
            <v>29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</row>
        <row r="134">
          <cell r="B134">
            <v>60</v>
          </cell>
          <cell r="C134">
            <v>28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</row>
        <row r="135">
          <cell r="B135">
            <v>870</v>
          </cell>
          <cell r="C135">
            <v>27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</row>
        <row r="136">
          <cell r="B136">
            <v>972</v>
          </cell>
          <cell r="C136">
            <v>29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</row>
        <row r="137">
          <cell r="B137">
            <v>973</v>
          </cell>
          <cell r="C137">
            <v>29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</row>
        <row r="138">
          <cell r="B138">
            <v>978</v>
          </cell>
          <cell r="C138">
            <v>29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</row>
        <row r="139">
          <cell r="B139">
            <v>979</v>
          </cell>
          <cell r="C139">
            <v>29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</row>
      </sheetData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ABM/release/ABM/version_14_1_1/template/validation/2016/FY16_update_transit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ng, Tom" refreshedDate="43731.646321412038" createdVersion="6" refreshedVersion="6" minRefreshableVersion="3" recordCount="8577" xr:uid="{00000000-000A-0000-FFFF-FFFF09000000}">
  <cacheSource type="worksheet">
    <worksheetSource ref="A1:M1048576" sheet="Route Summary" r:id="rId2"/>
  </cacheSource>
  <cacheFields count="13">
    <cacheField name="Row Labels" numFmtId="0">
      <sharedItems containsString="0" containsBlank="1" containsNumber="1" containsInteger="1" minValue="1" maxValue="992"/>
    </cacheField>
    <cacheField name="Mode" numFmtId="0">
      <sharedItems containsString="0" containsBlank="1" containsNumber="1" containsInteger="1" minValue="4" maxValue="10" count="8">
        <n v="10"/>
        <n v="9"/>
        <n v="7"/>
        <n v="6"/>
        <n v="4"/>
        <n v="5"/>
        <n v="8"/>
        <m/>
      </sharedItems>
    </cacheField>
    <cacheField name="Mode Desc" numFmtId="0">
      <sharedItems containsBlank="1"/>
    </cacheField>
    <cacheField name="AM Early Ons" numFmtId="164">
      <sharedItems containsString="0" containsBlank="1" containsNumber="1" minValue="0" maxValue="3016.4121648745522"/>
    </cacheField>
    <cacheField name="AM Peak Ons" numFmtId="164">
      <sharedItems containsString="0" containsBlank="1" containsNumber="1" minValue="0" maxValue="11172.674724014336"/>
    </cacheField>
    <cacheField name="Midday Ons" numFmtId="164">
      <sharedItems containsString="0" containsBlank="1" containsNumber="1" minValue="0" maxValue="20995.503999999968"/>
    </cacheField>
    <cacheField name="PM Peak Ons" numFmtId="164">
      <sharedItems containsString="0" containsBlank="1" containsNumber="1" minValue="1.6059265028900427E-13" maxValue="14643.362222222277"/>
    </cacheField>
    <cacheField name="Evening Ons" numFmtId="164">
      <sharedItems containsString="0" containsBlank="1" containsNumber="1" minValue="0" maxValue="6402.5268888888713"/>
    </cacheField>
    <cacheField name="AM Early PMs" numFmtId="164">
      <sharedItems containsString="0" containsBlank="1" containsNumber="1" minValue="0" maxValue="22943.627405017916"/>
    </cacheField>
    <cacheField name="AM Peak PMs" numFmtId="164">
      <sharedItems containsString="0" containsBlank="1" containsNumber="1" minValue="0" maxValue="70803.065039426525"/>
    </cacheField>
    <cacheField name="Midday PMs" numFmtId="164">
      <sharedItems containsString="0" containsBlank="1" containsNumber="1" minValue="0" maxValue="117702.22833333307"/>
    </cacheField>
    <cacheField name="PM Peak PMs" numFmtId="164">
      <sharedItems containsString="0" containsBlank="1" containsNumber="1" minValue="1.0017964235942144E-12" maxValue="87062.974111111471"/>
    </cacheField>
    <cacheField name="Evening PMs" numFmtId="164">
      <sharedItems containsString="0" containsBlank="1" containsNumber="1" minValue="0" maxValue="40477.005111110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77">
  <r>
    <n v="1"/>
    <x v="0"/>
    <s v="Local"/>
    <n v="79.084685156651219"/>
    <n v="674.38103289960497"/>
    <n v="2410.8810218071703"/>
    <n v="1141.0123323892522"/>
    <n v="480.51092774732143"/>
    <n v="190.69981684643034"/>
    <n v="1613.818825206441"/>
    <n v="5265.7598450829046"/>
    <n v="2507.325380377667"/>
    <n v="1430.5361324865578"/>
  </r>
  <r>
    <n v="2"/>
    <x v="0"/>
    <s v="Local"/>
    <n v="67.694236453201952"/>
    <n v="724.98387165490612"/>
    <n v="1566.4937430488624"/>
    <n v="964.42564334852523"/>
    <n v="388.33250549450395"/>
    <n v="125.27300492610831"/>
    <n v="1349.5715896684862"/>
    <n v="2896.6355930226605"/>
    <n v="1813.4309576818916"/>
    <n v="780.05885470085173"/>
  </r>
  <r>
    <n v="3"/>
    <x v="0"/>
    <s v="Local"/>
    <n v="97.604630844954869"/>
    <n v="1070.2351672912118"/>
    <n v="2887.5392578078863"/>
    <n v="1396.9119571937842"/>
    <n v="509.25898686216311"/>
    <n v="224.85074856439701"/>
    <n v="2134.2037523845725"/>
    <n v="5495.9742473027709"/>
    <n v="2849.6725274186047"/>
    <n v="1274.3087243296529"/>
  </r>
  <r>
    <n v="4"/>
    <x v="0"/>
    <s v="Local"/>
    <n v="60.585499999999996"/>
    <n v="450.0163"/>
    <n v="1128.6425678799651"/>
    <n v="736.59914729640946"/>
    <n v="323.35648482362535"/>
    <n v="197.1575"/>
    <n v="1219.1794999999997"/>
    <n v="3013.828879410944"/>
    <n v="1995.1607202609207"/>
    <n v="1078.953400328136"/>
  </r>
  <r>
    <n v="5"/>
    <x v="0"/>
    <s v="Local"/>
    <n v="61.532026315789423"/>
    <n v="628.2115570175439"/>
    <n v="1420.6413999442561"/>
    <n v="791.8716833890777"/>
    <n v="247.0433333333325"/>
    <n v="134.32081578947358"/>
    <n v="1183.3251008771933"/>
    <n v="2469.8199863433629"/>
    <n v="1462.2698112756862"/>
    <n v="476.36428571428439"/>
  </r>
  <r>
    <n v="6"/>
    <x v="0"/>
    <s v="Local"/>
    <n v="18.227894736842096"/>
    <n v="280.32008945288118"/>
    <n v="841.50509052291966"/>
    <n v="416.73692528735728"/>
    <n v="170.26000000000002"/>
    <n v="49.474736842105237"/>
    <n v="668.89613272311215"/>
    <n v="1806.1806821589189"/>
    <n v="942.59844827586403"/>
    <n v="447.21999999999997"/>
  </r>
  <r>
    <n v="7"/>
    <x v="0"/>
    <s v="Local"/>
    <n v="187.50530816512364"/>
    <n v="1579.4288393467234"/>
    <n v="4250.5428358381314"/>
    <n v="2176.9602055165738"/>
    <n v="1026.0528111334481"/>
    <n v="628.5845749529658"/>
    <n v="4278.5286947190007"/>
    <n v="10141.731913811203"/>
    <n v="5403.2718684387373"/>
    <n v="3187.6629480780912"/>
  </r>
  <r>
    <n v="8"/>
    <x v="0"/>
    <s v="Local"/>
    <n v="26.605263157894747"/>
    <n v="188.22598684210519"/>
    <n v="681.28066111111002"/>
    <n v="381.10308888889034"/>
    <n v="172.45499999999964"/>
    <n v="75.312631578947389"/>
    <n v="584.45820175438598"/>
    <n v="1806.7043666666632"/>
    <n v="1077.859800000004"/>
    <n v="508.77499999999895"/>
  </r>
  <r>
    <n v="9"/>
    <x v="0"/>
    <s v="Local"/>
    <n v="4.463529411764708"/>
    <n v="201.95393140328235"/>
    <n v="640.91005269846562"/>
    <n v="353.40538971229387"/>
    <n v="98.137096774193381"/>
    <n v="11.2164705882353"/>
    <n v="530.29948552461747"/>
    <n v="1773.420352767454"/>
    <n v="970.98143305517749"/>
    <n v="249.07225806451575"/>
  </r>
  <r>
    <n v="10"/>
    <x v="1"/>
    <s v="Express"/>
    <n v="81.067751879699216"/>
    <n v="913.83335266575523"/>
    <n v="2333.9452799086625"/>
    <n v="1229.4405180281537"/>
    <n v="566.67309751772859"/>
    <n v="323.45302819548863"/>
    <n v="3017.3862581681474"/>
    <n v="6365.7810208448718"/>
    <n v="3768.7908922595843"/>
    <n v="2000.6688005319081"/>
  </r>
  <r>
    <n v="11"/>
    <x v="0"/>
    <s v="Local"/>
    <n v="169.20255369843977"/>
    <n v="1648.8545165431465"/>
    <n v="3591.9043751812587"/>
    <n v="2096.3592853196274"/>
    <n v="649.49926925752891"/>
    <n v="712.30730136635998"/>
    <n v="5675.8485749079045"/>
    <n v="11061.171580431415"/>
    <n v="6650.0390362831995"/>
    <n v="2622.3735070111188"/>
  </r>
  <r>
    <n v="13"/>
    <x v="0"/>
    <s v="Local"/>
    <n v="173.6163673444276"/>
    <n v="1383.9710793477545"/>
    <n v="3098.831014846276"/>
    <n v="1623.0986658273853"/>
    <n v="555.74287263415658"/>
    <n v="494.40483302072516"/>
    <n v="3706.2246742236703"/>
    <n v="8158.4943389094415"/>
    <n v="4385.881414213929"/>
    <n v="1648.924739632233"/>
  </r>
  <r>
    <n v="14"/>
    <x v="0"/>
    <s v="Local"/>
    <n v="3.7499999999999996"/>
    <n v="62.508865248226954"/>
    <n v="128.74113475177305"/>
    <n v="60.82608695652182"/>
    <n v="4.1739130434781773"/>
    <n v="8.1579545454545439"/>
    <n v="290.04764829142493"/>
    <n v="277.79439716312055"/>
    <n v="143.99695652173926"/>
    <n v="5.4730434782607604"/>
  </r>
  <r>
    <n v="18"/>
    <x v="0"/>
    <s v="Local"/>
    <n v="0"/>
    <n v="38"/>
    <n v="70.999999999999929"/>
    <n v="32.000000000000064"/>
    <n v="0"/>
    <n v="0"/>
    <n v="102.78999999999999"/>
    <n v="203.5299999999998"/>
    <n v="85.940000000000182"/>
    <n v="0"/>
  </r>
  <r>
    <n v="20"/>
    <x v="1"/>
    <s v="Express"/>
    <n v="74.738496990244172"/>
    <n v="714.07283493092586"/>
    <n v="1085.0324881148758"/>
    <n v="679.71644196868385"/>
    <n v="188.5197379952705"/>
    <n v="697.63632917229597"/>
    <n v="5953.5926544615168"/>
    <n v="9244.1247061094582"/>
    <n v="5660.3278943724199"/>
    <n v="1938.3284158843103"/>
  </r>
  <r>
    <n v="25"/>
    <x v="0"/>
    <s v="Local"/>
    <n v="0"/>
    <n v="107.49056603773583"/>
    <n v="193.56965805189972"/>
    <n v="102.17507002801172"/>
    <n v="3.7647058823527244"/>
    <n v="0"/>
    <n v="356.36849056603768"/>
    <n v="731.70980075048794"/>
    <n v="394.59994397759294"/>
    <n v="15.341764705881477"/>
  </r>
  <r>
    <n v="27"/>
    <x v="0"/>
    <s v="Local"/>
    <n v="7.7382697947214067"/>
    <n v="247.80096097450939"/>
    <n v="575.10696781232843"/>
    <n v="342.6857415728814"/>
    <n v="69.528059845559355"/>
    <n v="24.37979472140762"/>
    <n v="758.31738476577209"/>
    <n v="1716.1802389525337"/>
    <n v="1032.9897379309448"/>
    <n v="240.63284362934175"/>
  </r>
  <r>
    <n v="28"/>
    <x v="0"/>
    <s v="Local"/>
    <n v="15.854117647058827"/>
    <n v="311.0011455108359"/>
    <n v="479.49064988558217"/>
    <n v="261.20585166240585"/>
    <n v="94.128235294117246"/>
    <n v="39.861764705882365"/>
    <n v="644.06402476780181"/>
    <n v="956.02534096109594"/>
    <n v="520.45769309463253"/>
    <n v="197.61117647058745"/>
  </r>
  <r>
    <n v="30"/>
    <x v="0"/>
    <s v="Local"/>
    <n v="66.38755686236928"/>
    <n v="1063.8964094587241"/>
    <n v="2350.2455768672298"/>
    <n v="1388.1544030542791"/>
    <n v="659.40605375739756"/>
    <n v="531.24587332073759"/>
    <n v="7674.0970332948636"/>
    <n v="14973.90811337553"/>
    <n v="8765.8077286138268"/>
    <n v="4090.1312513950452"/>
  </r>
  <r>
    <n v="31"/>
    <x v="0"/>
    <s v="Local"/>
    <n v="3.7737037037037044"/>
    <n v="177.56887694145757"/>
    <n v="62.29179435483826"/>
    <n v="130.39368951612957"/>
    <n v="0.18193548387088054"/>
    <n v="13.552962962962967"/>
    <n v="667.79864994026275"/>
    <n v="242.91432459677253"/>
    <n v="493.2427721774215"/>
    <n v="0.84129032258024194"/>
  </r>
  <r>
    <n v="35"/>
    <x v="0"/>
    <s v="Local"/>
    <n v="27.017391304347807"/>
    <n v="265.11260869565217"/>
    <n v="753.02414772727138"/>
    <n v="521.54481778997081"/>
    <n v="223.70103448275776"/>
    <n v="62.581304347826048"/>
    <n v="562.43869565217392"/>
    <n v="1491.8747727272701"/>
    <n v="1087.5355721003179"/>
    <n v="520.28965517241193"/>
  </r>
  <r>
    <n v="41"/>
    <x v="0"/>
    <s v="Local"/>
    <n v="51.430065315315318"/>
    <n v="1054.0207715376866"/>
    <n v="2226.111046129437"/>
    <n v="1220.6533030265884"/>
    <n v="547.43481399097209"/>
    <n v="278.3649324324324"/>
    <n v="4325.2419787476929"/>
    <n v="8754.0816331150527"/>
    <n v="5186.0998695238713"/>
    <n v="2761.1415861809519"/>
  </r>
  <r>
    <n v="44"/>
    <x v="0"/>
    <s v="Local"/>
    <n v="62.975499999999975"/>
    <n v="925.81057405589411"/>
    <n v="2017.2087906926113"/>
    <n v="1116.0895362176796"/>
    <n v="425.1655990338154"/>
    <n v="246.69974999999994"/>
    <n v="3456.9598193982956"/>
    <n v="7593.4734652777379"/>
    <n v="4112.0411295751783"/>
    <n v="1850.9158357487877"/>
  </r>
  <r>
    <n v="50"/>
    <x v="1"/>
    <s v="Express"/>
    <n v="45.437770530479128"/>
    <n v="318.17407818323551"/>
    <n v="322.76417135317428"/>
    <n v="305.26211946799503"/>
    <n v="7.421860465116092"/>
    <n v="450.0916396627693"/>
    <n v="2616.071880725598"/>
    <n v="2290.1544394778498"/>
    <n v="2323.0536680407622"/>
    <n v="63.368372093021655"/>
  </r>
  <r>
    <n v="60"/>
    <x v="1"/>
    <s v="Express"/>
    <n v="48.311000000000014"/>
    <n v="148.86899999999997"/>
    <n v="2.4953846153843084"/>
    <n v="140.22461538461567"/>
    <n v="0"/>
    <n v="552.69100000000003"/>
    <n v="1426.7089999999998"/>
    <n v="22.555384615381843"/>
    <n v="1288.2846153846181"/>
    <n v="0"/>
  </r>
  <r>
    <n v="83"/>
    <x v="0"/>
    <s v="Local"/>
    <n v="0"/>
    <n v="34"/>
    <n v="76.833333333333243"/>
    <n v="29.166666666666757"/>
    <n v="0"/>
    <n v="0"/>
    <n v="90.910000000000011"/>
    <n v="174.83166666666648"/>
    <n v="62.878333333333515"/>
    <n v="0"/>
  </r>
  <r>
    <n v="84"/>
    <x v="0"/>
    <s v="Local"/>
    <n v="0"/>
    <n v="42"/>
    <n v="47.826086956521593"/>
    <n v="31.173913043478407"/>
    <n v="0"/>
    <n v="0"/>
    <n v="132.22"/>
    <n v="137.21652173913"/>
    <n v="102.20347826086999"/>
    <n v="0"/>
  </r>
  <r>
    <n v="88"/>
    <x v="0"/>
    <s v="Local"/>
    <n v="2.2222222222222223"/>
    <n v="83.777777777777771"/>
    <n v="117.9999999999996"/>
    <n v="78.111111111111597"/>
    <n v="35.8888888888888"/>
    <n v="5.45"/>
    <n v="165.93499999999997"/>
    <n v="190.73409090909033"/>
    <n v="109.1942424242431"/>
    <n v="69.696666666666573"/>
  </r>
  <r>
    <n v="105"/>
    <x v="0"/>
    <s v="Local"/>
    <n v="29.080412517780935"/>
    <n v="280.50295428983003"/>
    <n v="559.90853336255282"/>
    <n v="281.81955158422272"/>
    <n v="101.85854824561351"/>
    <n v="161.39750355618779"/>
    <n v="1209.045842109774"/>
    <n v="2163.0874314185508"/>
    <n v="1176.4500756723824"/>
    <n v="411.65914724310517"/>
  </r>
  <r>
    <n v="110"/>
    <x v="1"/>
    <s v="Express"/>
    <n v="0"/>
    <n v="110.49000000000001"/>
    <n v="0"/>
    <n v="113.47"/>
    <n v="0"/>
    <n v="0"/>
    <n v="1572.6799999999998"/>
    <n v="0"/>
    <n v="1663.27"/>
    <n v="0"/>
  </r>
  <r>
    <n v="115"/>
    <x v="0"/>
    <s v="Local"/>
    <n v="1.1999999999999935"/>
    <n v="284.71533259423512"/>
    <n v="660.47032397142061"/>
    <n v="302.69053391053524"/>
    <n v="83.553809523809235"/>
    <n v="3.6719999999999802"/>
    <n v="1233.533975609756"/>
    <n v="2946.3730056312211"/>
    <n v="1398.2938759018816"/>
    <n v="473.93714285714151"/>
  </r>
  <r>
    <n v="120"/>
    <x v="1"/>
    <s v="Express"/>
    <n v="38.992273595199116"/>
    <n v="541.35095280084795"/>
    <n v="1379.353312065489"/>
    <n v="693.108147557037"/>
    <n v="295.18531398142665"/>
    <n v="149.63631989907253"/>
    <n v="1958.3441748674122"/>
    <n v="4677.6988001053023"/>
    <n v="2250.4470078102063"/>
    <n v="1039.8636973180051"/>
  </r>
  <r>
    <n v="150"/>
    <x v="1"/>
    <s v="Express"/>
    <n v="0"/>
    <n v="853.23509139769192"/>
    <n v="1342.0124062896327"/>
    <n v="911.29095357442793"/>
    <n v="286.36154873824779"/>
    <n v="0"/>
    <n v="7757.0281953752128"/>
    <n v="10208.65177224734"/>
    <n v="7731.3480383151054"/>
    <n v="2141.6419940623405"/>
  </r>
  <r>
    <n v="201"/>
    <x v="2"/>
    <s v="Arterial Rapid"/>
    <n v="3.2559999999999976"/>
    <n v="115.44399999999993"/>
    <n v="1033.1249431818158"/>
    <n v="1463.5786247556257"/>
    <n v="665.87643206255939"/>
    <n v="8.7879999999999932"/>
    <n v="277.42699999999979"/>
    <n v="2048.1667424242382"/>
    <n v="2781.4944648093924"/>
    <n v="1320.5537927663697"/>
  </r>
  <r>
    <n v="202"/>
    <x v="2"/>
    <s v="Arterial Rapid"/>
    <n v="3.2538461538461472"/>
    <n v="818.46841191067006"/>
    <n v="2347.5344086021487"/>
    <n v="769.07559139785246"/>
    <n v="302.21774193548288"/>
    <n v="6.3749999999999876"/>
    <n v="1789.1376881720428"/>
    <n v="5103.1185239491633"/>
    <n v="1628.8091104594396"/>
    <n v="699.76967741935255"/>
  </r>
  <r>
    <n v="204"/>
    <x v="2"/>
    <s v="Arterial Rapid"/>
    <n v="2.67"/>
    <n v="90.59666666666665"/>
    <n v="240.10866666666629"/>
    <n v="146.63082051282129"/>
    <n v="77.933846153845749"/>
    <n v="3.3"/>
    <n v="139.42399999999998"/>
    <n v="373.51866666666604"/>
    <n v="219.67579487179606"/>
    <n v="114.71153846153783"/>
  </r>
  <r>
    <n v="215"/>
    <x v="2"/>
    <s v="Arterial Rapid"/>
    <n v="195.83398863732913"/>
    <n v="1367.1615215667528"/>
    <n v="3090.310914297339"/>
    <n v="1986.7446880447606"/>
    <n v="1017.5788874538199"/>
    <n v="749.13004164437211"/>
    <n v="4600.0289379474652"/>
    <n v="10053.891583086208"/>
    <n v="6354.7671782947727"/>
    <n v="3671.6022590271768"/>
  </r>
  <r>
    <n v="235"/>
    <x v="3"/>
    <s v="Freeway Rapid"/>
    <n v="214.20927767052768"/>
    <n v="1395.099766197251"/>
    <n v="1942.7578164360123"/>
    <n v="1547.2442239514619"/>
    <n v="573.31891574474719"/>
    <n v="3454.1738104013098"/>
    <n v="21468.882731861118"/>
    <n v="33406.01247128642"/>
    <n v="24729.847665543686"/>
    <n v="10586.253320907457"/>
  </r>
  <r>
    <n v="237"/>
    <x v="3"/>
    <s v="Freeway Rapid"/>
    <n v="9.8065553997194748"/>
    <n v="412.37030569029747"/>
    <n v="178.4489324018474"/>
    <n v="433.01151042970469"/>
    <n v="74.532696078430831"/>
    <n v="60.760112201963395"/>
    <n v="2847.7047779785375"/>
    <n v="1147.6562399821987"/>
    <n v="2914.5439025170417"/>
    <n v="426.16496732025769"/>
  </r>
  <r>
    <n v="280"/>
    <x v="3"/>
    <s v="Freeway Rapid"/>
    <n v="36.323333333333338"/>
    <n v="237.10523809523806"/>
    <n v="17.098796992480942"/>
    <n v="246.11263157894763"/>
    <n v="0"/>
    <n v="1095.3611111111113"/>
    <n v="7113.1488888888871"/>
    <n v="514.2057894736763"/>
    <n v="7129.9942105263253"/>
    <n v="0"/>
  </r>
  <r>
    <n v="290"/>
    <x v="3"/>
    <s v="Freeway Rapid"/>
    <n v="34.71521739130435"/>
    <n v="358.96595907928389"/>
    <n v="23.204910485933066"/>
    <n v="322.84391304347878"/>
    <n v="0"/>
    <n v="725.13586956521738"/>
    <n v="7062.9804049445847"/>
    <n v="474.76981244670895"/>
    <n v="6342.4739130434873"/>
    <n v="0"/>
  </r>
  <r>
    <n v="301"/>
    <x v="0"/>
    <s v="Local"/>
    <n v="41.27486752136754"/>
    <n v="510.21981081893097"/>
    <n v="1177.753856550672"/>
    <n v="654.05046732413268"/>
    <n v="215.47099778489633"/>
    <n v="309.39835958485963"/>
    <n v="3516.1962036285568"/>
    <n v="8029.9338178474591"/>
    <n v="4544.3732963801549"/>
    <n v="1641.2083225589715"/>
  </r>
  <r>
    <n v="302"/>
    <x v="0"/>
    <s v="Local"/>
    <n v="59.934355400696866"/>
    <n v="417.56861818420884"/>
    <n v="1210.1789158125807"/>
    <n v="583.55349121409552"/>
    <n v="271.34461938841844"/>
    <n v="214.98023892483823"/>
    <n v="1571.9555422072378"/>
    <n v="4504.5534449578572"/>
    <n v="2068.598516265306"/>
    <n v="1127.4722576447605"/>
  </r>
  <r>
    <n v="303"/>
    <x v="0"/>
    <s v="Local"/>
    <n v="198.48155273739565"/>
    <n v="964.77575365428004"/>
    <n v="2218.1185723350309"/>
    <n v="1120.4839718336927"/>
    <n v="460.81014943960025"/>
    <n v="727.69140736158363"/>
    <n v="2997.3643433816337"/>
    <n v="6891.421494836789"/>
    <n v="3636.9359300115284"/>
    <n v="1759.696824408464"/>
  </r>
  <r>
    <n v="304"/>
    <x v="0"/>
    <s v="Local"/>
    <n v="37.133015643191946"/>
    <n v="288.7640495741993"/>
    <n v="375.82670177428599"/>
    <n v="239.52407105863745"/>
    <n v="44.662161949685341"/>
    <n v="198.43461692091839"/>
    <n v="1482.3419161363624"/>
    <n v="1760.2289763609087"/>
    <n v="1227.6376548899875"/>
    <n v="234.14683569182282"/>
  </r>
  <r>
    <n v="305"/>
    <x v="0"/>
    <s v="Local"/>
    <n v="78.964999999999989"/>
    <n v="463.45296718687473"/>
    <n v="935.10782640002458"/>
    <n v="434.2642165243243"/>
    <n v="215.25998988877618"/>
    <n v="337.73050000000001"/>
    <n v="1520.1883275310126"/>
    <n v="3114.8235069393918"/>
    <n v="1515.7249658329345"/>
    <n v="1046.202699696662"/>
  </r>
  <r>
    <n v="306"/>
    <x v="0"/>
    <s v="Local"/>
    <n v="39.538989547038312"/>
    <n v="248.15276447475719"/>
    <n v="348.18824597820452"/>
    <n v="213.99697674418658"/>
    <n v="80.223023255813459"/>
    <n v="247.1569686411149"/>
    <n v="1581.4525746904885"/>
    <n v="2257.3104566683965"/>
    <n v="1607.8267441860503"/>
    <n v="616.81325581394981"/>
  </r>
  <r>
    <n v="308"/>
    <x v="0"/>
    <s v="Local"/>
    <n v="6"/>
    <n v="150.15999999999997"/>
    <n v="173.46882415254211"/>
    <n v="137.55117584745787"/>
    <n v="20.79"/>
    <n v="41.41"/>
    <n v="742.25"/>
    <n v="900.1841737288122"/>
    <n v="674.2058262711879"/>
    <n v="93.37"/>
  </r>
  <r>
    <n v="309"/>
    <x v="0"/>
    <s v="Local"/>
    <n v="23.572328042328046"/>
    <n v="286.23406107056695"/>
    <n v="777.86192967316015"/>
    <n v="453.69552910551153"/>
    <n v="176.18615210843319"/>
    <n v="122.9195802469136"/>
    <n v="1520.8041794105072"/>
    <n v="3669.4304493634772"/>
    <n v="2470.4171840513941"/>
    <n v="997.84860692770803"/>
  </r>
  <r>
    <n v="311"/>
    <x v="0"/>
    <s v="Local"/>
    <n v="4.7799743589743455"/>
    <n v="161.84002564102565"/>
    <n v="127.07999999999981"/>
    <n v="40.420000000000179"/>
    <n v="0"/>
    <n v="19.291153846153787"/>
    <n v="648.82884615384626"/>
    <n v="445.83766666666588"/>
    <n v="154.61233333333411"/>
    <n v="0"/>
  </r>
  <r>
    <n v="313"/>
    <x v="0"/>
    <s v="Local"/>
    <n v="5.6218604651162751"/>
    <n v="94.30991731266154"/>
    <n v="198.85822991452963"/>
    <n v="87.659992307692576"/>
    <n v="13.67"/>
    <n v="16.518139534883712"/>
    <n v="295.80074935400535"/>
    <n v="633.83523418803316"/>
    <n v="236.39587692307771"/>
    <n v="30.93"/>
  </r>
  <r>
    <n v="315"/>
    <x v="0"/>
    <s v="Local"/>
    <n v="22.192781954887224"/>
    <n v="92.544506180705994"/>
    <n v="128.15036025332688"/>
    <n v="85.235442520171006"/>
    <n v="35.196909090908918"/>
    <n v="86.896823308270683"/>
    <n v="319.27860042054289"/>
    <n v="426.13718226327165"/>
    <n v="355.32521218973363"/>
    <n v="122.60218181818126"/>
  </r>
  <r>
    <n v="316"/>
    <x v="0"/>
    <s v="Local"/>
    <n v="1.3750000000000016"/>
    <n v="31.941111111111102"/>
    <n v="71.480555555555426"/>
    <n v="22.153333333333471"/>
    <n v="0"/>
    <n v="2.1381250000000023"/>
    <n v="55.922986111111101"/>
    <n v="101.65944444444432"/>
    <n v="30.539444444444591"/>
    <n v="0"/>
  </r>
  <r>
    <n v="318"/>
    <x v="0"/>
    <s v="Local"/>
    <n v="31.4"/>
    <n v="163.48109427609427"/>
    <n v="343.63890572390534"/>
    <n v="194.29000000000042"/>
    <n v="28.89"/>
    <n v="116.77000000000001"/>
    <n v="528.70596632996626"/>
    <n v="1122.884033670033"/>
    <n v="601.18000000000086"/>
    <n v="100.52000000000001"/>
  </r>
  <r>
    <n v="323"/>
    <x v="0"/>
    <s v="Local"/>
    <n v="5.2758823529411796"/>
    <n v="71.574361549497823"/>
    <n v="82.128400165357291"/>
    <n v="24.971355932203679"/>
    <n v="0"/>
    <n v="7.4523529411764748"/>
    <n v="221.53154949784789"/>
    <n v="240.89200665188372"/>
    <n v="58.544090909091892"/>
    <n v="0"/>
  </r>
  <r>
    <n v="325"/>
    <x v="0"/>
    <s v="Local"/>
    <n v="12.029434782608696"/>
    <n v="112.04171883972691"/>
    <n v="393.27828241186256"/>
    <n v="194.35054767418208"/>
    <n v="36.990016291619739"/>
    <n v="32.690599033816433"/>
    <n v="330.9437597035585"/>
    <n v="1071.7391379597216"/>
    <n v="519.15803335754879"/>
    <n v="104.81846994535454"/>
  </r>
  <r>
    <n v="332"/>
    <x v="0"/>
    <s v="Local"/>
    <n v="54.51179301252472"/>
    <n v="316.86725529665409"/>
    <n v="556.84264122097227"/>
    <n v="294.68270071375144"/>
    <n v="47.665609756097503"/>
    <n v="202.09263678312456"/>
    <n v="1086.3304767434456"/>
    <n v="1882.1285819969203"/>
    <n v="1145.1412313057788"/>
    <n v="155.08707317073143"/>
  </r>
  <r>
    <n v="334"/>
    <x v="0"/>
    <s v="Local"/>
    <n v="6.58"/>
    <n v="50.960769230769223"/>
    <n v="89.95766826923068"/>
    <n v="46.871562500000202"/>
    <n v="6.7999999999999119"/>
    <n v="12.25"/>
    <n v="69.011153846153832"/>
    <n v="155.76603365384599"/>
    <n v="67.950590277778062"/>
    <n v="10.082222222222086"/>
  </r>
  <r>
    <n v="335"/>
    <x v="0"/>
    <s v="Local"/>
    <n v="1.2794117647058811"/>
    <n v="27.20058823529412"/>
    <n v="5.2384615384614603"/>
    <n v="26.831538461538539"/>
    <n v="0"/>
    <n v="2.7882352941176447"/>
    <n v="60.22176470588235"/>
    <n v="14.130769230769022"/>
    <n v="66.169230769230978"/>
    <n v="0"/>
  </r>
  <r>
    <n v="347"/>
    <x v="0"/>
    <s v="Local"/>
    <n v="4.1818181818181843"/>
    <n v="90.706442687747028"/>
    <n v="245.3934057971012"/>
    <n v="75.003315217391645"/>
    <n v="5.385018115941957"/>
    <n v="4.7613636363636385"/>
    <n v="124.26689723320159"/>
    <n v="395.91132246376765"/>
    <n v="124.35146739130491"/>
    <n v="7.1189492753622208"/>
  </r>
  <r>
    <n v="350"/>
    <x v="2"/>
    <s v="Arterial Rapid"/>
    <n v="42.18"/>
    <n v="438.70200000000011"/>
    <n v="1003.9601052631556"/>
    <n v="446.25339473684465"/>
    <n v="116.16449999999966"/>
    <n v="84.54"/>
    <n v="967.18533333333323"/>
    <n v="2372.2590768300006"/>
    <n v="1029.2515898366669"/>
    <n v="270.75399999999917"/>
  </r>
  <r>
    <n v="351"/>
    <x v="0"/>
    <s v="Local"/>
    <n v="32.249655172413796"/>
    <n v="209.57246603970739"/>
    <n v="438.2253073593069"/>
    <n v="227.75620779220864"/>
    <n v="98.706363636363349"/>
    <n v="71.057241379310355"/>
    <n v="422.49669801462903"/>
    <n v="865.07063203463099"/>
    <n v="441.9163376623394"/>
    <n v="222.08909090909015"/>
  </r>
  <r>
    <n v="352"/>
    <x v="0"/>
    <s v="Local"/>
    <n v="36.803999999999995"/>
    <n v="189.79835294117643"/>
    <n v="456.49050420168044"/>
    <n v="243.36067226890802"/>
    <n v="59.046470588235053"/>
    <n v="73.22799999999998"/>
    <n v="403.11229411764708"/>
    <n v="949.13856302520969"/>
    <n v="497.40761344537918"/>
    <n v="127.94352941176417"/>
  </r>
  <r>
    <n v="353"/>
    <x v="0"/>
    <s v="Local"/>
    <n v="14.33"/>
    <n v="96.603571428571428"/>
    <n v="229.38918291385988"/>
    <n v="100.53057899090207"/>
    <n v="22.096666666666621"/>
    <n v="18.09884615384615"/>
    <n v="144.74722527472528"/>
    <n v="360.60984668557188"/>
    <n v="152.70741521919015"/>
    <n v="38.046666666666567"/>
  </r>
  <r>
    <n v="354"/>
    <x v="0"/>
    <s v="Local"/>
    <n v="12.615199999999993"/>
    <n v="201.84442962962964"/>
    <n v="340.1878348734125"/>
    <n v="196.55753549695794"/>
    <n v="30.234999999999935"/>
    <n v="27.125199999999985"/>
    <n v="454.2288740740741"/>
    <n v="739.55728495229403"/>
    <n v="405.87479481978585"/>
    <n v="64.613846153846055"/>
  </r>
  <r>
    <n v="355"/>
    <x v="0"/>
    <s v="Local"/>
    <n v="0"/>
    <n v="58.058444444444447"/>
    <n v="112.88665759637166"/>
    <n v="63.144897959183879"/>
    <n v="19.41"/>
    <n v="0"/>
    <n v="168.73844444444444"/>
    <n v="390.15114739228966"/>
    <n v="192.04040816326585"/>
    <n v="69.06"/>
  </r>
  <r>
    <n v="356"/>
    <x v="0"/>
    <s v="Local"/>
    <n v="16.880000000000003"/>
    <n v="91.47"/>
    <n v="241.48"/>
    <n v="119.34"/>
    <n v="50.690000000000005"/>
    <n v="27.060000000000002"/>
    <n v="147.80999999999997"/>
    <n v="428.91"/>
    <n v="199.20000000000002"/>
    <n v="89.28"/>
  </r>
  <r>
    <n v="357"/>
    <x v="0"/>
    <s v="Local"/>
    <n v="0"/>
    <n v="43.071951219512187"/>
    <n v="177.26804878048782"/>
    <n v="60.879999999999995"/>
    <n v="0"/>
    <n v="0"/>
    <n v="127.98048780487801"/>
    <n v="605.86951219512196"/>
    <n v="190.13"/>
    <n v="0"/>
  </r>
  <r>
    <n v="358"/>
    <x v="0"/>
    <s v="Local"/>
    <n v="0"/>
    <n v="34.11"/>
    <n v="49.6"/>
    <n v="29.47"/>
    <n v="3.6"/>
    <n v="0"/>
    <n v="114.41"/>
    <n v="163.60000000000002"/>
    <n v="103.53999999999999"/>
    <n v="16.43"/>
  </r>
  <r>
    <n v="359"/>
    <x v="0"/>
    <s v="Local"/>
    <n v="6.8"/>
    <n v="33.799999999999997"/>
    <n v="62.453902439024148"/>
    <n v="24.736097560975857"/>
    <n v="7.43"/>
    <n v="30.11"/>
    <n v="119.19"/>
    <n v="227.6924390243895"/>
    <n v="78.657560975610494"/>
    <n v="23.33"/>
  </r>
  <r>
    <n v="388"/>
    <x v="0"/>
    <s v="Local"/>
    <n v="14.696744186046516"/>
    <n v="78.503255813953487"/>
    <n v="321.28816774193501"/>
    <n v="176.12183225806496"/>
    <n v="99.18"/>
    <n v="174.14697674418608"/>
    <n v="896.81302325581396"/>
    <n v="3427.3462258064465"/>
    <n v="1972.7337741935535"/>
    <n v="1190.4100000000001"/>
  </r>
  <r>
    <n v="389"/>
    <x v="0"/>
    <s v="Local"/>
    <n v="0"/>
    <n v="25"/>
    <n v="82.299999999999869"/>
    <n v="33.950000000000131"/>
    <n v="14"/>
    <n v="0"/>
    <n v="414.1"/>
    <n v="1335.3499999999974"/>
    <n v="623.33000000000266"/>
    <n v="259.39"/>
  </r>
  <r>
    <n v="392"/>
    <x v="0"/>
    <s v="Local"/>
    <n v="0.86599999999999733"/>
    <n v="64.164000000000001"/>
    <n v="75.983157894736721"/>
    <n v="29.916842105263278"/>
    <n v="0"/>
    <n v="1.9399999999999937"/>
    <n v="102.35"/>
    <n v="97.565789473684092"/>
    <n v="39.024210526315912"/>
    <n v="0"/>
  </r>
  <r>
    <n v="395"/>
    <x v="0"/>
    <s v="Local"/>
    <n v="0"/>
    <n v="13.521038961038961"/>
    <n v="56.334545454545385"/>
    <n v="70.013257948947796"/>
    <n v="51.311157635467843"/>
    <n v="0"/>
    <n v="167.48415584415585"/>
    <n v="723.6696103896096"/>
    <n v="729.10547021943728"/>
    <n v="457.70076354679702"/>
  </r>
  <r>
    <n v="398"/>
    <x v="4"/>
    <s v="Commuter Rail"/>
    <n v="133.1666666666666"/>
    <n v="1734.8333333333335"/>
    <n v="803.6874999999992"/>
    <n v="2212.6961754643235"/>
    <n v="311.61632453567751"/>
    <n v="3523.3236666666644"/>
    <n v="40504.156333333332"/>
    <n v="20830.683437499982"/>
    <n v="50134.506117729783"/>
    <n v="7720.1904447702391"/>
  </r>
  <r>
    <n v="399"/>
    <x v="5"/>
    <s v="LRT"/>
    <n v="322.4905660377359"/>
    <n v="2161.4528301886789"/>
    <n v="4419.0377358490532"/>
    <n v="2723.8962264150991"/>
    <n v="654.62264150943224"/>
    <n v="2717.5439622641516"/>
    <n v="16440.69886792453"/>
    <n v="31460.081320754685"/>
    <n v="20861.415849056644"/>
    <n v="4975.1599999999862"/>
  </r>
  <r>
    <n v="444"/>
    <x v="0"/>
    <s v="Local"/>
    <n v="0"/>
    <n v="33.165384615384589"/>
    <n v="2.6346153846154099"/>
    <n v="39.6"/>
    <n v="0"/>
    <n v="0"/>
    <n v="120.11115384615374"/>
    <n v="10.178846153846253"/>
    <n v="157.08999999999997"/>
    <n v="0"/>
  </r>
  <r>
    <n v="445"/>
    <x v="0"/>
    <s v="Local"/>
    <n v="0"/>
    <n v="61.569200000000009"/>
    <n v="1.300799999999996"/>
    <n v="47.980000000000004"/>
    <n v="0"/>
    <n v="0"/>
    <n v="303.25240000000002"/>
    <n v="5.4975999999999816"/>
    <n v="189.41"/>
    <n v="0"/>
  </r>
  <r>
    <n v="446"/>
    <x v="0"/>
    <s v="Local"/>
    <n v="0"/>
    <n v="7.2"/>
    <n v="0"/>
    <n v="8.33"/>
    <n v="0"/>
    <n v="0"/>
    <n v="16.940000000000001"/>
    <n v="0"/>
    <n v="20.27"/>
    <n v="0"/>
  </r>
  <r>
    <n v="510"/>
    <x v="5"/>
    <s v="LRT"/>
    <n v="3016.4121648745522"/>
    <n v="11172.674724014336"/>
    <n v="20995.503999999968"/>
    <n v="14643.362222222277"/>
    <n v="6402.5268888888713"/>
    <n v="22943.627405017916"/>
    <n v="70803.065039426525"/>
    <n v="117702.22833333307"/>
    <n v="87062.974111111471"/>
    <n v="40477.005111110993"/>
  </r>
  <r>
    <n v="520"/>
    <x v="5"/>
    <s v="LRT"/>
    <n v="938.71547169811311"/>
    <n v="5509.3343396226419"/>
    <n v="12183.698490566025"/>
    <n v="7424.5313207547415"/>
    <n v="3505.7703773584822"/>
    <n v="5506.5503773584906"/>
    <n v="28414.933962264153"/>
    <n v="53738.262641509362"/>
    <n v="36274.153584905776"/>
    <n v="17461.889433962224"/>
  </r>
  <r>
    <n v="530"/>
    <x v="5"/>
    <s v="LRT"/>
    <n v="790.25388059701504"/>
    <n v="6005.3594029850728"/>
    <n v="14187.149402985058"/>
    <n v="9441.663582089579"/>
    <n v="4412.8937313432725"/>
    <n v="4998.9000000000005"/>
    <n v="36058.18925373134"/>
    <n v="76495.104179104412"/>
    <n v="50928.791194030004"/>
    <n v="23550.725373134264"/>
  </r>
  <r>
    <n v="701"/>
    <x v="0"/>
    <s v="Local"/>
    <n v="21.358571428571409"/>
    <n v="492.26638211382124"/>
    <n v="1173.9583234132083"/>
    <n v="434.02201716204644"/>
    <n v="102.59470588235263"/>
    <n v="53.887428571428529"/>
    <n v="1266.1681927990705"/>
    <n v="2719.8845477626892"/>
    <n v="1104.0057132197535"/>
    <n v="284.47411764705788"/>
  </r>
  <r>
    <n v="704"/>
    <x v="0"/>
    <s v="Local"/>
    <n v="52.40588235294117"/>
    <n v="389.49519662369954"/>
    <n v="845.81859135302807"/>
    <n v="406.38578601953799"/>
    <n v="100.77454365079331"/>
    <n v="157.25294117647056"/>
    <n v="1334.8429526738391"/>
    <n v="3036.6601700233114"/>
    <n v="1439.4961318935759"/>
    <n v="440.03780423280278"/>
  </r>
  <r>
    <n v="705"/>
    <x v="0"/>
    <s v="Local"/>
    <n v="0"/>
    <n v="202.73999999999998"/>
    <n v="561.22448717948635"/>
    <n v="263.97551282051364"/>
    <n v="57.230000000000004"/>
    <n v="0"/>
    <n v="794.5200000000001"/>
    <n v="1937.3594230769195"/>
    <n v="884.20057692308046"/>
    <n v="129.22999999999999"/>
  </r>
  <r>
    <n v="707"/>
    <x v="0"/>
    <s v="Local"/>
    <n v="0"/>
    <n v="8"/>
    <n v="221.3"/>
    <n v="51.720000000000006"/>
    <n v="6.06"/>
    <n v="0"/>
    <n v="22.58"/>
    <n v="727.41"/>
    <n v="167.37"/>
    <n v="19.27"/>
  </r>
  <r>
    <n v="709"/>
    <x v="0"/>
    <s v="Local"/>
    <n v="57.806094202898507"/>
    <n v="1004.986007300861"/>
    <n v="1808.6570291677447"/>
    <n v="933.17140351653154"/>
    <n v="212.76946581196455"/>
    <n v="268.63489855072447"/>
    <n v="5328.7644736297252"/>
    <n v="7408.9682848068351"/>
    <n v="4407.0108686537469"/>
    <n v="1136.0114743589675"/>
  </r>
  <r>
    <n v="712"/>
    <x v="0"/>
    <s v="Local"/>
    <n v="35.05733455882352"/>
    <n v="549.15376769258341"/>
    <n v="1385.9538977485906"/>
    <n v="571.27763157895072"/>
    <n v="169.82736842105169"/>
    <n v="123.94558823529405"/>
    <n v="2282.1022494757754"/>
    <n v="5290.8705956847953"/>
    <n v="2209.4515666041398"/>
    <n v="755.99999999999625"/>
  </r>
  <r>
    <n v="815"/>
    <x v="0"/>
    <s v="Local"/>
    <n v="29.979199999999977"/>
    <n v="170.4208000000001"/>
    <n v="540.62219780219698"/>
    <n v="208.15780219780302"/>
    <n v="82.4"/>
    <n v="66.947799999999958"/>
    <n v="320.44791428571438"/>
    <n v="870.65406593406453"/>
    <n v="366.30021978022108"/>
    <n v="168.97"/>
  </r>
  <r>
    <n v="816"/>
    <x v="0"/>
    <s v="Local"/>
    <n v="38.570937499999999"/>
    <n v="225.57801971925133"/>
    <n v="671.1741176470581"/>
    <n v="286.6678626336909"/>
    <n v="12.609062499999705"/>
    <n v="103.71462500000003"/>
    <n v="669.93853008021381"/>
    <n v="2004.4569786096238"/>
    <n v="824.31617881016314"/>
    <n v="31.223687499999301"/>
  </r>
  <r>
    <n v="832"/>
    <x v="0"/>
    <s v="Local"/>
    <n v="0"/>
    <n v="75.849999999999994"/>
    <n v="132.05000000000001"/>
    <n v="58.31"/>
    <n v="0"/>
    <n v="0"/>
    <n v="224.04000000000002"/>
    <n v="472.23"/>
    <n v="226.13"/>
    <n v="0"/>
  </r>
  <r>
    <n v="834"/>
    <x v="0"/>
    <s v="Local"/>
    <n v="0"/>
    <n v="39.549999999999997"/>
    <n v="54.499999999999837"/>
    <n v="1.6059265028900427E-13"/>
    <n v="0"/>
    <n v="0"/>
    <n v="177.4"/>
    <n v="303.10999999999899"/>
    <n v="1.0017964235942144E-12"/>
    <n v="0"/>
  </r>
  <r>
    <n v="848"/>
    <x v="0"/>
    <s v="Local"/>
    <n v="54.963003337041137"/>
    <n v="271.60200102215674"/>
    <n v="612.6350982049039"/>
    <n v="304.89725576196662"/>
    <n v="123.87264167393148"/>
    <n v="189.47032258064507"/>
    <n v="1094.6906625980816"/>
    <n v="2176.081923246179"/>
    <n v="1191.559524007529"/>
    <n v="516.27756756756537"/>
  </r>
  <r>
    <n v="851"/>
    <x v="0"/>
    <s v="Local"/>
    <n v="7.3333333333333393"/>
    <n v="80.851851851851862"/>
    <n v="132.81481481481481"/>
    <n v="158"/>
    <n v="0"/>
    <n v="27.29000000000002"/>
    <n v="345.36111111111114"/>
    <n v="453.18888888888875"/>
    <n v="557.62"/>
    <n v="0"/>
  </r>
  <r>
    <n v="854"/>
    <x v="0"/>
    <s v="Local"/>
    <n v="9.8610000000000007"/>
    <n v="149.34672727272726"/>
    <n v="486.42909090909069"/>
    <n v="185.16318181818232"/>
    <n v="56.959999999999745"/>
    <n v="23.693000000000001"/>
    <n v="477.26927272727272"/>
    <n v="1467.6531818181811"/>
    <n v="562.492045454547"/>
    <n v="201.93249999999918"/>
  </r>
  <r>
    <n v="855"/>
    <x v="0"/>
    <s v="Local"/>
    <n v="22.990000000000002"/>
    <n v="242.21999999999997"/>
    <n v="431.09000000000003"/>
    <n v="229.45"/>
    <n v="95.99"/>
    <n v="55.21"/>
    <n v="553.68000000000006"/>
    <n v="992.93999999999994"/>
    <n v="545.46"/>
    <n v="227.58"/>
  </r>
  <r>
    <n v="856"/>
    <x v="0"/>
    <s v="Local"/>
    <n v="83.765500210172362"/>
    <n v="539.19695383394514"/>
    <n v="1160.870617160889"/>
    <n v="642.12644755580322"/>
    <n v="228.80048123919028"/>
    <n v="362.20335813366978"/>
    <n v="2265.2100885575064"/>
    <n v="4503.8260564387083"/>
    <n v="2241.043330541821"/>
    <n v="914.9271663282932"/>
  </r>
  <r>
    <n v="864"/>
    <x v="0"/>
    <s v="Local"/>
    <n v="35.943157894736856"/>
    <n v="292.85465162907269"/>
    <n v="620.00697026813532"/>
    <n v="318.38400982073165"/>
    <n v="189.87121038732352"/>
    <n v="326.23894736842118"/>
    <n v="2066.3781002506262"/>
    <n v="3236.9802077625523"/>
    <n v="1893.9034708507972"/>
    <n v="1456.4392737676021"/>
  </r>
  <r>
    <n v="870"/>
    <x v="6"/>
    <s v="Limited Express"/>
    <n v="0"/>
    <n v="31"/>
    <n v="0"/>
    <n v="25"/>
    <n v="0"/>
    <n v="0"/>
    <n v="352.63"/>
    <n v="0"/>
    <n v="339.14"/>
    <n v="0"/>
  </r>
  <r>
    <n v="871"/>
    <x v="0"/>
    <s v="Local"/>
    <n v="5.75"/>
    <n v="35.549999999999997"/>
    <n v="111.53666666666641"/>
    <n v="53.91333333333359"/>
    <n v="31.64"/>
    <n v="9.98"/>
    <n v="82.75"/>
    <n v="279.53999999999928"/>
    <n v="153.06000000000071"/>
    <n v="93.41"/>
  </r>
  <r>
    <n v="872"/>
    <x v="0"/>
    <s v="Local"/>
    <n v="0"/>
    <n v="23.40666666666668"/>
    <n v="87.453333333333319"/>
    <n v="41.735217391304502"/>
    <n v="37.304782608695504"/>
    <n v="0"/>
    <n v="47.723333333333358"/>
    <n v="191.45666666666665"/>
    <n v="80.759565217391625"/>
    <n v="83.990434782608375"/>
  </r>
  <r>
    <n v="874"/>
    <x v="0"/>
    <s v="Local"/>
    <n v="23.102727272727257"/>
    <n v="171.64786096256688"/>
    <n v="449.29700435729785"/>
    <n v="201.84090740740828"/>
    <n v="73.821499999999787"/>
    <n v="40.169999999999973"/>
    <n v="408.52803921568636"/>
    <n v="1310.6465904139416"/>
    <n v="532.94162037037256"/>
    <n v="262.71374999999938"/>
  </r>
  <r>
    <n v="875"/>
    <x v="0"/>
    <s v="Local"/>
    <n v="0"/>
    <n v="128.2258823529412"/>
    <n v="395.70306501547941"/>
    <n v="216.68533834586566"/>
    <n v="73.5457142857137"/>
    <n v="0"/>
    <n v="415.31470588235311"/>
    <n v="1192.0916099071194"/>
    <n v="625.00796992481469"/>
    <n v="208.29571428571279"/>
  </r>
  <r>
    <n v="894"/>
    <x v="0"/>
    <s v="Local"/>
    <n v="0"/>
    <n v="0"/>
    <n v="0"/>
    <n v="45.381355932203633"/>
    <n v="17.618644067796367"/>
    <n v="0"/>
    <n v="0"/>
    <n v="0"/>
    <n v="1270.5122881356001"/>
    <n v="493.25771186439999"/>
  </r>
  <r>
    <n v="901"/>
    <x v="0"/>
    <s v="Local"/>
    <n v="124.60270773243533"/>
    <n v="583.26600034209878"/>
    <n v="1209.4413941649964"/>
    <n v="732.54333978945567"/>
    <n v="306.31655797101394"/>
    <n v="1074.0684927806526"/>
    <n v="3638.8422939688298"/>
    <n v="6702.8460697905903"/>
    <n v="4189.659677276356"/>
    <n v="2432.1534661835703"/>
  </r>
  <r>
    <n v="904"/>
    <x v="0"/>
    <s v="Local"/>
    <n v="0"/>
    <n v="0"/>
    <n v="75.957272727272581"/>
    <n v="32.062727272727408"/>
    <n v="0"/>
    <n v="0"/>
    <n v="0"/>
    <n v="71.639999999999844"/>
    <n v="28.650000000000158"/>
    <n v="0"/>
  </r>
  <r>
    <n v="905"/>
    <x v="0"/>
    <s v="Local"/>
    <n v="172.98142857142852"/>
    <n v="553.08999999999992"/>
    <n v="852.71264550264414"/>
    <n v="549.08111111111339"/>
    <n v="123.65481481481392"/>
    <n v="951.63857142857125"/>
    <n v="2998.1485714285718"/>
    <n v="4891.8106349206282"/>
    <n v="2935.7759259259387"/>
    <n v="917.1662962962904"/>
  </r>
  <r>
    <n v="906"/>
    <x v="0"/>
    <s v="Local"/>
    <n v="135.85357142857143"/>
    <n v="319.94229813664589"/>
    <n v="1289.8882329988837"/>
    <n v="652.93839743589956"/>
    <n v="246.86749999999944"/>
    <n v="356.99714285714288"/>
    <n v="470.60046583850936"/>
    <n v="1767.7223546743096"/>
    <n v="919.48864774115054"/>
    <n v="427.88138888888813"/>
  </r>
  <r>
    <n v="907"/>
    <x v="0"/>
    <s v="Local"/>
    <n v="118.1875"/>
    <n v="291.71659090909088"/>
    <n v="1303.7515440115424"/>
    <n v="733.2224808688419"/>
    <n v="237.21188421052517"/>
    <n v="260.01013888888889"/>
    <n v="477.50314393939396"/>
    <n v="1895.4177224627197"/>
    <n v="1060.5022835978882"/>
    <n v="387.65671111110947"/>
  </r>
  <r>
    <n v="916"/>
    <x v="0"/>
    <s v="Local"/>
    <n v="5.52"/>
    <n v="84.260217391304366"/>
    <n v="179.54930641821883"/>
    <n v="130.50086080586155"/>
    <n v="41.389615384615219"/>
    <n v="6.76"/>
    <n v="252.58478260869572"/>
    <n v="605.36939321547834"/>
    <n v="430.25274725274949"/>
    <n v="136.72307692307635"/>
  </r>
  <r>
    <n v="917"/>
    <x v="0"/>
    <s v="Local"/>
    <n v="6.25"/>
    <n v="98.339999999999989"/>
    <n v="155.01509433962244"/>
    <n v="114.51641509434"/>
    <n v="52.738490566037576"/>
    <n v="17.7"/>
    <n v="342.8"/>
    <n v="498.63849056603704"/>
    <n v="368.54056603773722"/>
    <n v="196.43094339622587"/>
  </r>
  <r>
    <n v="921"/>
    <x v="0"/>
    <s v="Local"/>
    <n v="3.8374999999999981"/>
    <n v="199.52796213476444"/>
    <n v="513.23032733891944"/>
    <n v="270.38541963015717"/>
    <n v="31.648790896158939"/>
    <n v="18.720833333333321"/>
    <n v="748.45970930232568"/>
    <n v="1931.0407731538135"/>
    <n v="950.99737553343073"/>
    <n v="116.45130867709689"/>
  </r>
  <r>
    <n v="923"/>
    <x v="0"/>
    <s v="Local"/>
    <n v="17.015555555555544"/>
    <n v="259.16683343756517"/>
    <n v="438.64302767354548"/>
    <n v="290.30051670856972"/>
    <n v="10.274066624764018"/>
    <n v="67.297614379084919"/>
    <n v="1155.3405219561246"/>
    <n v="1867.494155331455"/>
    <n v="1278.3343770951217"/>
    <n v="51.563331238213593"/>
  </r>
  <r>
    <n v="928"/>
    <x v="0"/>
    <s v="Local"/>
    <n v="19.214166666666657"/>
    <n v="251.0036111111111"/>
    <n v="575.21358850129116"/>
    <n v="271.64817319461577"/>
    <n v="72.150460526315385"/>
    <n v="79.660694444444417"/>
    <n v="1081.275972222222"/>
    <n v="2622.4925484496084"/>
    <n v="1278.1623857609202"/>
    <n v="371.85839912280517"/>
  </r>
  <r>
    <n v="929"/>
    <x v="0"/>
    <s v="Local"/>
    <n v="163.07693719452595"/>
    <n v="1337.0327861523022"/>
    <n v="4074.6663070583108"/>
    <n v="1804.1678124656928"/>
    <n v="820.98615712916705"/>
    <n v="685.62497849462375"/>
    <n v="4449.6953622611118"/>
    <n v="12601.10785478503"/>
    <n v="6155.0643481020306"/>
    <n v="3809.3674563572013"/>
  </r>
  <r>
    <n v="932"/>
    <x v="0"/>
    <s v="Local"/>
    <n v="100.83612836438922"/>
    <n v="636.06439204377421"/>
    <n v="2357.2320923737893"/>
    <n v="1038.2602836470787"/>
    <n v="316.27710357096919"/>
    <n v="244.42875776397514"/>
    <n v="1511.6809657839058"/>
    <n v="5557.7294587829401"/>
    <n v="2440.6646411183642"/>
    <n v="887.16617655081438"/>
  </r>
  <r>
    <n v="933"/>
    <x v="0"/>
    <s v="Local"/>
    <n v="97.112319131161229"/>
    <n v="562.31904450520233"/>
    <n v="1531.177814445826"/>
    <n v="790.37616803005938"/>
    <n v="289.77465388775107"/>
    <n v="275.49613366750202"/>
    <n v="1804.7667451203765"/>
    <n v="4859.8926006641714"/>
    <n v="2306.3760147491885"/>
    <n v="857.62850579876306"/>
  </r>
  <r>
    <n v="934"/>
    <x v="0"/>
    <s v="Local"/>
    <n v="92.524642857142823"/>
    <n v="681.81604048840961"/>
    <n v="1337.4654171110667"/>
    <n v="716.56762414300806"/>
    <n v="274.07627540037271"/>
    <n v="253.22214285714276"/>
    <n v="2039.1608257401201"/>
    <n v="4018.1511884803576"/>
    <n v="2404.5909978676204"/>
    <n v="928.75484505475981"/>
  </r>
  <r>
    <n v="936"/>
    <x v="0"/>
    <s v="Local"/>
    <n v="27.005961538461548"/>
    <n v="333.17114042933798"/>
    <n v="931.20615384615223"/>
    <n v="498.15470930232829"/>
    <n v="190.9220348837201"/>
    <n v="85.893782051282074"/>
    <n v="914.47909809183045"/>
    <n v="2225.8540966010696"/>
    <n v="1227.1537209302396"/>
    <n v="556.76930232557891"/>
  </r>
  <r>
    <n v="944"/>
    <x v="0"/>
    <s v="Local"/>
    <n v="9"/>
    <n v="74"/>
    <n v="131.70833333333309"/>
    <n v="83.291666666666998"/>
    <n v="4.9999999999999085"/>
    <n v="28.71"/>
    <n v="258.33"/>
    <n v="394.04666666666594"/>
    <n v="268.74333333333436"/>
    <n v="15.239999999999688"/>
  </r>
  <r>
    <n v="945"/>
    <x v="0"/>
    <s v="Local"/>
    <n v="4.7792207792207764"/>
    <n v="188.70198222829799"/>
    <n v="304.05435887014806"/>
    <n v="126.65199793094574"/>
    <n v="4.8124401913874166"/>
    <n v="11.250779220779217"/>
    <n v="728.15147641831845"/>
    <n v="1112.4791312741304"/>
    <n v="541.15523988103075"/>
    <n v="17.323373205741071"/>
  </r>
  <r>
    <n v="946"/>
    <x v="0"/>
    <s v="Local"/>
    <n v="0"/>
    <n v="41"/>
    <n v="33"/>
    <n v="11"/>
    <n v="0"/>
    <n v="0"/>
    <n v="235.23000000000002"/>
    <n v="190.31"/>
    <n v="80.88"/>
    <n v="0"/>
  </r>
  <r>
    <n v="950"/>
    <x v="1"/>
    <s v="Express"/>
    <n v="222.58428571428564"/>
    <n v="448.43428571428575"/>
    <n v="326.84214285714188"/>
    <n v="251.11928571428672"/>
    <n v="24.25"/>
    <n v="1824.9064285714283"/>
    <n v="3737.2578571428571"/>
    <n v="2721.9321428571347"/>
    <n v="2089.9335714285799"/>
    <n v="196.61"/>
  </r>
  <r>
    <n v="955"/>
    <x v="0"/>
    <s v="Local"/>
    <n v="104.25992451342692"/>
    <n v="976.64186978919975"/>
    <n v="2423.325514535502"/>
    <n v="1234.8721966563776"/>
    <n v="516.35049450549286"/>
    <n v="240.71318137472281"/>
    <n v="2519.573988436598"/>
    <n v="5705.9367957629847"/>
    <n v="3129.3504692765632"/>
    <n v="1403.8755651491324"/>
  </r>
  <r>
    <n v="961"/>
    <x v="0"/>
    <s v="Local"/>
    <n v="64.318432900432882"/>
    <n v="453.84737754564077"/>
    <n v="1026.4367685012933"/>
    <n v="579.25581487502825"/>
    <n v="164.42160617760536"/>
    <n v="197.02090043290042"/>
    <n v="1226.8574861520649"/>
    <n v="2940.6404028887127"/>
    <n v="1720.5619518390654"/>
    <n v="577.97925868725611"/>
  </r>
  <r>
    <n v="962"/>
    <x v="0"/>
    <s v="Local"/>
    <n v="36.767499999999984"/>
    <n v="344.60806703762603"/>
    <n v="823.15127506763554"/>
    <n v="396.9837552973363"/>
    <n v="116.15940259740226"/>
    <n v="110.77468749999993"/>
    <n v="1088.4695957538422"/>
    <n v="2275.9860676233452"/>
    <n v="1190.3902811574451"/>
    <n v="421.43936796536678"/>
  </r>
  <r>
    <n v="963"/>
    <x v="0"/>
    <s v="Local"/>
    <n v="12.467066666666661"/>
    <n v="154.05290227743276"/>
    <n v="436.25203105589986"/>
    <n v="230.00241077441189"/>
    <n v="68.815589225588852"/>
    <n v="23.765288888888879"/>
    <n v="342.30735086266395"/>
    <n v="932.66936024844586"/>
    <n v="542.33185521885753"/>
    <n v="192.68614478114387"/>
  </r>
  <r>
    <n v="964"/>
    <x v="0"/>
    <s v="Local"/>
    <n v="8.6896551724137758"/>
    <n v="198.24137931034483"/>
    <n v="379.86896551724112"/>
    <n v="194.86666666666719"/>
    <n v="37.333333333333101"/>
    <n v="13.909655172413766"/>
    <n v="344.54586206896556"/>
    <n v="639.63714942528691"/>
    <n v="315.0499259259268"/>
    <n v="67.467407407406967"/>
  </r>
  <r>
    <n v="965"/>
    <x v="0"/>
    <s v="Local"/>
    <n v="18"/>
    <n v="49.291666666666686"/>
    <n v="82.922619047618809"/>
    <n v="68.131868131868515"/>
    <n v="24.65384615384599"/>
    <n v="46.19"/>
    <n v="99.48458333333339"/>
    <n v="157.12755952380911"/>
    <n v="137.44516483516551"/>
    <n v="43.192692307691985"/>
  </r>
  <r>
    <n v="967"/>
    <x v="0"/>
    <s v="Local"/>
    <n v="4.4400000000000004"/>
    <n v="44.83"/>
    <n v="105.94860465116261"/>
    <n v="50.821395348837385"/>
    <n v="15.66"/>
    <n v="12.17"/>
    <n v="141.66999999999999"/>
    <n v="304.10139534883672"/>
    <n v="164.1586046511633"/>
    <n v="55.53"/>
  </r>
  <r>
    <n v="968"/>
    <x v="0"/>
    <s v="Local"/>
    <n v="16.040232558139532"/>
    <n v="56.421256803562585"/>
    <n v="93.948510638297876"/>
    <n v="48.974090909090989"/>
    <n v="18.685909090909014"/>
    <n v="45.631162790697665"/>
    <n v="163.27458189015337"/>
    <n v="271.83425531914895"/>
    <n v="162.14409090909118"/>
    <n v="73.435909090908808"/>
  </r>
  <r>
    <n v="972"/>
    <x v="0"/>
    <s v="Local"/>
    <n v="0"/>
    <n v="77.428571428571416"/>
    <n v="3.5714285714285765"/>
    <n v="52"/>
    <n v="0"/>
    <n v="0"/>
    <n v="150.89857142857142"/>
    <n v="4.2714285714285776"/>
    <n v="107.95"/>
    <n v="0"/>
  </r>
  <r>
    <n v="973"/>
    <x v="0"/>
    <s v="Local"/>
    <n v="0"/>
    <n v="58"/>
    <n v="0"/>
    <n v="55"/>
    <n v="0"/>
    <n v="0"/>
    <n v="143.69999999999999"/>
    <n v="0"/>
    <n v="175.36000000000004"/>
    <n v="0"/>
  </r>
  <r>
    <n v="978"/>
    <x v="0"/>
    <s v="Local"/>
    <n v="0"/>
    <n v="54"/>
    <n v="0"/>
    <n v="38"/>
    <n v="0"/>
    <n v="0"/>
    <n v="95.45999999999998"/>
    <n v="0"/>
    <n v="64.83"/>
    <n v="0"/>
  </r>
  <r>
    <n v="979"/>
    <x v="0"/>
    <s v="Local"/>
    <n v="0"/>
    <n v="47"/>
    <n v="0"/>
    <n v="57"/>
    <n v="0"/>
    <n v="0"/>
    <n v="88.820000000000007"/>
    <n v="0"/>
    <n v="133.02000000000001"/>
    <n v="0"/>
  </r>
  <r>
    <n v="992"/>
    <x v="0"/>
    <s v="Local"/>
    <n v="41.745000000000005"/>
    <n v="115.21840425531917"/>
    <n v="399.80659574468041"/>
    <n v="164.05200000000059"/>
    <n v="164.83799999999988"/>
    <n v="99.041750000000008"/>
    <n v="303.87122872340427"/>
    <n v="933.82302127659455"/>
    <n v="348.74200000000138"/>
    <n v="449.92199999999968"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AI10" firstHeaderRow="0" firstDataRow="1" firstDataCol="1"/>
  <pivotFields count="13">
    <pivotField showAll="0"/>
    <pivotField axis="axisRow" showAll="0">
      <items count="9">
        <item x="4"/>
        <item x="5"/>
        <item x="3"/>
        <item x="2"/>
        <item x="6"/>
        <item x="1"/>
        <item x="0"/>
        <item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Sum of AM Early Ons" fld="3" baseField="0" baseItem="0"/>
    <dataField name="Sum of AM Peak Ons" fld="4" baseField="0" baseItem="0"/>
    <dataField name="Sum of Midday Ons" fld="5" baseField="0" baseItem="0"/>
    <dataField name="Sum of PM Peak Ons" fld="6" baseField="0" baseItem="0"/>
    <dataField name="Sum of Evening Ons" fld="7" baseField="0" baseItem="0"/>
    <dataField name="Sum of AM Early PMs" fld="8" baseField="0" baseItem="0"/>
    <dataField name="Sum of AM Peak PMs" fld="9" baseField="0" baseItem="0"/>
    <dataField name="Sum of Midday PMs" fld="10" baseField="0" baseItem="0"/>
    <dataField name="Sum of PM Peak PMs" fld="11" baseField="0" baseItem="0"/>
    <dataField name="Sum of Evening PMs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Transit2015table" connectionId="2" xr16:uid="{00000000-0016-0000-0000-000000000000}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scenario_id" tableColumnId="1"/>
      <queryTableField id="17" dataBound="0" tableColumnId="15"/>
      <queryTableField id="2" name="route" tableColumnId="2"/>
      <queryTableField id="16" dataBound="0" tableColumnId="14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  <queryTableField id="14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trb" connectionId="1" xr16:uid="{00000000-0016-0000-0000-000001000000}" autoFormatId="16" applyNumberFormats="0" applyBorderFormats="0" applyFontFormats="0" applyPatternFormats="0" applyAlignmentFormats="0" applyWidthHeightFormats="0">
  <queryTableRefresh nextId="16">
    <queryTableFields count="12">
      <queryTableField id="2" name="route" tableColumnId="2"/>
      <queryTableField id="14" name="mode_transit_route_id" tableColumnId="14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d" displayName="md" ref="Q1:AE139" tableType="queryTable" totalsRowShown="0">
  <autoFilter ref="Q1:AE139" xr:uid="{00000000-0009-0000-0100-000001000000}"/>
  <tableColumns count="15">
    <tableColumn id="1" xr3:uid="{00000000-0010-0000-0000-000001000000}" uniqueName="1" name="scenario_id" queryTableFieldId="1"/>
    <tableColumn id="15" xr3:uid="{D6C53D5C-A489-433E-B7DB-0FB7D3F1B231}" uniqueName="15" name="routeC" queryTableFieldId="17" dataDxfId="37">
      <calculatedColumnFormula>md[[#This Row],[route]]&amp;"-"&amp;md[[#This Row],[mode_transit_route_id]]</calculatedColumnFormula>
    </tableColumn>
    <tableColumn id="2" xr3:uid="{00000000-0010-0000-0000-000002000000}" uniqueName="2" name="route" queryTableFieldId="2"/>
    <tableColumn id="14" xr3:uid="{4F364385-1B55-4723-A3AD-7591F0D378D3}" uniqueName="14" name="mode_transit_route_id" queryTableFieldId="16" dataDxfId="36">
      <calculatedColumnFormula>Table_socioeca8.sandag.org_abm2_trb[[#This Row],[mode_transit_route_id]]</calculatedColumnFormula>
    </tableColumn>
    <tableColumn id="3" xr3:uid="{00000000-0010-0000-0000-000003000000}" uniqueName="3" name="boarding_EA" queryTableFieldId="3" dataDxfId="35"/>
    <tableColumn id="4" xr3:uid="{00000000-0010-0000-0000-000004000000}" uniqueName="4" name="boarding_AM" queryTableFieldId="4" dataDxfId="34"/>
    <tableColumn id="5" xr3:uid="{00000000-0010-0000-0000-000005000000}" uniqueName="5" name="boarding_MD" queryTableFieldId="5" dataDxfId="33"/>
    <tableColumn id="6" xr3:uid="{00000000-0010-0000-0000-000006000000}" uniqueName="6" name="boarding_PM" queryTableFieldId="6" dataDxfId="32"/>
    <tableColumn id="7" xr3:uid="{00000000-0010-0000-0000-000007000000}" uniqueName="7" name="boarding_EV" queryTableFieldId="7" dataDxfId="31"/>
    <tableColumn id="8" xr3:uid="{00000000-0010-0000-0000-000008000000}" uniqueName="8" name="passenger_mile_EA" queryTableFieldId="8" dataDxfId="30"/>
    <tableColumn id="9" xr3:uid="{00000000-0010-0000-0000-000009000000}" uniqueName="9" name="passenger_mile_AM" queryTableFieldId="9" dataDxfId="29"/>
    <tableColumn id="10" xr3:uid="{00000000-0010-0000-0000-00000A000000}" uniqueName="10" name="passenger_mile_MD" queryTableFieldId="10" dataDxfId="28"/>
    <tableColumn id="11" xr3:uid="{00000000-0010-0000-0000-00000B000000}" uniqueName="11" name="passenger_mile_PM" queryTableFieldId="11" dataDxfId="27"/>
    <tableColumn id="12" xr3:uid="{00000000-0010-0000-0000-00000C000000}" uniqueName="12" name="passenger_mile_EV" queryTableFieldId="12" dataDxfId="26"/>
    <tableColumn id="13" xr3:uid="{00000000-0010-0000-0000-00000D000000}" uniqueName="13" name="mode_transit_route_id2" queryTableFieldId="14" dataDxfId="25">
      <calculatedColumnFormula>Table_socioeca8.sandag.org_abm2_trb[[#This Row],[mode_transit_route_id]]</calculatedColumnFormula>
    </tableColumn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socioeca8.sandag.org_abm2_trb" displayName="Table_socioeca8.sandag.org_abm2_trb" ref="D1:O139" tableType="queryTable" totalsRowShown="0" headerRowDxfId="24" dataDxfId="23">
  <autoFilter ref="D1:O139" xr:uid="{00000000-0009-0000-0100-000002000000}"/>
  <tableColumns count="12">
    <tableColumn id="2" xr3:uid="{00000000-0010-0000-0100-000002000000}" uniqueName="2" name="route" queryTableFieldId="2" dataDxfId="22"/>
    <tableColumn id="14" xr3:uid="{00000000-0010-0000-0100-00000E000000}" uniqueName="14" name="mode_transit_route_id" queryTableFieldId="14" dataDxfId="21"/>
    <tableColumn id="3" xr3:uid="{00000000-0010-0000-0100-000003000000}" uniqueName="3" name="boarding_EA" queryTableFieldId="3" dataDxfId="20"/>
    <tableColumn id="4" xr3:uid="{00000000-0010-0000-0100-000004000000}" uniqueName="4" name="boarding_AM" queryTableFieldId="4" dataDxfId="19"/>
    <tableColumn id="5" xr3:uid="{00000000-0010-0000-0100-000005000000}" uniqueName="5" name="boarding_MD" queryTableFieldId="5" dataDxfId="18"/>
    <tableColumn id="6" xr3:uid="{00000000-0010-0000-0100-000006000000}" uniqueName="6" name="boarding_PM" queryTableFieldId="6" dataDxfId="17"/>
    <tableColumn id="7" xr3:uid="{00000000-0010-0000-0100-000007000000}" uniqueName="7" name="boarding_EV" queryTableFieldId="7" dataDxfId="16"/>
    <tableColumn id="8" xr3:uid="{00000000-0010-0000-0100-000008000000}" uniqueName="8" name="passenger_mile_EA" queryTableFieldId="8" dataDxfId="15"/>
    <tableColumn id="9" xr3:uid="{00000000-0010-0000-0100-000009000000}" uniqueName="9" name="passenger_mile_AM" queryTableFieldId="9" dataDxfId="14"/>
    <tableColumn id="10" xr3:uid="{00000000-0010-0000-0100-00000A000000}" uniqueName="10" name="passenger_mile_MD" queryTableFieldId="10" dataDxfId="13"/>
    <tableColumn id="11" xr3:uid="{00000000-0010-0000-0100-00000B000000}" uniqueName="11" name="passenger_mile_PM" queryTableFieldId="11" dataDxfId="12"/>
    <tableColumn id="12" xr3:uid="{00000000-0010-0000-0100-00000C000000}" uniqueName="12" name="passenger_mile_EV" queryTableFieldId="12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liu@sandag.or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AG139"/>
  <sheetViews>
    <sheetView tabSelected="1" zoomScale="70" zoomScaleNormal="70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2" max="2" width="104.88671875" customWidth="1"/>
    <col min="3" max="3" width="11.109375" style="47" customWidth="1"/>
    <col min="4" max="4" width="8.5546875" style="47" bestFit="1" customWidth="1"/>
    <col min="5" max="5" width="24.109375" style="261" bestFit="1" customWidth="1"/>
    <col min="6" max="6" width="14.44140625" style="357" bestFit="1" customWidth="1"/>
    <col min="7" max="8" width="15.44140625" style="357" bestFit="1" customWidth="1"/>
    <col min="9" max="9" width="15.109375" style="357" bestFit="1" customWidth="1"/>
    <col min="10" max="10" width="14.44140625" style="357" bestFit="1" customWidth="1"/>
    <col min="11" max="11" width="20.88671875" style="261" bestFit="1" customWidth="1"/>
    <col min="12" max="13" width="21.6640625" style="261" bestFit="1" customWidth="1"/>
    <col min="14" max="14" width="21.5546875" style="261" bestFit="1" customWidth="1"/>
    <col min="15" max="15" width="20.88671875" style="261" bestFit="1" customWidth="1"/>
    <col min="17" max="17" width="9.109375" hidden="1" customWidth="1"/>
    <col min="18" max="18" width="9.109375" style="5" hidden="1" customWidth="1"/>
    <col min="19" max="19" width="13.44140625" hidden="1" customWidth="1"/>
    <col min="20" max="20" width="13.44140625" style="5" hidden="1" customWidth="1"/>
    <col min="21" max="25" width="13.44140625" style="344" hidden="1" customWidth="1"/>
    <col min="26" max="26" width="15.109375" style="3" hidden="1" customWidth="1"/>
    <col min="27" max="27" width="14.44140625" style="3" hidden="1" customWidth="1"/>
    <col min="28" max="28" width="20.88671875" style="3" hidden="1" customWidth="1"/>
    <col min="29" max="30" width="21.6640625" style="3" hidden="1" customWidth="1"/>
    <col min="31" max="31" width="21.5546875" style="3" hidden="1" customWidth="1"/>
    <col min="32" max="32" width="20.88671875" style="3" customWidth="1"/>
    <col min="33" max="33" width="8.109375" style="5" customWidth="1"/>
    <col min="34" max="34" width="9.109375" customWidth="1"/>
  </cols>
  <sheetData>
    <row r="1" spans="1:33" x14ac:dyDescent="0.3">
      <c r="A1" s="5" t="s">
        <v>140</v>
      </c>
      <c r="B1" s="260"/>
      <c r="D1" s="47" t="s">
        <v>16</v>
      </c>
      <c r="E1" s="261" t="s">
        <v>94</v>
      </c>
      <c r="F1" s="357" t="s">
        <v>17</v>
      </c>
      <c r="G1" s="357" t="s">
        <v>18</v>
      </c>
      <c r="H1" s="357" t="s">
        <v>19</v>
      </c>
      <c r="I1" s="357" t="s">
        <v>20</v>
      </c>
      <c r="J1" s="357" t="s">
        <v>21</v>
      </c>
      <c r="K1" s="261" t="s">
        <v>22</v>
      </c>
      <c r="L1" s="261" t="s">
        <v>23</v>
      </c>
      <c r="M1" s="261" t="s">
        <v>24</v>
      </c>
      <c r="N1" s="261" t="s">
        <v>25</v>
      </c>
      <c r="O1" s="261" t="s">
        <v>26</v>
      </c>
      <c r="Q1" t="s">
        <v>15</v>
      </c>
      <c r="R1" s="5" t="s">
        <v>142</v>
      </c>
      <c r="S1" t="s">
        <v>16</v>
      </c>
      <c r="T1" s="5" t="s">
        <v>94</v>
      </c>
      <c r="U1" s="344" t="s">
        <v>17</v>
      </c>
      <c r="V1" s="344" t="s">
        <v>18</v>
      </c>
      <c r="W1" s="344" t="s">
        <v>19</v>
      </c>
      <c r="X1" s="344" t="s">
        <v>20</v>
      </c>
      <c r="Y1" s="344" t="s">
        <v>21</v>
      </c>
      <c r="Z1" s="3" t="s">
        <v>22</v>
      </c>
      <c r="AA1" s="3" t="s">
        <v>23</v>
      </c>
      <c r="AB1" s="3" t="s">
        <v>24</v>
      </c>
      <c r="AC1" s="3" t="s">
        <v>25</v>
      </c>
      <c r="AD1" s="3" t="s">
        <v>26</v>
      </c>
      <c r="AE1" s="5" t="s">
        <v>141</v>
      </c>
      <c r="AF1"/>
      <c r="AG1"/>
    </row>
    <row r="2" spans="1:33" x14ac:dyDescent="0.3">
      <c r="A2" s="5"/>
      <c r="B2" s="5"/>
      <c r="D2" s="47">
        <f>[2]transit_general!B2</f>
        <v>101</v>
      </c>
      <c r="E2" s="261">
        <f>[2]transit_general!C2</f>
        <v>29</v>
      </c>
      <c r="F2" s="357">
        <f>[2]transit_general!D2</f>
        <v>0</v>
      </c>
      <c r="G2" s="357">
        <f>[2]transit_general!E2</f>
        <v>0</v>
      </c>
      <c r="H2" s="357">
        <f>[2]transit_general!F2</f>
        <v>0</v>
      </c>
      <c r="I2" s="357">
        <f>[2]transit_general!G2</f>
        <v>0</v>
      </c>
      <c r="J2" s="357">
        <f>[2]transit_general!H2</f>
        <v>0</v>
      </c>
      <c r="K2" s="261">
        <f>[2]transit_general!I2</f>
        <v>0</v>
      </c>
      <c r="L2" s="261">
        <f>[2]transit_general!J2</f>
        <v>0</v>
      </c>
      <c r="M2" s="261">
        <f>[2]transit_general!K2</f>
        <v>0</v>
      </c>
      <c r="N2" s="261">
        <f>[2]transit_general!L2</f>
        <v>0</v>
      </c>
      <c r="O2" s="261">
        <f>[2]transit_general!M2</f>
        <v>0</v>
      </c>
      <c r="Q2" s="5"/>
      <c r="R2" s="5" t="str">
        <f>md[[#This Row],[route]]&amp;"-"&amp;md[[#This Row],[mode_transit_route_id]]</f>
        <v>101-29</v>
      </c>
      <c r="S2" s="5">
        <f>Table_socioeca8.sandag.org_abm2_trb[[#This Row],[route]]</f>
        <v>101</v>
      </c>
      <c r="T2" s="2">
        <f>Table_socioeca8.sandag.org_abm2_trb[[#This Row],[mode_transit_route_id]]</f>
        <v>29</v>
      </c>
      <c r="U2" s="344">
        <f>Table_socioeca8.sandag.org_abm2_trb[[#This Row],[boarding_EA]]</f>
        <v>0</v>
      </c>
      <c r="V2" s="344">
        <f>Table_socioeca8.sandag.org_abm2_trb[[#This Row],[boarding_AM]]</f>
        <v>0</v>
      </c>
      <c r="W2" s="344">
        <f>Table_socioeca8.sandag.org_abm2_trb[[#This Row],[boarding_MD]]</f>
        <v>0</v>
      </c>
      <c r="X2" s="344">
        <f>Table_socioeca8.sandag.org_abm2_trb[[#This Row],[boarding_PM]]</f>
        <v>0</v>
      </c>
      <c r="Y2" s="344">
        <f>Table_socioeca8.sandag.org_abm2_trb[[#This Row],[boarding_EV]]</f>
        <v>0</v>
      </c>
      <c r="Z2" s="3">
        <f>Table_socioeca8.sandag.org_abm2_trb[[#This Row],[passenger_mile_EA]]</f>
        <v>0</v>
      </c>
      <c r="AA2" s="3">
        <f>Table_socioeca8.sandag.org_abm2_trb[[#This Row],[passenger_mile_AM]]</f>
        <v>0</v>
      </c>
      <c r="AB2" s="3">
        <f>Table_socioeca8.sandag.org_abm2_trb[[#This Row],[passenger_mile_MD]]</f>
        <v>0</v>
      </c>
      <c r="AC2" s="3">
        <f>Table_socioeca8.sandag.org_abm2_trb[[#This Row],[passenger_mile_PM]]</f>
        <v>0</v>
      </c>
      <c r="AD2" s="3">
        <f>Table_socioeca8.sandag.org_abm2_trb[[#This Row],[passenger_mile_EV]]</f>
        <v>0</v>
      </c>
      <c r="AE2" s="5">
        <f>Table_socioeca8.sandag.org_abm2_trb[[#This Row],[mode_transit_route_id]]</f>
        <v>29</v>
      </c>
      <c r="AF2"/>
      <c r="AG2"/>
    </row>
    <row r="3" spans="1:33" x14ac:dyDescent="0.3">
      <c r="A3" s="5"/>
      <c r="B3" s="5"/>
      <c r="D3" s="47">
        <f>[2]transit_general!B3</f>
        <v>105</v>
      </c>
      <c r="E3" s="261">
        <f>[2]transit_general!C3</f>
        <v>29</v>
      </c>
      <c r="F3" s="357">
        <f>[2]transit_general!D3</f>
        <v>0</v>
      </c>
      <c r="G3" s="357">
        <f>[2]transit_general!E3</f>
        <v>0</v>
      </c>
      <c r="H3" s="357">
        <f>[2]transit_general!F3</f>
        <v>0</v>
      </c>
      <c r="I3" s="357">
        <f>[2]transit_general!G3</f>
        <v>0</v>
      </c>
      <c r="J3" s="357">
        <f>[2]transit_general!H3</f>
        <v>0</v>
      </c>
      <c r="K3" s="261">
        <f>[2]transit_general!I3</f>
        <v>0</v>
      </c>
      <c r="L3" s="261">
        <f>[2]transit_general!J3</f>
        <v>0</v>
      </c>
      <c r="M3" s="261">
        <f>[2]transit_general!K3</f>
        <v>0</v>
      </c>
      <c r="N3" s="261">
        <f>[2]transit_general!L3</f>
        <v>0</v>
      </c>
      <c r="O3" s="261">
        <f>[2]transit_general!M3</f>
        <v>0</v>
      </c>
      <c r="Q3" s="5"/>
      <c r="R3" s="5" t="str">
        <f>md[[#This Row],[route]]&amp;"-"&amp;md[[#This Row],[mode_transit_route_id]]</f>
        <v>105-29</v>
      </c>
      <c r="S3" s="5">
        <f>Table_socioeca8.sandag.org_abm2_trb[[#This Row],[route]]</f>
        <v>105</v>
      </c>
      <c r="T3" s="2">
        <f>Table_socioeca8.sandag.org_abm2_trb[[#This Row],[mode_transit_route_id]]</f>
        <v>29</v>
      </c>
      <c r="U3" s="344">
        <f>Table_socioeca8.sandag.org_abm2_trb[[#This Row],[boarding_EA]]</f>
        <v>0</v>
      </c>
      <c r="V3" s="344">
        <f>Table_socioeca8.sandag.org_abm2_trb[[#This Row],[boarding_AM]]</f>
        <v>0</v>
      </c>
      <c r="W3" s="344">
        <f>Table_socioeca8.sandag.org_abm2_trb[[#This Row],[boarding_MD]]</f>
        <v>0</v>
      </c>
      <c r="X3" s="344">
        <f>Table_socioeca8.sandag.org_abm2_trb[[#This Row],[boarding_PM]]</f>
        <v>0</v>
      </c>
      <c r="Y3" s="344">
        <f>Table_socioeca8.sandag.org_abm2_trb[[#This Row],[boarding_EV]]</f>
        <v>0</v>
      </c>
      <c r="Z3" s="3">
        <f>Table_socioeca8.sandag.org_abm2_trb[[#This Row],[passenger_mile_EA]]</f>
        <v>0</v>
      </c>
      <c r="AA3" s="3">
        <f>Table_socioeca8.sandag.org_abm2_trb[[#This Row],[passenger_mile_AM]]</f>
        <v>0</v>
      </c>
      <c r="AB3" s="3">
        <f>Table_socioeca8.sandag.org_abm2_trb[[#This Row],[passenger_mile_MD]]</f>
        <v>0</v>
      </c>
      <c r="AC3" s="3">
        <f>Table_socioeca8.sandag.org_abm2_trb[[#This Row],[passenger_mile_PM]]</f>
        <v>0</v>
      </c>
      <c r="AD3" s="3">
        <f>Table_socioeca8.sandag.org_abm2_trb[[#This Row],[passenger_mile_EV]]</f>
        <v>0</v>
      </c>
      <c r="AE3" s="5">
        <f>Table_socioeca8.sandag.org_abm2_trb[[#This Row],[mode_transit_route_id]]</f>
        <v>29</v>
      </c>
      <c r="AF3"/>
      <c r="AG3"/>
    </row>
    <row r="4" spans="1:33" x14ac:dyDescent="0.3">
      <c r="A4" s="5"/>
      <c r="B4" s="5"/>
      <c r="D4" s="47">
        <f>[2]transit_general!B4</f>
        <v>10</v>
      </c>
      <c r="E4" s="261">
        <f>[2]transit_general!C4</f>
        <v>28</v>
      </c>
      <c r="F4" s="357">
        <f>[2]transit_general!D4</f>
        <v>0</v>
      </c>
      <c r="G4" s="357">
        <f>[2]transit_general!E4</f>
        <v>0</v>
      </c>
      <c r="H4" s="357">
        <f>[2]transit_general!F4</f>
        <v>0</v>
      </c>
      <c r="I4" s="357">
        <f>[2]transit_general!G4</f>
        <v>0</v>
      </c>
      <c r="J4" s="357">
        <f>[2]transit_general!H4</f>
        <v>0</v>
      </c>
      <c r="K4" s="261">
        <f>[2]transit_general!I4</f>
        <v>0</v>
      </c>
      <c r="L4" s="261">
        <f>[2]transit_general!J4</f>
        <v>0</v>
      </c>
      <c r="M4" s="261">
        <f>[2]transit_general!K4</f>
        <v>0</v>
      </c>
      <c r="N4" s="261">
        <f>[2]transit_general!L4</f>
        <v>0</v>
      </c>
      <c r="O4" s="261">
        <f>[2]transit_general!M4</f>
        <v>0</v>
      </c>
      <c r="Q4" s="5"/>
      <c r="R4" s="5" t="str">
        <f>md[[#This Row],[route]]&amp;"-"&amp;md[[#This Row],[mode_transit_route_id]]</f>
        <v>10-28</v>
      </c>
      <c r="S4" s="5">
        <f>Table_socioeca8.sandag.org_abm2_trb[[#This Row],[route]]</f>
        <v>10</v>
      </c>
      <c r="T4" s="2">
        <f>Table_socioeca8.sandag.org_abm2_trb[[#This Row],[mode_transit_route_id]]</f>
        <v>28</v>
      </c>
      <c r="U4" s="344">
        <f>Table_socioeca8.sandag.org_abm2_trb[[#This Row],[boarding_EA]]</f>
        <v>0</v>
      </c>
      <c r="V4" s="344">
        <f>Table_socioeca8.sandag.org_abm2_trb[[#This Row],[boarding_AM]]</f>
        <v>0</v>
      </c>
      <c r="W4" s="344">
        <f>Table_socioeca8.sandag.org_abm2_trb[[#This Row],[boarding_MD]]</f>
        <v>0</v>
      </c>
      <c r="X4" s="344">
        <f>Table_socioeca8.sandag.org_abm2_trb[[#This Row],[boarding_PM]]</f>
        <v>0</v>
      </c>
      <c r="Y4" s="344">
        <f>Table_socioeca8.sandag.org_abm2_trb[[#This Row],[boarding_EV]]</f>
        <v>0</v>
      </c>
      <c r="Z4" s="3">
        <f>Table_socioeca8.sandag.org_abm2_trb[[#This Row],[passenger_mile_EA]]</f>
        <v>0</v>
      </c>
      <c r="AA4" s="3">
        <f>Table_socioeca8.sandag.org_abm2_trb[[#This Row],[passenger_mile_AM]]</f>
        <v>0</v>
      </c>
      <c r="AB4" s="3">
        <f>Table_socioeca8.sandag.org_abm2_trb[[#This Row],[passenger_mile_MD]]</f>
        <v>0</v>
      </c>
      <c r="AC4" s="3">
        <f>Table_socioeca8.sandag.org_abm2_trb[[#This Row],[passenger_mile_PM]]</f>
        <v>0</v>
      </c>
      <c r="AD4" s="3">
        <f>Table_socioeca8.sandag.org_abm2_trb[[#This Row],[passenger_mile_EV]]</f>
        <v>0</v>
      </c>
      <c r="AE4" s="5">
        <f>Table_socioeca8.sandag.org_abm2_trb[[#This Row],[mode_transit_route_id]]</f>
        <v>28</v>
      </c>
      <c r="AF4"/>
      <c r="AG4"/>
    </row>
    <row r="5" spans="1:33" x14ac:dyDescent="0.3">
      <c r="A5" s="5"/>
      <c r="B5" s="5"/>
      <c r="D5" s="47">
        <f>[2]transit_general!B5</f>
        <v>115</v>
      </c>
      <c r="E5" s="261">
        <f>[2]transit_general!C5</f>
        <v>29</v>
      </c>
      <c r="F5" s="357">
        <f>[2]transit_general!D5</f>
        <v>0</v>
      </c>
      <c r="G5" s="357">
        <f>[2]transit_general!E5</f>
        <v>0</v>
      </c>
      <c r="H5" s="357">
        <f>[2]transit_general!F5</f>
        <v>0</v>
      </c>
      <c r="I5" s="357">
        <f>[2]transit_general!G5</f>
        <v>0</v>
      </c>
      <c r="J5" s="357">
        <f>[2]transit_general!H5</f>
        <v>0</v>
      </c>
      <c r="K5" s="261">
        <f>[2]transit_general!I5</f>
        <v>0</v>
      </c>
      <c r="L5" s="261">
        <f>[2]transit_general!J5</f>
        <v>0</v>
      </c>
      <c r="M5" s="261">
        <f>[2]transit_general!K5</f>
        <v>0</v>
      </c>
      <c r="N5" s="261">
        <f>[2]transit_general!L5</f>
        <v>0</v>
      </c>
      <c r="O5" s="261">
        <f>[2]transit_general!M5</f>
        <v>0</v>
      </c>
      <c r="Q5" s="5"/>
      <c r="R5" s="5" t="str">
        <f>md[[#This Row],[route]]&amp;"-"&amp;md[[#This Row],[mode_transit_route_id]]</f>
        <v>115-29</v>
      </c>
      <c r="S5" s="5">
        <f>Table_socioeca8.sandag.org_abm2_trb[[#This Row],[route]]</f>
        <v>115</v>
      </c>
      <c r="T5" s="2">
        <f>Table_socioeca8.sandag.org_abm2_trb[[#This Row],[mode_transit_route_id]]</f>
        <v>29</v>
      </c>
      <c r="U5" s="344">
        <f>Table_socioeca8.sandag.org_abm2_trb[[#This Row],[boarding_EA]]</f>
        <v>0</v>
      </c>
      <c r="V5" s="344">
        <f>Table_socioeca8.sandag.org_abm2_trb[[#This Row],[boarding_AM]]</f>
        <v>0</v>
      </c>
      <c r="W5" s="344">
        <f>Table_socioeca8.sandag.org_abm2_trb[[#This Row],[boarding_MD]]</f>
        <v>0</v>
      </c>
      <c r="X5" s="344">
        <f>Table_socioeca8.sandag.org_abm2_trb[[#This Row],[boarding_PM]]</f>
        <v>0</v>
      </c>
      <c r="Y5" s="344">
        <f>Table_socioeca8.sandag.org_abm2_trb[[#This Row],[boarding_EV]]</f>
        <v>0</v>
      </c>
      <c r="Z5" s="3">
        <f>Table_socioeca8.sandag.org_abm2_trb[[#This Row],[passenger_mile_EA]]</f>
        <v>0</v>
      </c>
      <c r="AA5" s="3">
        <f>Table_socioeca8.sandag.org_abm2_trb[[#This Row],[passenger_mile_AM]]</f>
        <v>0</v>
      </c>
      <c r="AB5" s="3">
        <f>Table_socioeca8.sandag.org_abm2_trb[[#This Row],[passenger_mile_MD]]</f>
        <v>0</v>
      </c>
      <c r="AC5" s="3">
        <f>Table_socioeca8.sandag.org_abm2_trb[[#This Row],[passenger_mile_PM]]</f>
        <v>0</v>
      </c>
      <c r="AD5" s="3">
        <f>Table_socioeca8.sandag.org_abm2_trb[[#This Row],[passenger_mile_EV]]</f>
        <v>0</v>
      </c>
      <c r="AE5" s="5">
        <f>Table_socioeca8.sandag.org_abm2_trb[[#This Row],[mode_transit_route_id]]</f>
        <v>29</v>
      </c>
      <c r="AF5"/>
      <c r="AG5"/>
    </row>
    <row r="6" spans="1:33" x14ac:dyDescent="0.3">
      <c r="A6" s="5"/>
      <c r="B6" s="5"/>
      <c r="D6" s="47">
        <f>[2]transit_general!B6</f>
        <v>11</v>
      </c>
      <c r="E6" s="261">
        <f>[2]transit_general!C6</f>
        <v>29</v>
      </c>
      <c r="F6" s="357">
        <f>[2]transit_general!D6</f>
        <v>0</v>
      </c>
      <c r="G6" s="357">
        <f>[2]transit_general!E6</f>
        <v>0</v>
      </c>
      <c r="H6" s="357">
        <f>[2]transit_general!F6</f>
        <v>0</v>
      </c>
      <c r="I6" s="357">
        <f>[2]transit_general!G6</f>
        <v>0</v>
      </c>
      <c r="J6" s="357">
        <f>[2]transit_general!H6</f>
        <v>0</v>
      </c>
      <c r="K6" s="261">
        <f>[2]transit_general!I6</f>
        <v>0</v>
      </c>
      <c r="L6" s="261">
        <f>[2]transit_general!J6</f>
        <v>0</v>
      </c>
      <c r="M6" s="261">
        <f>[2]transit_general!K6</f>
        <v>0</v>
      </c>
      <c r="N6" s="261">
        <f>[2]transit_general!L6</f>
        <v>0</v>
      </c>
      <c r="O6" s="261">
        <f>[2]transit_general!M6</f>
        <v>0</v>
      </c>
      <c r="Q6" s="5"/>
      <c r="R6" s="5" t="str">
        <f>md[[#This Row],[route]]&amp;"-"&amp;md[[#This Row],[mode_transit_route_id]]</f>
        <v>11-29</v>
      </c>
      <c r="S6" s="5">
        <f>Table_socioeca8.sandag.org_abm2_trb[[#This Row],[route]]</f>
        <v>11</v>
      </c>
      <c r="T6" s="2">
        <f>Table_socioeca8.sandag.org_abm2_trb[[#This Row],[mode_transit_route_id]]</f>
        <v>29</v>
      </c>
      <c r="U6" s="344">
        <f>Table_socioeca8.sandag.org_abm2_trb[[#This Row],[boarding_EA]]</f>
        <v>0</v>
      </c>
      <c r="V6" s="344">
        <f>Table_socioeca8.sandag.org_abm2_trb[[#This Row],[boarding_AM]]</f>
        <v>0</v>
      </c>
      <c r="W6" s="344">
        <f>Table_socioeca8.sandag.org_abm2_trb[[#This Row],[boarding_MD]]</f>
        <v>0</v>
      </c>
      <c r="X6" s="344">
        <f>Table_socioeca8.sandag.org_abm2_trb[[#This Row],[boarding_PM]]</f>
        <v>0</v>
      </c>
      <c r="Y6" s="344">
        <f>Table_socioeca8.sandag.org_abm2_trb[[#This Row],[boarding_EV]]</f>
        <v>0</v>
      </c>
      <c r="Z6" s="3">
        <f>Table_socioeca8.sandag.org_abm2_trb[[#This Row],[passenger_mile_EA]]</f>
        <v>0</v>
      </c>
      <c r="AA6" s="3">
        <f>Table_socioeca8.sandag.org_abm2_trb[[#This Row],[passenger_mile_AM]]</f>
        <v>0</v>
      </c>
      <c r="AB6" s="3">
        <f>Table_socioeca8.sandag.org_abm2_trb[[#This Row],[passenger_mile_MD]]</f>
        <v>0</v>
      </c>
      <c r="AC6" s="3">
        <f>Table_socioeca8.sandag.org_abm2_trb[[#This Row],[passenger_mile_PM]]</f>
        <v>0</v>
      </c>
      <c r="AD6" s="3">
        <f>Table_socioeca8.sandag.org_abm2_trb[[#This Row],[passenger_mile_EV]]</f>
        <v>0</v>
      </c>
      <c r="AE6" s="5">
        <f>Table_socioeca8.sandag.org_abm2_trb[[#This Row],[mode_transit_route_id]]</f>
        <v>29</v>
      </c>
      <c r="AF6"/>
      <c r="AG6"/>
    </row>
    <row r="7" spans="1:33" x14ac:dyDescent="0.3">
      <c r="A7" s="5"/>
      <c r="B7" s="5"/>
      <c r="D7" s="47">
        <f>[2]transit_general!B7</f>
        <v>120</v>
      </c>
      <c r="E7" s="261">
        <f>[2]transit_general!C7</f>
        <v>28</v>
      </c>
      <c r="F7" s="357">
        <f>[2]transit_general!D7</f>
        <v>0</v>
      </c>
      <c r="G7" s="357">
        <f>[2]transit_general!E7</f>
        <v>0</v>
      </c>
      <c r="H7" s="357">
        <f>[2]transit_general!F7</f>
        <v>0</v>
      </c>
      <c r="I7" s="357">
        <f>[2]transit_general!G7</f>
        <v>0</v>
      </c>
      <c r="J7" s="357">
        <f>[2]transit_general!H7</f>
        <v>0</v>
      </c>
      <c r="K7" s="261">
        <f>[2]transit_general!I7</f>
        <v>0</v>
      </c>
      <c r="L7" s="261">
        <f>[2]transit_general!J7</f>
        <v>0</v>
      </c>
      <c r="M7" s="261">
        <f>[2]transit_general!K7</f>
        <v>0</v>
      </c>
      <c r="N7" s="261">
        <f>[2]transit_general!L7</f>
        <v>0</v>
      </c>
      <c r="O7" s="261">
        <f>[2]transit_general!M7</f>
        <v>0</v>
      </c>
      <c r="Q7" s="5"/>
      <c r="R7" s="5" t="str">
        <f>md[[#This Row],[route]]&amp;"-"&amp;md[[#This Row],[mode_transit_route_id]]</f>
        <v>120-28</v>
      </c>
      <c r="S7" s="5">
        <f>Table_socioeca8.sandag.org_abm2_trb[[#This Row],[route]]</f>
        <v>120</v>
      </c>
      <c r="T7" s="2">
        <f>Table_socioeca8.sandag.org_abm2_trb[[#This Row],[mode_transit_route_id]]</f>
        <v>28</v>
      </c>
      <c r="U7" s="344">
        <f>Table_socioeca8.sandag.org_abm2_trb[[#This Row],[boarding_EA]]</f>
        <v>0</v>
      </c>
      <c r="V7" s="344">
        <f>Table_socioeca8.sandag.org_abm2_trb[[#This Row],[boarding_AM]]</f>
        <v>0</v>
      </c>
      <c r="W7" s="344">
        <f>Table_socioeca8.sandag.org_abm2_trb[[#This Row],[boarding_MD]]</f>
        <v>0</v>
      </c>
      <c r="X7" s="344">
        <f>Table_socioeca8.sandag.org_abm2_trb[[#This Row],[boarding_PM]]</f>
        <v>0</v>
      </c>
      <c r="Y7" s="344">
        <f>Table_socioeca8.sandag.org_abm2_trb[[#This Row],[boarding_EV]]</f>
        <v>0</v>
      </c>
      <c r="Z7" s="3">
        <f>Table_socioeca8.sandag.org_abm2_trb[[#This Row],[passenger_mile_EA]]</f>
        <v>0</v>
      </c>
      <c r="AA7" s="3">
        <f>Table_socioeca8.sandag.org_abm2_trb[[#This Row],[passenger_mile_AM]]</f>
        <v>0</v>
      </c>
      <c r="AB7" s="3">
        <f>Table_socioeca8.sandag.org_abm2_trb[[#This Row],[passenger_mile_MD]]</f>
        <v>0</v>
      </c>
      <c r="AC7" s="3">
        <f>Table_socioeca8.sandag.org_abm2_trb[[#This Row],[passenger_mile_PM]]</f>
        <v>0</v>
      </c>
      <c r="AD7" s="3">
        <f>Table_socioeca8.sandag.org_abm2_trb[[#This Row],[passenger_mile_EV]]</f>
        <v>0</v>
      </c>
      <c r="AE7" s="5">
        <f>Table_socioeca8.sandag.org_abm2_trb[[#This Row],[mode_transit_route_id]]</f>
        <v>28</v>
      </c>
      <c r="AF7"/>
      <c r="AG7"/>
    </row>
    <row r="8" spans="1:33" x14ac:dyDescent="0.3">
      <c r="A8" s="5"/>
      <c r="B8" s="5"/>
      <c r="D8" s="47">
        <f>[2]transit_general!B8</f>
        <v>13</v>
      </c>
      <c r="E8" s="261">
        <f>[2]transit_general!C8</f>
        <v>29</v>
      </c>
      <c r="F8" s="357">
        <f>[2]transit_general!D8</f>
        <v>0</v>
      </c>
      <c r="G8" s="357">
        <f>[2]transit_general!E8</f>
        <v>0</v>
      </c>
      <c r="H8" s="357">
        <f>[2]transit_general!F8</f>
        <v>0</v>
      </c>
      <c r="I8" s="357">
        <f>[2]transit_general!G8</f>
        <v>0</v>
      </c>
      <c r="J8" s="357">
        <f>[2]transit_general!H8</f>
        <v>0</v>
      </c>
      <c r="K8" s="261">
        <f>[2]transit_general!I8</f>
        <v>0</v>
      </c>
      <c r="L8" s="261">
        <f>[2]transit_general!J8</f>
        <v>0</v>
      </c>
      <c r="M8" s="261">
        <f>[2]transit_general!K8</f>
        <v>0</v>
      </c>
      <c r="N8" s="261">
        <f>[2]transit_general!L8</f>
        <v>0</v>
      </c>
      <c r="O8" s="261">
        <f>[2]transit_general!M8</f>
        <v>0</v>
      </c>
      <c r="Q8" s="5"/>
      <c r="R8" s="5" t="str">
        <f>md[[#This Row],[route]]&amp;"-"&amp;md[[#This Row],[mode_transit_route_id]]</f>
        <v>13-29</v>
      </c>
      <c r="S8" s="5">
        <f>Table_socioeca8.sandag.org_abm2_trb[[#This Row],[route]]</f>
        <v>13</v>
      </c>
      <c r="T8" s="2">
        <f>Table_socioeca8.sandag.org_abm2_trb[[#This Row],[mode_transit_route_id]]</f>
        <v>29</v>
      </c>
      <c r="U8" s="344">
        <f>Table_socioeca8.sandag.org_abm2_trb[[#This Row],[boarding_EA]]</f>
        <v>0</v>
      </c>
      <c r="V8" s="344">
        <f>Table_socioeca8.sandag.org_abm2_trb[[#This Row],[boarding_AM]]</f>
        <v>0</v>
      </c>
      <c r="W8" s="344">
        <f>Table_socioeca8.sandag.org_abm2_trb[[#This Row],[boarding_MD]]</f>
        <v>0</v>
      </c>
      <c r="X8" s="344">
        <f>Table_socioeca8.sandag.org_abm2_trb[[#This Row],[boarding_PM]]</f>
        <v>0</v>
      </c>
      <c r="Y8" s="344">
        <f>Table_socioeca8.sandag.org_abm2_trb[[#This Row],[boarding_EV]]</f>
        <v>0</v>
      </c>
      <c r="Z8" s="3">
        <f>Table_socioeca8.sandag.org_abm2_trb[[#This Row],[passenger_mile_EA]]</f>
        <v>0</v>
      </c>
      <c r="AA8" s="3">
        <f>Table_socioeca8.sandag.org_abm2_trb[[#This Row],[passenger_mile_AM]]</f>
        <v>0</v>
      </c>
      <c r="AB8" s="3">
        <f>Table_socioeca8.sandag.org_abm2_trb[[#This Row],[passenger_mile_MD]]</f>
        <v>0</v>
      </c>
      <c r="AC8" s="3">
        <f>Table_socioeca8.sandag.org_abm2_trb[[#This Row],[passenger_mile_PM]]</f>
        <v>0</v>
      </c>
      <c r="AD8" s="3">
        <f>Table_socioeca8.sandag.org_abm2_trb[[#This Row],[passenger_mile_EV]]</f>
        <v>0</v>
      </c>
      <c r="AE8" s="5">
        <f>Table_socioeca8.sandag.org_abm2_trb[[#This Row],[mode_transit_route_id]]</f>
        <v>29</v>
      </c>
      <c r="AF8"/>
      <c r="AG8"/>
    </row>
    <row r="9" spans="1:33" x14ac:dyDescent="0.3">
      <c r="A9" s="5"/>
      <c r="B9" s="5"/>
      <c r="D9" s="47">
        <f>[2]transit_general!B9</f>
        <v>14</v>
      </c>
      <c r="E9" s="261">
        <f>[2]transit_general!C9</f>
        <v>29</v>
      </c>
      <c r="F9" s="357">
        <f>[2]transit_general!D9</f>
        <v>0</v>
      </c>
      <c r="G9" s="357">
        <f>[2]transit_general!E9</f>
        <v>0</v>
      </c>
      <c r="H9" s="357">
        <f>[2]transit_general!F9</f>
        <v>0</v>
      </c>
      <c r="I9" s="357">
        <f>[2]transit_general!G9</f>
        <v>0</v>
      </c>
      <c r="J9" s="357">
        <f>[2]transit_general!H9</f>
        <v>0</v>
      </c>
      <c r="K9" s="261">
        <f>[2]transit_general!I9</f>
        <v>0</v>
      </c>
      <c r="L9" s="261">
        <f>[2]transit_general!J9</f>
        <v>0</v>
      </c>
      <c r="M9" s="261">
        <f>[2]transit_general!K9</f>
        <v>0</v>
      </c>
      <c r="N9" s="261">
        <f>[2]transit_general!L9</f>
        <v>0</v>
      </c>
      <c r="O9" s="261">
        <f>[2]transit_general!M9</f>
        <v>0</v>
      </c>
      <c r="Q9" s="5"/>
      <c r="R9" s="5" t="str">
        <f>md[[#This Row],[route]]&amp;"-"&amp;md[[#This Row],[mode_transit_route_id]]</f>
        <v>14-29</v>
      </c>
      <c r="S9" s="5">
        <f>Table_socioeca8.sandag.org_abm2_trb[[#This Row],[route]]</f>
        <v>14</v>
      </c>
      <c r="T9" s="2">
        <f>Table_socioeca8.sandag.org_abm2_trb[[#This Row],[mode_transit_route_id]]</f>
        <v>29</v>
      </c>
      <c r="U9" s="344">
        <f>Table_socioeca8.sandag.org_abm2_trb[[#This Row],[boarding_EA]]</f>
        <v>0</v>
      </c>
      <c r="V9" s="344">
        <f>Table_socioeca8.sandag.org_abm2_trb[[#This Row],[boarding_AM]]</f>
        <v>0</v>
      </c>
      <c r="W9" s="344">
        <f>Table_socioeca8.sandag.org_abm2_trb[[#This Row],[boarding_MD]]</f>
        <v>0</v>
      </c>
      <c r="X9" s="344">
        <f>Table_socioeca8.sandag.org_abm2_trb[[#This Row],[boarding_PM]]</f>
        <v>0</v>
      </c>
      <c r="Y9" s="344">
        <f>Table_socioeca8.sandag.org_abm2_trb[[#This Row],[boarding_EV]]</f>
        <v>0</v>
      </c>
      <c r="Z9" s="3">
        <f>Table_socioeca8.sandag.org_abm2_trb[[#This Row],[passenger_mile_EA]]</f>
        <v>0</v>
      </c>
      <c r="AA9" s="3">
        <f>Table_socioeca8.sandag.org_abm2_trb[[#This Row],[passenger_mile_AM]]</f>
        <v>0</v>
      </c>
      <c r="AB9" s="3">
        <f>Table_socioeca8.sandag.org_abm2_trb[[#This Row],[passenger_mile_MD]]</f>
        <v>0</v>
      </c>
      <c r="AC9" s="3">
        <f>Table_socioeca8.sandag.org_abm2_trb[[#This Row],[passenger_mile_PM]]</f>
        <v>0</v>
      </c>
      <c r="AD9" s="3">
        <f>Table_socioeca8.sandag.org_abm2_trb[[#This Row],[passenger_mile_EV]]</f>
        <v>0</v>
      </c>
      <c r="AE9" s="5">
        <f>Table_socioeca8.sandag.org_abm2_trb[[#This Row],[mode_transit_route_id]]</f>
        <v>29</v>
      </c>
      <c r="AF9"/>
      <c r="AG9"/>
    </row>
    <row r="10" spans="1:33" x14ac:dyDescent="0.3">
      <c r="A10" s="6"/>
      <c r="B10" s="5"/>
      <c r="D10" s="47">
        <f>[2]transit_general!B10</f>
        <v>150</v>
      </c>
      <c r="E10" s="261">
        <f>[2]transit_general!C10</f>
        <v>28</v>
      </c>
      <c r="F10" s="357">
        <f>[2]transit_general!D10</f>
        <v>0</v>
      </c>
      <c r="G10" s="357">
        <f>[2]transit_general!E10</f>
        <v>0</v>
      </c>
      <c r="H10" s="357">
        <f>[2]transit_general!F10</f>
        <v>0</v>
      </c>
      <c r="I10" s="357">
        <f>[2]transit_general!G10</f>
        <v>0</v>
      </c>
      <c r="J10" s="357">
        <f>[2]transit_general!H10</f>
        <v>0</v>
      </c>
      <c r="K10" s="261">
        <f>[2]transit_general!I10</f>
        <v>0</v>
      </c>
      <c r="L10" s="261">
        <f>[2]transit_general!J10</f>
        <v>0</v>
      </c>
      <c r="M10" s="261">
        <f>[2]transit_general!K10</f>
        <v>0</v>
      </c>
      <c r="N10" s="261">
        <f>[2]transit_general!L10</f>
        <v>0</v>
      </c>
      <c r="O10" s="261">
        <f>[2]transit_general!M10</f>
        <v>0</v>
      </c>
      <c r="Q10" s="5"/>
      <c r="R10" s="5" t="str">
        <f>md[[#This Row],[route]]&amp;"-"&amp;md[[#This Row],[mode_transit_route_id]]</f>
        <v>150-28</v>
      </c>
      <c r="S10" s="5">
        <f>Table_socioeca8.sandag.org_abm2_trb[[#This Row],[route]]</f>
        <v>150</v>
      </c>
      <c r="T10" s="2">
        <f>Table_socioeca8.sandag.org_abm2_trb[[#This Row],[mode_transit_route_id]]</f>
        <v>28</v>
      </c>
      <c r="U10" s="344">
        <f>Table_socioeca8.sandag.org_abm2_trb[[#This Row],[boarding_EA]]</f>
        <v>0</v>
      </c>
      <c r="V10" s="344">
        <f>Table_socioeca8.sandag.org_abm2_trb[[#This Row],[boarding_AM]]</f>
        <v>0</v>
      </c>
      <c r="W10" s="344">
        <f>Table_socioeca8.sandag.org_abm2_trb[[#This Row],[boarding_MD]]</f>
        <v>0</v>
      </c>
      <c r="X10" s="344">
        <f>Table_socioeca8.sandag.org_abm2_trb[[#This Row],[boarding_PM]]</f>
        <v>0</v>
      </c>
      <c r="Y10" s="344">
        <f>Table_socioeca8.sandag.org_abm2_trb[[#This Row],[boarding_EV]]</f>
        <v>0</v>
      </c>
      <c r="Z10" s="3">
        <f>Table_socioeca8.sandag.org_abm2_trb[[#This Row],[passenger_mile_EA]]</f>
        <v>0</v>
      </c>
      <c r="AA10" s="3">
        <f>Table_socioeca8.sandag.org_abm2_trb[[#This Row],[passenger_mile_AM]]</f>
        <v>0</v>
      </c>
      <c r="AB10" s="3">
        <f>Table_socioeca8.sandag.org_abm2_trb[[#This Row],[passenger_mile_MD]]</f>
        <v>0</v>
      </c>
      <c r="AC10" s="3">
        <f>Table_socioeca8.sandag.org_abm2_trb[[#This Row],[passenger_mile_PM]]</f>
        <v>0</v>
      </c>
      <c r="AD10" s="3">
        <f>Table_socioeca8.sandag.org_abm2_trb[[#This Row],[passenger_mile_EV]]</f>
        <v>0</v>
      </c>
      <c r="AE10" s="5">
        <f>Table_socioeca8.sandag.org_abm2_trb[[#This Row],[mode_transit_route_id]]</f>
        <v>28</v>
      </c>
      <c r="AF10"/>
      <c r="AG10"/>
    </row>
    <row r="11" spans="1:33" x14ac:dyDescent="0.3">
      <c r="A11" s="5" t="s">
        <v>87</v>
      </c>
      <c r="B11" s="260" t="s">
        <v>139</v>
      </c>
      <c r="D11" s="47">
        <f>[2]transit_general!B11</f>
        <v>18</v>
      </c>
      <c r="E11" s="261">
        <f>[2]transit_general!C11</f>
        <v>29</v>
      </c>
      <c r="F11" s="357">
        <f>[2]transit_general!D11</f>
        <v>0</v>
      </c>
      <c r="G11" s="357">
        <f>[2]transit_general!E11</f>
        <v>0</v>
      </c>
      <c r="H11" s="357">
        <f>[2]transit_general!F11</f>
        <v>0</v>
      </c>
      <c r="I11" s="357">
        <f>[2]transit_general!G11</f>
        <v>0</v>
      </c>
      <c r="J11" s="357">
        <f>[2]transit_general!H11</f>
        <v>0</v>
      </c>
      <c r="K11" s="261">
        <f>[2]transit_general!I11</f>
        <v>0</v>
      </c>
      <c r="L11" s="261">
        <f>[2]transit_general!J11</f>
        <v>0</v>
      </c>
      <c r="M11" s="261">
        <f>[2]transit_general!K11</f>
        <v>0</v>
      </c>
      <c r="N11" s="261">
        <f>[2]transit_general!L11</f>
        <v>0</v>
      </c>
      <c r="O11" s="261">
        <f>[2]transit_general!M11</f>
        <v>0</v>
      </c>
      <c r="Q11" s="5"/>
      <c r="R11" s="5" t="str">
        <f>md[[#This Row],[route]]&amp;"-"&amp;md[[#This Row],[mode_transit_route_id]]</f>
        <v>18-29</v>
      </c>
      <c r="S11" s="5">
        <f>Table_socioeca8.sandag.org_abm2_trb[[#This Row],[route]]</f>
        <v>18</v>
      </c>
      <c r="T11" s="2">
        <f>Table_socioeca8.sandag.org_abm2_trb[[#This Row],[mode_transit_route_id]]</f>
        <v>29</v>
      </c>
      <c r="U11" s="344">
        <f>Table_socioeca8.sandag.org_abm2_trb[[#This Row],[boarding_EA]]</f>
        <v>0</v>
      </c>
      <c r="V11" s="344">
        <f>Table_socioeca8.sandag.org_abm2_trb[[#This Row],[boarding_AM]]</f>
        <v>0</v>
      </c>
      <c r="W11" s="344">
        <f>Table_socioeca8.sandag.org_abm2_trb[[#This Row],[boarding_MD]]</f>
        <v>0</v>
      </c>
      <c r="X11" s="344">
        <f>Table_socioeca8.sandag.org_abm2_trb[[#This Row],[boarding_PM]]</f>
        <v>0</v>
      </c>
      <c r="Y11" s="344">
        <f>Table_socioeca8.sandag.org_abm2_trb[[#This Row],[boarding_EV]]</f>
        <v>0</v>
      </c>
      <c r="Z11" s="3">
        <f>Table_socioeca8.sandag.org_abm2_trb[[#This Row],[passenger_mile_EA]]</f>
        <v>0</v>
      </c>
      <c r="AA11" s="3">
        <f>Table_socioeca8.sandag.org_abm2_trb[[#This Row],[passenger_mile_AM]]</f>
        <v>0</v>
      </c>
      <c r="AB11" s="3">
        <f>Table_socioeca8.sandag.org_abm2_trb[[#This Row],[passenger_mile_MD]]</f>
        <v>0</v>
      </c>
      <c r="AC11" s="3">
        <f>Table_socioeca8.sandag.org_abm2_trb[[#This Row],[passenger_mile_PM]]</f>
        <v>0</v>
      </c>
      <c r="AD11" s="3">
        <f>Table_socioeca8.sandag.org_abm2_trb[[#This Row],[passenger_mile_EV]]</f>
        <v>0</v>
      </c>
      <c r="AE11" s="5">
        <f>Table_socioeca8.sandag.org_abm2_trb[[#This Row],[mode_transit_route_id]]</f>
        <v>29</v>
      </c>
      <c r="AF11"/>
      <c r="AG11"/>
    </row>
    <row r="12" spans="1:33" x14ac:dyDescent="0.3">
      <c r="D12" s="47">
        <f>[2]transit_general!B12</f>
        <v>1</v>
      </c>
      <c r="E12" s="261">
        <f>[2]transit_general!C12</f>
        <v>29</v>
      </c>
      <c r="F12" s="357">
        <f>[2]transit_general!D12</f>
        <v>0</v>
      </c>
      <c r="G12" s="357">
        <f>[2]transit_general!E12</f>
        <v>0</v>
      </c>
      <c r="H12" s="357">
        <f>[2]transit_general!F12</f>
        <v>0</v>
      </c>
      <c r="I12" s="357">
        <f>[2]transit_general!G12</f>
        <v>0</v>
      </c>
      <c r="J12" s="357">
        <f>[2]transit_general!H12</f>
        <v>0</v>
      </c>
      <c r="K12" s="261">
        <f>[2]transit_general!I12</f>
        <v>0</v>
      </c>
      <c r="L12" s="261">
        <f>[2]transit_general!J12</f>
        <v>0</v>
      </c>
      <c r="M12" s="261">
        <f>[2]transit_general!K12</f>
        <v>0</v>
      </c>
      <c r="N12" s="261">
        <f>[2]transit_general!L12</f>
        <v>0</v>
      </c>
      <c r="O12" s="261">
        <f>[2]transit_general!M12</f>
        <v>0</v>
      </c>
      <c r="Q12" s="5"/>
      <c r="R12" s="5" t="str">
        <f>md[[#This Row],[route]]&amp;"-"&amp;md[[#This Row],[mode_transit_route_id]]</f>
        <v>1-29</v>
      </c>
      <c r="S12" s="5">
        <f>Table_socioeca8.sandag.org_abm2_trb[[#This Row],[route]]</f>
        <v>1</v>
      </c>
      <c r="T12" s="2">
        <f>Table_socioeca8.sandag.org_abm2_trb[[#This Row],[mode_transit_route_id]]</f>
        <v>29</v>
      </c>
      <c r="U12" s="344">
        <f>Table_socioeca8.sandag.org_abm2_trb[[#This Row],[boarding_EA]]</f>
        <v>0</v>
      </c>
      <c r="V12" s="344">
        <f>Table_socioeca8.sandag.org_abm2_trb[[#This Row],[boarding_AM]]</f>
        <v>0</v>
      </c>
      <c r="W12" s="344">
        <f>Table_socioeca8.sandag.org_abm2_trb[[#This Row],[boarding_MD]]</f>
        <v>0</v>
      </c>
      <c r="X12" s="344">
        <f>Table_socioeca8.sandag.org_abm2_trb[[#This Row],[boarding_PM]]</f>
        <v>0</v>
      </c>
      <c r="Y12" s="344">
        <f>Table_socioeca8.sandag.org_abm2_trb[[#This Row],[boarding_EV]]</f>
        <v>0</v>
      </c>
      <c r="Z12" s="3">
        <f>Table_socioeca8.sandag.org_abm2_trb[[#This Row],[passenger_mile_EA]]</f>
        <v>0</v>
      </c>
      <c r="AA12" s="3">
        <f>Table_socioeca8.sandag.org_abm2_trb[[#This Row],[passenger_mile_AM]]</f>
        <v>0</v>
      </c>
      <c r="AB12" s="3">
        <f>Table_socioeca8.sandag.org_abm2_trb[[#This Row],[passenger_mile_MD]]</f>
        <v>0</v>
      </c>
      <c r="AC12" s="3">
        <f>Table_socioeca8.sandag.org_abm2_trb[[#This Row],[passenger_mile_PM]]</f>
        <v>0</v>
      </c>
      <c r="AD12" s="3">
        <f>Table_socioeca8.sandag.org_abm2_trb[[#This Row],[passenger_mile_EV]]</f>
        <v>0</v>
      </c>
      <c r="AE12" s="5">
        <f>Table_socioeca8.sandag.org_abm2_trb[[#This Row],[mode_transit_route_id]]</f>
        <v>29</v>
      </c>
      <c r="AF12"/>
      <c r="AG12"/>
    </row>
    <row r="13" spans="1:33" x14ac:dyDescent="0.3">
      <c r="D13" s="47">
        <f>[2]transit_general!B13</f>
        <v>201</v>
      </c>
      <c r="E13" s="261">
        <f>[2]transit_general!C13</f>
        <v>26</v>
      </c>
      <c r="F13" s="357">
        <f>[2]transit_general!D13</f>
        <v>0</v>
      </c>
      <c r="G13" s="357">
        <f>[2]transit_general!E13</f>
        <v>0</v>
      </c>
      <c r="H13" s="357">
        <f>[2]transit_general!F13</f>
        <v>0</v>
      </c>
      <c r="I13" s="357">
        <f>[2]transit_general!G13</f>
        <v>0</v>
      </c>
      <c r="J13" s="357">
        <f>[2]transit_general!H13</f>
        <v>0</v>
      </c>
      <c r="K13" s="261">
        <f>[2]transit_general!I13</f>
        <v>0</v>
      </c>
      <c r="L13" s="261">
        <f>[2]transit_general!J13</f>
        <v>0</v>
      </c>
      <c r="M13" s="261">
        <f>[2]transit_general!K13</f>
        <v>0</v>
      </c>
      <c r="N13" s="261">
        <f>[2]transit_general!L13</f>
        <v>0</v>
      </c>
      <c r="O13" s="261">
        <f>[2]transit_general!M13</f>
        <v>0</v>
      </c>
      <c r="Q13" s="5"/>
      <c r="R13" s="5" t="str">
        <f>md[[#This Row],[route]]&amp;"-"&amp;md[[#This Row],[mode_transit_route_id]]</f>
        <v>201-26</v>
      </c>
      <c r="S13" s="5">
        <f>Table_socioeca8.sandag.org_abm2_trb[[#This Row],[route]]</f>
        <v>201</v>
      </c>
      <c r="T13" s="2">
        <f>Table_socioeca8.sandag.org_abm2_trb[[#This Row],[mode_transit_route_id]]</f>
        <v>26</v>
      </c>
      <c r="U13" s="344">
        <f>Table_socioeca8.sandag.org_abm2_trb[[#This Row],[boarding_EA]]</f>
        <v>0</v>
      </c>
      <c r="V13" s="344">
        <f>Table_socioeca8.sandag.org_abm2_trb[[#This Row],[boarding_AM]]</f>
        <v>0</v>
      </c>
      <c r="W13" s="344">
        <f>Table_socioeca8.sandag.org_abm2_trb[[#This Row],[boarding_MD]]</f>
        <v>0</v>
      </c>
      <c r="X13" s="344">
        <f>Table_socioeca8.sandag.org_abm2_trb[[#This Row],[boarding_PM]]</f>
        <v>0</v>
      </c>
      <c r="Y13" s="344">
        <f>Table_socioeca8.sandag.org_abm2_trb[[#This Row],[boarding_EV]]</f>
        <v>0</v>
      </c>
      <c r="Z13" s="3">
        <f>Table_socioeca8.sandag.org_abm2_trb[[#This Row],[passenger_mile_EA]]</f>
        <v>0</v>
      </c>
      <c r="AA13" s="3">
        <f>Table_socioeca8.sandag.org_abm2_trb[[#This Row],[passenger_mile_AM]]</f>
        <v>0</v>
      </c>
      <c r="AB13" s="3">
        <f>Table_socioeca8.sandag.org_abm2_trb[[#This Row],[passenger_mile_MD]]</f>
        <v>0</v>
      </c>
      <c r="AC13" s="3">
        <f>Table_socioeca8.sandag.org_abm2_trb[[#This Row],[passenger_mile_PM]]</f>
        <v>0</v>
      </c>
      <c r="AD13" s="3">
        <f>Table_socioeca8.sandag.org_abm2_trb[[#This Row],[passenger_mile_EV]]</f>
        <v>0</v>
      </c>
      <c r="AE13" s="5">
        <f>Table_socioeca8.sandag.org_abm2_trb[[#This Row],[mode_transit_route_id]]</f>
        <v>26</v>
      </c>
      <c r="AF13"/>
      <c r="AG13"/>
    </row>
    <row r="14" spans="1:33" x14ac:dyDescent="0.3">
      <c r="D14" s="47">
        <f>[2]transit_general!B14</f>
        <v>202</v>
      </c>
      <c r="E14" s="261">
        <f>[2]transit_general!C14</f>
        <v>26</v>
      </c>
      <c r="F14" s="357">
        <f>[2]transit_general!D14</f>
        <v>0</v>
      </c>
      <c r="G14" s="357">
        <f>[2]transit_general!E14</f>
        <v>0</v>
      </c>
      <c r="H14" s="357">
        <f>[2]transit_general!F14</f>
        <v>0</v>
      </c>
      <c r="I14" s="357">
        <f>[2]transit_general!G14</f>
        <v>0</v>
      </c>
      <c r="J14" s="357">
        <f>[2]transit_general!H14</f>
        <v>0</v>
      </c>
      <c r="K14" s="261">
        <f>[2]transit_general!I14</f>
        <v>0</v>
      </c>
      <c r="L14" s="261">
        <f>[2]transit_general!J14</f>
        <v>0</v>
      </c>
      <c r="M14" s="261">
        <f>[2]transit_general!K14</f>
        <v>0</v>
      </c>
      <c r="N14" s="261">
        <f>[2]transit_general!L14</f>
        <v>0</v>
      </c>
      <c r="O14" s="261">
        <f>[2]transit_general!M14</f>
        <v>0</v>
      </c>
      <c r="Q14" s="5"/>
      <c r="R14" s="5" t="str">
        <f>md[[#This Row],[route]]&amp;"-"&amp;md[[#This Row],[mode_transit_route_id]]</f>
        <v>202-26</v>
      </c>
      <c r="S14" s="5">
        <f>Table_socioeca8.sandag.org_abm2_trb[[#This Row],[route]]</f>
        <v>202</v>
      </c>
      <c r="T14" s="2">
        <f>Table_socioeca8.sandag.org_abm2_trb[[#This Row],[mode_transit_route_id]]</f>
        <v>26</v>
      </c>
      <c r="U14" s="344">
        <f>Table_socioeca8.sandag.org_abm2_trb[[#This Row],[boarding_EA]]</f>
        <v>0</v>
      </c>
      <c r="V14" s="344">
        <f>Table_socioeca8.sandag.org_abm2_trb[[#This Row],[boarding_AM]]</f>
        <v>0</v>
      </c>
      <c r="W14" s="344">
        <f>Table_socioeca8.sandag.org_abm2_trb[[#This Row],[boarding_MD]]</f>
        <v>0</v>
      </c>
      <c r="X14" s="344">
        <f>Table_socioeca8.sandag.org_abm2_trb[[#This Row],[boarding_PM]]</f>
        <v>0</v>
      </c>
      <c r="Y14" s="344">
        <f>Table_socioeca8.sandag.org_abm2_trb[[#This Row],[boarding_EV]]</f>
        <v>0</v>
      </c>
      <c r="Z14" s="3">
        <f>Table_socioeca8.sandag.org_abm2_trb[[#This Row],[passenger_mile_EA]]</f>
        <v>0</v>
      </c>
      <c r="AA14" s="3">
        <f>Table_socioeca8.sandag.org_abm2_trb[[#This Row],[passenger_mile_AM]]</f>
        <v>0</v>
      </c>
      <c r="AB14" s="3">
        <f>Table_socioeca8.sandag.org_abm2_trb[[#This Row],[passenger_mile_MD]]</f>
        <v>0</v>
      </c>
      <c r="AC14" s="3">
        <f>Table_socioeca8.sandag.org_abm2_trb[[#This Row],[passenger_mile_PM]]</f>
        <v>0</v>
      </c>
      <c r="AD14" s="3">
        <f>Table_socioeca8.sandag.org_abm2_trb[[#This Row],[passenger_mile_EV]]</f>
        <v>0</v>
      </c>
      <c r="AE14" s="5">
        <f>Table_socioeca8.sandag.org_abm2_trb[[#This Row],[mode_transit_route_id]]</f>
        <v>26</v>
      </c>
      <c r="AF14"/>
      <c r="AG14"/>
    </row>
    <row r="15" spans="1:33" x14ac:dyDescent="0.3">
      <c r="D15" s="47">
        <f>[2]transit_general!B15</f>
        <v>204</v>
      </c>
      <c r="E15" s="261">
        <f>[2]transit_general!C15</f>
        <v>26</v>
      </c>
      <c r="F15" s="357">
        <f>[2]transit_general!D15</f>
        <v>0</v>
      </c>
      <c r="G15" s="357">
        <f>[2]transit_general!E15</f>
        <v>0</v>
      </c>
      <c r="H15" s="357">
        <f>[2]transit_general!F15</f>
        <v>0</v>
      </c>
      <c r="I15" s="357">
        <f>[2]transit_general!G15</f>
        <v>0</v>
      </c>
      <c r="J15" s="357">
        <f>[2]transit_general!H15</f>
        <v>0</v>
      </c>
      <c r="K15" s="261">
        <f>[2]transit_general!I15</f>
        <v>0</v>
      </c>
      <c r="L15" s="261">
        <f>[2]transit_general!J15</f>
        <v>0</v>
      </c>
      <c r="M15" s="261">
        <f>[2]transit_general!K15</f>
        <v>0</v>
      </c>
      <c r="N15" s="261">
        <f>[2]transit_general!L15</f>
        <v>0</v>
      </c>
      <c r="O15" s="261">
        <f>[2]transit_general!M15</f>
        <v>0</v>
      </c>
      <c r="Q15" s="5"/>
      <c r="R15" s="5" t="str">
        <f>md[[#This Row],[route]]&amp;"-"&amp;md[[#This Row],[mode_transit_route_id]]</f>
        <v>204-26</v>
      </c>
      <c r="S15" s="5">
        <f>Table_socioeca8.sandag.org_abm2_trb[[#This Row],[route]]</f>
        <v>204</v>
      </c>
      <c r="T15" s="2">
        <f>Table_socioeca8.sandag.org_abm2_trb[[#This Row],[mode_transit_route_id]]</f>
        <v>26</v>
      </c>
      <c r="U15" s="344">
        <f>Table_socioeca8.sandag.org_abm2_trb[[#This Row],[boarding_EA]]</f>
        <v>0</v>
      </c>
      <c r="V15" s="344">
        <f>Table_socioeca8.sandag.org_abm2_trb[[#This Row],[boarding_AM]]</f>
        <v>0</v>
      </c>
      <c r="W15" s="344">
        <f>Table_socioeca8.sandag.org_abm2_trb[[#This Row],[boarding_MD]]</f>
        <v>0</v>
      </c>
      <c r="X15" s="344">
        <f>Table_socioeca8.sandag.org_abm2_trb[[#This Row],[boarding_PM]]</f>
        <v>0</v>
      </c>
      <c r="Y15" s="344">
        <f>Table_socioeca8.sandag.org_abm2_trb[[#This Row],[boarding_EV]]</f>
        <v>0</v>
      </c>
      <c r="Z15" s="3">
        <f>Table_socioeca8.sandag.org_abm2_trb[[#This Row],[passenger_mile_EA]]</f>
        <v>0</v>
      </c>
      <c r="AA15" s="3">
        <f>Table_socioeca8.sandag.org_abm2_trb[[#This Row],[passenger_mile_AM]]</f>
        <v>0</v>
      </c>
      <c r="AB15" s="3">
        <f>Table_socioeca8.sandag.org_abm2_trb[[#This Row],[passenger_mile_MD]]</f>
        <v>0</v>
      </c>
      <c r="AC15" s="3">
        <f>Table_socioeca8.sandag.org_abm2_trb[[#This Row],[passenger_mile_PM]]</f>
        <v>0</v>
      </c>
      <c r="AD15" s="3">
        <f>Table_socioeca8.sandag.org_abm2_trb[[#This Row],[passenger_mile_EV]]</f>
        <v>0</v>
      </c>
      <c r="AE15" s="5">
        <f>Table_socioeca8.sandag.org_abm2_trb[[#This Row],[mode_transit_route_id]]</f>
        <v>26</v>
      </c>
      <c r="AF15"/>
      <c r="AG15"/>
    </row>
    <row r="16" spans="1:33" x14ac:dyDescent="0.3">
      <c r="D16" s="47">
        <f>[2]transit_general!B16</f>
        <v>20</v>
      </c>
      <c r="E16" s="261">
        <f>[2]transit_general!C16</f>
        <v>28</v>
      </c>
      <c r="F16" s="357">
        <f>[2]transit_general!D16</f>
        <v>0</v>
      </c>
      <c r="G16" s="357">
        <f>[2]transit_general!E16</f>
        <v>0</v>
      </c>
      <c r="H16" s="357">
        <f>[2]transit_general!F16</f>
        <v>0</v>
      </c>
      <c r="I16" s="357">
        <f>[2]transit_general!G16</f>
        <v>0</v>
      </c>
      <c r="J16" s="357">
        <f>[2]transit_general!H16</f>
        <v>0</v>
      </c>
      <c r="K16" s="261">
        <f>[2]transit_general!I16</f>
        <v>0</v>
      </c>
      <c r="L16" s="261">
        <f>[2]transit_general!J16</f>
        <v>0</v>
      </c>
      <c r="M16" s="261">
        <f>[2]transit_general!K16</f>
        <v>0</v>
      </c>
      <c r="N16" s="261">
        <f>[2]transit_general!L16</f>
        <v>0</v>
      </c>
      <c r="O16" s="261">
        <f>[2]transit_general!M16</f>
        <v>0</v>
      </c>
      <c r="Q16" s="5"/>
      <c r="R16" s="5" t="str">
        <f>md[[#This Row],[route]]&amp;"-"&amp;md[[#This Row],[mode_transit_route_id]]</f>
        <v>20-28</v>
      </c>
      <c r="S16" s="5">
        <f>Table_socioeca8.sandag.org_abm2_trb[[#This Row],[route]]</f>
        <v>20</v>
      </c>
      <c r="T16" s="2">
        <f>Table_socioeca8.sandag.org_abm2_trb[[#This Row],[mode_transit_route_id]]</f>
        <v>28</v>
      </c>
      <c r="U16" s="344">
        <f>Table_socioeca8.sandag.org_abm2_trb[[#This Row],[boarding_EA]]</f>
        <v>0</v>
      </c>
      <c r="V16" s="344">
        <f>Table_socioeca8.sandag.org_abm2_trb[[#This Row],[boarding_AM]]</f>
        <v>0</v>
      </c>
      <c r="W16" s="344">
        <f>Table_socioeca8.sandag.org_abm2_trb[[#This Row],[boarding_MD]]</f>
        <v>0</v>
      </c>
      <c r="X16" s="344">
        <f>Table_socioeca8.sandag.org_abm2_trb[[#This Row],[boarding_PM]]</f>
        <v>0</v>
      </c>
      <c r="Y16" s="344">
        <f>Table_socioeca8.sandag.org_abm2_trb[[#This Row],[boarding_EV]]</f>
        <v>0</v>
      </c>
      <c r="Z16" s="3">
        <f>Table_socioeca8.sandag.org_abm2_trb[[#This Row],[passenger_mile_EA]]</f>
        <v>0</v>
      </c>
      <c r="AA16" s="3">
        <f>Table_socioeca8.sandag.org_abm2_trb[[#This Row],[passenger_mile_AM]]</f>
        <v>0</v>
      </c>
      <c r="AB16" s="3">
        <f>Table_socioeca8.sandag.org_abm2_trb[[#This Row],[passenger_mile_MD]]</f>
        <v>0</v>
      </c>
      <c r="AC16" s="3">
        <f>Table_socioeca8.sandag.org_abm2_trb[[#This Row],[passenger_mile_PM]]</f>
        <v>0</v>
      </c>
      <c r="AD16" s="3">
        <f>Table_socioeca8.sandag.org_abm2_trb[[#This Row],[passenger_mile_EV]]</f>
        <v>0</v>
      </c>
      <c r="AE16" s="5">
        <f>Table_socioeca8.sandag.org_abm2_trb[[#This Row],[mode_transit_route_id]]</f>
        <v>28</v>
      </c>
      <c r="AF16"/>
      <c r="AG16"/>
    </row>
    <row r="17" spans="4:33" x14ac:dyDescent="0.3">
      <c r="D17" s="47">
        <f>[2]transit_general!B17</f>
        <v>215</v>
      </c>
      <c r="E17" s="261">
        <f>[2]transit_general!C17</f>
        <v>26</v>
      </c>
      <c r="F17" s="357">
        <f>[2]transit_general!D17</f>
        <v>0</v>
      </c>
      <c r="G17" s="357">
        <f>[2]transit_general!E17</f>
        <v>0</v>
      </c>
      <c r="H17" s="357">
        <f>[2]transit_general!F17</f>
        <v>0</v>
      </c>
      <c r="I17" s="357">
        <f>[2]transit_general!G17</f>
        <v>0</v>
      </c>
      <c r="J17" s="357">
        <f>[2]transit_general!H17</f>
        <v>0</v>
      </c>
      <c r="K17" s="261">
        <f>[2]transit_general!I17</f>
        <v>0</v>
      </c>
      <c r="L17" s="261">
        <f>[2]transit_general!J17</f>
        <v>0</v>
      </c>
      <c r="M17" s="261">
        <f>[2]transit_general!K17</f>
        <v>0</v>
      </c>
      <c r="N17" s="261">
        <f>[2]transit_general!L17</f>
        <v>0</v>
      </c>
      <c r="O17" s="261">
        <f>[2]transit_general!M17</f>
        <v>0</v>
      </c>
      <c r="Q17" s="5"/>
      <c r="R17" s="5" t="str">
        <f>md[[#This Row],[route]]&amp;"-"&amp;md[[#This Row],[mode_transit_route_id]]</f>
        <v>215-26</v>
      </c>
      <c r="S17" s="5">
        <f>Table_socioeca8.sandag.org_abm2_trb[[#This Row],[route]]</f>
        <v>215</v>
      </c>
      <c r="T17" s="2">
        <f>Table_socioeca8.sandag.org_abm2_trb[[#This Row],[mode_transit_route_id]]</f>
        <v>26</v>
      </c>
      <c r="U17" s="344">
        <f>Table_socioeca8.sandag.org_abm2_trb[[#This Row],[boarding_EA]]</f>
        <v>0</v>
      </c>
      <c r="V17" s="344">
        <f>Table_socioeca8.sandag.org_abm2_trb[[#This Row],[boarding_AM]]</f>
        <v>0</v>
      </c>
      <c r="W17" s="344">
        <f>Table_socioeca8.sandag.org_abm2_trb[[#This Row],[boarding_MD]]</f>
        <v>0</v>
      </c>
      <c r="X17" s="344">
        <f>Table_socioeca8.sandag.org_abm2_trb[[#This Row],[boarding_PM]]</f>
        <v>0</v>
      </c>
      <c r="Y17" s="344">
        <f>Table_socioeca8.sandag.org_abm2_trb[[#This Row],[boarding_EV]]</f>
        <v>0</v>
      </c>
      <c r="Z17" s="3">
        <f>Table_socioeca8.sandag.org_abm2_trb[[#This Row],[passenger_mile_EA]]</f>
        <v>0</v>
      </c>
      <c r="AA17" s="3">
        <f>Table_socioeca8.sandag.org_abm2_trb[[#This Row],[passenger_mile_AM]]</f>
        <v>0</v>
      </c>
      <c r="AB17" s="3">
        <f>Table_socioeca8.sandag.org_abm2_trb[[#This Row],[passenger_mile_MD]]</f>
        <v>0</v>
      </c>
      <c r="AC17" s="3">
        <f>Table_socioeca8.sandag.org_abm2_trb[[#This Row],[passenger_mile_PM]]</f>
        <v>0</v>
      </c>
      <c r="AD17" s="3">
        <f>Table_socioeca8.sandag.org_abm2_trb[[#This Row],[passenger_mile_EV]]</f>
        <v>0</v>
      </c>
      <c r="AE17" s="5">
        <f>Table_socioeca8.sandag.org_abm2_trb[[#This Row],[mode_transit_route_id]]</f>
        <v>26</v>
      </c>
      <c r="AF17"/>
      <c r="AG17"/>
    </row>
    <row r="18" spans="4:33" x14ac:dyDescent="0.3">
      <c r="D18" s="47">
        <f>[2]transit_general!B18</f>
        <v>235</v>
      </c>
      <c r="E18" s="261">
        <f>[2]transit_general!C18</f>
        <v>25</v>
      </c>
      <c r="F18" s="357">
        <f>[2]transit_general!D18</f>
        <v>0</v>
      </c>
      <c r="G18" s="357">
        <f>[2]transit_general!E18</f>
        <v>0</v>
      </c>
      <c r="H18" s="357">
        <f>[2]transit_general!F18</f>
        <v>0</v>
      </c>
      <c r="I18" s="357">
        <f>[2]transit_general!G18</f>
        <v>0</v>
      </c>
      <c r="J18" s="357">
        <f>[2]transit_general!H18</f>
        <v>0</v>
      </c>
      <c r="K18" s="261">
        <f>[2]transit_general!I18</f>
        <v>0</v>
      </c>
      <c r="L18" s="261">
        <f>[2]transit_general!J18</f>
        <v>0</v>
      </c>
      <c r="M18" s="261">
        <f>[2]transit_general!K18</f>
        <v>0</v>
      </c>
      <c r="N18" s="261">
        <f>[2]transit_general!L18</f>
        <v>0</v>
      </c>
      <c r="O18" s="261">
        <f>[2]transit_general!M18</f>
        <v>0</v>
      </c>
      <c r="Q18" s="5"/>
      <c r="R18" s="5" t="str">
        <f>md[[#This Row],[route]]&amp;"-"&amp;md[[#This Row],[mode_transit_route_id]]</f>
        <v>235-25</v>
      </c>
      <c r="S18" s="5">
        <f>Table_socioeca8.sandag.org_abm2_trb[[#This Row],[route]]</f>
        <v>235</v>
      </c>
      <c r="T18" s="2">
        <f>Table_socioeca8.sandag.org_abm2_trb[[#This Row],[mode_transit_route_id]]</f>
        <v>25</v>
      </c>
      <c r="U18" s="344">
        <f>Table_socioeca8.sandag.org_abm2_trb[[#This Row],[boarding_EA]]</f>
        <v>0</v>
      </c>
      <c r="V18" s="344">
        <f>Table_socioeca8.sandag.org_abm2_trb[[#This Row],[boarding_AM]]</f>
        <v>0</v>
      </c>
      <c r="W18" s="344">
        <f>Table_socioeca8.sandag.org_abm2_trb[[#This Row],[boarding_MD]]</f>
        <v>0</v>
      </c>
      <c r="X18" s="344">
        <f>Table_socioeca8.sandag.org_abm2_trb[[#This Row],[boarding_PM]]</f>
        <v>0</v>
      </c>
      <c r="Y18" s="344">
        <f>Table_socioeca8.sandag.org_abm2_trb[[#This Row],[boarding_EV]]</f>
        <v>0</v>
      </c>
      <c r="Z18" s="3">
        <f>Table_socioeca8.sandag.org_abm2_trb[[#This Row],[passenger_mile_EA]]</f>
        <v>0</v>
      </c>
      <c r="AA18" s="3">
        <f>Table_socioeca8.sandag.org_abm2_trb[[#This Row],[passenger_mile_AM]]</f>
        <v>0</v>
      </c>
      <c r="AB18" s="3">
        <f>Table_socioeca8.sandag.org_abm2_trb[[#This Row],[passenger_mile_MD]]</f>
        <v>0</v>
      </c>
      <c r="AC18" s="3">
        <f>Table_socioeca8.sandag.org_abm2_trb[[#This Row],[passenger_mile_PM]]</f>
        <v>0</v>
      </c>
      <c r="AD18" s="3">
        <f>Table_socioeca8.sandag.org_abm2_trb[[#This Row],[passenger_mile_EV]]</f>
        <v>0</v>
      </c>
      <c r="AE18" s="5">
        <f>Table_socioeca8.sandag.org_abm2_trb[[#This Row],[mode_transit_route_id]]</f>
        <v>25</v>
      </c>
      <c r="AF18"/>
      <c r="AG18"/>
    </row>
    <row r="19" spans="4:33" x14ac:dyDescent="0.3">
      <c r="D19" s="47">
        <f>[2]transit_general!B19</f>
        <v>237</v>
      </c>
      <c r="E19" s="261">
        <f>[2]transit_general!C19</f>
        <v>25</v>
      </c>
      <c r="F19" s="357">
        <f>[2]transit_general!D19</f>
        <v>0</v>
      </c>
      <c r="G19" s="357">
        <f>[2]transit_general!E19</f>
        <v>0</v>
      </c>
      <c r="H19" s="357">
        <f>[2]transit_general!F19</f>
        <v>0</v>
      </c>
      <c r="I19" s="357">
        <f>[2]transit_general!G19</f>
        <v>0</v>
      </c>
      <c r="J19" s="357">
        <f>[2]transit_general!H19</f>
        <v>0</v>
      </c>
      <c r="K19" s="261">
        <f>[2]transit_general!I19</f>
        <v>0</v>
      </c>
      <c r="L19" s="261">
        <f>[2]transit_general!J19</f>
        <v>0</v>
      </c>
      <c r="M19" s="261">
        <f>[2]transit_general!K19</f>
        <v>0</v>
      </c>
      <c r="N19" s="261">
        <f>[2]transit_general!L19</f>
        <v>0</v>
      </c>
      <c r="O19" s="261">
        <f>[2]transit_general!M19</f>
        <v>0</v>
      </c>
      <c r="Q19" s="5"/>
      <c r="R19" s="5" t="str">
        <f>md[[#This Row],[route]]&amp;"-"&amp;md[[#This Row],[mode_transit_route_id]]</f>
        <v>237-25</v>
      </c>
      <c r="S19" s="5">
        <f>Table_socioeca8.sandag.org_abm2_trb[[#This Row],[route]]</f>
        <v>237</v>
      </c>
      <c r="T19" s="2">
        <f>Table_socioeca8.sandag.org_abm2_trb[[#This Row],[mode_transit_route_id]]</f>
        <v>25</v>
      </c>
      <c r="U19" s="344">
        <f>Table_socioeca8.sandag.org_abm2_trb[[#This Row],[boarding_EA]]</f>
        <v>0</v>
      </c>
      <c r="V19" s="344">
        <f>Table_socioeca8.sandag.org_abm2_trb[[#This Row],[boarding_AM]]</f>
        <v>0</v>
      </c>
      <c r="W19" s="344">
        <f>Table_socioeca8.sandag.org_abm2_trb[[#This Row],[boarding_MD]]</f>
        <v>0</v>
      </c>
      <c r="X19" s="344">
        <f>Table_socioeca8.sandag.org_abm2_trb[[#This Row],[boarding_PM]]</f>
        <v>0</v>
      </c>
      <c r="Y19" s="344">
        <f>Table_socioeca8.sandag.org_abm2_trb[[#This Row],[boarding_EV]]</f>
        <v>0</v>
      </c>
      <c r="Z19" s="3">
        <f>Table_socioeca8.sandag.org_abm2_trb[[#This Row],[passenger_mile_EA]]</f>
        <v>0</v>
      </c>
      <c r="AA19" s="3">
        <f>Table_socioeca8.sandag.org_abm2_trb[[#This Row],[passenger_mile_AM]]</f>
        <v>0</v>
      </c>
      <c r="AB19" s="3">
        <f>Table_socioeca8.sandag.org_abm2_trb[[#This Row],[passenger_mile_MD]]</f>
        <v>0</v>
      </c>
      <c r="AC19" s="3">
        <f>Table_socioeca8.sandag.org_abm2_trb[[#This Row],[passenger_mile_PM]]</f>
        <v>0</v>
      </c>
      <c r="AD19" s="3">
        <f>Table_socioeca8.sandag.org_abm2_trb[[#This Row],[passenger_mile_EV]]</f>
        <v>0</v>
      </c>
      <c r="AE19" s="5">
        <f>Table_socioeca8.sandag.org_abm2_trb[[#This Row],[mode_transit_route_id]]</f>
        <v>25</v>
      </c>
      <c r="AF19"/>
      <c r="AG19"/>
    </row>
    <row r="20" spans="4:33" x14ac:dyDescent="0.3">
      <c r="D20" s="47">
        <f>[2]transit_general!B20</f>
        <v>25</v>
      </c>
      <c r="E20" s="261">
        <f>[2]transit_general!C20</f>
        <v>29</v>
      </c>
      <c r="F20" s="357">
        <f>[2]transit_general!D20</f>
        <v>0</v>
      </c>
      <c r="G20" s="357">
        <f>[2]transit_general!E20</f>
        <v>0</v>
      </c>
      <c r="H20" s="357">
        <f>[2]transit_general!F20</f>
        <v>0</v>
      </c>
      <c r="I20" s="357">
        <f>[2]transit_general!G20</f>
        <v>0</v>
      </c>
      <c r="J20" s="357">
        <f>[2]transit_general!H20</f>
        <v>0</v>
      </c>
      <c r="K20" s="261">
        <f>[2]transit_general!I20</f>
        <v>0</v>
      </c>
      <c r="L20" s="261">
        <f>[2]transit_general!J20</f>
        <v>0</v>
      </c>
      <c r="M20" s="261">
        <f>[2]transit_general!K20</f>
        <v>0</v>
      </c>
      <c r="N20" s="261">
        <f>[2]transit_general!L20</f>
        <v>0</v>
      </c>
      <c r="O20" s="261">
        <f>[2]transit_general!M20</f>
        <v>0</v>
      </c>
      <c r="Q20" s="5"/>
      <c r="R20" s="5" t="str">
        <f>md[[#This Row],[route]]&amp;"-"&amp;md[[#This Row],[mode_transit_route_id]]</f>
        <v>25-29</v>
      </c>
      <c r="S20" s="5">
        <f>Table_socioeca8.sandag.org_abm2_trb[[#This Row],[route]]</f>
        <v>25</v>
      </c>
      <c r="T20" s="2">
        <f>Table_socioeca8.sandag.org_abm2_trb[[#This Row],[mode_transit_route_id]]</f>
        <v>29</v>
      </c>
      <c r="U20" s="344">
        <f>Table_socioeca8.sandag.org_abm2_trb[[#This Row],[boarding_EA]]</f>
        <v>0</v>
      </c>
      <c r="V20" s="344">
        <f>Table_socioeca8.sandag.org_abm2_trb[[#This Row],[boarding_AM]]</f>
        <v>0</v>
      </c>
      <c r="W20" s="344">
        <f>Table_socioeca8.sandag.org_abm2_trb[[#This Row],[boarding_MD]]</f>
        <v>0</v>
      </c>
      <c r="X20" s="344">
        <f>Table_socioeca8.sandag.org_abm2_trb[[#This Row],[boarding_PM]]</f>
        <v>0</v>
      </c>
      <c r="Y20" s="344">
        <f>Table_socioeca8.sandag.org_abm2_trb[[#This Row],[boarding_EV]]</f>
        <v>0</v>
      </c>
      <c r="Z20" s="3">
        <f>Table_socioeca8.sandag.org_abm2_trb[[#This Row],[passenger_mile_EA]]</f>
        <v>0</v>
      </c>
      <c r="AA20" s="3">
        <f>Table_socioeca8.sandag.org_abm2_trb[[#This Row],[passenger_mile_AM]]</f>
        <v>0</v>
      </c>
      <c r="AB20" s="3">
        <f>Table_socioeca8.sandag.org_abm2_trb[[#This Row],[passenger_mile_MD]]</f>
        <v>0</v>
      </c>
      <c r="AC20" s="3">
        <f>Table_socioeca8.sandag.org_abm2_trb[[#This Row],[passenger_mile_PM]]</f>
        <v>0</v>
      </c>
      <c r="AD20" s="3">
        <f>Table_socioeca8.sandag.org_abm2_trb[[#This Row],[passenger_mile_EV]]</f>
        <v>0</v>
      </c>
      <c r="AE20" s="5">
        <f>Table_socioeca8.sandag.org_abm2_trb[[#This Row],[mode_transit_route_id]]</f>
        <v>29</v>
      </c>
      <c r="AF20"/>
      <c r="AG20"/>
    </row>
    <row r="21" spans="4:33" x14ac:dyDescent="0.3">
      <c r="D21" s="47">
        <f>[2]transit_general!B21</f>
        <v>276</v>
      </c>
      <c r="E21" s="261">
        <f>[2]transit_general!C21</f>
        <v>29</v>
      </c>
      <c r="F21" s="357">
        <f>[2]transit_general!D21</f>
        <v>0</v>
      </c>
      <c r="G21" s="357">
        <f>[2]transit_general!E21</f>
        <v>0</v>
      </c>
      <c r="H21" s="357">
        <f>[2]transit_general!F21</f>
        <v>0</v>
      </c>
      <c r="I21" s="357">
        <f>[2]transit_general!G21</f>
        <v>0</v>
      </c>
      <c r="J21" s="357">
        <f>[2]transit_general!H21</f>
        <v>0</v>
      </c>
      <c r="K21" s="261">
        <f>[2]transit_general!I21</f>
        <v>0</v>
      </c>
      <c r="L21" s="261">
        <f>[2]transit_general!J21</f>
        <v>0</v>
      </c>
      <c r="M21" s="261">
        <f>[2]transit_general!K21</f>
        <v>0</v>
      </c>
      <c r="N21" s="261">
        <f>[2]transit_general!L21</f>
        <v>0</v>
      </c>
      <c r="O21" s="261">
        <f>[2]transit_general!M21</f>
        <v>0</v>
      </c>
      <c r="Q21" s="5"/>
      <c r="R21" s="5" t="str">
        <f>md[[#This Row],[route]]&amp;"-"&amp;md[[#This Row],[mode_transit_route_id]]</f>
        <v>276-29</v>
      </c>
      <c r="S21" s="5">
        <f>Table_socioeca8.sandag.org_abm2_trb[[#This Row],[route]]</f>
        <v>276</v>
      </c>
      <c r="T21" s="2">
        <f>Table_socioeca8.sandag.org_abm2_trb[[#This Row],[mode_transit_route_id]]</f>
        <v>29</v>
      </c>
      <c r="U21" s="344">
        <f>Table_socioeca8.sandag.org_abm2_trb[[#This Row],[boarding_EA]]</f>
        <v>0</v>
      </c>
      <c r="V21" s="344">
        <f>Table_socioeca8.sandag.org_abm2_trb[[#This Row],[boarding_AM]]</f>
        <v>0</v>
      </c>
      <c r="W21" s="344">
        <f>Table_socioeca8.sandag.org_abm2_trb[[#This Row],[boarding_MD]]</f>
        <v>0</v>
      </c>
      <c r="X21" s="344">
        <f>Table_socioeca8.sandag.org_abm2_trb[[#This Row],[boarding_PM]]</f>
        <v>0</v>
      </c>
      <c r="Y21" s="344">
        <f>Table_socioeca8.sandag.org_abm2_trb[[#This Row],[boarding_EV]]</f>
        <v>0</v>
      </c>
      <c r="Z21" s="3">
        <f>Table_socioeca8.sandag.org_abm2_trb[[#This Row],[passenger_mile_EA]]</f>
        <v>0</v>
      </c>
      <c r="AA21" s="3">
        <f>Table_socioeca8.sandag.org_abm2_trb[[#This Row],[passenger_mile_AM]]</f>
        <v>0</v>
      </c>
      <c r="AB21" s="3">
        <f>Table_socioeca8.sandag.org_abm2_trb[[#This Row],[passenger_mile_MD]]</f>
        <v>0</v>
      </c>
      <c r="AC21" s="3">
        <f>Table_socioeca8.sandag.org_abm2_trb[[#This Row],[passenger_mile_PM]]</f>
        <v>0</v>
      </c>
      <c r="AD21" s="3">
        <f>Table_socioeca8.sandag.org_abm2_trb[[#This Row],[passenger_mile_EV]]</f>
        <v>0</v>
      </c>
      <c r="AE21" s="5">
        <f>Table_socioeca8.sandag.org_abm2_trb[[#This Row],[mode_transit_route_id]]</f>
        <v>29</v>
      </c>
      <c r="AF21"/>
      <c r="AG21"/>
    </row>
    <row r="22" spans="4:33" x14ac:dyDescent="0.3">
      <c r="D22" s="47">
        <f>[2]transit_general!B22</f>
        <v>27</v>
      </c>
      <c r="E22" s="261">
        <f>[2]transit_general!C22</f>
        <v>29</v>
      </c>
      <c r="F22" s="357">
        <f>[2]transit_general!D22</f>
        <v>0</v>
      </c>
      <c r="G22" s="357">
        <f>[2]transit_general!E22</f>
        <v>0</v>
      </c>
      <c r="H22" s="357">
        <f>[2]transit_general!F22</f>
        <v>0</v>
      </c>
      <c r="I22" s="357">
        <f>[2]transit_general!G22</f>
        <v>0</v>
      </c>
      <c r="J22" s="357">
        <f>[2]transit_general!H22</f>
        <v>0</v>
      </c>
      <c r="K22" s="261">
        <f>[2]transit_general!I22</f>
        <v>0</v>
      </c>
      <c r="L22" s="261">
        <f>[2]transit_general!J22</f>
        <v>0</v>
      </c>
      <c r="M22" s="261">
        <f>[2]transit_general!K22</f>
        <v>0</v>
      </c>
      <c r="N22" s="261">
        <f>[2]transit_general!L22</f>
        <v>0</v>
      </c>
      <c r="O22" s="261">
        <f>[2]transit_general!M22</f>
        <v>0</v>
      </c>
      <c r="Q22" s="5"/>
      <c r="R22" s="5" t="str">
        <f>md[[#This Row],[route]]&amp;"-"&amp;md[[#This Row],[mode_transit_route_id]]</f>
        <v>27-29</v>
      </c>
      <c r="S22" s="5">
        <f>Table_socioeca8.sandag.org_abm2_trb[[#This Row],[route]]</f>
        <v>27</v>
      </c>
      <c r="T22" s="2">
        <f>Table_socioeca8.sandag.org_abm2_trb[[#This Row],[mode_transit_route_id]]</f>
        <v>29</v>
      </c>
      <c r="U22" s="344">
        <f>Table_socioeca8.sandag.org_abm2_trb[[#This Row],[boarding_EA]]</f>
        <v>0</v>
      </c>
      <c r="V22" s="344">
        <f>Table_socioeca8.sandag.org_abm2_trb[[#This Row],[boarding_AM]]</f>
        <v>0</v>
      </c>
      <c r="W22" s="344">
        <f>Table_socioeca8.sandag.org_abm2_trb[[#This Row],[boarding_MD]]</f>
        <v>0</v>
      </c>
      <c r="X22" s="344">
        <f>Table_socioeca8.sandag.org_abm2_trb[[#This Row],[boarding_PM]]</f>
        <v>0</v>
      </c>
      <c r="Y22" s="344">
        <f>Table_socioeca8.sandag.org_abm2_trb[[#This Row],[boarding_EV]]</f>
        <v>0</v>
      </c>
      <c r="Z22" s="3">
        <f>Table_socioeca8.sandag.org_abm2_trb[[#This Row],[passenger_mile_EA]]</f>
        <v>0</v>
      </c>
      <c r="AA22" s="3">
        <f>Table_socioeca8.sandag.org_abm2_trb[[#This Row],[passenger_mile_AM]]</f>
        <v>0</v>
      </c>
      <c r="AB22" s="3">
        <f>Table_socioeca8.sandag.org_abm2_trb[[#This Row],[passenger_mile_MD]]</f>
        <v>0</v>
      </c>
      <c r="AC22" s="3">
        <f>Table_socioeca8.sandag.org_abm2_trb[[#This Row],[passenger_mile_PM]]</f>
        <v>0</v>
      </c>
      <c r="AD22" s="3">
        <f>Table_socioeca8.sandag.org_abm2_trb[[#This Row],[passenger_mile_EV]]</f>
        <v>0</v>
      </c>
      <c r="AE22" s="5">
        <f>Table_socioeca8.sandag.org_abm2_trb[[#This Row],[mode_transit_route_id]]</f>
        <v>29</v>
      </c>
      <c r="AF22"/>
      <c r="AG22"/>
    </row>
    <row r="23" spans="4:33" x14ac:dyDescent="0.3">
      <c r="D23" s="47">
        <f>[2]transit_general!B23</f>
        <v>28</v>
      </c>
      <c r="E23" s="261">
        <f>[2]transit_general!C23</f>
        <v>29</v>
      </c>
      <c r="F23" s="357">
        <f>[2]transit_general!D23</f>
        <v>0</v>
      </c>
      <c r="G23" s="357">
        <f>[2]transit_general!E23</f>
        <v>0</v>
      </c>
      <c r="H23" s="357">
        <f>[2]transit_general!F23</f>
        <v>0</v>
      </c>
      <c r="I23" s="357">
        <f>[2]transit_general!G23</f>
        <v>0</v>
      </c>
      <c r="J23" s="357">
        <f>[2]transit_general!H23</f>
        <v>0</v>
      </c>
      <c r="K23" s="261">
        <f>[2]transit_general!I23</f>
        <v>0</v>
      </c>
      <c r="L23" s="261">
        <f>[2]transit_general!J23</f>
        <v>0</v>
      </c>
      <c r="M23" s="261">
        <f>[2]transit_general!K23</f>
        <v>0</v>
      </c>
      <c r="N23" s="261">
        <f>[2]transit_general!L23</f>
        <v>0</v>
      </c>
      <c r="O23" s="261">
        <f>[2]transit_general!M23</f>
        <v>0</v>
      </c>
      <c r="Q23" s="5"/>
      <c r="R23" s="5" t="str">
        <f>md[[#This Row],[route]]&amp;"-"&amp;md[[#This Row],[mode_transit_route_id]]</f>
        <v>28-29</v>
      </c>
      <c r="S23" s="5">
        <f>Table_socioeca8.sandag.org_abm2_trb[[#This Row],[route]]</f>
        <v>28</v>
      </c>
      <c r="T23" s="2">
        <f>Table_socioeca8.sandag.org_abm2_trb[[#This Row],[mode_transit_route_id]]</f>
        <v>29</v>
      </c>
      <c r="U23" s="344">
        <f>Table_socioeca8.sandag.org_abm2_trb[[#This Row],[boarding_EA]]</f>
        <v>0</v>
      </c>
      <c r="V23" s="344">
        <f>Table_socioeca8.sandag.org_abm2_trb[[#This Row],[boarding_AM]]</f>
        <v>0</v>
      </c>
      <c r="W23" s="344">
        <f>Table_socioeca8.sandag.org_abm2_trb[[#This Row],[boarding_MD]]</f>
        <v>0</v>
      </c>
      <c r="X23" s="344">
        <f>Table_socioeca8.sandag.org_abm2_trb[[#This Row],[boarding_PM]]</f>
        <v>0</v>
      </c>
      <c r="Y23" s="344">
        <f>Table_socioeca8.sandag.org_abm2_trb[[#This Row],[boarding_EV]]</f>
        <v>0</v>
      </c>
      <c r="Z23" s="3">
        <f>Table_socioeca8.sandag.org_abm2_trb[[#This Row],[passenger_mile_EA]]</f>
        <v>0</v>
      </c>
      <c r="AA23" s="3">
        <f>Table_socioeca8.sandag.org_abm2_trb[[#This Row],[passenger_mile_AM]]</f>
        <v>0</v>
      </c>
      <c r="AB23" s="3">
        <f>Table_socioeca8.sandag.org_abm2_trb[[#This Row],[passenger_mile_MD]]</f>
        <v>0</v>
      </c>
      <c r="AC23" s="3">
        <f>Table_socioeca8.sandag.org_abm2_trb[[#This Row],[passenger_mile_PM]]</f>
        <v>0</v>
      </c>
      <c r="AD23" s="3">
        <f>Table_socioeca8.sandag.org_abm2_trb[[#This Row],[passenger_mile_EV]]</f>
        <v>0</v>
      </c>
      <c r="AE23" s="5">
        <f>Table_socioeca8.sandag.org_abm2_trb[[#This Row],[mode_transit_route_id]]</f>
        <v>29</v>
      </c>
      <c r="AF23"/>
      <c r="AG23"/>
    </row>
    <row r="24" spans="4:33" x14ac:dyDescent="0.3">
      <c r="D24" s="47">
        <f>[2]transit_general!B24</f>
        <v>2</v>
      </c>
      <c r="E24" s="261">
        <f>[2]transit_general!C24</f>
        <v>29</v>
      </c>
      <c r="F24" s="357">
        <f>[2]transit_general!D24</f>
        <v>0</v>
      </c>
      <c r="G24" s="357">
        <f>[2]transit_general!E24</f>
        <v>0</v>
      </c>
      <c r="H24" s="357">
        <f>[2]transit_general!F24</f>
        <v>0</v>
      </c>
      <c r="I24" s="357">
        <f>[2]transit_general!G24</f>
        <v>0</v>
      </c>
      <c r="J24" s="357">
        <f>[2]transit_general!H24</f>
        <v>0</v>
      </c>
      <c r="K24" s="261">
        <f>[2]transit_general!I24</f>
        <v>0</v>
      </c>
      <c r="L24" s="261">
        <f>[2]transit_general!J24</f>
        <v>0</v>
      </c>
      <c r="M24" s="261">
        <f>[2]transit_general!K24</f>
        <v>0</v>
      </c>
      <c r="N24" s="261">
        <f>[2]transit_general!L24</f>
        <v>0</v>
      </c>
      <c r="O24" s="261">
        <f>[2]transit_general!M24</f>
        <v>0</v>
      </c>
      <c r="Q24" s="246"/>
      <c r="R24" s="246" t="str">
        <f>md[[#This Row],[route]]&amp;"-"&amp;md[[#This Row],[mode_transit_route_id]]</f>
        <v>2-29</v>
      </c>
      <c r="S24" s="246">
        <f>Table_socioeca8.sandag.org_abm2_trb[[#This Row],[route]]</f>
        <v>2</v>
      </c>
      <c r="T24" s="10">
        <f>Table_socioeca8.sandag.org_abm2_trb[[#This Row],[mode_transit_route_id]]</f>
        <v>29</v>
      </c>
      <c r="U24" s="344">
        <f>Table_socioeca8.sandag.org_abm2_trb[[#This Row],[boarding_EA]]</f>
        <v>0</v>
      </c>
      <c r="V24" s="344">
        <f>Table_socioeca8.sandag.org_abm2_trb[[#This Row],[boarding_AM]]</f>
        <v>0</v>
      </c>
      <c r="W24" s="344">
        <f>Table_socioeca8.sandag.org_abm2_trb[[#This Row],[boarding_MD]]</f>
        <v>0</v>
      </c>
      <c r="X24" s="344">
        <f>Table_socioeca8.sandag.org_abm2_trb[[#This Row],[boarding_PM]]</f>
        <v>0</v>
      </c>
      <c r="Y24" s="344">
        <f>Table_socioeca8.sandag.org_abm2_trb[[#This Row],[boarding_EV]]</f>
        <v>0</v>
      </c>
      <c r="Z24" s="292">
        <f>Table_socioeca8.sandag.org_abm2_trb[[#This Row],[passenger_mile_EA]]</f>
        <v>0</v>
      </c>
      <c r="AA24" s="292">
        <f>Table_socioeca8.sandag.org_abm2_trb[[#This Row],[passenger_mile_AM]]</f>
        <v>0</v>
      </c>
      <c r="AB24" s="292">
        <f>Table_socioeca8.sandag.org_abm2_trb[[#This Row],[passenger_mile_MD]]</f>
        <v>0</v>
      </c>
      <c r="AC24" s="292">
        <f>Table_socioeca8.sandag.org_abm2_trb[[#This Row],[passenger_mile_PM]]</f>
        <v>0</v>
      </c>
      <c r="AD24" s="292">
        <f>Table_socioeca8.sandag.org_abm2_trb[[#This Row],[passenger_mile_EV]]</f>
        <v>0</v>
      </c>
      <c r="AE24" s="246">
        <f>Table_socioeca8.sandag.org_abm2_trb[[#This Row],[mode_transit_route_id]]</f>
        <v>29</v>
      </c>
      <c r="AF24"/>
      <c r="AG24"/>
    </row>
    <row r="25" spans="4:33" x14ac:dyDescent="0.3">
      <c r="D25" s="47">
        <f>[2]transit_general!B25</f>
        <v>302</v>
      </c>
      <c r="E25" s="261">
        <f>[2]transit_general!C25</f>
        <v>29</v>
      </c>
      <c r="F25" s="357">
        <f>[2]transit_general!D25</f>
        <v>0</v>
      </c>
      <c r="G25" s="357">
        <f>[2]transit_general!E25</f>
        <v>0</v>
      </c>
      <c r="H25" s="357">
        <f>[2]transit_general!F25</f>
        <v>0</v>
      </c>
      <c r="I25" s="357">
        <f>[2]transit_general!G25</f>
        <v>0</v>
      </c>
      <c r="J25" s="357">
        <f>[2]transit_general!H25</f>
        <v>0</v>
      </c>
      <c r="K25" s="261">
        <f>[2]transit_general!I25</f>
        <v>0</v>
      </c>
      <c r="L25" s="261">
        <f>[2]transit_general!J25</f>
        <v>0</v>
      </c>
      <c r="M25" s="261">
        <f>[2]transit_general!K25</f>
        <v>0</v>
      </c>
      <c r="N25" s="261">
        <f>[2]transit_general!L25</f>
        <v>0</v>
      </c>
      <c r="O25" s="261">
        <f>[2]transit_general!M25</f>
        <v>0</v>
      </c>
      <c r="Q25" s="5"/>
      <c r="R25" s="5" t="str">
        <f>md[[#This Row],[route]]&amp;"-"&amp;md[[#This Row],[mode_transit_route_id]]</f>
        <v>302-29</v>
      </c>
      <c r="S25" s="5">
        <f>Table_socioeca8.sandag.org_abm2_trb[[#This Row],[route]]</f>
        <v>302</v>
      </c>
      <c r="T25" s="2">
        <f>Table_socioeca8.sandag.org_abm2_trb[[#This Row],[mode_transit_route_id]]</f>
        <v>29</v>
      </c>
      <c r="U25" s="344">
        <f>Table_socioeca8.sandag.org_abm2_trb[[#This Row],[boarding_EA]]</f>
        <v>0</v>
      </c>
      <c r="V25" s="344">
        <f>Table_socioeca8.sandag.org_abm2_trb[[#This Row],[boarding_AM]]</f>
        <v>0</v>
      </c>
      <c r="W25" s="344">
        <f>Table_socioeca8.sandag.org_abm2_trb[[#This Row],[boarding_MD]]</f>
        <v>0</v>
      </c>
      <c r="X25" s="344">
        <f>Table_socioeca8.sandag.org_abm2_trb[[#This Row],[boarding_PM]]</f>
        <v>0</v>
      </c>
      <c r="Y25" s="344">
        <f>Table_socioeca8.sandag.org_abm2_trb[[#This Row],[boarding_EV]]</f>
        <v>0</v>
      </c>
      <c r="Z25" s="3">
        <f>Table_socioeca8.sandag.org_abm2_trb[[#This Row],[passenger_mile_EA]]</f>
        <v>0</v>
      </c>
      <c r="AA25" s="3">
        <f>Table_socioeca8.sandag.org_abm2_trb[[#This Row],[passenger_mile_AM]]</f>
        <v>0</v>
      </c>
      <c r="AB25" s="3">
        <f>Table_socioeca8.sandag.org_abm2_trb[[#This Row],[passenger_mile_MD]]</f>
        <v>0</v>
      </c>
      <c r="AC25" s="3">
        <f>Table_socioeca8.sandag.org_abm2_trb[[#This Row],[passenger_mile_PM]]</f>
        <v>0</v>
      </c>
      <c r="AD25" s="3">
        <f>Table_socioeca8.sandag.org_abm2_trb[[#This Row],[passenger_mile_EV]]</f>
        <v>0</v>
      </c>
      <c r="AE25" s="5">
        <f>Table_socioeca8.sandag.org_abm2_trb[[#This Row],[mode_transit_route_id]]</f>
        <v>29</v>
      </c>
      <c r="AF25"/>
      <c r="AG25"/>
    </row>
    <row r="26" spans="4:33" x14ac:dyDescent="0.3">
      <c r="D26" s="47">
        <f>[2]transit_general!B26</f>
        <v>303</v>
      </c>
      <c r="E26" s="261">
        <f>[2]transit_general!C26</f>
        <v>29</v>
      </c>
      <c r="F26" s="357">
        <f>[2]transit_general!D26</f>
        <v>0</v>
      </c>
      <c r="G26" s="357">
        <f>[2]transit_general!E26</f>
        <v>0</v>
      </c>
      <c r="H26" s="357">
        <f>[2]transit_general!F26</f>
        <v>0</v>
      </c>
      <c r="I26" s="357">
        <f>[2]transit_general!G26</f>
        <v>0</v>
      </c>
      <c r="J26" s="357">
        <f>[2]transit_general!H26</f>
        <v>0</v>
      </c>
      <c r="K26" s="261">
        <f>[2]transit_general!I26</f>
        <v>0</v>
      </c>
      <c r="L26" s="261">
        <f>[2]transit_general!J26</f>
        <v>0</v>
      </c>
      <c r="M26" s="261">
        <f>[2]transit_general!K26</f>
        <v>0</v>
      </c>
      <c r="N26" s="261">
        <f>[2]transit_general!L26</f>
        <v>0</v>
      </c>
      <c r="O26" s="261">
        <f>[2]transit_general!M26</f>
        <v>0</v>
      </c>
      <c r="Q26" s="5"/>
      <c r="R26" s="5" t="str">
        <f>md[[#This Row],[route]]&amp;"-"&amp;md[[#This Row],[mode_transit_route_id]]</f>
        <v>303-29</v>
      </c>
      <c r="S26" s="5">
        <f>Table_socioeca8.sandag.org_abm2_trb[[#This Row],[route]]</f>
        <v>303</v>
      </c>
      <c r="T26" s="2">
        <f>Table_socioeca8.sandag.org_abm2_trb[[#This Row],[mode_transit_route_id]]</f>
        <v>29</v>
      </c>
      <c r="U26" s="344">
        <f>Table_socioeca8.sandag.org_abm2_trb[[#This Row],[boarding_EA]]</f>
        <v>0</v>
      </c>
      <c r="V26" s="344">
        <f>Table_socioeca8.sandag.org_abm2_trb[[#This Row],[boarding_AM]]</f>
        <v>0</v>
      </c>
      <c r="W26" s="344">
        <f>Table_socioeca8.sandag.org_abm2_trb[[#This Row],[boarding_MD]]</f>
        <v>0</v>
      </c>
      <c r="X26" s="344">
        <f>Table_socioeca8.sandag.org_abm2_trb[[#This Row],[boarding_PM]]</f>
        <v>0</v>
      </c>
      <c r="Y26" s="344">
        <f>Table_socioeca8.sandag.org_abm2_trb[[#This Row],[boarding_EV]]</f>
        <v>0</v>
      </c>
      <c r="Z26" s="3">
        <f>Table_socioeca8.sandag.org_abm2_trb[[#This Row],[passenger_mile_EA]]</f>
        <v>0</v>
      </c>
      <c r="AA26" s="3">
        <f>Table_socioeca8.sandag.org_abm2_trb[[#This Row],[passenger_mile_AM]]</f>
        <v>0</v>
      </c>
      <c r="AB26" s="3">
        <f>Table_socioeca8.sandag.org_abm2_trb[[#This Row],[passenger_mile_MD]]</f>
        <v>0</v>
      </c>
      <c r="AC26" s="3">
        <f>Table_socioeca8.sandag.org_abm2_trb[[#This Row],[passenger_mile_PM]]</f>
        <v>0</v>
      </c>
      <c r="AD26" s="3">
        <f>Table_socioeca8.sandag.org_abm2_trb[[#This Row],[passenger_mile_EV]]</f>
        <v>0</v>
      </c>
      <c r="AE26" s="5">
        <f>Table_socioeca8.sandag.org_abm2_trb[[#This Row],[mode_transit_route_id]]</f>
        <v>29</v>
      </c>
      <c r="AF26"/>
      <c r="AG26"/>
    </row>
    <row r="27" spans="4:33" x14ac:dyDescent="0.3">
      <c r="D27" s="47">
        <f>[2]transit_general!B27</f>
        <v>304</v>
      </c>
      <c r="E27" s="261">
        <f>[2]transit_general!C27</f>
        <v>29</v>
      </c>
      <c r="F27" s="357">
        <f>[2]transit_general!D27</f>
        <v>0</v>
      </c>
      <c r="G27" s="357">
        <f>[2]transit_general!E27</f>
        <v>0</v>
      </c>
      <c r="H27" s="357">
        <f>[2]transit_general!F27</f>
        <v>0</v>
      </c>
      <c r="I27" s="357">
        <f>[2]transit_general!G27</f>
        <v>0</v>
      </c>
      <c r="J27" s="357">
        <f>[2]transit_general!H27</f>
        <v>0</v>
      </c>
      <c r="K27" s="261">
        <f>[2]transit_general!I27</f>
        <v>0</v>
      </c>
      <c r="L27" s="261">
        <f>[2]transit_general!J27</f>
        <v>0</v>
      </c>
      <c r="M27" s="261">
        <f>[2]transit_general!K27</f>
        <v>0</v>
      </c>
      <c r="N27" s="261">
        <f>[2]transit_general!L27</f>
        <v>0</v>
      </c>
      <c r="O27" s="261">
        <f>[2]transit_general!M27</f>
        <v>0</v>
      </c>
      <c r="Q27" s="5"/>
      <c r="R27" s="5" t="str">
        <f>md[[#This Row],[route]]&amp;"-"&amp;md[[#This Row],[mode_transit_route_id]]</f>
        <v>304-29</v>
      </c>
      <c r="S27" s="5">
        <f>Table_socioeca8.sandag.org_abm2_trb[[#This Row],[route]]</f>
        <v>304</v>
      </c>
      <c r="T27" s="2">
        <f>Table_socioeca8.sandag.org_abm2_trb[[#This Row],[mode_transit_route_id]]</f>
        <v>29</v>
      </c>
      <c r="U27" s="344">
        <f>Table_socioeca8.sandag.org_abm2_trb[[#This Row],[boarding_EA]]</f>
        <v>0</v>
      </c>
      <c r="V27" s="344">
        <f>Table_socioeca8.sandag.org_abm2_trb[[#This Row],[boarding_AM]]</f>
        <v>0</v>
      </c>
      <c r="W27" s="344">
        <f>Table_socioeca8.sandag.org_abm2_trb[[#This Row],[boarding_MD]]</f>
        <v>0</v>
      </c>
      <c r="X27" s="344">
        <f>Table_socioeca8.sandag.org_abm2_trb[[#This Row],[boarding_PM]]</f>
        <v>0</v>
      </c>
      <c r="Y27" s="344">
        <f>Table_socioeca8.sandag.org_abm2_trb[[#This Row],[boarding_EV]]</f>
        <v>0</v>
      </c>
      <c r="Z27" s="3">
        <f>Table_socioeca8.sandag.org_abm2_trb[[#This Row],[passenger_mile_EA]]</f>
        <v>0</v>
      </c>
      <c r="AA27" s="3">
        <f>Table_socioeca8.sandag.org_abm2_trb[[#This Row],[passenger_mile_AM]]</f>
        <v>0</v>
      </c>
      <c r="AB27" s="3">
        <f>Table_socioeca8.sandag.org_abm2_trb[[#This Row],[passenger_mile_MD]]</f>
        <v>0</v>
      </c>
      <c r="AC27" s="3">
        <f>Table_socioeca8.sandag.org_abm2_trb[[#This Row],[passenger_mile_PM]]</f>
        <v>0</v>
      </c>
      <c r="AD27" s="3">
        <f>Table_socioeca8.sandag.org_abm2_trb[[#This Row],[passenger_mile_EV]]</f>
        <v>0</v>
      </c>
      <c r="AE27" s="5">
        <f>Table_socioeca8.sandag.org_abm2_trb[[#This Row],[mode_transit_route_id]]</f>
        <v>29</v>
      </c>
      <c r="AF27"/>
      <c r="AG27"/>
    </row>
    <row r="28" spans="4:33" x14ac:dyDescent="0.3">
      <c r="D28" s="47">
        <f>[2]transit_general!B28</f>
        <v>305</v>
      </c>
      <c r="E28" s="261">
        <f>[2]transit_general!C28</f>
        <v>29</v>
      </c>
      <c r="F28" s="357">
        <f>[2]transit_general!D28</f>
        <v>0</v>
      </c>
      <c r="G28" s="357">
        <f>[2]transit_general!E28</f>
        <v>0</v>
      </c>
      <c r="H28" s="357">
        <f>[2]transit_general!F28</f>
        <v>0</v>
      </c>
      <c r="I28" s="357">
        <f>[2]transit_general!G28</f>
        <v>0</v>
      </c>
      <c r="J28" s="357">
        <f>[2]transit_general!H28</f>
        <v>0</v>
      </c>
      <c r="K28" s="261">
        <f>[2]transit_general!I28</f>
        <v>0</v>
      </c>
      <c r="L28" s="261">
        <f>[2]transit_general!J28</f>
        <v>0</v>
      </c>
      <c r="M28" s="261">
        <f>[2]transit_general!K28</f>
        <v>0</v>
      </c>
      <c r="N28" s="261">
        <f>[2]transit_general!L28</f>
        <v>0</v>
      </c>
      <c r="O28" s="261">
        <f>[2]transit_general!M28</f>
        <v>0</v>
      </c>
      <c r="Q28" s="5"/>
      <c r="R28" s="5" t="str">
        <f>md[[#This Row],[route]]&amp;"-"&amp;md[[#This Row],[mode_transit_route_id]]</f>
        <v>305-29</v>
      </c>
      <c r="S28" s="5">
        <f>Table_socioeca8.sandag.org_abm2_trb[[#This Row],[route]]</f>
        <v>305</v>
      </c>
      <c r="T28" s="2">
        <f>Table_socioeca8.sandag.org_abm2_trb[[#This Row],[mode_transit_route_id]]</f>
        <v>29</v>
      </c>
      <c r="U28" s="344">
        <f>Table_socioeca8.sandag.org_abm2_trb[[#This Row],[boarding_EA]]</f>
        <v>0</v>
      </c>
      <c r="V28" s="344">
        <f>Table_socioeca8.sandag.org_abm2_trb[[#This Row],[boarding_AM]]</f>
        <v>0</v>
      </c>
      <c r="W28" s="344">
        <f>Table_socioeca8.sandag.org_abm2_trb[[#This Row],[boarding_MD]]</f>
        <v>0</v>
      </c>
      <c r="X28" s="344">
        <f>Table_socioeca8.sandag.org_abm2_trb[[#This Row],[boarding_PM]]</f>
        <v>0</v>
      </c>
      <c r="Y28" s="344">
        <f>Table_socioeca8.sandag.org_abm2_trb[[#This Row],[boarding_EV]]</f>
        <v>0</v>
      </c>
      <c r="Z28" s="3">
        <f>Table_socioeca8.sandag.org_abm2_trb[[#This Row],[passenger_mile_EA]]</f>
        <v>0</v>
      </c>
      <c r="AA28" s="3">
        <f>Table_socioeca8.sandag.org_abm2_trb[[#This Row],[passenger_mile_AM]]</f>
        <v>0</v>
      </c>
      <c r="AB28" s="3">
        <f>Table_socioeca8.sandag.org_abm2_trb[[#This Row],[passenger_mile_MD]]</f>
        <v>0</v>
      </c>
      <c r="AC28" s="3">
        <f>Table_socioeca8.sandag.org_abm2_trb[[#This Row],[passenger_mile_PM]]</f>
        <v>0</v>
      </c>
      <c r="AD28" s="3">
        <f>Table_socioeca8.sandag.org_abm2_trb[[#This Row],[passenger_mile_EV]]</f>
        <v>0</v>
      </c>
      <c r="AE28" s="5">
        <f>Table_socioeca8.sandag.org_abm2_trb[[#This Row],[mode_transit_route_id]]</f>
        <v>29</v>
      </c>
      <c r="AF28"/>
      <c r="AG28"/>
    </row>
    <row r="29" spans="4:33" x14ac:dyDescent="0.3">
      <c r="D29" s="47">
        <f>[2]transit_general!B29</f>
        <v>306</v>
      </c>
      <c r="E29" s="261">
        <f>[2]transit_general!C29</f>
        <v>29</v>
      </c>
      <c r="F29" s="357">
        <f>[2]transit_general!D29</f>
        <v>0</v>
      </c>
      <c r="G29" s="357">
        <f>[2]transit_general!E29</f>
        <v>0</v>
      </c>
      <c r="H29" s="357">
        <f>[2]transit_general!F29</f>
        <v>0</v>
      </c>
      <c r="I29" s="357">
        <f>[2]transit_general!G29</f>
        <v>0</v>
      </c>
      <c r="J29" s="357">
        <f>[2]transit_general!H29</f>
        <v>0</v>
      </c>
      <c r="K29" s="261">
        <f>[2]transit_general!I29</f>
        <v>0</v>
      </c>
      <c r="L29" s="261">
        <f>[2]transit_general!J29</f>
        <v>0</v>
      </c>
      <c r="M29" s="261">
        <f>[2]transit_general!K29</f>
        <v>0</v>
      </c>
      <c r="N29" s="261">
        <f>[2]transit_general!L29</f>
        <v>0</v>
      </c>
      <c r="O29" s="261">
        <f>[2]transit_general!M29</f>
        <v>0</v>
      </c>
      <c r="Q29" s="5"/>
      <c r="R29" s="5" t="str">
        <f>md[[#This Row],[route]]&amp;"-"&amp;md[[#This Row],[mode_transit_route_id]]</f>
        <v>306-29</v>
      </c>
      <c r="S29" s="5">
        <f>Table_socioeca8.sandag.org_abm2_trb[[#This Row],[route]]</f>
        <v>306</v>
      </c>
      <c r="T29" s="2">
        <f>Table_socioeca8.sandag.org_abm2_trb[[#This Row],[mode_transit_route_id]]</f>
        <v>29</v>
      </c>
      <c r="U29" s="344">
        <f>Table_socioeca8.sandag.org_abm2_trb[[#This Row],[boarding_EA]]</f>
        <v>0</v>
      </c>
      <c r="V29" s="344">
        <f>Table_socioeca8.sandag.org_abm2_trb[[#This Row],[boarding_AM]]</f>
        <v>0</v>
      </c>
      <c r="W29" s="344">
        <f>Table_socioeca8.sandag.org_abm2_trb[[#This Row],[boarding_MD]]</f>
        <v>0</v>
      </c>
      <c r="X29" s="344">
        <f>Table_socioeca8.sandag.org_abm2_trb[[#This Row],[boarding_PM]]</f>
        <v>0</v>
      </c>
      <c r="Y29" s="344">
        <f>Table_socioeca8.sandag.org_abm2_trb[[#This Row],[boarding_EV]]</f>
        <v>0</v>
      </c>
      <c r="Z29" s="3">
        <f>Table_socioeca8.sandag.org_abm2_trb[[#This Row],[passenger_mile_EA]]</f>
        <v>0</v>
      </c>
      <c r="AA29" s="3">
        <f>Table_socioeca8.sandag.org_abm2_trb[[#This Row],[passenger_mile_AM]]</f>
        <v>0</v>
      </c>
      <c r="AB29" s="3">
        <f>Table_socioeca8.sandag.org_abm2_trb[[#This Row],[passenger_mile_MD]]</f>
        <v>0</v>
      </c>
      <c r="AC29" s="3">
        <f>Table_socioeca8.sandag.org_abm2_trb[[#This Row],[passenger_mile_PM]]</f>
        <v>0</v>
      </c>
      <c r="AD29" s="3">
        <f>Table_socioeca8.sandag.org_abm2_trb[[#This Row],[passenger_mile_EV]]</f>
        <v>0</v>
      </c>
      <c r="AE29" s="5">
        <f>Table_socioeca8.sandag.org_abm2_trb[[#This Row],[mode_transit_route_id]]</f>
        <v>29</v>
      </c>
      <c r="AF29"/>
      <c r="AG29"/>
    </row>
    <row r="30" spans="4:33" x14ac:dyDescent="0.3">
      <c r="D30" s="47">
        <f>[2]transit_general!B30</f>
        <v>308</v>
      </c>
      <c r="E30" s="261">
        <f>[2]transit_general!C30</f>
        <v>29</v>
      </c>
      <c r="F30" s="357">
        <f>[2]transit_general!D30</f>
        <v>0</v>
      </c>
      <c r="G30" s="357">
        <f>[2]transit_general!E30</f>
        <v>0</v>
      </c>
      <c r="H30" s="357">
        <f>[2]transit_general!F30</f>
        <v>0</v>
      </c>
      <c r="I30" s="357">
        <f>[2]transit_general!G30</f>
        <v>0</v>
      </c>
      <c r="J30" s="357">
        <f>[2]transit_general!H30</f>
        <v>0</v>
      </c>
      <c r="K30" s="261">
        <f>[2]transit_general!I30</f>
        <v>0</v>
      </c>
      <c r="L30" s="261">
        <f>[2]transit_general!J30</f>
        <v>0</v>
      </c>
      <c r="M30" s="261">
        <f>[2]transit_general!K30</f>
        <v>0</v>
      </c>
      <c r="N30" s="261">
        <f>[2]transit_general!L30</f>
        <v>0</v>
      </c>
      <c r="O30" s="261">
        <f>[2]transit_general!M30</f>
        <v>0</v>
      </c>
      <c r="Q30" s="5"/>
      <c r="R30" s="5" t="str">
        <f>md[[#This Row],[route]]&amp;"-"&amp;md[[#This Row],[mode_transit_route_id]]</f>
        <v>308-29</v>
      </c>
      <c r="S30" s="5">
        <f>Table_socioeca8.sandag.org_abm2_trb[[#This Row],[route]]</f>
        <v>308</v>
      </c>
      <c r="T30" s="2">
        <f>Table_socioeca8.sandag.org_abm2_trb[[#This Row],[mode_transit_route_id]]</f>
        <v>29</v>
      </c>
      <c r="U30" s="344">
        <f>Table_socioeca8.sandag.org_abm2_trb[[#This Row],[boarding_EA]]</f>
        <v>0</v>
      </c>
      <c r="V30" s="344">
        <f>Table_socioeca8.sandag.org_abm2_trb[[#This Row],[boarding_AM]]</f>
        <v>0</v>
      </c>
      <c r="W30" s="344">
        <f>Table_socioeca8.sandag.org_abm2_trb[[#This Row],[boarding_MD]]</f>
        <v>0</v>
      </c>
      <c r="X30" s="344">
        <f>Table_socioeca8.sandag.org_abm2_trb[[#This Row],[boarding_PM]]</f>
        <v>0</v>
      </c>
      <c r="Y30" s="344">
        <f>Table_socioeca8.sandag.org_abm2_trb[[#This Row],[boarding_EV]]</f>
        <v>0</v>
      </c>
      <c r="Z30" s="3">
        <f>Table_socioeca8.sandag.org_abm2_trb[[#This Row],[passenger_mile_EA]]</f>
        <v>0</v>
      </c>
      <c r="AA30" s="3">
        <f>Table_socioeca8.sandag.org_abm2_trb[[#This Row],[passenger_mile_AM]]</f>
        <v>0</v>
      </c>
      <c r="AB30" s="3">
        <f>Table_socioeca8.sandag.org_abm2_trb[[#This Row],[passenger_mile_MD]]</f>
        <v>0</v>
      </c>
      <c r="AC30" s="3">
        <f>Table_socioeca8.sandag.org_abm2_trb[[#This Row],[passenger_mile_PM]]</f>
        <v>0</v>
      </c>
      <c r="AD30" s="3">
        <f>Table_socioeca8.sandag.org_abm2_trb[[#This Row],[passenger_mile_EV]]</f>
        <v>0</v>
      </c>
      <c r="AE30" s="5">
        <f>Table_socioeca8.sandag.org_abm2_trb[[#This Row],[mode_transit_route_id]]</f>
        <v>29</v>
      </c>
      <c r="AF30"/>
      <c r="AG30"/>
    </row>
    <row r="31" spans="4:33" x14ac:dyDescent="0.3">
      <c r="D31" s="47">
        <f>[2]transit_general!B31</f>
        <v>309</v>
      </c>
      <c r="E31" s="261">
        <f>[2]transit_general!C31</f>
        <v>29</v>
      </c>
      <c r="F31" s="357">
        <f>[2]transit_general!D31</f>
        <v>0</v>
      </c>
      <c r="G31" s="357">
        <f>[2]transit_general!E31</f>
        <v>0</v>
      </c>
      <c r="H31" s="357">
        <f>[2]transit_general!F31</f>
        <v>0</v>
      </c>
      <c r="I31" s="357">
        <f>[2]transit_general!G31</f>
        <v>0</v>
      </c>
      <c r="J31" s="357">
        <f>[2]transit_general!H31</f>
        <v>0</v>
      </c>
      <c r="K31" s="261">
        <f>[2]transit_general!I31</f>
        <v>0</v>
      </c>
      <c r="L31" s="261">
        <f>[2]transit_general!J31</f>
        <v>0</v>
      </c>
      <c r="M31" s="261">
        <f>[2]transit_general!K31</f>
        <v>0</v>
      </c>
      <c r="N31" s="261">
        <f>[2]transit_general!L31</f>
        <v>0</v>
      </c>
      <c r="O31" s="261">
        <f>[2]transit_general!M31</f>
        <v>0</v>
      </c>
      <c r="Q31" s="5"/>
      <c r="R31" s="5" t="str">
        <f>md[[#This Row],[route]]&amp;"-"&amp;md[[#This Row],[mode_transit_route_id]]</f>
        <v>309-29</v>
      </c>
      <c r="S31" s="5">
        <f>Table_socioeca8.sandag.org_abm2_trb[[#This Row],[route]]</f>
        <v>309</v>
      </c>
      <c r="T31" s="2">
        <f>Table_socioeca8.sandag.org_abm2_trb[[#This Row],[mode_transit_route_id]]</f>
        <v>29</v>
      </c>
      <c r="U31" s="344">
        <f>Table_socioeca8.sandag.org_abm2_trb[[#This Row],[boarding_EA]]</f>
        <v>0</v>
      </c>
      <c r="V31" s="344">
        <f>Table_socioeca8.sandag.org_abm2_trb[[#This Row],[boarding_AM]]</f>
        <v>0</v>
      </c>
      <c r="W31" s="344">
        <f>Table_socioeca8.sandag.org_abm2_trb[[#This Row],[boarding_MD]]</f>
        <v>0</v>
      </c>
      <c r="X31" s="344">
        <f>Table_socioeca8.sandag.org_abm2_trb[[#This Row],[boarding_PM]]</f>
        <v>0</v>
      </c>
      <c r="Y31" s="344">
        <f>Table_socioeca8.sandag.org_abm2_trb[[#This Row],[boarding_EV]]</f>
        <v>0</v>
      </c>
      <c r="Z31" s="3">
        <f>Table_socioeca8.sandag.org_abm2_trb[[#This Row],[passenger_mile_EA]]</f>
        <v>0</v>
      </c>
      <c r="AA31" s="3">
        <f>Table_socioeca8.sandag.org_abm2_trb[[#This Row],[passenger_mile_AM]]</f>
        <v>0</v>
      </c>
      <c r="AB31" s="3">
        <f>Table_socioeca8.sandag.org_abm2_trb[[#This Row],[passenger_mile_MD]]</f>
        <v>0</v>
      </c>
      <c r="AC31" s="3">
        <f>Table_socioeca8.sandag.org_abm2_trb[[#This Row],[passenger_mile_PM]]</f>
        <v>0</v>
      </c>
      <c r="AD31" s="3">
        <f>Table_socioeca8.sandag.org_abm2_trb[[#This Row],[passenger_mile_EV]]</f>
        <v>0</v>
      </c>
      <c r="AE31" s="5">
        <f>Table_socioeca8.sandag.org_abm2_trb[[#This Row],[mode_transit_route_id]]</f>
        <v>29</v>
      </c>
      <c r="AF31"/>
      <c r="AG31"/>
    </row>
    <row r="32" spans="4:33" x14ac:dyDescent="0.3">
      <c r="D32" s="47">
        <f>[2]transit_general!B32</f>
        <v>30</v>
      </c>
      <c r="E32" s="261">
        <f>[2]transit_general!C32</f>
        <v>29</v>
      </c>
      <c r="F32" s="357">
        <f>[2]transit_general!D32</f>
        <v>0</v>
      </c>
      <c r="G32" s="357">
        <f>[2]transit_general!E32</f>
        <v>0</v>
      </c>
      <c r="H32" s="357">
        <f>[2]transit_general!F32</f>
        <v>0</v>
      </c>
      <c r="I32" s="357">
        <f>[2]transit_general!G32</f>
        <v>0</v>
      </c>
      <c r="J32" s="357">
        <f>[2]transit_general!H32</f>
        <v>0</v>
      </c>
      <c r="K32" s="261">
        <f>[2]transit_general!I32</f>
        <v>0</v>
      </c>
      <c r="L32" s="261">
        <f>[2]transit_general!J32</f>
        <v>0</v>
      </c>
      <c r="M32" s="261">
        <f>[2]transit_general!K32</f>
        <v>0</v>
      </c>
      <c r="N32" s="261">
        <f>[2]transit_general!L32</f>
        <v>0</v>
      </c>
      <c r="O32" s="261">
        <f>[2]transit_general!M32</f>
        <v>0</v>
      </c>
      <c r="Q32" s="5"/>
      <c r="R32" s="5" t="str">
        <f>md[[#This Row],[route]]&amp;"-"&amp;md[[#This Row],[mode_transit_route_id]]</f>
        <v>30-29</v>
      </c>
      <c r="S32" s="5">
        <f>Table_socioeca8.sandag.org_abm2_trb[[#This Row],[route]]</f>
        <v>30</v>
      </c>
      <c r="T32" s="2">
        <f>Table_socioeca8.sandag.org_abm2_trb[[#This Row],[mode_transit_route_id]]</f>
        <v>29</v>
      </c>
      <c r="U32" s="344">
        <f>Table_socioeca8.sandag.org_abm2_trb[[#This Row],[boarding_EA]]</f>
        <v>0</v>
      </c>
      <c r="V32" s="344">
        <f>Table_socioeca8.sandag.org_abm2_trb[[#This Row],[boarding_AM]]</f>
        <v>0</v>
      </c>
      <c r="W32" s="344">
        <f>Table_socioeca8.sandag.org_abm2_trb[[#This Row],[boarding_MD]]</f>
        <v>0</v>
      </c>
      <c r="X32" s="344">
        <f>Table_socioeca8.sandag.org_abm2_trb[[#This Row],[boarding_PM]]</f>
        <v>0</v>
      </c>
      <c r="Y32" s="344">
        <f>Table_socioeca8.sandag.org_abm2_trb[[#This Row],[boarding_EV]]</f>
        <v>0</v>
      </c>
      <c r="Z32" s="3">
        <f>Table_socioeca8.sandag.org_abm2_trb[[#This Row],[passenger_mile_EA]]</f>
        <v>0</v>
      </c>
      <c r="AA32" s="3">
        <f>Table_socioeca8.sandag.org_abm2_trb[[#This Row],[passenger_mile_AM]]</f>
        <v>0</v>
      </c>
      <c r="AB32" s="3">
        <f>Table_socioeca8.sandag.org_abm2_trb[[#This Row],[passenger_mile_MD]]</f>
        <v>0</v>
      </c>
      <c r="AC32" s="3">
        <f>Table_socioeca8.sandag.org_abm2_trb[[#This Row],[passenger_mile_PM]]</f>
        <v>0</v>
      </c>
      <c r="AD32" s="3">
        <f>Table_socioeca8.sandag.org_abm2_trb[[#This Row],[passenger_mile_EV]]</f>
        <v>0</v>
      </c>
      <c r="AE32" s="5">
        <f>Table_socioeca8.sandag.org_abm2_trb[[#This Row],[mode_transit_route_id]]</f>
        <v>29</v>
      </c>
      <c r="AF32"/>
      <c r="AG32"/>
    </row>
    <row r="33" spans="4:33" x14ac:dyDescent="0.3">
      <c r="D33" s="47">
        <f>[2]transit_general!B33</f>
        <v>311</v>
      </c>
      <c r="E33" s="261">
        <f>[2]transit_general!C33</f>
        <v>29</v>
      </c>
      <c r="F33" s="357">
        <f>[2]transit_general!D33</f>
        <v>0</v>
      </c>
      <c r="G33" s="357">
        <f>[2]transit_general!E33</f>
        <v>0</v>
      </c>
      <c r="H33" s="357">
        <f>[2]transit_general!F33</f>
        <v>0</v>
      </c>
      <c r="I33" s="357">
        <f>[2]transit_general!G33</f>
        <v>0</v>
      </c>
      <c r="J33" s="357">
        <f>[2]transit_general!H33</f>
        <v>0</v>
      </c>
      <c r="K33" s="261">
        <f>[2]transit_general!I33</f>
        <v>0</v>
      </c>
      <c r="L33" s="261">
        <f>[2]transit_general!J33</f>
        <v>0</v>
      </c>
      <c r="M33" s="261">
        <f>[2]transit_general!K33</f>
        <v>0</v>
      </c>
      <c r="N33" s="261">
        <f>[2]transit_general!L33</f>
        <v>0</v>
      </c>
      <c r="O33" s="261">
        <f>[2]transit_general!M33</f>
        <v>0</v>
      </c>
      <c r="Q33" s="5"/>
      <c r="R33" s="5" t="str">
        <f>md[[#This Row],[route]]&amp;"-"&amp;md[[#This Row],[mode_transit_route_id]]</f>
        <v>311-29</v>
      </c>
      <c r="S33" s="5">
        <f>Table_socioeca8.sandag.org_abm2_trb[[#This Row],[route]]</f>
        <v>311</v>
      </c>
      <c r="T33" s="2">
        <f>Table_socioeca8.sandag.org_abm2_trb[[#This Row],[mode_transit_route_id]]</f>
        <v>29</v>
      </c>
      <c r="U33" s="344">
        <f>Table_socioeca8.sandag.org_abm2_trb[[#This Row],[boarding_EA]]</f>
        <v>0</v>
      </c>
      <c r="V33" s="344">
        <f>Table_socioeca8.sandag.org_abm2_trb[[#This Row],[boarding_AM]]</f>
        <v>0</v>
      </c>
      <c r="W33" s="344">
        <f>Table_socioeca8.sandag.org_abm2_trb[[#This Row],[boarding_MD]]</f>
        <v>0</v>
      </c>
      <c r="X33" s="344">
        <f>Table_socioeca8.sandag.org_abm2_trb[[#This Row],[boarding_PM]]</f>
        <v>0</v>
      </c>
      <c r="Y33" s="344">
        <f>Table_socioeca8.sandag.org_abm2_trb[[#This Row],[boarding_EV]]</f>
        <v>0</v>
      </c>
      <c r="Z33" s="3">
        <f>Table_socioeca8.sandag.org_abm2_trb[[#This Row],[passenger_mile_EA]]</f>
        <v>0</v>
      </c>
      <c r="AA33" s="3">
        <f>Table_socioeca8.sandag.org_abm2_trb[[#This Row],[passenger_mile_AM]]</f>
        <v>0</v>
      </c>
      <c r="AB33" s="3">
        <f>Table_socioeca8.sandag.org_abm2_trb[[#This Row],[passenger_mile_MD]]</f>
        <v>0</v>
      </c>
      <c r="AC33" s="3">
        <f>Table_socioeca8.sandag.org_abm2_trb[[#This Row],[passenger_mile_PM]]</f>
        <v>0</v>
      </c>
      <c r="AD33" s="3">
        <f>Table_socioeca8.sandag.org_abm2_trb[[#This Row],[passenger_mile_EV]]</f>
        <v>0</v>
      </c>
      <c r="AE33" s="5">
        <f>Table_socioeca8.sandag.org_abm2_trb[[#This Row],[mode_transit_route_id]]</f>
        <v>29</v>
      </c>
      <c r="AF33"/>
      <c r="AG33"/>
    </row>
    <row r="34" spans="4:33" x14ac:dyDescent="0.3">
      <c r="D34" s="47">
        <f>[2]transit_general!B34</f>
        <v>313</v>
      </c>
      <c r="E34" s="261">
        <f>[2]transit_general!C34</f>
        <v>29</v>
      </c>
      <c r="F34" s="357">
        <f>[2]transit_general!D34</f>
        <v>0</v>
      </c>
      <c r="G34" s="357">
        <f>[2]transit_general!E34</f>
        <v>0</v>
      </c>
      <c r="H34" s="357">
        <f>[2]transit_general!F34</f>
        <v>0</v>
      </c>
      <c r="I34" s="357">
        <f>[2]transit_general!G34</f>
        <v>0</v>
      </c>
      <c r="J34" s="357">
        <f>[2]transit_general!H34</f>
        <v>0</v>
      </c>
      <c r="K34" s="261">
        <f>[2]transit_general!I34</f>
        <v>0</v>
      </c>
      <c r="L34" s="261">
        <f>[2]transit_general!J34</f>
        <v>0</v>
      </c>
      <c r="M34" s="261">
        <f>[2]transit_general!K34</f>
        <v>0</v>
      </c>
      <c r="N34" s="261">
        <f>[2]transit_general!L34</f>
        <v>0</v>
      </c>
      <c r="O34" s="261">
        <f>[2]transit_general!M34</f>
        <v>0</v>
      </c>
      <c r="Q34" s="5"/>
      <c r="R34" s="5" t="str">
        <f>md[[#This Row],[route]]&amp;"-"&amp;md[[#This Row],[mode_transit_route_id]]</f>
        <v>313-29</v>
      </c>
      <c r="S34" s="5">
        <f>Table_socioeca8.sandag.org_abm2_trb[[#This Row],[route]]</f>
        <v>313</v>
      </c>
      <c r="T34" s="2">
        <f>Table_socioeca8.sandag.org_abm2_trb[[#This Row],[mode_transit_route_id]]</f>
        <v>29</v>
      </c>
      <c r="U34" s="344">
        <f>Table_socioeca8.sandag.org_abm2_trb[[#This Row],[boarding_EA]]</f>
        <v>0</v>
      </c>
      <c r="V34" s="344">
        <f>Table_socioeca8.sandag.org_abm2_trb[[#This Row],[boarding_AM]]</f>
        <v>0</v>
      </c>
      <c r="W34" s="344">
        <f>Table_socioeca8.sandag.org_abm2_trb[[#This Row],[boarding_MD]]</f>
        <v>0</v>
      </c>
      <c r="X34" s="344">
        <f>Table_socioeca8.sandag.org_abm2_trb[[#This Row],[boarding_PM]]</f>
        <v>0</v>
      </c>
      <c r="Y34" s="344">
        <f>Table_socioeca8.sandag.org_abm2_trb[[#This Row],[boarding_EV]]</f>
        <v>0</v>
      </c>
      <c r="Z34" s="3">
        <f>Table_socioeca8.sandag.org_abm2_trb[[#This Row],[passenger_mile_EA]]</f>
        <v>0</v>
      </c>
      <c r="AA34" s="3">
        <f>Table_socioeca8.sandag.org_abm2_trb[[#This Row],[passenger_mile_AM]]</f>
        <v>0</v>
      </c>
      <c r="AB34" s="3">
        <f>Table_socioeca8.sandag.org_abm2_trb[[#This Row],[passenger_mile_MD]]</f>
        <v>0</v>
      </c>
      <c r="AC34" s="3">
        <f>Table_socioeca8.sandag.org_abm2_trb[[#This Row],[passenger_mile_PM]]</f>
        <v>0</v>
      </c>
      <c r="AD34" s="3">
        <f>Table_socioeca8.sandag.org_abm2_trb[[#This Row],[passenger_mile_EV]]</f>
        <v>0</v>
      </c>
      <c r="AE34" s="5">
        <f>Table_socioeca8.sandag.org_abm2_trb[[#This Row],[mode_transit_route_id]]</f>
        <v>29</v>
      </c>
      <c r="AF34"/>
      <c r="AG34"/>
    </row>
    <row r="35" spans="4:33" x14ac:dyDescent="0.3">
      <c r="D35" s="47">
        <f>[2]transit_general!B35</f>
        <v>315</v>
      </c>
      <c r="E35" s="261">
        <f>[2]transit_general!C35</f>
        <v>29</v>
      </c>
      <c r="F35" s="357">
        <f>[2]transit_general!D35</f>
        <v>0</v>
      </c>
      <c r="G35" s="357">
        <f>[2]transit_general!E35</f>
        <v>0</v>
      </c>
      <c r="H35" s="357">
        <f>[2]transit_general!F35</f>
        <v>0</v>
      </c>
      <c r="I35" s="357">
        <f>[2]transit_general!G35</f>
        <v>0</v>
      </c>
      <c r="J35" s="357">
        <f>[2]transit_general!H35</f>
        <v>0</v>
      </c>
      <c r="K35" s="261">
        <f>[2]transit_general!I35</f>
        <v>0</v>
      </c>
      <c r="L35" s="261">
        <f>[2]transit_general!J35</f>
        <v>0</v>
      </c>
      <c r="M35" s="261">
        <f>[2]transit_general!K35</f>
        <v>0</v>
      </c>
      <c r="N35" s="261">
        <f>[2]transit_general!L35</f>
        <v>0</v>
      </c>
      <c r="O35" s="261">
        <f>[2]transit_general!M35</f>
        <v>0</v>
      </c>
      <c r="Q35" s="5"/>
      <c r="R35" s="5" t="str">
        <f>md[[#This Row],[route]]&amp;"-"&amp;md[[#This Row],[mode_transit_route_id]]</f>
        <v>315-29</v>
      </c>
      <c r="S35" s="5">
        <f>Table_socioeca8.sandag.org_abm2_trb[[#This Row],[route]]</f>
        <v>315</v>
      </c>
      <c r="T35" s="2">
        <f>Table_socioeca8.sandag.org_abm2_trb[[#This Row],[mode_transit_route_id]]</f>
        <v>29</v>
      </c>
      <c r="U35" s="344">
        <f>Table_socioeca8.sandag.org_abm2_trb[[#This Row],[boarding_EA]]</f>
        <v>0</v>
      </c>
      <c r="V35" s="344">
        <f>Table_socioeca8.sandag.org_abm2_trb[[#This Row],[boarding_AM]]</f>
        <v>0</v>
      </c>
      <c r="W35" s="344">
        <f>Table_socioeca8.sandag.org_abm2_trb[[#This Row],[boarding_MD]]</f>
        <v>0</v>
      </c>
      <c r="X35" s="344">
        <f>Table_socioeca8.sandag.org_abm2_trb[[#This Row],[boarding_PM]]</f>
        <v>0</v>
      </c>
      <c r="Y35" s="344">
        <f>Table_socioeca8.sandag.org_abm2_trb[[#This Row],[boarding_EV]]</f>
        <v>0</v>
      </c>
      <c r="Z35" s="3">
        <f>Table_socioeca8.sandag.org_abm2_trb[[#This Row],[passenger_mile_EA]]</f>
        <v>0</v>
      </c>
      <c r="AA35" s="3">
        <f>Table_socioeca8.sandag.org_abm2_trb[[#This Row],[passenger_mile_AM]]</f>
        <v>0</v>
      </c>
      <c r="AB35" s="3">
        <f>Table_socioeca8.sandag.org_abm2_trb[[#This Row],[passenger_mile_MD]]</f>
        <v>0</v>
      </c>
      <c r="AC35" s="3">
        <f>Table_socioeca8.sandag.org_abm2_trb[[#This Row],[passenger_mile_PM]]</f>
        <v>0</v>
      </c>
      <c r="AD35" s="3">
        <f>Table_socioeca8.sandag.org_abm2_trb[[#This Row],[passenger_mile_EV]]</f>
        <v>0</v>
      </c>
      <c r="AE35" s="5">
        <f>Table_socioeca8.sandag.org_abm2_trb[[#This Row],[mode_transit_route_id]]</f>
        <v>29</v>
      </c>
      <c r="AF35"/>
      <c r="AG35"/>
    </row>
    <row r="36" spans="4:33" x14ac:dyDescent="0.3">
      <c r="D36" s="47">
        <f>[2]transit_general!B36</f>
        <v>316</v>
      </c>
      <c r="E36" s="261">
        <f>[2]transit_general!C36</f>
        <v>29</v>
      </c>
      <c r="F36" s="357">
        <f>[2]transit_general!D36</f>
        <v>0</v>
      </c>
      <c r="G36" s="357">
        <f>[2]transit_general!E36</f>
        <v>0</v>
      </c>
      <c r="H36" s="357">
        <f>[2]transit_general!F36</f>
        <v>0</v>
      </c>
      <c r="I36" s="357">
        <f>[2]transit_general!G36</f>
        <v>0</v>
      </c>
      <c r="J36" s="357">
        <f>[2]transit_general!H36</f>
        <v>0</v>
      </c>
      <c r="K36" s="261">
        <f>[2]transit_general!I36</f>
        <v>0</v>
      </c>
      <c r="L36" s="261">
        <f>[2]transit_general!J36</f>
        <v>0</v>
      </c>
      <c r="M36" s="261">
        <f>[2]transit_general!K36</f>
        <v>0</v>
      </c>
      <c r="N36" s="261">
        <f>[2]transit_general!L36</f>
        <v>0</v>
      </c>
      <c r="O36" s="261">
        <f>[2]transit_general!M36</f>
        <v>0</v>
      </c>
      <c r="Q36" s="5"/>
      <c r="R36" s="5" t="str">
        <f>md[[#This Row],[route]]&amp;"-"&amp;md[[#This Row],[mode_transit_route_id]]</f>
        <v>316-29</v>
      </c>
      <c r="S36" s="5">
        <f>Table_socioeca8.sandag.org_abm2_trb[[#This Row],[route]]</f>
        <v>316</v>
      </c>
      <c r="T36" s="2">
        <f>Table_socioeca8.sandag.org_abm2_trb[[#This Row],[mode_transit_route_id]]</f>
        <v>29</v>
      </c>
      <c r="U36" s="344">
        <f>Table_socioeca8.sandag.org_abm2_trb[[#This Row],[boarding_EA]]</f>
        <v>0</v>
      </c>
      <c r="V36" s="344">
        <f>Table_socioeca8.sandag.org_abm2_trb[[#This Row],[boarding_AM]]</f>
        <v>0</v>
      </c>
      <c r="W36" s="344">
        <f>Table_socioeca8.sandag.org_abm2_trb[[#This Row],[boarding_MD]]</f>
        <v>0</v>
      </c>
      <c r="X36" s="344">
        <f>Table_socioeca8.sandag.org_abm2_trb[[#This Row],[boarding_PM]]</f>
        <v>0</v>
      </c>
      <c r="Y36" s="344">
        <f>Table_socioeca8.sandag.org_abm2_trb[[#This Row],[boarding_EV]]</f>
        <v>0</v>
      </c>
      <c r="Z36" s="3">
        <f>Table_socioeca8.sandag.org_abm2_trb[[#This Row],[passenger_mile_EA]]</f>
        <v>0</v>
      </c>
      <c r="AA36" s="3">
        <f>Table_socioeca8.sandag.org_abm2_trb[[#This Row],[passenger_mile_AM]]</f>
        <v>0</v>
      </c>
      <c r="AB36" s="3">
        <f>Table_socioeca8.sandag.org_abm2_trb[[#This Row],[passenger_mile_MD]]</f>
        <v>0</v>
      </c>
      <c r="AC36" s="3">
        <f>Table_socioeca8.sandag.org_abm2_trb[[#This Row],[passenger_mile_PM]]</f>
        <v>0</v>
      </c>
      <c r="AD36" s="3">
        <f>Table_socioeca8.sandag.org_abm2_trb[[#This Row],[passenger_mile_EV]]</f>
        <v>0</v>
      </c>
      <c r="AE36" s="5">
        <f>Table_socioeca8.sandag.org_abm2_trb[[#This Row],[mode_transit_route_id]]</f>
        <v>29</v>
      </c>
      <c r="AF36"/>
      <c r="AG36"/>
    </row>
    <row r="37" spans="4:33" x14ac:dyDescent="0.3">
      <c r="D37" s="47">
        <f>[2]transit_general!B37</f>
        <v>318</v>
      </c>
      <c r="E37" s="261">
        <f>[2]transit_general!C37</f>
        <v>29</v>
      </c>
      <c r="F37" s="357">
        <f>[2]transit_general!D37</f>
        <v>0</v>
      </c>
      <c r="G37" s="357">
        <f>[2]transit_general!E37</f>
        <v>0</v>
      </c>
      <c r="H37" s="357">
        <f>[2]transit_general!F37</f>
        <v>0</v>
      </c>
      <c r="I37" s="357">
        <f>[2]transit_general!G37</f>
        <v>0</v>
      </c>
      <c r="J37" s="357">
        <f>[2]transit_general!H37</f>
        <v>0</v>
      </c>
      <c r="K37" s="261">
        <f>[2]transit_general!I37</f>
        <v>0</v>
      </c>
      <c r="L37" s="261">
        <f>[2]transit_general!J37</f>
        <v>0</v>
      </c>
      <c r="M37" s="261">
        <f>[2]transit_general!K37</f>
        <v>0</v>
      </c>
      <c r="N37" s="261">
        <f>[2]transit_general!L37</f>
        <v>0</v>
      </c>
      <c r="O37" s="261">
        <f>[2]transit_general!M37</f>
        <v>0</v>
      </c>
      <c r="Q37" s="5"/>
      <c r="R37" s="5" t="str">
        <f>md[[#This Row],[route]]&amp;"-"&amp;md[[#This Row],[mode_transit_route_id]]</f>
        <v>318-29</v>
      </c>
      <c r="S37" s="5">
        <f>Table_socioeca8.sandag.org_abm2_trb[[#This Row],[route]]</f>
        <v>318</v>
      </c>
      <c r="T37" s="2">
        <f>Table_socioeca8.sandag.org_abm2_trb[[#This Row],[mode_transit_route_id]]</f>
        <v>29</v>
      </c>
      <c r="U37" s="344">
        <f>Table_socioeca8.sandag.org_abm2_trb[[#This Row],[boarding_EA]]</f>
        <v>0</v>
      </c>
      <c r="V37" s="344">
        <f>Table_socioeca8.sandag.org_abm2_trb[[#This Row],[boarding_AM]]</f>
        <v>0</v>
      </c>
      <c r="W37" s="344">
        <f>Table_socioeca8.sandag.org_abm2_trb[[#This Row],[boarding_MD]]</f>
        <v>0</v>
      </c>
      <c r="X37" s="344">
        <f>Table_socioeca8.sandag.org_abm2_trb[[#This Row],[boarding_PM]]</f>
        <v>0</v>
      </c>
      <c r="Y37" s="344">
        <f>Table_socioeca8.sandag.org_abm2_trb[[#This Row],[boarding_EV]]</f>
        <v>0</v>
      </c>
      <c r="Z37" s="3">
        <f>Table_socioeca8.sandag.org_abm2_trb[[#This Row],[passenger_mile_EA]]</f>
        <v>0</v>
      </c>
      <c r="AA37" s="3">
        <f>Table_socioeca8.sandag.org_abm2_trb[[#This Row],[passenger_mile_AM]]</f>
        <v>0</v>
      </c>
      <c r="AB37" s="3">
        <f>Table_socioeca8.sandag.org_abm2_trb[[#This Row],[passenger_mile_MD]]</f>
        <v>0</v>
      </c>
      <c r="AC37" s="3">
        <f>Table_socioeca8.sandag.org_abm2_trb[[#This Row],[passenger_mile_PM]]</f>
        <v>0</v>
      </c>
      <c r="AD37" s="3">
        <f>Table_socioeca8.sandag.org_abm2_trb[[#This Row],[passenger_mile_EV]]</f>
        <v>0</v>
      </c>
      <c r="AE37" s="5">
        <f>Table_socioeca8.sandag.org_abm2_trb[[#This Row],[mode_transit_route_id]]</f>
        <v>29</v>
      </c>
      <c r="AF37"/>
      <c r="AG37"/>
    </row>
    <row r="38" spans="4:33" x14ac:dyDescent="0.3">
      <c r="D38" s="47">
        <f>[2]transit_general!B38</f>
        <v>323</v>
      </c>
      <c r="E38" s="261">
        <f>[2]transit_general!C38</f>
        <v>29</v>
      </c>
      <c r="F38" s="357">
        <f>[2]transit_general!D38</f>
        <v>0</v>
      </c>
      <c r="G38" s="357">
        <f>[2]transit_general!E38</f>
        <v>0</v>
      </c>
      <c r="H38" s="357">
        <f>[2]transit_general!F38</f>
        <v>0</v>
      </c>
      <c r="I38" s="357">
        <f>[2]transit_general!G38</f>
        <v>0</v>
      </c>
      <c r="J38" s="357">
        <f>[2]transit_general!H38</f>
        <v>0</v>
      </c>
      <c r="K38" s="261">
        <f>[2]transit_general!I38</f>
        <v>0</v>
      </c>
      <c r="L38" s="261">
        <f>[2]transit_general!J38</f>
        <v>0</v>
      </c>
      <c r="M38" s="261">
        <f>[2]transit_general!K38</f>
        <v>0</v>
      </c>
      <c r="N38" s="261">
        <f>[2]transit_general!L38</f>
        <v>0</v>
      </c>
      <c r="O38" s="261">
        <f>[2]transit_general!M38</f>
        <v>0</v>
      </c>
      <c r="Q38" s="5"/>
      <c r="R38" s="5" t="str">
        <f>md[[#This Row],[route]]&amp;"-"&amp;md[[#This Row],[mode_transit_route_id]]</f>
        <v>323-29</v>
      </c>
      <c r="S38" s="5">
        <f>Table_socioeca8.sandag.org_abm2_trb[[#This Row],[route]]</f>
        <v>323</v>
      </c>
      <c r="T38" s="2">
        <f>Table_socioeca8.sandag.org_abm2_trb[[#This Row],[mode_transit_route_id]]</f>
        <v>29</v>
      </c>
      <c r="U38" s="344">
        <f>Table_socioeca8.sandag.org_abm2_trb[[#This Row],[boarding_EA]]</f>
        <v>0</v>
      </c>
      <c r="V38" s="344">
        <f>Table_socioeca8.sandag.org_abm2_trb[[#This Row],[boarding_AM]]</f>
        <v>0</v>
      </c>
      <c r="W38" s="344">
        <f>Table_socioeca8.sandag.org_abm2_trb[[#This Row],[boarding_MD]]</f>
        <v>0</v>
      </c>
      <c r="X38" s="344">
        <f>Table_socioeca8.sandag.org_abm2_trb[[#This Row],[boarding_PM]]</f>
        <v>0</v>
      </c>
      <c r="Y38" s="344">
        <f>Table_socioeca8.sandag.org_abm2_trb[[#This Row],[boarding_EV]]</f>
        <v>0</v>
      </c>
      <c r="Z38" s="3">
        <f>Table_socioeca8.sandag.org_abm2_trb[[#This Row],[passenger_mile_EA]]</f>
        <v>0</v>
      </c>
      <c r="AA38" s="3">
        <f>Table_socioeca8.sandag.org_abm2_trb[[#This Row],[passenger_mile_AM]]</f>
        <v>0</v>
      </c>
      <c r="AB38" s="3">
        <f>Table_socioeca8.sandag.org_abm2_trb[[#This Row],[passenger_mile_MD]]</f>
        <v>0</v>
      </c>
      <c r="AC38" s="3">
        <f>Table_socioeca8.sandag.org_abm2_trb[[#This Row],[passenger_mile_PM]]</f>
        <v>0</v>
      </c>
      <c r="AD38" s="3">
        <f>Table_socioeca8.sandag.org_abm2_trb[[#This Row],[passenger_mile_EV]]</f>
        <v>0</v>
      </c>
      <c r="AE38" s="5">
        <f>Table_socioeca8.sandag.org_abm2_trb[[#This Row],[mode_transit_route_id]]</f>
        <v>29</v>
      </c>
      <c r="AF38"/>
      <c r="AG38"/>
    </row>
    <row r="39" spans="4:33" x14ac:dyDescent="0.3">
      <c r="D39" s="47">
        <f>[2]transit_general!B39</f>
        <v>325</v>
      </c>
      <c r="E39" s="261">
        <f>[2]transit_general!C39</f>
        <v>29</v>
      </c>
      <c r="F39" s="357">
        <f>[2]transit_general!D39</f>
        <v>0</v>
      </c>
      <c r="G39" s="357">
        <f>[2]transit_general!E39</f>
        <v>0</v>
      </c>
      <c r="H39" s="357">
        <f>[2]transit_general!F39</f>
        <v>0</v>
      </c>
      <c r="I39" s="357">
        <f>[2]transit_general!G39</f>
        <v>0</v>
      </c>
      <c r="J39" s="357">
        <f>[2]transit_general!H39</f>
        <v>0</v>
      </c>
      <c r="K39" s="261">
        <f>[2]transit_general!I39</f>
        <v>0</v>
      </c>
      <c r="L39" s="261">
        <f>[2]transit_general!J39</f>
        <v>0</v>
      </c>
      <c r="M39" s="261">
        <f>[2]transit_general!K39</f>
        <v>0</v>
      </c>
      <c r="N39" s="261">
        <f>[2]transit_general!L39</f>
        <v>0</v>
      </c>
      <c r="O39" s="261">
        <f>[2]transit_general!M39</f>
        <v>0</v>
      </c>
      <c r="Q39" s="5"/>
      <c r="R39" s="5" t="str">
        <f>md[[#This Row],[route]]&amp;"-"&amp;md[[#This Row],[mode_transit_route_id]]</f>
        <v>325-29</v>
      </c>
      <c r="S39" s="5">
        <f>Table_socioeca8.sandag.org_abm2_trb[[#This Row],[route]]</f>
        <v>325</v>
      </c>
      <c r="T39" s="2">
        <f>Table_socioeca8.sandag.org_abm2_trb[[#This Row],[mode_transit_route_id]]</f>
        <v>29</v>
      </c>
      <c r="U39" s="344">
        <f>Table_socioeca8.sandag.org_abm2_trb[[#This Row],[boarding_EA]]</f>
        <v>0</v>
      </c>
      <c r="V39" s="344">
        <f>Table_socioeca8.sandag.org_abm2_trb[[#This Row],[boarding_AM]]</f>
        <v>0</v>
      </c>
      <c r="W39" s="344">
        <f>Table_socioeca8.sandag.org_abm2_trb[[#This Row],[boarding_MD]]</f>
        <v>0</v>
      </c>
      <c r="X39" s="344">
        <f>Table_socioeca8.sandag.org_abm2_trb[[#This Row],[boarding_PM]]</f>
        <v>0</v>
      </c>
      <c r="Y39" s="344">
        <f>Table_socioeca8.sandag.org_abm2_trb[[#This Row],[boarding_EV]]</f>
        <v>0</v>
      </c>
      <c r="Z39" s="3">
        <f>Table_socioeca8.sandag.org_abm2_trb[[#This Row],[passenger_mile_EA]]</f>
        <v>0</v>
      </c>
      <c r="AA39" s="3">
        <f>Table_socioeca8.sandag.org_abm2_trb[[#This Row],[passenger_mile_AM]]</f>
        <v>0</v>
      </c>
      <c r="AB39" s="3">
        <f>Table_socioeca8.sandag.org_abm2_trb[[#This Row],[passenger_mile_MD]]</f>
        <v>0</v>
      </c>
      <c r="AC39" s="3">
        <f>Table_socioeca8.sandag.org_abm2_trb[[#This Row],[passenger_mile_PM]]</f>
        <v>0</v>
      </c>
      <c r="AD39" s="3">
        <f>Table_socioeca8.sandag.org_abm2_trb[[#This Row],[passenger_mile_EV]]</f>
        <v>0</v>
      </c>
      <c r="AE39" s="5">
        <f>Table_socioeca8.sandag.org_abm2_trb[[#This Row],[mode_transit_route_id]]</f>
        <v>29</v>
      </c>
      <c r="AF39"/>
      <c r="AG39"/>
    </row>
    <row r="40" spans="4:33" x14ac:dyDescent="0.3">
      <c r="D40" s="47">
        <f>[2]transit_general!B40</f>
        <v>332</v>
      </c>
      <c r="E40" s="261">
        <f>[2]transit_general!C40</f>
        <v>29</v>
      </c>
      <c r="F40" s="357">
        <f>[2]transit_general!D40</f>
        <v>0</v>
      </c>
      <c r="G40" s="357">
        <f>[2]transit_general!E40</f>
        <v>0</v>
      </c>
      <c r="H40" s="357">
        <f>[2]transit_general!F40</f>
        <v>0</v>
      </c>
      <c r="I40" s="357">
        <f>[2]transit_general!G40</f>
        <v>0</v>
      </c>
      <c r="J40" s="357">
        <f>[2]transit_general!H40</f>
        <v>0</v>
      </c>
      <c r="K40" s="261">
        <f>[2]transit_general!I40</f>
        <v>0</v>
      </c>
      <c r="L40" s="261">
        <f>[2]transit_general!J40</f>
        <v>0</v>
      </c>
      <c r="M40" s="261">
        <f>[2]transit_general!K40</f>
        <v>0</v>
      </c>
      <c r="N40" s="261">
        <f>[2]transit_general!L40</f>
        <v>0</v>
      </c>
      <c r="O40" s="261">
        <f>[2]transit_general!M40</f>
        <v>0</v>
      </c>
      <c r="Q40" s="5"/>
      <c r="R40" s="5" t="str">
        <f>md[[#This Row],[route]]&amp;"-"&amp;md[[#This Row],[mode_transit_route_id]]</f>
        <v>332-29</v>
      </c>
      <c r="S40" s="5">
        <f>Table_socioeca8.sandag.org_abm2_trb[[#This Row],[route]]</f>
        <v>332</v>
      </c>
      <c r="T40" s="2">
        <f>Table_socioeca8.sandag.org_abm2_trb[[#This Row],[mode_transit_route_id]]</f>
        <v>29</v>
      </c>
      <c r="U40" s="344">
        <f>Table_socioeca8.sandag.org_abm2_trb[[#This Row],[boarding_EA]]</f>
        <v>0</v>
      </c>
      <c r="V40" s="344">
        <f>Table_socioeca8.sandag.org_abm2_trb[[#This Row],[boarding_AM]]</f>
        <v>0</v>
      </c>
      <c r="W40" s="344">
        <f>Table_socioeca8.sandag.org_abm2_trb[[#This Row],[boarding_MD]]</f>
        <v>0</v>
      </c>
      <c r="X40" s="344">
        <f>Table_socioeca8.sandag.org_abm2_trb[[#This Row],[boarding_PM]]</f>
        <v>0</v>
      </c>
      <c r="Y40" s="344">
        <f>Table_socioeca8.sandag.org_abm2_trb[[#This Row],[boarding_EV]]</f>
        <v>0</v>
      </c>
      <c r="Z40" s="3">
        <f>Table_socioeca8.sandag.org_abm2_trb[[#This Row],[passenger_mile_EA]]</f>
        <v>0</v>
      </c>
      <c r="AA40" s="3">
        <f>Table_socioeca8.sandag.org_abm2_trb[[#This Row],[passenger_mile_AM]]</f>
        <v>0</v>
      </c>
      <c r="AB40" s="3">
        <f>Table_socioeca8.sandag.org_abm2_trb[[#This Row],[passenger_mile_MD]]</f>
        <v>0</v>
      </c>
      <c r="AC40" s="3">
        <f>Table_socioeca8.sandag.org_abm2_trb[[#This Row],[passenger_mile_PM]]</f>
        <v>0</v>
      </c>
      <c r="AD40" s="3">
        <f>Table_socioeca8.sandag.org_abm2_trb[[#This Row],[passenger_mile_EV]]</f>
        <v>0</v>
      </c>
      <c r="AE40" s="5">
        <f>Table_socioeca8.sandag.org_abm2_trb[[#This Row],[mode_transit_route_id]]</f>
        <v>29</v>
      </c>
      <c r="AF40"/>
      <c r="AG40"/>
    </row>
    <row r="41" spans="4:33" x14ac:dyDescent="0.3">
      <c r="D41" s="47">
        <f>[2]transit_general!B41</f>
        <v>334</v>
      </c>
      <c r="E41" s="261">
        <f>[2]transit_general!C41</f>
        <v>29</v>
      </c>
      <c r="F41" s="357">
        <f>[2]transit_general!D41</f>
        <v>0</v>
      </c>
      <c r="G41" s="357">
        <f>[2]transit_general!E41</f>
        <v>0</v>
      </c>
      <c r="H41" s="357">
        <f>[2]transit_general!F41</f>
        <v>0</v>
      </c>
      <c r="I41" s="357">
        <f>[2]transit_general!G41</f>
        <v>0</v>
      </c>
      <c r="J41" s="357">
        <f>[2]transit_general!H41</f>
        <v>0</v>
      </c>
      <c r="K41" s="261">
        <f>[2]transit_general!I41</f>
        <v>0</v>
      </c>
      <c r="L41" s="261">
        <f>[2]transit_general!J41</f>
        <v>0</v>
      </c>
      <c r="M41" s="261">
        <f>[2]transit_general!K41</f>
        <v>0</v>
      </c>
      <c r="N41" s="261">
        <f>[2]transit_general!L41</f>
        <v>0</v>
      </c>
      <c r="O41" s="261">
        <f>[2]transit_general!M41</f>
        <v>0</v>
      </c>
      <c r="Q41" s="5"/>
      <c r="R41" s="5" t="str">
        <f>md[[#This Row],[route]]&amp;"-"&amp;md[[#This Row],[mode_transit_route_id]]</f>
        <v>334-29</v>
      </c>
      <c r="S41" s="5">
        <f>Table_socioeca8.sandag.org_abm2_trb[[#This Row],[route]]</f>
        <v>334</v>
      </c>
      <c r="T41" s="2">
        <f>Table_socioeca8.sandag.org_abm2_trb[[#This Row],[mode_transit_route_id]]</f>
        <v>29</v>
      </c>
      <c r="U41" s="344">
        <f>Table_socioeca8.sandag.org_abm2_trb[[#This Row],[boarding_EA]]</f>
        <v>0</v>
      </c>
      <c r="V41" s="344">
        <f>Table_socioeca8.sandag.org_abm2_trb[[#This Row],[boarding_AM]]</f>
        <v>0</v>
      </c>
      <c r="W41" s="344">
        <f>Table_socioeca8.sandag.org_abm2_trb[[#This Row],[boarding_MD]]</f>
        <v>0</v>
      </c>
      <c r="X41" s="344">
        <f>Table_socioeca8.sandag.org_abm2_trb[[#This Row],[boarding_PM]]</f>
        <v>0</v>
      </c>
      <c r="Y41" s="344">
        <f>Table_socioeca8.sandag.org_abm2_trb[[#This Row],[boarding_EV]]</f>
        <v>0</v>
      </c>
      <c r="Z41" s="3">
        <f>Table_socioeca8.sandag.org_abm2_trb[[#This Row],[passenger_mile_EA]]</f>
        <v>0</v>
      </c>
      <c r="AA41" s="3">
        <f>Table_socioeca8.sandag.org_abm2_trb[[#This Row],[passenger_mile_AM]]</f>
        <v>0</v>
      </c>
      <c r="AB41" s="3">
        <f>Table_socioeca8.sandag.org_abm2_trb[[#This Row],[passenger_mile_MD]]</f>
        <v>0</v>
      </c>
      <c r="AC41" s="3">
        <f>Table_socioeca8.sandag.org_abm2_trb[[#This Row],[passenger_mile_PM]]</f>
        <v>0</v>
      </c>
      <c r="AD41" s="3">
        <f>Table_socioeca8.sandag.org_abm2_trb[[#This Row],[passenger_mile_EV]]</f>
        <v>0</v>
      </c>
      <c r="AE41" s="5">
        <f>Table_socioeca8.sandag.org_abm2_trb[[#This Row],[mode_transit_route_id]]</f>
        <v>29</v>
      </c>
      <c r="AF41"/>
      <c r="AG41"/>
    </row>
    <row r="42" spans="4:33" x14ac:dyDescent="0.3">
      <c r="D42" s="47">
        <f>[2]transit_general!B42</f>
        <v>347</v>
      </c>
      <c r="E42" s="261">
        <f>[2]transit_general!C42</f>
        <v>29</v>
      </c>
      <c r="F42" s="357">
        <f>[2]transit_general!D42</f>
        <v>0</v>
      </c>
      <c r="G42" s="357">
        <f>[2]transit_general!E42</f>
        <v>0</v>
      </c>
      <c r="H42" s="357">
        <f>[2]transit_general!F42</f>
        <v>0</v>
      </c>
      <c r="I42" s="357">
        <f>[2]transit_general!G42</f>
        <v>0</v>
      </c>
      <c r="J42" s="357">
        <f>[2]transit_general!H42</f>
        <v>0</v>
      </c>
      <c r="K42" s="261">
        <f>[2]transit_general!I42</f>
        <v>0</v>
      </c>
      <c r="L42" s="261">
        <f>[2]transit_general!J42</f>
        <v>0</v>
      </c>
      <c r="M42" s="261">
        <f>[2]transit_general!K42</f>
        <v>0</v>
      </c>
      <c r="N42" s="261">
        <f>[2]transit_general!L42</f>
        <v>0</v>
      </c>
      <c r="O42" s="261">
        <f>[2]transit_general!M42</f>
        <v>0</v>
      </c>
      <c r="Q42" s="5"/>
      <c r="R42" s="5" t="str">
        <f>md[[#This Row],[route]]&amp;"-"&amp;md[[#This Row],[mode_transit_route_id]]</f>
        <v>347-29</v>
      </c>
      <c r="S42" s="5">
        <f>Table_socioeca8.sandag.org_abm2_trb[[#This Row],[route]]</f>
        <v>347</v>
      </c>
      <c r="T42" s="2">
        <f>Table_socioeca8.sandag.org_abm2_trb[[#This Row],[mode_transit_route_id]]</f>
        <v>29</v>
      </c>
      <c r="U42" s="344">
        <f>Table_socioeca8.sandag.org_abm2_trb[[#This Row],[boarding_EA]]</f>
        <v>0</v>
      </c>
      <c r="V42" s="344">
        <f>Table_socioeca8.sandag.org_abm2_trb[[#This Row],[boarding_AM]]</f>
        <v>0</v>
      </c>
      <c r="W42" s="344">
        <f>Table_socioeca8.sandag.org_abm2_trb[[#This Row],[boarding_MD]]</f>
        <v>0</v>
      </c>
      <c r="X42" s="344">
        <f>Table_socioeca8.sandag.org_abm2_trb[[#This Row],[boarding_PM]]</f>
        <v>0</v>
      </c>
      <c r="Y42" s="344">
        <f>Table_socioeca8.sandag.org_abm2_trb[[#This Row],[boarding_EV]]</f>
        <v>0</v>
      </c>
      <c r="Z42" s="3">
        <f>Table_socioeca8.sandag.org_abm2_trb[[#This Row],[passenger_mile_EA]]</f>
        <v>0</v>
      </c>
      <c r="AA42" s="3">
        <f>Table_socioeca8.sandag.org_abm2_trb[[#This Row],[passenger_mile_AM]]</f>
        <v>0</v>
      </c>
      <c r="AB42" s="3">
        <f>Table_socioeca8.sandag.org_abm2_trb[[#This Row],[passenger_mile_MD]]</f>
        <v>0</v>
      </c>
      <c r="AC42" s="3">
        <f>Table_socioeca8.sandag.org_abm2_trb[[#This Row],[passenger_mile_PM]]</f>
        <v>0</v>
      </c>
      <c r="AD42" s="3">
        <f>Table_socioeca8.sandag.org_abm2_trb[[#This Row],[passenger_mile_EV]]</f>
        <v>0</v>
      </c>
      <c r="AE42" s="5">
        <f>Table_socioeca8.sandag.org_abm2_trb[[#This Row],[mode_transit_route_id]]</f>
        <v>29</v>
      </c>
      <c r="AF42"/>
      <c r="AG42"/>
    </row>
    <row r="43" spans="4:33" x14ac:dyDescent="0.3">
      <c r="D43" s="47">
        <f>[2]transit_general!B43</f>
        <v>350</v>
      </c>
      <c r="E43" s="261">
        <f>[2]transit_general!C43</f>
        <v>26</v>
      </c>
      <c r="F43" s="357">
        <f>[2]transit_general!D43</f>
        <v>0</v>
      </c>
      <c r="G43" s="357">
        <f>[2]transit_general!E43</f>
        <v>0</v>
      </c>
      <c r="H43" s="357">
        <f>[2]transit_general!F43</f>
        <v>0</v>
      </c>
      <c r="I43" s="357">
        <f>[2]transit_general!G43</f>
        <v>0</v>
      </c>
      <c r="J43" s="357">
        <f>[2]transit_general!H43</f>
        <v>0</v>
      </c>
      <c r="K43" s="261">
        <f>[2]transit_general!I43</f>
        <v>0</v>
      </c>
      <c r="L43" s="261">
        <f>[2]transit_general!J43</f>
        <v>0</v>
      </c>
      <c r="M43" s="261">
        <f>[2]transit_general!K43</f>
        <v>0</v>
      </c>
      <c r="N43" s="261">
        <f>[2]transit_general!L43</f>
        <v>0</v>
      </c>
      <c r="O43" s="261">
        <f>[2]transit_general!M43</f>
        <v>0</v>
      </c>
      <c r="Q43" s="5"/>
      <c r="R43" s="5" t="str">
        <f>md[[#This Row],[route]]&amp;"-"&amp;md[[#This Row],[mode_transit_route_id]]</f>
        <v>350-26</v>
      </c>
      <c r="S43" s="5">
        <f>Table_socioeca8.sandag.org_abm2_trb[[#This Row],[route]]</f>
        <v>350</v>
      </c>
      <c r="T43" s="2">
        <f>Table_socioeca8.sandag.org_abm2_trb[[#This Row],[mode_transit_route_id]]</f>
        <v>26</v>
      </c>
      <c r="U43" s="344">
        <f>Table_socioeca8.sandag.org_abm2_trb[[#This Row],[boarding_EA]]</f>
        <v>0</v>
      </c>
      <c r="V43" s="344">
        <f>Table_socioeca8.sandag.org_abm2_trb[[#This Row],[boarding_AM]]</f>
        <v>0</v>
      </c>
      <c r="W43" s="344">
        <f>Table_socioeca8.sandag.org_abm2_trb[[#This Row],[boarding_MD]]</f>
        <v>0</v>
      </c>
      <c r="X43" s="344">
        <f>Table_socioeca8.sandag.org_abm2_trb[[#This Row],[boarding_PM]]</f>
        <v>0</v>
      </c>
      <c r="Y43" s="344">
        <f>Table_socioeca8.sandag.org_abm2_trb[[#This Row],[boarding_EV]]</f>
        <v>0</v>
      </c>
      <c r="Z43" s="3">
        <f>Table_socioeca8.sandag.org_abm2_trb[[#This Row],[passenger_mile_EA]]</f>
        <v>0</v>
      </c>
      <c r="AA43" s="3">
        <f>Table_socioeca8.sandag.org_abm2_trb[[#This Row],[passenger_mile_AM]]</f>
        <v>0</v>
      </c>
      <c r="AB43" s="3">
        <f>Table_socioeca8.sandag.org_abm2_trb[[#This Row],[passenger_mile_MD]]</f>
        <v>0</v>
      </c>
      <c r="AC43" s="3">
        <f>Table_socioeca8.sandag.org_abm2_trb[[#This Row],[passenger_mile_PM]]</f>
        <v>0</v>
      </c>
      <c r="AD43" s="3">
        <f>Table_socioeca8.sandag.org_abm2_trb[[#This Row],[passenger_mile_EV]]</f>
        <v>0</v>
      </c>
      <c r="AE43" s="5">
        <f>Table_socioeca8.sandag.org_abm2_trb[[#This Row],[mode_transit_route_id]]</f>
        <v>26</v>
      </c>
      <c r="AF43"/>
      <c r="AG43"/>
    </row>
    <row r="44" spans="4:33" x14ac:dyDescent="0.3">
      <c r="D44" s="47">
        <f>[2]transit_general!B44</f>
        <v>351</v>
      </c>
      <c r="E44" s="261">
        <f>[2]transit_general!C44</f>
        <v>29</v>
      </c>
      <c r="F44" s="357">
        <f>[2]transit_general!D44</f>
        <v>0</v>
      </c>
      <c r="G44" s="357">
        <f>[2]transit_general!E44</f>
        <v>0</v>
      </c>
      <c r="H44" s="357">
        <f>[2]transit_general!F44</f>
        <v>0</v>
      </c>
      <c r="I44" s="357">
        <f>[2]transit_general!G44</f>
        <v>0</v>
      </c>
      <c r="J44" s="357">
        <f>[2]transit_general!H44</f>
        <v>0</v>
      </c>
      <c r="K44" s="261">
        <f>[2]transit_general!I44</f>
        <v>0</v>
      </c>
      <c r="L44" s="261">
        <f>[2]transit_general!J44</f>
        <v>0</v>
      </c>
      <c r="M44" s="261">
        <f>[2]transit_general!K44</f>
        <v>0</v>
      </c>
      <c r="N44" s="261">
        <f>[2]transit_general!L44</f>
        <v>0</v>
      </c>
      <c r="O44" s="261">
        <f>[2]transit_general!M44</f>
        <v>0</v>
      </c>
      <c r="Q44" s="5"/>
      <c r="R44" s="5" t="str">
        <f>md[[#This Row],[route]]&amp;"-"&amp;md[[#This Row],[mode_transit_route_id]]</f>
        <v>351-29</v>
      </c>
      <c r="S44" s="5">
        <f>Table_socioeca8.sandag.org_abm2_trb[[#This Row],[route]]</f>
        <v>351</v>
      </c>
      <c r="T44" s="2">
        <f>Table_socioeca8.sandag.org_abm2_trb[[#This Row],[mode_transit_route_id]]</f>
        <v>29</v>
      </c>
      <c r="U44" s="344">
        <f>Table_socioeca8.sandag.org_abm2_trb[[#This Row],[boarding_EA]]</f>
        <v>0</v>
      </c>
      <c r="V44" s="344">
        <f>Table_socioeca8.sandag.org_abm2_trb[[#This Row],[boarding_AM]]</f>
        <v>0</v>
      </c>
      <c r="W44" s="344">
        <f>Table_socioeca8.sandag.org_abm2_trb[[#This Row],[boarding_MD]]</f>
        <v>0</v>
      </c>
      <c r="X44" s="344">
        <f>Table_socioeca8.sandag.org_abm2_trb[[#This Row],[boarding_PM]]</f>
        <v>0</v>
      </c>
      <c r="Y44" s="344">
        <f>Table_socioeca8.sandag.org_abm2_trb[[#This Row],[boarding_EV]]</f>
        <v>0</v>
      </c>
      <c r="Z44" s="3">
        <f>Table_socioeca8.sandag.org_abm2_trb[[#This Row],[passenger_mile_EA]]</f>
        <v>0</v>
      </c>
      <c r="AA44" s="3">
        <f>Table_socioeca8.sandag.org_abm2_trb[[#This Row],[passenger_mile_AM]]</f>
        <v>0</v>
      </c>
      <c r="AB44" s="3">
        <f>Table_socioeca8.sandag.org_abm2_trb[[#This Row],[passenger_mile_MD]]</f>
        <v>0</v>
      </c>
      <c r="AC44" s="3">
        <f>Table_socioeca8.sandag.org_abm2_trb[[#This Row],[passenger_mile_PM]]</f>
        <v>0</v>
      </c>
      <c r="AD44" s="3">
        <f>Table_socioeca8.sandag.org_abm2_trb[[#This Row],[passenger_mile_EV]]</f>
        <v>0</v>
      </c>
      <c r="AE44" s="5">
        <f>Table_socioeca8.sandag.org_abm2_trb[[#This Row],[mode_transit_route_id]]</f>
        <v>29</v>
      </c>
      <c r="AF44"/>
      <c r="AG44"/>
    </row>
    <row r="45" spans="4:33" x14ac:dyDescent="0.3">
      <c r="D45" s="47">
        <f>[2]transit_general!B45</f>
        <v>352</v>
      </c>
      <c r="E45" s="261">
        <f>[2]transit_general!C45</f>
        <v>29</v>
      </c>
      <c r="F45" s="357">
        <f>[2]transit_general!D45</f>
        <v>0</v>
      </c>
      <c r="G45" s="357">
        <f>[2]transit_general!E45</f>
        <v>0</v>
      </c>
      <c r="H45" s="357">
        <f>[2]transit_general!F45</f>
        <v>0</v>
      </c>
      <c r="I45" s="357">
        <f>[2]transit_general!G45</f>
        <v>0</v>
      </c>
      <c r="J45" s="357">
        <f>[2]transit_general!H45</f>
        <v>0</v>
      </c>
      <c r="K45" s="261">
        <f>[2]transit_general!I45</f>
        <v>0</v>
      </c>
      <c r="L45" s="261">
        <f>[2]transit_general!J45</f>
        <v>0</v>
      </c>
      <c r="M45" s="261">
        <f>[2]transit_general!K45</f>
        <v>0</v>
      </c>
      <c r="N45" s="261">
        <f>[2]transit_general!L45</f>
        <v>0</v>
      </c>
      <c r="O45" s="261">
        <f>[2]transit_general!M45</f>
        <v>0</v>
      </c>
      <c r="Q45" s="5"/>
      <c r="R45" s="5" t="str">
        <f>md[[#This Row],[route]]&amp;"-"&amp;md[[#This Row],[mode_transit_route_id]]</f>
        <v>352-29</v>
      </c>
      <c r="S45" s="5">
        <f>Table_socioeca8.sandag.org_abm2_trb[[#This Row],[route]]</f>
        <v>352</v>
      </c>
      <c r="T45" s="2">
        <f>Table_socioeca8.sandag.org_abm2_trb[[#This Row],[mode_transit_route_id]]</f>
        <v>29</v>
      </c>
      <c r="U45" s="344">
        <f>Table_socioeca8.sandag.org_abm2_trb[[#This Row],[boarding_EA]]</f>
        <v>0</v>
      </c>
      <c r="V45" s="344">
        <f>Table_socioeca8.sandag.org_abm2_trb[[#This Row],[boarding_AM]]</f>
        <v>0</v>
      </c>
      <c r="W45" s="344">
        <f>Table_socioeca8.sandag.org_abm2_trb[[#This Row],[boarding_MD]]</f>
        <v>0</v>
      </c>
      <c r="X45" s="344">
        <f>Table_socioeca8.sandag.org_abm2_trb[[#This Row],[boarding_PM]]</f>
        <v>0</v>
      </c>
      <c r="Y45" s="344">
        <f>Table_socioeca8.sandag.org_abm2_trb[[#This Row],[boarding_EV]]</f>
        <v>0</v>
      </c>
      <c r="Z45" s="3">
        <f>Table_socioeca8.sandag.org_abm2_trb[[#This Row],[passenger_mile_EA]]</f>
        <v>0</v>
      </c>
      <c r="AA45" s="3">
        <f>Table_socioeca8.sandag.org_abm2_trb[[#This Row],[passenger_mile_AM]]</f>
        <v>0</v>
      </c>
      <c r="AB45" s="3">
        <f>Table_socioeca8.sandag.org_abm2_trb[[#This Row],[passenger_mile_MD]]</f>
        <v>0</v>
      </c>
      <c r="AC45" s="3">
        <f>Table_socioeca8.sandag.org_abm2_trb[[#This Row],[passenger_mile_PM]]</f>
        <v>0</v>
      </c>
      <c r="AD45" s="3">
        <f>Table_socioeca8.sandag.org_abm2_trb[[#This Row],[passenger_mile_EV]]</f>
        <v>0</v>
      </c>
      <c r="AE45" s="5">
        <f>Table_socioeca8.sandag.org_abm2_trb[[#This Row],[mode_transit_route_id]]</f>
        <v>29</v>
      </c>
      <c r="AF45"/>
      <c r="AG45"/>
    </row>
    <row r="46" spans="4:33" x14ac:dyDescent="0.3">
      <c r="D46" s="47">
        <f>[2]transit_general!B46</f>
        <v>353</v>
      </c>
      <c r="E46" s="261">
        <f>[2]transit_general!C46</f>
        <v>29</v>
      </c>
      <c r="F46" s="357">
        <f>[2]transit_general!D46</f>
        <v>0</v>
      </c>
      <c r="G46" s="357">
        <f>[2]transit_general!E46</f>
        <v>0</v>
      </c>
      <c r="H46" s="357">
        <f>[2]transit_general!F46</f>
        <v>0</v>
      </c>
      <c r="I46" s="357">
        <f>[2]transit_general!G46</f>
        <v>0</v>
      </c>
      <c r="J46" s="357">
        <f>[2]transit_general!H46</f>
        <v>0</v>
      </c>
      <c r="K46" s="261">
        <f>[2]transit_general!I46</f>
        <v>0</v>
      </c>
      <c r="L46" s="261">
        <f>[2]transit_general!J46</f>
        <v>0</v>
      </c>
      <c r="M46" s="261">
        <f>[2]transit_general!K46</f>
        <v>0</v>
      </c>
      <c r="N46" s="261">
        <f>[2]transit_general!L46</f>
        <v>0</v>
      </c>
      <c r="O46" s="261">
        <f>[2]transit_general!M46</f>
        <v>0</v>
      </c>
      <c r="Q46" s="5"/>
      <c r="R46" s="5" t="str">
        <f>md[[#This Row],[route]]&amp;"-"&amp;md[[#This Row],[mode_transit_route_id]]</f>
        <v>353-29</v>
      </c>
      <c r="S46" s="5">
        <f>Table_socioeca8.sandag.org_abm2_trb[[#This Row],[route]]</f>
        <v>353</v>
      </c>
      <c r="T46" s="2">
        <f>Table_socioeca8.sandag.org_abm2_trb[[#This Row],[mode_transit_route_id]]</f>
        <v>29</v>
      </c>
      <c r="U46" s="344">
        <f>Table_socioeca8.sandag.org_abm2_trb[[#This Row],[boarding_EA]]</f>
        <v>0</v>
      </c>
      <c r="V46" s="344">
        <f>Table_socioeca8.sandag.org_abm2_trb[[#This Row],[boarding_AM]]</f>
        <v>0</v>
      </c>
      <c r="W46" s="344">
        <f>Table_socioeca8.sandag.org_abm2_trb[[#This Row],[boarding_MD]]</f>
        <v>0</v>
      </c>
      <c r="X46" s="344">
        <f>Table_socioeca8.sandag.org_abm2_trb[[#This Row],[boarding_PM]]</f>
        <v>0</v>
      </c>
      <c r="Y46" s="344">
        <f>Table_socioeca8.sandag.org_abm2_trb[[#This Row],[boarding_EV]]</f>
        <v>0</v>
      </c>
      <c r="Z46" s="3">
        <f>Table_socioeca8.sandag.org_abm2_trb[[#This Row],[passenger_mile_EA]]</f>
        <v>0</v>
      </c>
      <c r="AA46" s="3">
        <f>Table_socioeca8.sandag.org_abm2_trb[[#This Row],[passenger_mile_AM]]</f>
        <v>0</v>
      </c>
      <c r="AB46" s="3">
        <f>Table_socioeca8.sandag.org_abm2_trb[[#This Row],[passenger_mile_MD]]</f>
        <v>0</v>
      </c>
      <c r="AC46" s="3">
        <f>Table_socioeca8.sandag.org_abm2_trb[[#This Row],[passenger_mile_PM]]</f>
        <v>0</v>
      </c>
      <c r="AD46" s="3">
        <f>Table_socioeca8.sandag.org_abm2_trb[[#This Row],[passenger_mile_EV]]</f>
        <v>0</v>
      </c>
      <c r="AE46" s="5">
        <f>Table_socioeca8.sandag.org_abm2_trb[[#This Row],[mode_transit_route_id]]</f>
        <v>29</v>
      </c>
      <c r="AF46"/>
      <c r="AG46"/>
    </row>
    <row r="47" spans="4:33" x14ac:dyDescent="0.3">
      <c r="D47" s="47">
        <f>[2]transit_general!B47</f>
        <v>354</v>
      </c>
      <c r="E47" s="261">
        <f>[2]transit_general!C47</f>
        <v>29</v>
      </c>
      <c r="F47" s="357">
        <f>[2]transit_general!D47</f>
        <v>0</v>
      </c>
      <c r="G47" s="357">
        <f>[2]transit_general!E47</f>
        <v>0</v>
      </c>
      <c r="H47" s="357">
        <f>[2]transit_general!F47</f>
        <v>0</v>
      </c>
      <c r="I47" s="357">
        <f>[2]transit_general!G47</f>
        <v>0</v>
      </c>
      <c r="J47" s="357">
        <f>[2]transit_general!H47</f>
        <v>0</v>
      </c>
      <c r="K47" s="261">
        <f>[2]transit_general!I47</f>
        <v>0</v>
      </c>
      <c r="L47" s="261">
        <f>[2]transit_general!J47</f>
        <v>0</v>
      </c>
      <c r="M47" s="261">
        <f>[2]transit_general!K47</f>
        <v>0</v>
      </c>
      <c r="N47" s="261">
        <f>[2]transit_general!L47</f>
        <v>0</v>
      </c>
      <c r="O47" s="261">
        <f>[2]transit_general!M47</f>
        <v>0</v>
      </c>
      <c r="Q47" s="5"/>
      <c r="R47" s="5" t="str">
        <f>md[[#This Row],[route]]&amp;"-"&amp;md[[#This Row],[mode_transit_route_id]]</f>
        <v>354-29</v>
      </c>
      <c r="S47" s="5">
        <f>Table_socioeca8.sandag.org_abm2_trb[[#This Row],[route]]</f>
        <v>354</v>
      </c>
      <c r="T47" s="2">
        <f>Table_socioeca8.sandag.org_abm2_trb[[#This Row],[mode_transit_route_id]]</f>
        <v>29</v>
      </c>
      <c r="U47" s="344">
        <f>Table_socioeca8.sandag.org_abm2_trb[[#This Row],[boarding_EA]]</f>
        <v>0</v>
      </c>
      <c r="V47" s="344">
        <f>Table_socioeca8.sandag.org_abm2_trb[[#This Row],[boarding_AM]]</f>
        <v>0</v>
      </c>
      <c r="W47" s="344">
        <f>Table_socioeca8.sandag.org_abm2_trb[[#This Row],[boarding_MD]]</f>
        <v>0</v>
      </c>
      <c r="X47" s="344">
        <f>Table_socioeca8.sandag.org_abm2_trb[[#This Row],[boarding_PM]]</f>
        <v>0</v>
      </c>
      <c r="Y47" s="344">
        <f>Table_socioeca8.sandag.org_abm2_trb[[#This Row],[boarding_EV]]</f>
        <v>0</v>
      </c>
      <c r="Z47" s="3">
        <f>Table_socioeca8.sandag.org_abm2_trb[[#This Row],[passenger_mile_EA]]</f>
        <v>0</v>
      </c>
      <c r="AA47" s="3">
        <f>Table_socioeca8.sandag.org_abm2_trb[[#This Row],[passenger_mile_AM]]</f>
        <v>0</v>
      </c>
      <c r="AB47" s="3">
        <f>Table_socioeca8.sandag.org_abm2_trb[[#This Row],[passenger_mile_MD]]</f>
        <v>0</v>
      </c>
      <c r="AC47" s="3">
        <f>Table_socioeca8.sandag.org_abm2_trb[[#This Row],[passenger_mile_PM]]</f>
        <v>0</v>
      </c>
      <c r="AD47" s="3">
        <f>Table_socioeca8.sandag.org_abm2_trb[[#This Row],[passenger_mile_EV]]</f>
        <v>0</v>
      </c>
      <c r="AE47" s="5">
        <f>Table_socioeca8.sandag.org_abm2_trb[[#This Row],[mode_transit_route_id]]</f>
        <v>29</v>
      </c>
      <c r="AF47"/>
      <c r="AG47"/>
    </row>
    <row r="48" spans="4:33" x14ac:dyDescent="0.3">
      <c r="D48" s="47">
        <f>[2]transit_general!B48</f>
        <v>355</v>
      </c>
      <c r="E48" s="261">
        <f>[2]transit_general!C48</f>
        <v>29</v>
      </c>
      <c r="F48" s="357">
        <f>[2]transit_general!D48</f>
        <v>0</v>
      </c>
      <c r="G48" s="357">
        <f>[2]transit_general!E48</f>
        <v>0</v>
      </c>
      <c r="H48" s="357">
        <f>[2]transit_general!F48</f>
        <v>0</v>
      </c>
      <c r="I48" s="357">
        <f>[2]transit_general!G48</f>
        <v>0</v>
      </c>
      <c r="J48" s="357">
        <f>[2]transit_general!H48</f>
        <v>0</v>
      </c>
      <c r="K48" s="261">
        <f>[2]transit_general!I48</f>
        <v>0</v>
      </c>
      <c r="L48" s="261">
        <f>[2]transit_general!J48</f>
        <v>0</v>
      </c>
      <c r="M48" s="261">
        <f>[2]transit_general!K48</f>
        <v>0</v>
      </c>
      <c r="N48" s="261">
        <f>[2]transit_general!L48</f>
        <v>0</v>
      </c>
      <c r="O48" s="261">
        <f>[2]transit_general!M48</f>
        <v>0</v>
      </c>
      <c r="Q48" s="5"/>
      <c r="R48" s="5" t="str">
        <f>md[[#This Row],[route]]&amp;"-"&amp;md[[#This Row],[mode_transit_route_id]]</f>
        <v>355-29</v>
      </c>
      <c r="S48" s="5">
        <f>Table_socioeca8.sandag.org_abm2_trb[[#This Row],[route]]</f>
        <v>355</v>
      </c>
      <c r="T48" s="2">
        <f>Table_socioeca8.sandag.org_abm2_trb[[#This Row],[mode_transit_route_id]]</f>
        <v>29</v>
      </c>
      <c r="U48" s="344">
        <f>Table_socioeca8.sandag.org_abm2_trb[[#This Row],[boarding_EA]]</f>
        <v>0</v>
      </c>
      <c r="V48" s="344">
        <f>Table_socioeca8.sandag.org_abm2_trb[[#This Row],[boarding_AM]]</f>
        <v>0</v>
      </c>
      <c r="W48" s="344">
        <f>Table_socioeca8.sandag.org_abm2_trb[[#This Row],[boarding_MD]]</f>
        <v>0</v>
      </c>
      <c r="X48" s="344">
        <f>Table_socioeca8.sandag.org_abm2_trb[[#This Row],[boarding_PM]]</f>
        <v>0</v>
      </c>
      <c r="Y48" s="344">
        <f>Table_socioeca8.sandag.org_abm2_trb[[#This Row],[boarding_EV]]</f>
        <v>0</v>
      </c>
      <c r="Z48" s="3">
        <f>Table_socioeca8.sandag.org_abm2_trb[[#This Row],[passenger_mile_EA]]</f>
        <v>0</v>
      </c>
      <c r="AA48" s="3">
        <f>Table_socioeca8.sandag.org_abm2_trb[[#This Row],[passenger_mile_AM]]</f>
        <v>0</v>
      </c>
      <c r="AB48" s="3">
        <f>Table_socioeca8.sandag.org_abm2_trb[[#This Row],[passenger_mile_MD]]</f>
        <v>0</v>
      </c>
      <c r="AC48" s="3">
        <f>Table_socioeca8.sandag.org_abm2_trb[[#This Row],[passenger_mile_PM]]</f>
        <v>0</v>
      </c>
      <c r="AD48" s="3">
        <f>Table_socioeca8.sandag.org_abm2_trb[[#This Row],[passenger_mile_EV]]</f>
        <v>0</v>
      </c>
      <c r="AE48" s="5">
        <f>Table_socioeca8.sandag.org_abm2_trb[[#This Row],[mode_transit_route_id]]</f>
        <v>29</v>
      </c>
      <c r="AF48"/>
      <c r="AG48"/>
    </row>
    <row r="49" spans="3:33" x14ac:dyDescent="0.3">
      <c r="D49" s="47">
        <f>[2]transit_general!B49</f>
        <v>356</v>
      </c>
      <c r="E49" s="261">
        <f>[2]transit_general!C49</f>
        <v>29</v>
      </c>
      <c r="F49" s="357">
        <f>[2]transit_general!D49</f>
        <v>0</v>
      </c>
      <c r="G49" s="357">
        <f>[2]transit_general!E49</f>
        <v>0</v>
      </c>
      <c r="H49" s="357">
        <f>[2]transit_general!F49</f>
        <v>0</v>
      </c>
      <c r="I49" s="357">
        <f>[2]transit_general!G49</f>
        <v>0</v>
      </c>
      <c r="J49" s="357">
        <f>[2]transit_general!H49</f>
        <v>0</v>
      </c>
      <c r="K49" s="261">
        <f>[2]transit_general!I49</f>
        <v>0</v>
      </c>
      <c r="L49" s="261">
        <f>[2]transit_general!J49</f>
        <v>0</v>
      </c>
      <c r="M49" s="261">
        <f>[2]transit_general!K49</f>
        <v>0</v>
      </c>
      <c r="N49" s="261">
        <f>[2]transit_general!L49</f>
        <v>0</v>
      </c>
      <c r="O49" s="261">
        <f>[2]transit_general!M49</f>
        <v>0</v>
      </c>
      <c r="Q49" s="5"/>
      <c r="R49" s="5" t="str">
        <f>md[[#This Row],[route]]&amp;"-"&amp;md[[#This Row],[mode_transit_route_id]]</f>
        <v>356-29</v>
      </c>
      <c r="S49" s="5">
        <f>Table_socioeca8.sandag.org_abm2_trb[[#This Row],[route]]</f>
        <v>356</v>
      </c>
      <c r="T49" s="2">
        <f>Table_socioeca8.sandag.org_abm2_trb[[#This Row],[mode_transit_route_id]]</f>
        <v>29</v>
      </c>
      <c r="U49" s="344">
        <f>Table_socioeca8.sandag.org_abm2_trb[[#This Row],[boarding_EA]]</f>
        <v>0</v>
      </c>
      <c r="V49" s="344">
        <f>Table_socioeca8.sandag.org_abm2_trb[[#This Row],[boarding_AM]]</f>
        <v>0</v>
      </c>
      <c r="W49" s="344">
        <f>Table_socioeca8.sandag.org_abm2_trb[[#This Row],[boarding_MD]]</f>
        <v>0</v>
      </c>
      <c r="X49" s="344">
        <f>Table_socioeca8.sandag.org_abm2_trb[[#This Row],[boarding_PM]]</f>
        <v>0</v>
      </c>
      <c r="Y49" s="344">
        <f>Table_socioeca8.sandag.org_abm2_trb[[#This Row],[boarding_EV]]</f>
        <v>0</v>
      </c>
      <c r="Z49" s="3">
        <f>Table_socioeca8.sandag.org_abm2_trb[[#This Row],[passenger_mile_EA]]</f>
        <v>0</v>
      </c>
      <c r="AA49" s="3">
        <f>Table_socioeca8.sandag.org_abm2_trb[[#This Row],[passenger_mile_AM]]</f>
        <v>0</v>
      </c>
      <c r="AB49" s="3">
        <f>Table_socioeca8.sandag.org_abm2_trb[[#This Row],[passenger_mile_MD]]</f>
        <v>0</v>
      </c>
      <c r="AC49" s="3">
        <f>Table_socioeca8.sandag.org_abm2_trb[[#This Row],[passenger_mile_PM]]</f>
        <v>0</v>
      </c>
      <c r="AD49" s="3">
        <f>Table_socioeca8.sandag.org_abm2_trb[[#This Row],[passenger_mile_EV]]</f>
        <v>0</v>
      </c>
      <c r="AE49" s="5">
        <f>Table_socioeca8.sandag.org_abm2_trb[[#This Row],[mode_transit_route_id]]</f>
        <v>29</v>
      </c>
      <c r="AF49"/>
      <c r="AG49"/>
    </row>
    <row r="50" spans="3:33" x14ac:dyDescent="0.3">
      <c r="D50" s="47">
        <f>[2]transit_general!B50</f>
        <v>357</v>
      </c>
      <c r="E50" s="261">
        <f>[2]transit_general!C50</f>
        <v>29</v>
      </c>
      <c r="F50" s="357">
        <f>[2]transit_general!D50</f>
        <v>0</v>
      </c>
      <c r="G50" s="357">
        <f>[2]transit_general!E50</f>
        <v>0</v>
      </c>
      <c r="H50" s="357">
        <f>[2]transit_general!F50</f>
        <v>0</v>
      </c>
      <c r="I50" s="357">
        <f>[2]transit_general!G50</f>
        <v>0</v>
      </c>
      <c r="J50" s="357">
        <f>[2]transit_general!H50</f>
        <v>0</v>
      </c>
      <c r="K50" s="261">
        <f>[2]transit_general!I50</f>
        <v>0</v>
      </c>
      <c r="L50" s="261">
        <f>[2]transit_general!J50</f>
        <v>0</v>
      </c>
      <c r="M50" s="261">
        <f>[2]transit_general!K50</f>
        <v>0</v>
      </c>
      <c r="N50" s="261">
        <f>[2]transit_general!L50</f>
        <v>0</v>
      </c>
      <c r="O50" s="261">
        <f>[2]transit_general!M50</f>
        <v>0</v>
      </c>
      <c r="Q50" s="5"/>
      <c r="R50" s="5" t="str">
        <f>md[[#This Row],[route]]&amp;"-"&amp;md[[#This Row],[mode_transit_route_id]]</f>
        <v>357-29</v>
      </c>
      <c r="S50" s="5">
        <f>Table_socioeca8.sandag.org_abm2_trb[[#This Row],[route]]</f>
        <v>357</v>
      </c>
      <c r="T50" s="2">
        <f>Table_socioeca8.sandag.org_abm2_trb[[#This Row],[mode_transit_route_id]]</f>
        <v>29</v>
      </c>
      <c r="U50" s="344">
        <f>Table_socioeca8.sandag.org_abm2_trb[[#This Row],[boarding_EA]]</f>
        <v>0</v>
      </c>
      <c r="V50" s="344">
        <f>Table_socioeca8.sandag.org_abm2_trb[[#This Row],[boarding_AM]]</f>
        <v>0</v>
      </c>
      <c r="W50" s="344">
        <f>Table_socioeca8.sandag.org_abm2_trb[[#This Row],[boarding_MD]]</f>
        <v>0</v>
      </c>
      <c r="X50" s="344">
        <f>Table_socioeca8.sandag.org_abm2_trb[[#This Row],[boarding_PM]]</f>
        <v>0</v>
      </c>
      <c r="Y50" s="344">
        <f>Table_socioeca8.sandag.org_abm2_trb[[#This Row],[boarding_EV]]</f>
        <v>0</v>
      </c>
      <c r="Z50" s="3">
        <f>Table_socioeca8.sandag.org_abm2_trb[[#This Row],[passenger_mile_EA]]</f>
        <v>0</v>
      </c>
      <c r="AA50" s="3">
        <f>Table_socioeca8.sandag.org_abm2_trb[[#This Row],[passenger_mile_AM]]</f>
        <v>0</v>
      </c>
      <c r="AB50" s="3">
        <f>Table_socioeca8.sandag.org_abm2_trb[[#This Row],[passenger_mile_MD]]</f>
        <v>0</v>
      </c>
      <c r="AC50" s="3">
        <f>Table_socioeca8.sandag.org_abm2_trb[[#This Row],[passenger_mile_PM]]</f>
        <v>0</v>
      </c>
      <c r="AD50" s="3">
        <f>Table_socioeca8.sandag.org_abm2_trb[[#This Row],[passenger_mile_EV]]</f>
        <v>0</v>
      </c>
      <c r="AE50" s="5">
        <f>Table_socioeca8.sandag.org_abm2_trb[[#This Row],[mode_transit_route_id]]</f>
        <v>29</v>
      </c>
      <c r="AF50"/>
      <c r="AG50"/>
    </row>
    <row r="51" spans="3:33" x14ac:dyDescent="0.3">
      <c r="D51" s="47">
        <f>[2]transit_general!B51</f>
        <v>358</v>
      </c>
      <c r="E51" s="261">
        <f>[2]transit_general!C51</f>
        <v>29</v>
      </c>
      <c r="F51" s="357">
        <f>[2]transit_general!D51</f>
        <v>0</v>
      </c>
      <c r="G51" s="357">
        <f>[2]transit_general!E51</f>
        <v>0</v>
      </c>
      <c r="H51" s="357">
        <f>[2]transit_general!F51</f>
        <v>0</v>
      </c>
      <c r="I51" s="357">
        <f>[2]transit_general!G51</f>
        <v>0</v>
      </c>
      <c r="J51" s="357">
        <f>[2]transit_general!H51</f>
        <v>0</v>
      </c>
      <c r="K51" s="261">
        <f>[2]transit_general!I51</f>
        <v>0</v>
      </c>
      <c r="L51" s="261">
        <f>[2]transit_general!J51</f>
        <v>0</v>
      </c>
      <c r="M51" s="261">
        <f>[2]transit_general!K51</f>
        <v>0</v>
      </c>
      <c r="N51" s="261">
        <f>[2]transit_general!L51</f>
        <v>0</v>
      </c>
      <c r="O51" s="261">
        <f>[2]transit_general!M51</f>
        <v>0</v>
      </c>
      <c r="Q51" s="5"/>
      <c r="R51" s="5" t="str">
        <f>md[[#This Row],[route]]&amp;"-"&amp;md[[#This Row],[mode_transit_route_id]]</f>
        <v>358-29</v>
      </c>
      <c r="S51" s="5">
        <f>Table_socioeca8.sandag.org_abm2_trb[[#This Row],[route]]</f>
        <v>358</v>
      </c>
      <c r="T51" s="2">
        <f>Table_socioeca8.sandag.org_abm2_trb[[#This Row],[mode_transit_route_id]]</f>
        <v>29</v>
      </c>
      <c r="U51" s="344">
        <f>Table_socioeca8.sandag.org_abm2_trb[[#This Row],[boarding_EA]]</f>
        <v>0</v>
      </c>
      <c r="V51" s="344">
        <f>Table_socioeca8.sandag.org_abm2_trb[[#This Row],[boarding_AM]]</f>
        <v>0</v>
      </c>
      <c r="W51" s="344">
        <f>Table_socioeca8.sandag.org_abm2_trb[[#This Row],[boarding_MD]]</f>
        <v>0</v>
      </c>
      <c r="X51" s="344">
        <f>Table_socioeca8.sandag.org_abm2_trb[[#This Row],[boarding_PM]]</f>
        <v>0</v>
      </c>
      <c r="Y51" s="344">
        <f>Table_socioeca8.sandag.org_abm2_trb[[#This Row],[boarding_EV]]</f>
        <v>0</v>
      </c>
      <c r="Z51" s="3">
        <f>Table_socioeca8.sandag.org_abm2_trb[[#This Row],[passenger_mile_EA]]</f>
        <v>0</v>
      </c>
      <c r="AA51" s="3">
        <f>Table_socioeca8.sandag.org_abm2_trb[[#This Row],[passenger_mile_AM]]</f>
        <v>0</v>
      </c>
      <c r="AB51" s="3">
        <f>Table_socioeca8.sandag.org_abm2_trb[[#This Row],[passenger_mile_MD]]</f>
        <v>0</v>
      </c>
      <c r="AC51" s="3">
        <f>Table_socioeca8.sandag.org_abm2_trb[[#This Row],[passenger_mile_PM]]</f>
        <v>0</v>
      </c>
      <c r="AD51" s="3">
        <f>Table_socioeca8.sandag.org_abm2_trb[[#This Row],[passenger_mile_EV]]</f>
        <v>0</v>
      </c>
      <c r="AE51" s="5">
        <f>Table_socioeca8.sandag.org_abm2_trb[[#This Row],[mode_transit_route_id]]</f>
        <v>29</v>
      </c>
      <c r="AF51"/>
      <c r="AG51"/>
    </row>
    <row r="52" spans="3:33" x14ac:dyDescent="0.3">
      <c r="D52" s="47">
        <f>[2]transit_general!B52</f>
        <v>359</v>
      </c>
      <c r="E52" s="261">
        <f>[2]transit_general!C52</f>
        <v>29</v>
      </c>
      <c r="F52" s="357">
        <f>[2]transit_general!D52</f>
        <v>0</v>
      </c>
      <c r="G52" s="357">
        <f>[2]transit_general!E52</f>
        <v>0</v>
      </c>
      <c r="H52" s="357">
        <f>[2]transit_general!F52</f>
        <v>0</v>
      </c>
      <c r="I52" s="357">
        <f>[2]transit_general!G52</f>
        <v>0</v>
      </c>
      <c r="J52" s="357">
        <f>[2]transit_general!H52</f>
        <v>0</v>
      </c>
      <c r="K52" s="261">
        <f>[2]transit_general!I52</f>
        <v>0</v>
      </c>
      <c r="L52" s="261">
        <f>[2]transit_general!J52</f>
        <v>0</v>
      </c>
      <c r="M52" s="261">
        <f>[2]transit_general!K52</f>
        <v>0</v>
      </c>
      <c r="N52" s="261">
        <f>[2]transit_general!L52</f>
        <v>0</v>
      </c>
      <c r="O52" s="261">
        <f>[2]transit_general!M52</f>
        <v>0</v>
      </c>
      <c r="Q52" s="5"/>
      <c r="R52" s="5" t="str">
        <f>md[[#This Row],[route]]&amp;"-"&amp;md[[#This Row],[mode_transit_route_id]]</f>
        <v>359-29</v>
      </c>
      <c r="S52" s="5">
        <f>Table_socioeca8.sandag.org_abm2_trb[[#This Row],[route]]</f>
        <v>359</v>
      </c>
      <c r="T52" s="2">
        <f>Table_socioeca8.sandag.org_abm2_trb[[#This Row],[mode_transit_route_id]]</f>
        <v>29</v>
      </c>
      <c r="U52" s="344">
        <f>Table_socioeca8.sandag.org_abm2_trb[[#This Row],[boarding_EA]]</f>
        <v>0</v>
      </c>
      <c r="V52" s="344">
        <f>Table_socioeca8.sandag.org_abm2_trb[[#This Row],[boarding_AM]]</f>
        <v>0</v>
      </c>
      <c r="W52" s="344">
        <f>Table_socioeca8.sandag.org_abm2_trb[[#This Row],[boarding_MD]]</f>
        <v>0</v>
      </c>
      <c r="X52" s="344">
        <f>Table_socioeca8.sandag.org_abm2_trb[[#This Row],[boarding_PM]]</f>
        <v>0</v>
      </c>
      <c r="Y52" s="344">
        <f>Table_socioeca8.sandag.org_abm2_trb[[#This Row],[boarding_EV]]</f>
        <v>0</v>
      </c>
      <c r="Z52" s="3">
        <f>Table_socioeca8.sandag.org_abm2_trb[[#This Row],[passenger_mile_EA]]</f>
        <v>0</v>
      </c>
      <c r="AA52" s="3">
        <f>Table_socioeca8.sandag.org_abm2_trb[[#This Row],[passenger_mile_AM]]</f>
        <v>0</v>
      </c>
      <c r="AB52" s="3">
        <f>Table_socioeca8.sandag.org_abm2_trb[[#This Row],[passenger_mile_MD]]</f>
        <v>0</v>
      </c>
      <c r="AC52" s="3">
        <f>Table_socioeca8.sandag.org_abm2_trb[[#This Row],[passenger_mile_PM]]</f>
        <v>0</v>
      </c>
      <c r="AD52" s="3">
        <f>Table_socioeca8.sandag.org_abm2_trb[[#This Row],[passenger_mile_EV]]</f>
        <v>0</v>
      </c>
      <c r="AE52" s="5">
        <f>Table_socioeca8.sandag.org_abm2_trb[[#This Row],[mode_transit_route_id]]</f>
        <v>29</v>
      </c>
      <c r="AF52"/>
      <c r="AG52"/>
    </row>
    <row r="53" spans="3:33" s="246" customFormat="1" x14ac:dyDescent="0.3">
      <c r="C53" s="286"/>
      <c r="D53" s="286">
        <f>[2]transit_general!B53</f>
        <v>35</v>
      </c>
      <c r="E53" s="261">
        <f>[2]transit_general!C53</f>
        <v>29</v>
      </c>
      <c r="F53" s="357">
        <f>[2]transit_general!D53</f>
        <v>0</v>
      </c>
      <c r="G53" s="357">
        <f>[2]transit_general!E53</f>
        <v>0</v>
      </c>
      <c r="H53" s="357">
        <f>[2]transit_general!F53</f>
        <v>0</v>
      </c>
      <c r="I53" s="357">
        <f>[2]transit_general!G53</f>
        <v>0</v>
      </c>
      <c r="J53" s="357">
        <f>[2]transit_general!H53</f>
        <v>0</v>
      </c>
      <c r="K53" s="261">
        <f>[2]transit_general!I53</f>
        <v>0</v>
      </c>
      <c r="L53" s="261">
        <f>[2]transit_general!J53</f>
        <v>0</v>
      </c>
      <c r="M53" s="261">
        <f>[2]transit_general!K53</f>
        <v>0</v>
      </c>
      <c r="N53" s="261">
        <f>[2]transit_general!L53</f>
        <v>0</v>
      </c>
      <c r="O53" s="261">
        <f>[2]transit_general!M53</f>
        <v>0</v>
      </c>
      <c r="R53" s="246" t="str">
        <f>md[[#This Row],[route]]&amp;"-"&amp;md[[#This Row],[mode_transit_route_id]]</f>
        <v>35-29</v>
      </c>
      <c r="S53" s="246">
        <f>Table_socioeca8.sandag.org_abm2_trb[[#This Row],[route]]</f>
        <v>35</v>
      </c>
      <c r="T53" s="10">
        <f>Table_socioeca8.sandag.org_abm2_trb[[#This Row],[mode_transit_route_id]]</f>
        <v>29</v>
      </c>
      <c r="U53" s="344">
        <f>Table_socioeca8.sandag.org_abm2_trb[[#This Row],[boarding_EA]]</f>
        <v>0</v>
      </c>
      <c r="V53" s="344">
        <f>Table_socioeca8.sandag.org_abm2_trb[[#This Row],[boarding_AM]]</f>
        <v>0</v>
      </c>
      <c r="W53" s="344">
        <f>Table_socioeca8.sandag.org_abm2_trb[[#This Row],[boarding_MD]]</f>
        <v>0</v>
      </c>
      <c r="X53" s="344">
        <f>Table_socioeca8.sandag.org_abm2_trb[[#This Row],[boarding_PM]]</f>
        <v>0</v>
      </c>
      <c r="Y53" s="344">
        <f>Table_socioeca8.sandag.org_abm2_trb[[#This Row],[boarding_EV]]</f>
        <v>0</v>
      </c>
      <c r="Z53" s="292">
        <f>Table_socioeca8.sandag.org_abm2_trb[[#This Row],[passenger_mile_EA]]</f>
        <v>0</v>
      </c>
      <c r="AA53" s="292">
        <f>Table_socioeca8.sandag.org_abm2_trb[[#This Row],[passenger_mile_AM]]</f>
        <v>0</v>
      </c>
      <c r="AB53" s="292">
        <f>Table_socioeca8.sandag.org_abm2_trb[[#This Row],[passenger_mile_MD]]</f>
        <v>0</v>
      </c>
      <c r="AC53" s="292">
        <f>Table_socioeca8.sandag.org_abm2_trb[[#This Row],[passenger_mile_PM]]</f>
        <v>0</v>
      </c>
      <c r="AD53" s="292">
        <f>Table_socioeca8.sandag.org_abm2_trb[[#This Row],[passenger_mile_EV]]</f>
        <v>0</v>
      </c>
      <c r="AE53" s="246">
        <f>Table_socioeca8.sandag.org_abm2_trb[[#This Row],[mode_transit_route_id]]</f>
        <v>29</v>
      </c>
    </row>
    <row r="54" spans="3:33" x14ac:dyDescent="0.3">
      <c r="D54" s="47">
        <f>[2]transit_general!B54</f>
        <v>371</v>
      </c>
      <c r="E54" s="261">
        <f>[2]transit_general!C54</f>
        <v>29</v>
      </c>
      <c r="F54" s="357">
        <f>[2]transit_general!D54</f>
        <v>0</v>
      </c>
      <c r="G54" s="357">
        <f>[2]transit_general!E54</f>
        <v>0</v>
      </c>
      <c r="H54" s="357">
        <f>[2]transit_general!F54</f>
        <v>0</v>
      </c>
      <c r="I54" s="357">
        <f>[2]transit_general!G54</f>
        <v>0</v>
      </c>
      <c r="J54" s="357">
        <f>[2]transit_general!H54</f>
        <v>0</v>
      </c>
      <c r="K54" s="261">
        <f>[2]transit_general!I54</f>
        <v>0</v>
      </c>
      <c r="L54" s="261">
        <f>[2]transit_general!J54</f>
        <v>0</v>
      </c>
      <c r="M54" s="261">
        <f>[2]transit_general!K54</f>
        <v>0</v>
      </c>
      <c r="N54" s="261">
        <f>[2]transit_general!L54</f>
        <v>0</v>
      </c>
      <c r="O54" s="261">
        <f>[2]transit_general!M54</f>
        <v>0</v>
      </c>
      <c r="Q54" s="5"/>
      <c r="R54" s="5" t="str">
        <f>md[[#This Row],[route]]&amp;"-"&amp;md[[#This Row],[mode_transit_route_id]]</f>
        <v>371-29</v>
      </c>
      <c r="S54" s="5">
        <f>Table_socioeca8.sandag.org_abm2_trb[[#This Row],[route]]</f>
        <v>371</v>
      </c>
      <c r="T54" s="2">
        <f>Table_socioeca8.sandag.org_abm2_trb[[#This Row],[mode_transit_route_id]]</f>
        <v>29</v>
      </c>
      <c r="U54" s="344">
        <f>Table_socioeca8.sandag.org_abm2_trb[[#This Row],[boarding_EA]]</f>
        <v>0</v>
      </c>
      <c r="V54" s="344">
        <f>Table_socioeca8.sandag.org_abm2_trb[[#This Row],[boarding_AM]]</f>
        <v>0</v>
      </c>
      <c r="W54" s="344">
        <f>Table_socioeca8.sandag.org_abm2_trb[[#This Row],[boarding_MD]]</f>
        <v>0</v>
      </c>
      <c r="X54" s="344">
        <f>Table_socioeca8.sandag.org_abm2_trb[[#This Row],[boarding_PM]]</f>
        <v>0</v>
      </c>
      <c r="Y54" s="344">
        <f>Table_socioeca8.sandag.org_abm2_trb[[#This Row],[boarding_EV]]</f>
        <v>0</v>
      </c>
      <c r="Z54" s="3">
        <f>Table_socioeca8.sandag.org_abm2_trb[[#This Row],[passenger_mile_EA]]</f>
        <v>0</v>
      </c>
      <c r="AA54" s="3">
        <f>Table_socioeca8.sandag.org_abm2_trb[[#This Row],[passenger_mile_AM]]</f>
        <v>0</v>
      </c>
      <c r="AB54" s="3">
        <f>Table_socioeca8.sandag.org_abm2_trb[[#This Row],[passenger_mile_MD]]</f>
        <v>0</v>
      </c>
      <c r="AC54" s="3">
        <f>Table_socioeca8.sandag.org_abm2_trb[[#This Row],[passenger_mile_PM]]</f>
        <v>0</v>
      </c>
      <c r="AD54" s="3">
        <f>Table_socioeca8.sandag.org_abm2_trb[[#This Row],[passenger_mile_EV]]</f>
        <v>0</v>
      </c>
      <c r="AE54" s="5">
        <f>Table_socioeca8.sandag.org_abm2_trb[[#This Row],[mode_transit_route_id]]</f>
        <v>29</v>
      </c>
      <c r="AF54"/>
      <c r="AG54"/>
    </row>
    <row r="55" spans="3:33" x14ac:dyDescent="0.3">
      <c r="D55" s="47">
        <f>[2]transit_general!B55</f>
        <v>388</v>
      </c>
      <c r="E55" s="261">
        <f>[2]transit_general!C55</f>
        <v>29</v>
      </c>
      <c r="F55" s="357">
        <f>[2]transit_general!D55</f>
        <v>0</v>
      </c>
      <c r="G55" s="357">
        <f>[2]transit_general!E55</f>
        <v>0</v>
      </c>
      <c r="H55" s="357">
        <f>[2]transit_general!F55</f>
        <v>0</v>
      </c>
      <c r="I55" s="357">
        <f>[2]transit_general!G55</f>
        <v>0</v>
      </c>
      <c r="J55" s="357">
        <f>[2]transit_general!H55</f>
        <v>0</v>
      </c>
      <c r="K55" s="261">
        <f>[2]transit_general!I55</f>
        <v>0</v>
      </c>
      <c r="L55" s="261">
        <f>[2]transit_general!J55</f>
        <v>0</v>
      </c>
      <c r="M55" s="261">
        <f>[2]transit_general!K55</f>
        <v>0</v>
      </c>
      <c r="N55" s="261">
        <f>[2]transit_general!L55</f>
        <v>0</v>
      </c>
      <c r="O55" s="261">
        <f>[2]transit_general!M55</f>
        <v>0</v>
      </c>
      <c r="Q55" s="5"/>
      <c r="R55" s="5" t="str">
        <f>md[[#This Row],[route]]&amp;"-"&amp;md[[#This Row],[mode_transit_route_id]]</f>
        <v>388-29</v>
      </c>
      <c r="S55" s="5">
        <f>Table_socioeca8.sandag.org_abm2_trb[[#This Row],[route]]</f>
        <v>388</v>
      </c>
      <c r="T55" s="2">
        <f>Table_socioeca8.sandag.org_abm2_trb[[#This Row],[mode_transit_route_id]]</f>
        <v>29</v>
      </c>
      <c r="U55" s="344">
        <f>Table_socioeca8.sandag.org_abm2_trb[[#This Row],[boarding_EA]]</f>
        <v>0</v>
      </c>
      <c r="V55" s="344">
        <f>Table_socioeca8.sandag.org_abm2_trb[[#This Row],[boarding_AM]]</f>
        <v>0</v>
      </c>
      <c r="W55" s="344">
        <f>Table_socioeca8.sandag.org_abm2_trb[[#This Row],[boarding_MD]]</f>
        <v>0</v>
      </c>
      <c r="X55" s="344">
        <f>Table_socioeca8.sandag.org_abm2_trb[[#This Row],[boarding_PM]]</f>
        <v>0</v>
      </c>
      <c r="Y55" s="344">
        <f>Table_socioeca8.sandag.org_abm2_trb[[#This Row],[boarding_EV]]</f>
        <v>0</v>
      </c>
      <c r="Z55" s="3">
        <f>Table_socioeca8.sandag.org_abm2_trb[[#This Row],[passenger_mile_EA]]</f>
        <v>0</v>
      </c>
      <c r="AA55" s="3">
        <f>Table_socioeca8.sandag.org_abm2_trb[[#This Row],[passenger_mile_AM]]</f>
        <v>0</v>
      </c>
      <c r="AB55" s="3">
        <f>Table_socioeca8.sandag.org_abm2_trb[[#This Row],[passenger_mile_MD]]</f>
        <v>0</v>
      </c>
      <c r="AC55" s="3">
        <f>Table_socioeca8.sandag.org_abm2_trb[[#This Row],[passenger_mile_PM]]</f>
        <v>0</v>
      </c>
      <c r="AD55" s="3">
        <f>Table_socioeca8.sandag.org_abm2_trb[[#This Row],[passenger_mile_EV]]</f>
        <v>0</v>
      </c>
      <c r="AE55" s="5">
        <f>Table_socioeca8.sandag.org_abm2_trb[[#This Row],[mode_transit_route_id]]</f>
        <v>29</v>
      </c>
      <c r="AF55"/>
      <c r="AG55"/>
    </row>
    <row r="56" spans="3:33" x14ac:dyDescent="0.3">
      <c r="D56" s="47">
        <f>[2]transit_general!B56</f>
        <v>389</v>
      </c>
      <c r="E56" s="261">
        <f>[2]transit_general!C56</f>
        <v>29</v>
      </c>
      <c r="F56" s="357">
        <f>[2]transit_general!D56</f>
        <v>0</v>
      </c>
      <c r="G56" s="357">
        <f>[2]transit_general!E56</f>
        <v>0</v>
      </c>
      <c r="H56" s="357">
        <f>[2]transit_general!F56</f>
        <v>0</v>
      </c>
      <c r="I56" s="357">
        <f>[2]transit_general!G56</f>
        <v>0</v>
      </c>
      <c r="J56" s="357">
        <f>[2]transit_general!H56</f>
        <v>0</v>
      </c>
      <c r="K56" s="261">
        <f>[2]transit_general!I56</f>
        <v>0</v>
      </c>
      <c r="L56" s="261">
        <f>[2]transit_general!J56</f>
        <v>0</v>
      </c>
      <c r="M56" s="261">
        <f>[2]transit_general!K56</f>
        <v>0</v>
      </c>
      <c r="N56" s="261">
        <f>[2]transit_general!L56</f>
        <v>0</v>
      </c>
      <c r="O56" s="261">
        <f>[2]transit_general!M56</f>
        <v>0</v>
      </c>
      <c r="Q56" s="5"/>
      <c r="R56" s="5" t="str">
        <f>md[[#This Row],[route]]&amp;"-"&amp;md[[#This Row],[mode_transit_route_id]]</f>
        <v>389-29</v>
      </c>
      <c r="S56" s="5">
        <f>Table_socioeca8.sandag.org_abm2_trb[[#This Row],[route]]</f>
        <v>389</v>
      </c>
      <c r="T56" s="2">
        <f>Table_socioeca8.sandag.org_abm2_trb[[#This Row],[mode_transit_route_id]]</f>
        <v>29</v>
      </c>
      <c r="U56" s="344">
        <f>Table_socioeca8.sandag.org_abm2_trb[[#This Row],[boarding_EA]]</f>
        <v>0</v>
      </c>
      <c r="V56" s="344">
        <f>Table_socioeca8.sandag.org_abm2_trb[[#This Row],[boarding_AM]]</f>
        <v>0</v>
      </c>
      <c r="W56" s="344">
        <f>Table_socioeca8.sandag.org_abm2_trb[[#This Row],[boarding_MD]]</f>
        <v>0</v>
      </c>
      <c r="X56" s="344">
        <f>Table_socioeca8.sandag.org_abm2_trb[[#This Row],[boarding_PM]]</f>
        <v>0</v>
      </c>
      <c r="Y56" s="344">
        <f>Table_socioeca8.sandag.org_abm2_trb[[#This Row],[boarding_EV]]</f>
        <v>0</v>
      </c>
      <c r="Z56" s="3">
        <f>Table_socioeca8.sandag.org_abm2_trb[[#This Row],[passenger_mile_EA]]</f>
        <v>0</v>
      </c>
      <c r="AA56" s="3">
        <f>Table_socioeca8.sandag.org_abm2_trb[[#This Row],[passenger_mile_AM]]</f>
        <v>0</v>
      </c>
      <c r="AB56" s="3">
        <f>Table_socioeca8.sandag.org_abm2_trb[[#This Row],[passenger_mile_MD]]</f>
        <v>0</v>
      </c>
      <c r="AC56" s="3">
        <f>Table_socioeca8.sandag.org_abm2_trb[[#This Row],[passenger_mile_PM]]</f>
        <v>0</v>
      </c>
      <c r="AD56" s="3">
        <f>Table_socioeca8.sandag.org_abm2_trb[[#This Row],[passenger_mile_EV]]</f>
        <v>0</v>
      </c>
      <c r="AE56" s="5">
        <f>Table_socioeca8.sandag.org_abm2_trb[[#This Row],[mode_transit_route_id]]</f>
        <v>29</v>
      </c>
      <c r="AF56"/>
      <c r="AG56"/>
    </row>
    <row r="57" spans="3:33" x14ac:dyDescent="0.3">
      <c r="D57" s="47">
        <f>[2]transit_general!B57</f>
        <v>392</v>
      </c>
      <c r="E57" s="261">
        <f>[2]transit_general!C57</f>
        <v>29</v>
      </c>
      <c r="F57" s="357">
        <f>[2]transit_general!D57</f>
        <v>0</v>
      </c>
      <c r="G57" s="357">
        <f>[2]transit_general!E57</f>
        <v>0</v>
      </c>
      <c r="H57" s="357">
        <f>[2]transit_general!F57</f>
        <v>0</v>
      </c>
      <c r="I57" s="357">
        <f>[2]transit_general!G57</f>
        <v>0</v>
      </c>
      <c r="J57" s="357">
        <f>[2]transit_general!H57</f>
        <v>0</v>
      </c>
      <c r="K57" s="261">
        <f>[2]transit_general!I57</f>
        <v>0</v>
      </c>
      <c r="L57" s="261">
        <f>[2]transit_general!J57</f>
        <v>0</v>
      </c>
      <c r="M57" s="261">
        <f>[2]transit_general!K57</f>
        <v>0</v>
      </c>
      <c r="N57" s="261">
        <f>[2]transit_general!L57</f>
        <v>0</v>
      </c>
      <c r="O57" s="261">
        <f>[2]transit_general!M57</f>
        <v>0</v>
      </c>
      <c r="Q57" s="5"/>
      <c r="R57" s="5" t="str">
        <f>md[[#This Row],[route]]&amp;"-"&amp;md[[#This Row],[mode_transit_route_id]]</f>
        <v>392-29</v>
      </c>
      <c r="S57" s="5">
        <f>Table_socioeca8.sandag.org_abm2_trb[[#This Row],[route]]</f>
        <v>392</v>
      </c>
      <c r="T57" s="2">
        <f>Table_socioeca8.sandag.org_abm2_trb[[#This Row],[mode_transit_route_id]]</f>
        <v>29</v>
      </c>
      <c r="U57" s="344">
        <f>Table_socioeca8.sandag.org_abm2_trb[[#This Row],[boarding_EA]]</f>
        <v>0</v>
      </c>
      <c r="V57" s="344">
        <f>Table_socioeca8.sandag.org_abm2_trb[[#This Row],[boarding_AM]]</f>
        <v>0</v>
      </c>
      <c r="W57" s="344">
        <f>Table_socioeca8.sandag.org_abm2_trb[[#This Row],[boarding_MD]]</f>
        <v>0</v>
      </c>
      <c r="X57" s="344">
        <f>Table_socioeca8.sandag.org_abm2_trb[[#This Row],[boarding_PM]]</f>
        <v>0</v>
      </c>
      <c r="Y57" s="344">
        <f>Table_socioeca8.sandag.org_abm2_trb[[#This Row],[boarding_EV]]</f>
        <v>0</v>
      </c>
      <c r="Z57" s="3">
        <f>Table_socioeca8.sandag.org_abm2_trb[[#This Row],[passenger_mile_EA]]</f>
        <v>0</v>
      </c>
      <c r="AA57" s="3">
        <f>Table_socioeca8.sandag.org_abm2_trb[[#This Row],[passenger_mile_AM]]</f>
        <v>0</v>
      </c>
      <c r="AB57" s="3">
        <f>Table_socioeca8.sandag.org_abm2_trb[[#This Row],[passenger_mile_MD]]</f>
        <v>0</v>
      </c>
      <c r="AC57" s="3">
        <f>Table_socioeca8.sandag.org_abm2_trb[[#This Row],[passenger_mile_PM]]</f>
        <v>0</v>
      </c>
      <c r="AD57" s="3">
        <f>Table_socioeca8.sandag.org_abm2_trb[[#This Row],[passenger_mile_EV]]</f>
        <v>0</v>
      </c>
      <c r="AE57" s="5">
        <f>Table_socioeca8.sandag.org_abm2_trb[[#This Row],[mode_transit_route_id]]</f>
        <v>29</v>
      </c>
      <c r="AF57"/>
      <c r="AG57"/>
    </row>
    <row r="58" spans="3:33" x14ac:dyDescent="0.3">
      <c r="D58" s="47">
        <f>[2]transit_general!B58</f>
        <v>395</v>
      </c>
      <c r="E58" s="261">
        <f>[2]transit_general!C58</f>
        <v>29</v>
      </c>
      <c r="F58" s="357">
        <f>[2]transit_general!D58</f>
        <v>0</v>
      </c>
      <c r="G58" s="357">
        <f>[2]transit_general!E58</f>
        <v>0</v>
      </c>
      <c r="H58" s="357">
        <f>[2]transit_general!F58</f>
        <v>0</v>
      </c>
      <c r="I58" s="357">
        <f>[2]transit_general!G58</f>
        <v>0</v>
      </c>
      <c r="J58" s="357">
        <f>[2]transit_general!H58</f>
        <v>0</v>
      </c>
      <c r="K58" s="261">
        <f>[2]transit_general!I58</f>
        <v>0</v>
      </c>
      <c r="L58" s="261">
        <f>[2]transit_general!J58</f>
        <v>0</v>
      </c>
      <c r="M58" s="261">
        <f>[2]transit_general!K58</f>
        <v>0</v>
      </c>
      <c r="N58" s="261">
        <f>[2]transit_general!L58</f>
        <v>0</v>
      </c>
      <c r="O58" s="261">
        <f>[2]transit_general!M58</f>
        <v>0</v>
      </c>
      <c r="Q58" s="5"/>
      <c r="R58" s="5" t="str">
        <f>md[[#This Row],[route]]&amp;"-"&amp;md[[#This Row],[mode_transit_route_id]]</f>
        <v>395-29</v>
      </c>
      <c r="S58" s="5">
        <f>Table_socioeca8.sandag.org_abm2_trb[[#This Row],[route]]</f>
        <v>395</v>
      </c>
      <c r="T58" s="2">
        <f>Table_socioeca8.sandag.org_abm2_trb[[#This Row],[mode_transit_route_id]]</f>
        <v>29</v>
      </c>
      <c r="U58" s="344">
        <f>Table_socioeca8.sandag.org_abm2_trb[[#This Row],[boarding_EA]]</f>
        <v>0</v>
      </c>
      <c r="V58" s="344">
        <f>Table_socioeca8.sandag.org_abm2_trb[[#This Row],[boarding_AM]]</f>
        <v>0</v>
      </c>
      <c r="W58" s="344">
        <f>Table_socioeca8.sandag.org_abm2_trb[[#This Row],[boarding_MD]]</f>
        <v>0</v>
      </c>
      <c r="X58" s="344">
        <f>Table_socioeca8.sandag.org_abm2_trb[[#This Row],[boarding_PM]]</f>
        <v>0</v>
      </c>
      <c r="Y58" s="344">
        <f>Table_socioeca8.sandag.org_abm2_trb[[#This Row],[boarding_EV]]</f>
        <v>0</v>
      </c>
      <c r="Z58" s="3">
        <f>Table_socioeca8.sandag.org_abm2_trb[[#This Row],[passenger_mile_EA]]</f>
        <v>0</v>
      </c>
      <c r="AA58" s="3">
        <f>Table_socioeca8.sandag.org_abm2_trb[[#This Row],[passenger_mile_AM]]</f>
        <v>0</v>
      </c>
      <c r="AB58" s="3">
        <f>Table_socioeca8.sandag.org_abm2_trb[[#This Row],[passenger_mile_MD]]</f>
        <v>0</v>
      </c>
      <c r="AC58" s="3">
        <f>Table_socioeca8.sandag.org_abm2_trb[[#This Row],[passenger_mile_PM]]</f>
        <v>0</v>
      </c>
      <c r="AD58" s="3">
        <f>Table_socioeca8.sandag.org_abm2_trb[[#This Row],[passenger_mile_EV]]</f>
        <v>0</v>
      </c>
      <c r="AE58" s="5">
        <f>Table_socioeca8.sandag.org_abm2_trb[[#This Row],[mode_transit_route_id]]</f>
        <v>29</v>
      </c>
      <c r="AF58"/>
      <c r="AG58"/>
    </row>
    <row r="59" spans="3:33" x14ac:dyDescent="0.3">
      <c r="D59" s="47">
        <f>[2]transit_general!B59</f>
        <v>398</v>
      </c>
      <c r="E59" s="261">
        <f>[2]transit_general!C59</f>
        <v>23</v>
      </c>
      <c r="F59" s="357">
        <f>[2]transit_general!D59</f>
        <v>0</v>
      </c>
      <c r="G59" s="357">
        <f>[2]transit_general!E59</f>
        <v>0</v>
      </c>
      <c r="H59" s="357">
        <f>[2]transit_general!F59</f>
        <v>0</v>
      </c>
      <c r="I59" s="357">
        <f>[2]transit_general!G59</f>
        <v>0</v>
      </c>
      <c r="J59" s="357">
        <f>[2]transit_general!H59</f>
        <v>0</v>
      </c>
      <c r="K59" s="261">
        <f>[2]transit_general!I59</f>
        <v>0</v>
      </c>
      <c r="L59" s="261">
        <f>[2]transit_general!J59</f>
        <v>0</v>
      </c>
      <c r="M59" s="261">
        <f>[2]transit_general!K59</f>
        <v>0</v>
      </c>
      <c r="N59" s="261">
        <f>[2]transit_general!L59</f>
        <v>0</v>
      </c>
      <c r="O59" s="261">
        <f>[2]transit_general!M59</f>
        <v>0</v>
      </c>
      <c r="Q59" s="5"/>
      <c r="R59" s="5" t="str">
        <f>md[[#This Row],[route]]&amp;"-"&amp;md[[#This Row],[mode_transit_route_id]]</f>
        <v>398-23</v>
      </c>
      <c r="S59" s="5">
        <f>Table_socioeca8.sandag.org_abm2_trb[[#This Row],[route]]</f>
        <v>398</v>
      </c>
      <c r="T59" s="2">
        <f>Table_socioeca8.sandag.org_abm2_trb[[#This Row],[mode_transit_route_id]]</f>
        <v>23</v>
      </c>
      <c r="U59" s="344">
        <f>Table_socioeca8.sandag.org_abm2_trb[[#This Row],[boarding_EA]]</f>
        <v>0</v>
      </c>
      <c r="V59" s="344">
        <f>Table_socioeca8.sandag.org_abm2_trb[[#This Row],[boarding_AM]]</f>
        <v>0</v>
      </c>
      <c r="W59" s="344">
        <f>Table_socioeca8.sandag.org_abm2_trb[[#This Row],[boarding_MD]]</f>
        <v>0</v>
      </c>
      <c r="X59" s="344">
        <f>Table_socioeca8.sandag.org_abm2_trb[[#This Row],[boarding_PM]]</f>
        <v>0</v>
      </c>
      <c r="Y59" s="344">
        <f>Table_socioeca8.sandag.org_abm2_trb[[#This Row],[boarding_EV]]</f>
        <v>0</v>
      </c>
      <c r="Z59" s="3">
        <f>Table_socioeca8.sandag.org_abm2_trb[[#This Row],[passenger_mile_EA]]</f>
        <v>0</v>
      </c>
      <c r="AA59" s="3">
        <f>Table_socioeca8.sandag.org_abm2_trb[[#This Row],[passenger_mile_AM]]</f>
        <v>0</v>
      </c>
      <c r="AB59" s="3">
        <f>Table_socioeca8.sandag.org_abm2_trb[[#This Row],[passenger_mile_MD]]</f>
        <v>0</v>
      </c>
      <c r="AC59" s="3">
        <f>Table_socioeca8.sandag.org_abm2_trb[[#This Row],[passenger_mile_PM]]</f>
        <v>0</v>
      </c>
      <c r="AD59" s="3">
        <f>Table_socioeca8.sandag.org_abm2_trb[[#This Row],[passenger_mile_EV]]</f>
        <v>0</v>
      </c>
      <c r="AE59" s="5">
        <f>Table_socioeca8.sandag.org_abm2_trb[[#This Row],[mode_transit_route_id]]</f>
        <v>23</v>
      </c>
      <c r="AF59"/>
      <c r="AG59"/>
    </row>
    <row r="60" spans="3:33" x14ac:dyDescent="0.3">
      <c r="D60" s="47">
        <f>[2]transit_general!B60</f>
        <v>399</v>
      </c>
      <c r="E60" s="261">
        <f>[2]transit_general!C60</f>
        <v>24</v>
      </c>
      <c r="F60" s="357">
        <f>[2]transit_general!D60</f>
        <v>0</v>
      </c>
      <c r="G60" s="357">
        <f>[2]transit_general!E60</f>
        <v>0</v>
      </c>
      <c r="H60" s="357">
        <f>[2]transit_general!F60</f>
        <v>0</v>
      </c>
      <c r="I60" s="357">
        <f>[2]transit_general!G60</f>
        <v>0</v>
      </c>
      <c r="J60" s="357">
        <f>[2]transit_general!H60</f>
        <v>0</v>
      </c>
      <c r="K60" s="261">
        <f>[2]transit_general!I60</f>
        <v>0</v>
      </c>
      <c r="L60" s="261">
        <f>[2]transit_general!J60</f>
        <v>0</v>
      </c>
      <c r="M60" s="261">
        <f>[2]transit_general!K60</f>
        <v>0</v>
      </c>
      <c r="N60" s="261">
        <f>[2]transit_general!L60</f>
        <v>0</v>
      </c>
      <c r="O60" s="261">
        <f>[2]transit_general!M60</f>
        <v>0</v>
      </c>
      <c r="Q60" s="5"/>
      <c r="R60" s="5" t="str">
        <f>md[[#This Row],[route]]&amp;"-"&amp;md[[#This Row],[mode_transit_route_id]]</f>
        <v>399-24</v>
      </c>
      <c r="S60" s="5">
        <f>Table_socioeca8.sandag.org_abm2_trb[[#This Row],[route]]</f>
        <v>399</v>
      </c>
      <c r="T60" s="2">
        <f>Table_socioeca8.sandag.org_abm2_trb[[#This Row],[mode_transit_route_id]]</f>
        <v>24</v>
      </c>
      <c r="U60" s="344">
        <f>Table_socioeca8.sandag.org_abm2_trb[[#This Row],[boarding_EA]]</f>
        <v>0</v>
      </c>
      <c r="V60" s="344">
        <f>Table_socioeca8.sandag.org_abm2_trb[[#This Row],[boarding_AM]]</f>
        <v>0</v>
      </c>
      <c r="W60" s="344">
        <f>Table_socioeca8.sandag.org_abm2_trb[[#This Row],[boarding_MD]]</f>
        <v>0</v>
      </c>
      <c r="X60" s="344">
        <f>Table_socioeca8.sandag.org_abm2_trb[[#This Row],[boarding_PM]]</f>
        <v>0</v>
      </c>
      <c r="Y60" s="344">
        <f>Table_socioeca8.sandag.org_abm2_trb[[#This Row],[boarding_EV]]</f>
        <v>0</v>
      </c>
      <c r="Z60" s="3">
        <f>Table_socioeca8.sandag.org_abm2_trb[[#This Row],[passenger_mile_EA]]</f>
        <v>0</v>
      </c>
      <c r="AA60" s="3">
        <f>Table_socioeca8.sandag.org_abm2_trb[[#This Row],[passenger_mile_AM]]</f>
        <v>0</v>
      </c>
      <c r="AB60" s="3">
        <f>Table_socioeca8.sandag.org_abm2_trb[[#This Row],[passenger_mile_MD]]</f>
        <v>0</v>
      </c>
      <c r="AC60" s="3">
        <f>Table_socioeca8.sandag.org_abm2_trb[[#This Row],[passenger_mile_PM]]</f>
        <v>0</v>
      </c>
      <c r="AD60" s="3">
        <f>Table_socioeca8.sandag.org_abm2_trb[[#This Row],[passenger_mile_EV]]</f>
        <v>0</v>
      </c>
      <c r="AE60" s="5">
        <f>Table_socioeca8.sandag.org_abm2_trb[[#This Row],[mode_transit_route_id]]</f>
        <v>24</v>
      </c>
      <c r="AF60"/>
      <c r="AG60"/>
    </row>
    <row r="61" spans="3:33" x14ac:dyDescent="0.3">
      <c r="D61" s="47">
        <f>[2]transit_general!B61</f>
        <v>3</v>
      </c>
      <c r="E61" s="261">
        <f>[2]transit_general!C61</f>
        <v>29</v>
      </c>
      <c r="F61" s="357">
        <f>[2]transit_general!D61</f>
        <v>0</v>
      </c>
      <c r="G61" s="357">
        <f>[2]transit_general!E61</f>
        <v>0</v>
      </c>
      <c r="H61" s="357">
        <f>[2]transit_general!F61</f>
        <v>0</v>
      </c>
      <c r="I61" s="357">
        <f>[2]transit_general!G61</f>
        <v>0</v>
      </c>
      <c r="J61" s="357">
        <f>[2]transit_general!H61</f>
        <v>0</v>
      </c>
      <c r="K61" s="261">
        <f>[2]transit_general!I61</f>
        <v>0</v>
      </c>
      <c r="L61" s="261">
        <f>[2]transit_general!J61</f>
        <v>0</v>
      </c>
      <c r="M61" s="261">
        <f>[2]transit_general!K61</f>
        <v>0</v>
      </c>
      <c r="N61" s="261">
        <f>[2]transit_general!L61</f>
        <v>0</v>
      </c>
      <c r="O61" s="261">
        <f>[2]transit_general!M61</f>
        <v>0</v>
      </c>
      <c r="Q61" s="5"/>
      <c r="R61" s="5" t="str">
        <f>md[[#This Row],[route]]&amp;"-"&amp;md[[#This Row],[mode_transit_route_id]]</f>
        <v>3-29</v>
      </c>
      <c r="S61" s="5">
        <f>Table_socioeca8.sandag.org_abm2_trb[[#This Row],[route]]</f>
        <v>3</v>
      </c>
      <c r="T61" s="2">
        <f>Table_socioeca8.sandag.org_abm2_trb[[#This Row],[mode_transit_route_id]]</f>
        <v>29</v>
      </c>
      <c r="U61" s="344">
        <f>Table_socioeca8.sandag.org_abm2_trb[[#This Row],[boarding_EA]]</f>
        <v>0</v>
      </c>
      <c r="V61" s="344">
        <f>Table_socioeca8.sandag.org_abm2_trb[[#This Row],[boarding_AM]]</f>
        <v>0</v>
      </c>
      <c r="W61" s="344">
        <f>Table_socioeca8.sandag.org_abm2_trb[[#This Row],[boarding_MD]]</f>
        <v>0</v>
      </c>
      <c r="X61" s="344">
        <f>Table_socioeca8.sandag.org_abm2_trb[[#This Row],[boarding_PM]]</f>
        <v>0</v>
      </c>
      <c r="Y61" s="344">
        <f>Table_socioeca8.sandag.org_abm2_trb[[#This Row],[boarding_EV]]</f>
        <v>0</v>
      </c>
      <c r="Z61" s="3">
        <f>Table_socioeca8.sandag.org_abm2_trb[[#This Row],[passenger_mile_EA]]</f>
        <v>0</v>
      </c>
      <c r="AA61" s="3">
        <f>Table_socioeca8.sandag.org_abm2_trb[[#This Row],[passenger_mile_AM]]</f>
        <v>0</v>
      </c>
      <c r="AB61" s="3">
        <f>Table_socioeca8.sandag.org_abm2_trb[[#This Row],[passenger_mile_MD]]</f>
        <v>0</v>
      </c>
      <c r="AC61" s="3">
        <f>Table_socioeca8.sandag.org_abm2_trb[[#This Row],[passenger_mile_PM]]</f>
        <v>0</v>
      </c>
      <c r="AD61" s="3">
        <f>Table_socioeca8.sandag.org_abm2_trb[[#This Row],[passenger_mile_EV]]</f>
        <v>0</v>
      </c>
      <c r="AE61" s="5">
        <f>Table_socioeca8.sandag.org_abm2_trb[[#This Row],[mode_transit_route_id]]</f>
        <v>29</v>
      </c>
      <c r="AF61"/>
      <c r="AG61"/>
    </row>
    <row r="62" spans="3:33" x14ac:dyDescent="0.3">
      <c r="D62" s="47">
        <f>[2]transit_general!B62</f>
        <v>41</v>
      </c>
      <c r="E62" s="261">
        <f>[2]transit_general!C62</f>
        <v>29</v>
      </c>
      <c r="F62" s="357">
        <f>[2]transit_general!D62</f>
        <v>0</v>
      </c>
      <c r="G62" s="357">
        <f>[2]transit_general!E62</f>
        <v>0</v>
      </c>
      <c r="H62" s="357">
        <f>[2]transit_general!F62</f>
        <v>0</v>
      </c>
      <c r="I62" s="357">
        <f>[2]transit_general!G62</f>
        <v>0</v>
      </c>
      <c r="J62" s="357">
        <f>[2]transit_general!H62</f>
        <v>0</v>
      </c>
      <c r="K62" s="261">
        <f>[2]transit_general!I62</f>
        <v>0</v>
      </c>
      <c r="L62" s="261">
        <f>[2]transit_general!J62</f>
        <v>0</v>
      </c>
      <c r="M62" s="261">
        <f>[2]transit_general!K62</f>
        <v>0</v>
      </c>
      <c r="N62" s="261">
        <f>[2]transit_general!L62</f>
        <v>0</v>
      </c>
      <c r="O62" s="261">
        <f>[2]transit_general!M62</f>
        <v>0</v>
      </c>
      <c r="Q62" s="5"/>
      <c r="R62" s="5" t="str">
        <f>md[[#This Row],[route]]&amp;"-"&amp;md[[#This Row],[mode_transit_route_id]]</f>
        <v>41-29</v>
      </c>
      <c r="S62" s="5">
        <f>Table_socioeca8.sandag.org_abm2_trb[[#This Row],[route]]</f>
        <v>41</v>
      </c>
      <c r="T62" s="2">
        <f>Table_socioeca8.sandag.org_abm2_trb[[#This Row],[mode_transit_route_id]]</f>
        <v>29</v>
      </c>
      <c r="U62" s="344">
        <f>Table_socioeca8.sandag.org_abm2_trb[[#This Row],[boarding_EA]]</f>
        <v>0</v>
      </c>
      <c r="V62" s="344">
        <f>Table_socioeca8.sandag.org_abm2_trb[[#This Row],[boarding_AM]]</f>
        <v>0</v>
      </c>
      <c r="W62" s="344">
        <f>Table_socioeca8.sandag.org_abm2_trb[[#This Row],[boarding_MD]]</f>
        <v>0</v>
      </c>
      <c r="X62" s="344">
        <f>Table_socioeca8.sandag.org_abm2_trb[[#This Row],[boarding_PM]]</f>
        <v>0</v>
      </c>
      <c r="Y62" s="344">
        <f>Table_socioeca8.sandag.org_abm2_trb[[#This Row],[boarding_EV]]</f>
        <v>0</v>
      </c>
      <c r="Z62" s="3">
        <f>Table_socioeca8.sandag.org_abm2_trb[[#This Row],[passenger_mile_EA]]</f>
        <v>0</v>
      </c>
      <c r="AA62" s="3">
        <f>Table_socioeca8.sandag.org_abm2_trb[[#This Row],[passenger_mile_AM]]</f>
        <v>0</v>
      </c>
      <c r="AB62" s="3">
        <f>Table_socioeca8.sandag.org_abm2_trb[[#This Row],[passenger_mile_MD]]</f>
        <v>0</v>
      </c>
      <c r="AC62" s="3">
        <f>Table_socioeca8.sandag.org_abm2_trb[[#This Row],[passenger_mile_PM]]</f>
        <v>0</v>
      </c>
      <c r="AD62" s="3">
        <f>Table_socioeca8.sandag.org_abm2_trb[[#This Row],[passenger_mile_EV]]</f>
        <v>0</v>
      </c>
      <c r="AE62" s="5">
        <f>Table_socioeca8.sandag.org_abm2_trb[[#This Row],[mode_transit_route_id]]</f>
        <v>29</v>
      </c>
      <c r="AF62"/>
      <c r="AG62"/>
    </row>
    <row r="63" spans="3:33" x14ac:dyDescent="0.3">
      <c r="D63" s="47">
        <f>[2]transit_general!B63</f>
        <v>44</v>
      </c>
      <c r="E63" s="261">
        <f>[2]transit_general!C63</f>
        <v>29</v>
      </c>
      <c r="F63" s="357">
        <f>[2]transit_general!D63</f>
        <v>0</v>
      </c>
      <c r="G63" s="357">
        <f>[2]transit_general!E63</f>
        <v>0</v>
      </c>
      <c r="H63" s="357">
        <f>[2]transit_general!F63</f>
        <v>0</v>
      </c>
      <c r="I63" s="357">
        <f>[2]transit_general!G63</f>
        <v>0</v>
      </c>
      <c r="J63" s="357">
        <f>[2]transit_general!H63</f>
        <v>0</v>
      </c>
      <c r="K63" s="261">
        <f>[2]transit_general!I63</f>
        <v>0</v>
      </c>
      <c r="L63" s="261">
        <f>[2]transit_general!J63</f>
        <v>0</v>
      </c>
      <c r="M63" s="261">
        <f>[2]transit_general!K63</f>
        <v>0</v>
      </c>
      <c r="N63" s="261">
        <f>[2]transit_general!L63</f>
        <v>0</v>
      </c>
      <c r="O63" s="261">
        <f>[2]transit_general!M63</f>
        <v>0</v>
      </c>
      <c r="Q63" s="5"/>
      <c r="R63" s="5" t="str">
        <f>md[[#This Row],[route]]&amp;"-"&amp;md[[#This Row],[mode_transit_route_id]]</f>
        <v>44-29</v>
      </c>
      <c r="S63" s="5">
        <f>Table_socioeca8.sandag.org_abm2_trb[[#This Row],[route]]</f>
        <v>44</v>
      </c>
      <c r="T63" s="2">
        <f>Table_socioeca8.sandag.org_abm2_trb[[#This Row],[mode_transit_route_id]]</f>
        <v>29</v>
      </c>
      <c r="U63" s="344">
        <f>Table_socioeca8.sandag.org_abm2_trb[[#This Row],[boarding_EA]]</f>
        <v>0</v>
      </c>
      <c r="V63" s="344">
        <f>Table_socioeca8.sandag.org_abm2_trb[[#This Row],[boarding_AM]]</f>
        <v>0</v>
      </c>
      <c r="W63" s="344">
        <f>Table_socioeca8.sandag.org_abm2_trb[[#This Row],[boarding_MD]]</f>
        <v>0</v>
      </c>
      <c r="X63" s="344">
        <f>Table_socioeca8.sandag.org_abm2_trb[[#This Row],[boarding_PM]]</f>
        <v>0</v>
      </c>
      <c r="Y63" s="344">
        <f>Table_socioeca8.sandag.org_abm2_trb[[#This Row],[boarding_EV]]</f>
        <v>0</v>
      </c>
      <c r="Z63" s="3">
        <f>Table_socioeca8.sandag.org_abm2_trb[[#This Row],[passenger_mile_EA]]</f>
        <v>0</v>
      </c>
      <c r="AA63" s="3">
        <f>Table_socioeca8.sandag.org_abm2_trb[[#This Row],[passenger_mile_AM]]</f>
        <v>0</v>
      </c>
      <c r="AB63" s="3">
        <f>Table_socioeca8.sandag.org_abm2_trb[[#This Row],[passenger_mile_MD]]</f>
        <v>0</v>
      </c>
      <c r="AC63" s="3">
        <f>Table_socioeca8.sandag.org_abm2_trb[[#This Row],[passenger_mile_PM]]</f>
        <v>0</v>
      </c>
      <c r="AD63" s="3">
        <f>Table_socioeca8.sandag.org_abm2_trb[[#This Row],[passenger_mile_EV]]</f>
        <v>0</v>
      </c>
      <c r="AE63" s="5">
        <f>Table_socioeca8.sandag.org_abm2_trb[[#This Row],[mode_transit_route_id]]</f>
        <v>29</v>
      </c>
      <c r="AF63"/>
      <c r="AG63"/>
    </row>
    <row r="64" spans="3:33" x14ac:dyDescent="0.3">
      <c r="D64" s="47">
        <f>[2]transit_general!B64</f>
        <v>4</v>
      </c>
      <c r="E64" s="261">
        <f>[2]transit_general!C64</f>
        <v>29</v>
      </c>
      <c r="F64" s="357">
        <f>[2]transit_general!D64</f>
        <v>0</v>
      </c>
      <c r="G64" s="357">
        <f>[2]transit_general!E64</f>
        <v>0</v>
      </c>
      <c r="H64" s="357">
        <f>[2]transit_general!F64</f>
        <v>0</v>
      </c>
      <c r="I64" s="357">
        <f>[2]transit_general!G64</f>
        <v>0</v>
      </c>
      <c r="J64" s="357">
        <f>[2]transit_general!H64</f>
        <v>0</v>
      </c>
      <c r="K64" s="261">
        <f>[2]transit_general!I64</f>
        <v>0</v>
      </c>
      <c r="L64" s="261">
        <f>[2]transit_general!J64</f>
        <v>0</v>
      </c>
      <c r="M64" s="261">
        <f>[2]transit_general!K64</f>
        <v>0</v>
      </c>
      <c r="N64" s="261">
        <f>[2]transit_general!L64</f>
        <v>0</v>
      </c>
      <c r="O64" s="261">
        <f>[2]transit_general!M64</f>
        <v>0</v>
      </c>
      <c r="Q64" s="5"/>
      <c r="R64" s="5" t="str">
        <f>md[[#This Row],[route]]&amp;"-"&amp;md[[#This Row],[mode_transit_route_id]]</f>
        <v>4-29</v>
      </c>
      <c r="S64" s="5">
        <f>Table_socioeca8.sandag.org_abm2_trb[[#This Row],[route]]</f>
        <v>4</v>
      </c>
      <c r="T64" s="2">
        <f>Table_socioeca8.sandag.org_abm2_trb[[#This Row],[mode_transit_route_id]]</f>
        <v>29</v>
      </c>
      <c r="U64" s="344">
        <f>Table_socioeca8.sandag.org_abm2_trb[[#This Row],[boarding_EA]]</f>
        <v>0</v>
      </c>
      <c r="V64" s="344">
        <f>Table_socioeca8.sandag.org_abm2_trb[[#This Row],[boarding_AM]]</f>
        <v>0</v>
      </c>
      <c r="W64" s="344">
        <f>Table_socioeca8.sandag.org_abm2_trb[[#This Row],[boarding_MD]]</f>
        <v>0</v>
      </c>
      <c r="X64" s="344">
        <f>Table_socioeca8.sandag.org_abm2_trb[[#This Row],[boarding_PM]]</f>
        <v>0</v>
      </c>
      <c r="Y64" s="344">
        <f>Table_socioeca8.sandag.org_abm2_trb[[#This Row],[boarding_EV]]</f>
        <v>0</v>
      </c>
      <c r="Z64" s="3">
        <f>Table_socioeca8.sandag.org_abm2_trb[[#This Row],[passenger_mile_EA]]</f>
        <v>0</v>
      </c>
      <c r="AA64" s="3">
        <f>Table_socioeca8.sandag.org_abm2_trb[[#This Row],[passenger_mile_AM]]</f>
        <v>0</v>
      </c>
      <c r="AB64" s="3">
        <f>Table_socioeca8.sandag.org_abm2_trb[[#This Row],[passenger_mile_MD]]</f>
        <v>0</v>
      </c>
      <c r="AC64" s="3">
        <f>Table_socioeca8.sandag.org_abm2_trb[[#This Row],[passenger_mile_PM]]</f>
        <v>0</v>
      </c>
      <c r="AD64" s="3">
        <f>Table_socioeca8.sandag.org_abm2_trb[[#This Row],[passenger_mile_EV]]</f>
        <v>0</v>
      </c>
      <c r="AE64" s="5">
        <f>Table_socioeca8.sandag.org_abm2_trb[[#This Row],[mode_transit_route_id]]</f>
        <v>29</v>
      </c>
      <c r="AF64"/>
      <c r="AG64"/>
    </row>
    <row r="65" spans="4:33" x14ac:dyDescent="0.3">
      <c r="D65" s="47">
        <f>[2]transit_general!B65</f>
        <v>50</v>
      </c>
      <c r="E65" s="261">
        <f>[2]transit_general!C65</f>
        <v>28</v>
      </c>
      <c r="F65" s="357">
        <f>[2]transit_general!D65</f>
        <v>0</v>
      </c>
      <c r="G65" s="357">
        <f>[2]transit_general!E65</f>
        <v>0</v>
      </c>
      <c r="H65" s="357">
        <f>[2]transit_general!F65</f>
        <v>0</v>
      </c>
      <c r="I65" s="357">
        <f>[2]transit_general!G65</f>
        <v>0</v>
      </c>
      <c r="J65" s="357">
        <f>[2]transit_general!H65</f>
        <v>0</v>
      </c>
      <c r="K65" s="261">
        <f>[2]transit_general!I65</f>
        <v>0</v>
      </c>
      <c r="L65" s="261">
        <f>[2]transit_general!J65</f>
        <v>0</v>
      </c>
      <c r="M65" s="261">
        <f>[2]transit_general!K65</f>
        <v>0</v>
      </c>
      <c r="N65" s="261">
        <f>[2]transit_general!L65</f>
        <v>0</v>
      </c>
      <c r="O65" s="261">
        <f>[2]transit_general!M65</f>
        <v>0</v>
      </c>
      <c r="Q65" s="5"/>
      <c r="R65" s="5" t="str">
        <f>md[[#This Row],[route]]&amp;"-"&amp;md[[#This Row],[mode_transit_route_id]]</f>
        <v>50-28</v>
      </c>
      <c r="S65" s="5">
        <f>Table_socioeca8.sandag.org_abm2_trb[[#This Row],[route]]</f>
        <v>50</v>
      </c>
      <c r="T65" s="2">
        <f>Table_socioeca8.sandag.org_abm2_trb[[#This Row],[mode_transit_route_id]]</f>
        <v>28</v>
      </c>
      <c r="U65" s="344">
        <f>Table_socioeca8.sandag.org_abm2_trb[[#This Row],[boarding_EA]]</f>
        <v>0</v>
      </c>
      <c r="V65" s="344">
        <f>Table_socioeca8.sandag.org_abm2_trb[[#This Row],[boarding_AM]]</f>
        <v>0</v>
      </c>
      <c r="W65" s="344">
        <f>Table_socioeca8.sandag.org_abm2_trb[[#This Row],[boarding_MD]]</f>
        <v>0</v>
      </c>
      <c r="X65" s="344">
        <f>Table_socioeca8.sandag.org_abm2_trb[[#This Row],[boarding_PM]]</f>
        <v>0</v>
      </c>
      <c r="Y65" s="344">
        <f>Table_socioeca8.sandag.org_abm2_trb[[#This Row],[boarding_EV]]</f>
        <v>0</v>
      </c>
      <c r="Z65" s="3">
        <f>Table_socioeca8.sandag.org_abm2_trb[[#This Row],[passenger_mile_EA]]</f>
        <v>0</v>
      </c>
      <c r="AA65" s="3">
        <f>Table_socioeca8.sandag.org_abm2_trb[[#This Row],[passenger_mile_AM]]</f>
        <v>0</v>
      </c>
      <c r="AB65" s="3">
        <f>Table_socioeca8.sandag.org_abm2_trb[[#This Row],[passenger_mile_MD]]</f>
        <v>0</v>
      </c>
      <c r="AC65" s="3">
        <f>Table_socioeca8.sandag.org_abm2_trb[[#This Row],[passenger_mile_PM]]</f>
        <v>0</v>
      </c>
      <c r="AD65" s="3">
        <f>Table_socioeca8.sandag.org_abm2_trb[[#This Row],[passenger_mile_EV]]</f>
        <v>0</v>
      </c>
      <c r="AE65" s="5">
        <f>Table_socioeca8.sandag.org_abm2_trb[[#This Row],[mode_transit_route_id]]</f>
        <v>28</v>
      </c>
      <c r="AF65"/>
      <c r="AG65"/>
    </row>
    <row r="66" spans="4:33" x14ac:dyDescent="0.3">
      <c r="D66" s="47">
        <f>[2]transit_general!B66</f>
        <v>510</v>
      </c>
      <c r="E66" s="261">
        <f>[2]transit_general!C66</f>
        <v>24</v>
      </c>
      <c r="F66" s="357">
        <f>[2]transit_general!D66</f>
        <v>0</v>
      </c>
      <c r="G66" s="357">
        <f>[2]transit_general!E66</f>
        <v>0</v>
      </c>
      <c r="H66" s="357">
        <f>[2]transit_general!F66</f>
        <v>0</v>
      </c>
      <c r="I66" s="357">
        <f>[2]transit_general!G66</f>
        <v>0</v>
      </c>
      <c r="J66" s="357">
        <f>[2]transit_general!H66</f>
        <v>0</v>
      </c>
      <c r="K66" s="261">
        <f>[2]transit_general!I66</f>
        <v>0</v>
      </c>
      <c r="L66" s="261">
        <f>[2]transit_general!J66</f>
        <v>0</v>
      </c>
      <c r="M66" s="261">
        <f>[2]transit_general!K66</f>
        <v>0</v>
      </c>
      <c r="N66" s="261">
        <f>[2]transit_general!L66</f>
        <v>0</v>
      </c>
      <c r="O66" s="261">
        <f>[2]transit_general!M66</f>
        <v>0</v>
      </c>
      <c r="Q66" s="5"/>
      <c r="R66" s="5" t="str">
        <f>md[[#This Row],[route]]&amp;"-"&amp;md[[#This Row],[mode_transit_route_id]]</f>
        <v>510-24</v>
      </c>
      <c r="S66" s="5">
        <f>Table_socioeca8.sandag.org_abm2_trb[[#This Row],[route]]</f>
        <v>510</v>
      </c>
      <c r="T66" s="2">
        <f>Table_socioeca8.sandag.org_abm2_trb[[#This Row],[mode_transit_route_id]]</f>
        <v>24</v>
      </c>
      <c r="U66" s="344">
        <f>Table_socioeca8.sandag.org_abm2_trb[[#This Row],[boarding_EA]]</f>
        <v>0</v>
      </c>
      <c r="V66" s="344">
        <f>Table_socioeca8.sandag.org_abm2_trb[[#This Row],[boarding_AM]]</f>
        <v>0</v>
      </c>
      <c r="W66" s="344">
        <f>Table_socioeca8.sandag.org_abm2_trb[[#This Row],[boarding_MD]]</f>
        <v>0</v>
      </c>
      <c r="X66" s="344">
        <f>Table_socioeca8.sandag.org_abm2_trb[[#This Row],[boarding_PM]]</f>
        <v>0</v>
      </c>
      <c r="Y66" s="344">
        <f>Table_socioeca8.sandag.org_abm2_trb[[#This Row],[boarding_EV]]</f>
        <v>0</v>
      </c>
      <c r="Z66" s="3">
        <f>Table_socioeca8.sandag.org_abm2_trb[[#This Row],[passenger_mile_EA]]</f>
        <v>0</v>
      </c>
      <c r="AA66" s="3">
        <f>Table_socioeca8.sandag.org_abm2_trb[[#This Row],[passenger_mile_AM]]</f>
        <v>0</v>
      </c>
      <c r="AB66" s="3">
        <f>Table_socioeca8.sandag.org_abm2_trb[[#This Row],[passenger_mile_MD]]</f>
        <v>0</v>
      </c>
      <c r="AC66" s="3">
        <f>Table_socioeca8.sandag.org_abm2_trb[[#This Row],[passenger_mile_PM]]</f>
        <v>0</v>
      </c>
      <c r="AD66" s="3">
        <f>Table_socioeca8.sandag.org_abm2_trb[[#This Row],[passenger_mile_EV]]</f>
        <v>0</v>
      </c>
      <c r="AE66" s="5">
        <f>Table_socioeca8.sandag.org_abm2_trb[[#This Row],[mode_transit_route_id]]</f>
        <v>24</v>
      </c>
      <c r="AF66"/>
      <c r="AG66"/>
    </row>
    <row r="67" spans="4:33" x14ac:dyDescent="0.3">
      <c r="D67" s="47">
        <f>[2]transit_general!B67</f>
        <v>520</v>
      </c>
      <c r="E67" s="261">
        <f>[2]transit_general!C67</f>
        <v>24</v>
      </c>
      <c r="F67" s="357">
        <f>[2]transit_general!D67</f>
        <v>0</v>
      </c>
      <c r="G67" s="357">
        <f>[2]transit_general!E67</f>
        <v>0</v>
      </c>
      <c r="H67" s="357">
        <f>[2]transit_general!F67</f>
        <v>0</v>
      </c>
      <c r="I67" s="357">
        <f>[2]transit_general!G67</f>
        <v>0</v>
      </c>
      <c r="J67" s="357">
        <f>[2]transit_general!H67</f>
        <v>0</v>
      </c>
      <c r="K67" s="261">
        <f>[2]transit_general!I67</f>
        <v>0</v>
      </c>
      <c r="L67" s="261">
        <f>[2]transit_general!J67</f>
        <v>0</v>
      </c>
      <c r="M67" s="261">
        <f>[2]transit_general!K67</f>
        <v>0</v>
      </c>
      <c r="N67" s="261">
        <f>[2]transit_general!L67</f>
        <v>0</v>
      </c>
      <c r="O67" s="261">
        <f>[2]transit_general!M67</f>
        <v>0</v>
      </c>
      <c r="Q67" s="5"/>
      <c r="R67" s="5" t="str">
        <f>md[[#This Row],[route]]&amp;"-"&amp;md[[#This Row],[mode_transit_route_id]]</f>
        <v>520-24</v>
      </c>
      <c r="S67" s="5">
        <f>Table_socioeca8.sandag.org_abm2_trb[[#This Row],[route]]</f>
        <v>520</v>
      </c>
      <c r="T67" s="2">
        <f>Table_socioeca8.sandag.org_abm2_trb[[#This Row],[mode_transit_route_id]]</f>
        <v>24</v>
      </c>
      <c r="U67" s="344">
        <f>Table_socioeca8.sandag.org_abm2_trb[[#This Row],[boarding_EA]]</f>
        <v>0</v>
      </c>
      <c r="V67" s="344">
        <f>Table_socioeca8.sandag.org_abm2_trb[[#This Row],[boarding_AM]]</f>
        <v>0</v>
      </c>
      <c r="W67" s="344">
        <f>Table_socioeca8.sandag.org_abm2_trb[[#This Row],[boarding_MD]]</f>
        <v>0</v>
      </c>
      <c r="X67" s="344">
        <f>Table_socioeca8.sandag.org_abm2_trb[[#This Row],[boarding_PM]]</f>
        <v>0</v>
      </c>
      <c r="Y67" s="344">
        <f>Table_socioeca8.sandag.org_abm2_trb[[#This Row],[boarding_EV]]</f>
        <v>0</v>
      </c>
      <c r="Z67" s="3">
        <f>Table_socioeca8.sandag.org_abm2_trb[[#This Row],[passenger_mile_EA]]</f>
        <v>0</v>
      </c>
      <c r="AA67" s="3">
        <f>Table_socioeca8.sandag.org_abm2_trb[[#This Row],[passenger_mile_AM]]</f>
        <v>0</v>
      </c>
      <c r="AB67" s="3">
        <f>Table_socioeca8.sandag.org_abm2_trb[[#This Row],[passenger_mile_MD]]</f>
        <v>0</v>
      </c>
      <c r="AC67" s="3">
        <f>Table_socioeca8.sandag.org_abm2_trb[[#This Row],[passenger_mile_PM]]</f>
        <v>0</v>
      </c>
      <c r="AD67" s="3">
        <f>Table_socioeca8.sandag.org_abm2_trb[[#This Row],[passenger_mile_EV]]</f>
        <v>0</v>
      </c>
      <c r="AE67" s="5">
        <f>Table_socioeca8.sandag.org_abm2_trb[[#This Row],[mode_transit_route_id]]</f>
        <v>24</v>
      </c>
      <c r="AF67"/>
      <c r="AG67"/>
    </row>
    <row r="68" spans="4:33" x14ac:dyDescent="0.3">
      <c r="D68" s="47">
        <f>[2]transit_general!B68</f>
        <v>530</v>
      </c>
      <c r="E68" s="261">
        <f>[2]transit_general!C68</f>
        <v>24</v>
      </c>
      <c r="F68" s="357">
        <f>[2]transit_general!D68</f>
        <v>0</v>
      </c>
      <c r="G68" s="357">
        <f>[2]transit_general!E68</f>
        <v>0</v>
      </c>
      <c r="H68" s="357">
        <f>[2]transit_general!F68</f>
        <v>0</v>
      </c>
      <c r="I68" s="357">
        <f>[2]transit_general!G68</f>
        <v>0</v>
      </c>
      <c r="J68" s="357">
        <f>[2]transit_general!H68</f>
        <v>0</v>
      </c>
      <c r="K68" s="261">
        <f>[2]transit_general!I68</f>
        <v>0</v>
      </c>
      <c r="L68" s="261">
        <f>[2]transit_general!J68</f>
        <v>0</v>
      </c>
      <c r="M68" s="261">
        <f>[2]transit_general!K68</f>
        <v>0</v>
      </c>
      <c r="N68" s="261">
        <f>[2]transit_general!L68</f>
        <v>0</v>
      </c>
      <c r="O68" s="261">
        <f>[2]transit_general!M68</f>
        <v>0</v>
      </c>
      <c r="Q68" s="5"/>
      <c r="R68" s="5" t="str">
        <f>md[[#This Row],[route]]&amp;"-"&amp;md[[#This Row],[mode_transit_route_id]]</f>
        <v>530-24</v>
      </c>
      <c r="S68" s="5">
        <f>Table_socioeca8.sandag.org_abm2_trb[[#This Row],[route]]</f>
        <v>530</v>
      </c>
      <c r="T68" s="2">
        <f>Table_socioeca8.sandag.org_abm2_trb[[#This Row],[mode_transit_route_id]]</f>
        <v>24</v>
      </c>
      <c r="U68" s="344">
        <f>Table_socioeca8.sandag.org_abm2_trb[[#This Row],[boarding_EA]]</f>
        <v>0</v>
      </c>
      <c r="V68" s="344">
        <f>Table_socioeca8.sandag.org_abm2_trb[[#This Row],[boarding_AM]]</f>
        <v>0</v>
      </c>
      <c r="W68" s="344">
        <f>Table_socioeca8.sandag.org_abm2_trb[[#This Row],[boarding_MD]]</f>
        <v>0</v>
      </c>
      <c r="X68" s="344">
        <f>Table_socioeca8.sandag.org_abm2_trb[[#This Row],[boarding_PM]]</f>
        <v>0</v>
      </c>
      <c r="Y68" s="344">
        <f>Table_socioeca8.sandag.org_abm2_trb[[#This Row],[boarding_EV]]</f>
        <v>0</v>
      </c>
      <c r="Z68" s="3">
        <f>Table_socioeca8.sandag.org_abm2_trb[[#This Row],[passenger_mile_EA]]</f>
        <v>0</v>
      </c>
      <c r="AA68" s="3">
        <f>Table_socioeca8.sandag.org_abm2_trb[[#This Row],[passenger_mile_AM]]</f>
        <v>0</v>
      </c>
      <c r="AB68" s="3">
        <f>Table_socioeca8.sandag.org_abm2_trb[[#This Row],[passenger_mile_MD]]</f>
        <v>0</v>
      </c>
      <c r="AC68" s="3">
        <f>Table_socioeca8.sandag.org_abm2_trb[[#This Row],[passenger_mile_PM]]</f>
        <v>0</v>
      </c>
      <c r="AD68" s="3">
        <f>Table_socioeca8.sandag.org_abm2_trb[[#This Row],[passenger_mile_EV]]</f>
        <v>0</v>
      </c>
      <c r="AE68" s="5">
        <f>Table_socioeca8.sandag.org_abm2_trb[[#This Row],[mode_transit_route_id]]</f>
        <v>24</v>
      </c>
      <c r="AF68"/>
      <c r="AG68"/>
    </row>
    <row r="69" spans="4:33" x14ac:dyDescent="0.3">
      <c r="D69" s="47">
        <f>[2]transit_general!B69</f>
        <v>5</v>
      </c>
      <c r="E69" s="261">
        <f>[2]transit_general!C69</f>
        <v>29</v>
      </c>
      <c r="F69" s="357">
        <f>[2]transit_general!D69</f>
        <v>0</v>
      </c>
      <c r="G69" s="357">
        <f>[2]transit_general!E69</f>
        <v>0</v>
      </c>
      <c r="H69" s="357">
        <f>[2]transit_general!F69</f>
        <v>0</v>
      </c>
      <c r="I69" s="357">
        <f>[2]transit_general!G69</f>
        <v>0</v>
      </c>
      <c r="J69" s="357">
        <f>[2]transit_general!H69</f>
        <v>0</v>
      </c>
      <c r="K69" s="261">
        <f>[2]transit_general!I69</f>
        <v>0</v>
      </c>
      <c r="L69" s="261">
        <f>[2]transit_general!J69</f>
        <v>0</v>
      </c>
      <c r="M69" s="261">
        <f>[2]transit_general!K69</f>
        <v>0</v>
      </c>
      <c r="N69" s="261">
        <f>[2]transit_general!L69</f>
        <v>0</v>
      </c>
      <c r="O69" s="261">
        <f>[2]transit_general!M69</f>
        <v>0</v>
      </c>
      <c r="Q69" s="5"/>
      <c r="R69" s="5" t="str">
        <f>md[[#This Row],[route]]&amp;"-"&amp;md[[#This Row],[mode_transit_route_id]]</f>
        <v>5-29</v>
      </c>
      <c r="S69" s="5">
        <f>Table_socioeca8.sandag.org_abm2_trb[[#This Row],[route]]</f>
        <v>5</v>
      </c>
      <c r="T69" s="2">
        <f>Table_socioeca8.sandag.org_abm2_trb[[#This Row],[mode_transit_route_id]]</f>
        <v>29</v>
      </c>
      <c r="U69" s="344">
        <f>Table_socioeca8.sandag.org_abm2_trb[[#This Row],[boarding_EA]]</f>
        <v>0</v>
      </c>
      <c r="V69" s="344">
        <f>Table_socioeca8.sandag.org_abm2_trb[[#This Row],[boarding_AM]]</f>
        <v>0</v>
      </c>
      <c r="W69" s="344">
        <f>Table_socioeca8.sandag.org_abm2_trb[[#This Row],[boarding_MD]]</f>
        <v>0</v>
      </c>
      <c r="X69" s="344">
        <f>Table_socioeca8.sandag.org_abm2_trb[[#This Row],[boarding_PM]]</f>
        <v>0</v>
      </c>
      <c r="Y69" s="344">
        <f>Table_socioeca8.sandag.org_abm2_trb[[#This Row],[boarding_EV]]</f>
        <v>0</v>
      </c>
      <c r="Z69" s="3">
        <f>Table_socioeca8.sandag.org_abm2_trb[[#This Row],[passenger_mile_EA]]</f>
        <v>0</v>
      </c>
      <c r="AA69" s="3">
        <f>Table_socioeca8.sandag.org_abm2_trb[[#This Row],[passenger_mile_AM]]</f>
        <v>0</v>
      </c>
      <c r="AB69" s="3">
        <f>Table_socioeca8.sandag.org_abm2_trb[[#This Row],[passenger_mile_MD]]</f>
        <v>0</v>
      </c>
      <c r="AC69" s="3">
        <f>Table_socioeca8.sandag.org_abm2_trb[[#This Row],[passenger_mile_PM]]</f>
        <v>0</v>
      </c>
      <c r="AD69" s="3">
        <f>Table_socioeca8.sandag.org_abm2_trb[[#This Row],[passenger_mile_EV]]</f>
        <v>0</v>
      </c>
      <c r="AE69" s="5">
        <f>Table_socioeca8.sandag.org_abm2_trb[[#This Row],[mode_transit_route_id]]</f>
        <v>29</v>
      </c>
      <c r="AF69"/>
      <c r="AG69"/>
    </row>
    <row r="70" spans="4:33" x14ac:dyDescent="0.3">
      <c r="D70" s="47">
        <f>[2]transit_general!B70</f>
        <v>6</v>
      </c>
      <c r="E70" s="261">
        <f>[2]transit_general!C70</f>
        <v>29</v>
      </c>
      <c r="F70" s="357">
        <f>[2]transit_general!D70</f>
        <v>0</v>
      </c>
      <c r="G70" s="357">
        <f>[2]transit_general!E70</f>
        <v>0</v>
      </c>
      <c r="H70" s="357">
        <f>[2]transit_general!F70</f>
        <v>0</v>
      </c>
      <c r="I70" s="357">
        <f>[2]transit_general!G70</f>
        <v>0</v>
      </c>
      <c r="J70" s="357">
        <f>[2]transit_general!H70</f>
        <v>0</v>
      </c>
      <c r="K70" s="261">
        <f>[2]transit_general!I70</f>
        <v>0</v>
      </c>
      <c r="L70" s="261">
        <f>[2]transit_general!J70</f>
        <v>0</v>
      </c>
      <c r="M70" s="261">
        <f>[2]transit_general!K70</f>
        <v>0</v>
      </c>
      <c r="N70" s="261">
        <f>[2]transit_general!L70</f>
        <v>0</v>
      </c>
      <c r="O70" s="261">
        <f>[2]transit_general!M70</f>
        <v>0</v>
      </c>
      <c r="Q70" s="5"/>
      <c r="R70" s="5" t="str">
        <f>md[[#This Row],[route]]&amp;"-"&amp;md[[#This Row],[mode_transit_route_id]]</f>
        <v>6-29</v>
      </c>
      <c r="S70" s="5">
        <f>Table_socioeca8.sandag.org_abm2_trb[[#This Row],[route]]</f>
        <v>6</v>
      </c>
      <c r="T70" s="2">
        <f>Table_socioeca8.sandag.org_abm2_trb[[#This Row],[mode_transit_route_id]]</f>
        <v>29</v>
      </c>
      <c r="U70" s="344">
        <f>Table_socioeca8.sandag.org_abm2_trb[[#This Row],[boarding_EA]]</f>
        <v>0</v>
      </c>
      <c r="V70" s="344">
        <f>Table_socioeca8.sandag.org_abm2_trb[[#This Row],[boarding_AM]]</f>
        <v>0</v>
      </c>
      <c r="W70" s="344">
        <f>Table_socioeca8.sandag.org_abm2_trb[[#This Row],[boarding_MD]]</f>
        <v>0</v>
      </c>
      <c r="X70" s="344">
        <f>Table_socioeca8.sandag.org_abm2_trb[[#This Row],[boarding_PM]]</f>
        <v>0</v>
      </c>
      <c r="Y70" s="344">
        <f>Table_socioeca8.sandag.org_abm2_trb[[#This Row],[boarding_EV]]</f>
        <v>0</v>
      </c>
      <c r="Z70" s="3">
        <f>Table_socioeca8.sandag.org_abm2_trb[[#This Row],[passenger_mile_EA]]</f>
        <v>0</v>
      </c>
      <c r="AA70" s="3">
        <f>Table_socioeca8.sandag.org_abm2_trb[[#This Row],[passenger_mile_AM]]</f>
        <v>0</v>
      </c>
      <c r="AB70" s="3">
        <f>Table_socioeca8.sandag.org_abm2_trb[[#This Row],[passenger_mile_MD]]</f>
        <v>0</v>
      </c>
      <c r="AC70" s="3">
        <f>Table_socioeca8.sandag.org_abm2_trb[[#This Row],[passenger_mile_PM]]</f>
        <v>0</v>
      </c>
      <c r="AD70" s="3">
        <f>Table_socioeca8.sandag.org_abm2_trb[[#This Row],[passenger_mile_EV]]</f>
        <v>0</v>
      </c>
      <c r="AE70" s="5">
        <f>Table_socioeca8.sandag.org_abm2_trb[[#This Row],[mode_transit_route_id]]</f>
        <v>29</v>
      </c>
      <c r="AF70"/>
      <c r="AG70"/>
    </row>
    <row r="71" spans="4:33" x14ac:dyDescent="0.3">
      <c r="D71" s="47">
        <f>[2]transit_general!B71</f>
        <v>701</v>
      </c>
      <c r="E71" s="261">
        <f>[2]transit_general!C71</f>
        <v>29</v>
      </c>
      <c r="F71" s="357">
        <f>[2]transit_general!D71</f>
        <v>0</v>
      </c>
      <c r="G71" s="357">
        <f>[2]transit_general!E71</f>
        <v>0</v>
      </c>
      <c r="H71" s="357">
        <f>[2]transit_general!F71</f>
        <v>0</v>
      </c>
      <c r="I71" s="357">
        <f>[2]transit_general!G71</f>
        <v>0</v>
      </c>
      <c r="J71" s="357">
        <f>[2]transit_general!H71</f>
        <v>0</v>
      </c>
      <c r="K71" s="261">
        <f>[2]transit_general!I71</f>
        <v>0</v>
      </c>
      <c r="L71" s="261">
        <f>[2]transit_general!J71</f>
        <v>0</v>
      </c>
      <c r="M71" s="261">
        <f>[2]transit_general!K71</f>
        <v>0</v>
      </c>
      <c r="N71" s="261">
        <f>[2]transit_general!L71</f>
        <v>0</v>
      </c>
      <c r="O71" s="261">
        <f>[2]transit_general!M71</f>
        <v>0</v>
      </c>
      <c r="Q71" s="5"/>
      <c r="R71" s="5" t="str">
        <f>md[[#This Row],[route]]&amp;"-"&amp;md[[#This Row],[mode_transit_route_id]]</f>
        <v>701-29</v>
      </c>
      <c r="S71" s="5">
        <f>Table_socioeca8.sandag.org_abm2_trb[[#This Row],[route]]</f>
        <v>701</v>
      </c>
      <c r="T71" s="2">
        <f>Table_socioeca8.sandag.org_abm2_trb[[#This Row],[mode_transit_route_id]]</f>
        <v>29</v>
      </c>
      <c r="U71" s="344">
        <f>Table_socioeca8.sandag.org_abm2_trb[[#This Row],[boarding_EA]]</f>
        <v>0</v>
      </c>
      <c r="V71" s="344">
        <f>Table_socioeca8.sandag.org_abm2_trb[[#This Row],[boarding_AM]]</f>
        <v>0</v>
      </c>
      <c r="W71" s="344">
        <f>Table_socioeca8.sandag.org_abm2_trb[[#This Row],[boarding_MD]]</f>
        <v>0</v>
      </c>
      <c r="X71" s="344">
        <f>Table_socioeca8.sandag.org_abm2_trb[[#This Row],[boarding_PM]]</f>
        <v>0</v>
      </c>
      <c r="Y71" s="344">
        <f>Table_socioeca8.sandag.org_abm2_trb[[#This Row],[boarding_EV]]</f>
        <v>0</v>
      </c>
      <c r="Z71" s="3">
        <f>Table_socioeca8.sandag.org_abm2_trb[[#This Row],[passenger_mile_EA]]</f>
        <v>0</v>
      </c>
      <c r="AA71" s="3">
        <f>Table_socioeca8.sandag.org_abm2_trb[[#This Row],[passenger_mile_AM]]</f>
        <v>0</v>
      </c>
      <c r="AB71" s="3">
        <f>Table_socioeca8.sandag.org_abm2_trb[[#This Row],[passenger_mile_MD]]</f>
        <v>0</v>
      </c>
      <c r="AC71" s="3">
        <f>Table_socioeca8.sandag.org_abm2_trb[[#This Row],[passenger_mile_PM]]</f>
        <v>0</v>
      </c>
      <c r="AD71" s="3">
        <f>Table_socioeca8.sandag.org_abm2_trb[[#This Row],[passenger_mile_EV]]</f>
        <v>0</v>
      </c>
      <c r="AE71" s="5">
        <f>Table_socioeca8.sandag.org_abm2_trb[[#This Row],[mode_transit_route_id]]</f>
        <v>29</v>
      </c>
      <c r="AF71"/>
      <c r="AG71"/>
    </row>
    <row r="72" spans="4:33" x14ac:dyDescent="0.3">
      <c r="D72" s="47">
        <f>[2]transit_general!B72</f>
        <v>704</v>
      </c>
      <c r="E72" s="261">
        <f>[2]transit_general!C72</f>
        <v>29</v>
      </c>
      <c r="F72" s="357">
        <f>[2]transit_general!D72</f>
        <v>0</v>
      </c>
      <c r="G72" s="357">
        <f>[2]transit_general!E72</f>
        <v>0</v>
      </c>
      <c r="H72" s="357">
        <f>[2]transit_general!F72</f>
        <v>0</v>
      </c>
      <c r="I72" s="357">
        <f>[2]transit_general!G72</f>
        <v>0</v>
      </c>
      <c r="J72" s="357">
        <f>[2]transit_general!H72</f>
        <v>0</v>
      </c>
      <c r="K72" s="261">
        <f>[2]transit_general!I72</f>
        <v>0</v>
      </c>
      <c r="L72" s="261">
        <f>[2]transit_general!J72</f>
        <v>0</v>
      </c>
      <c r="M72" s="261">
        <f>[2]transit_general!K72</f>
        <v>0</v>
      </c>
      <c r="N72" s="261">
        <f>[2]transit_general!L72</f>
        <v>0</v>
      </c>
      <c r="O72" s="261">
        <f>[2]transit_general!M72</f>
        <v>0</v>
      </c>
      <c r="Q72" s="5"/>
      <c r="R72" s="5" t="str">
        <f>md[[#This Row],[route]]&amp;"-"&amp;md[[#This Row],[mode_transit_route_id]]</f>
        <v>704-29</v>
      </c>
      <c r="S72" s="5">
        <f>Table_socioeca8.sandag.org_abm2_trb[[#This Row],[route]]</f>
        <v>704</v>
      </c>
      <c r="T72" s="2">
        <f>Table_socioeca8.sandag.org_abm2_trb[[#This Row],[mode_transit_route_id]]</f>
        <v>29</v>
      </c>
      <c r="U72" s="344">
        <f>Table_socioeca8.sandag.org_abm2_trb[[#This Row],[boarding_EA]]</f>
        <v>0</v>
      </c>
      <c r="V72" s="344">
        <f>Table_socioeca8.sandag.org_abm2_trb[[#This Row],[boarding_AM]]</f>
        <v>0</v>
      </c>
      <c r="W72" s="344">
        <f>Table_socioeca8.sandag.org_abm2_trb[[#This Row],[boarding_MD]]</f>
        <v>0</v>
      </c>
      <c r="X72" s="344">
        <f>Table_socioeca8.sandag.org_abm2_trb[[#This Row],[boarding_PM]]</f>
        <v>0</v>
      </c>
      <c r="Y72" s="344">
        <f>Table_socioeca8.sandag.org_abm2_trb[[#This Row],[boarding_EV]]</f>
        <v>0</v>
      </c>
      <c r="Z72" s="3">
        <f>Table_socioeca8.sandag.org_abm2_trb[[#This Row],[passenger_mile_EA]]</f>
        <v>0</v>
      </c>
      <c r="AA72" s="3">
        <f>Table_socioeca8.sandag.org_abm2_trb[[#This Row],[passenger_mile_AM]]</f>
        <v>0</v>
      </c>
      <c r="AB72" s="3">
        <f>Table_socioeca8.sandag.org_abm2_trb[[#This Row],[passenger_mile_MD]]</f>
        <v>0</v>
      </c>
      <c r="AC72" s="3">
        <f>Table_socioeca8.sandag.org_abm2_trb[[#This Row],[passenger_mile_PM]]</f>
        <v>0</v>
      </c>
      <c r="AD72" s="3">
        <f>Table_socioeca8.sandag.org_abm2_trb[[#This Row],[passenger_mile_EV]]</f>
        <v>0</v>
      </c>
      <c r="AE72" s="5">
        <f>Table_socioeca8.sandag.org_abm2_trb[[#This Row],[mode_transit_route_id]]</f>
        <v>29</v>
      </c>
      <c r="AF72"/>
      <c r="AG72"/>
    </row>
    <row r="73" spans="4:33" x14ac:dyDescent="0.3">
      <c r="D73" s="47">
        <f>[2]transit_general!B73</f>
        <v>705</v>
      </c>
      <c r="E73" s="261">
        <f>[2]transit_general!C73</f>
        <v>29</v>
      </c>
      <c r="F73" s="357">
        <f>[2]transit_general!D73</f>
        <v>0</v>
      </c>
      <c r="G73" s="357">
        <f>[2]transit_general!E73</f>
        <v>0</v>
      </c>
      <c r="H73" s="357">
        <f>[2]transit_general!F73</f>
        <v>0</v>
      </c>
      <c r="I73" s="357">
        <f>[2]transit_general!G73</f>
        <v>0</v>
      </c>
      <c r="J73" s="357">
        <f>[2]transit_general!H73</f>
        <v>0</v>
      </c>
      <c r="K73" s="261">
        <f>[2]transit_general!I73</f>
        <v>0</v>
      </c>
      <c r="L73" s="261">
        <f>[2]transit_general!J73</f>
        <v>0</v>
      </c>
      <c r="M73" s="261">
        <f>[2]transit_general!K73</f>
        <v>0</v>
      </c>
      <c r="N73" s="261">
        <f>[2]transit_general!L73</f>
        <v>0</v>
      </c>
      <c r="O73" s="261">
        <f>[2]transit_general!M73</f>
        <v>0</v>
      </c>
      <c r="Q73" s="5"/>
      <c r="R73" s="5" t="str">
        <f>md[[#This Row],[route]]&amp;"-"&amp;md[[#This Row],[mode_transit_route_id]]</f>
        <v>705-29</v>
      </c>
      <c r="S73" s="5">
        <f>Table_socioeca8.sandag.org_abm2_trb[[#This Row],[route]]</f>
        <v>705</v>
      </c>
      <c r="T73" s="2">
        <f>Table_socioeca8.sandag.org_abm2_trb[[#This Row],[mode_transit_route_id]]</f>
        <v>29</v>
      </c>
      <c r="U73" s="344">
        <f>Table_socioeca8.sandag.org_abm2_trb[[#This Row],[boarding_EA]]</f>
        <v>0</v>
      </c>
      <c r="V73" s="344">
        <f>Table_socioeca8.sandag.org_abm2_trb[[#This Row],[boarding_AM]]</f>
        <v>0</v>
      </c>
      <c r="W73" s="344">
        <f>Table_socioeca8.sandag.org_abm2_trb[[#This Row],[boarding_MD]]</f>
        <v>0</v>
      </c>
      <c r="X73" s="344">
        <f>Table_socioeca8.sandag.org_abm2_trb[[#This Row],[boarding_PM]]</f>
        <v>0</v>
      </c>
      <c r="Y73" s="344">
        <f>Table_socioeca8.sandag.org_abm2_trb[[#This Row],[boarding_EV]]</f>
        <v>0</v>
      </c>
      <c r="Z73" s="3">
        <f>Table_socioeca8.sandag.org_abm2_trb[[#This Row],[passenger_mile_EA]]</f>
        <v>0</v>
      </c>
      <c r="AA73" s="3">
        <f>Table_socioeca8.sandag.org_abm2_trb[[#This Row],[passenger_mile_AM]]</f>
        <v>0</v>
      </c>
      <c r="AB73" s="3">
        <f>Table_socioeca8.sandag.org_abm2_trb[[#This Row],[passenger_mile_MD]]</f>
        <v>0</v>
      </c>
      <c r="AC73" s="3">
        <f>Table_socioeca8.sandag.org_abm2_trb[[#This Row],[passenger_mile_PM]]</f>
        <v>0</v>
      </c>
      <c r="AD73" s="3">
        <f>Table_socioeca8.sandag.org_abm2_trb[[#This Row],[passenger_mile_EV]]</f>
        <v>0</v>
      </c>
      <c r="AE73" s="5">
        <f>Table_socioeca8.sandag.org_abm2_trb[[#This Row],[mode_transit_route_id]]</f>
        <v>29</v>
      </c>
      <c r="AF73"/>
      <c r="AG73"/>
    </row>
    <row r="74" spans="4:33" x14ac:dyDescent="0.3">
      <c r="D74" s="47">
        <f>[2]transit_general!B74</f>
        <v>707</v>
      </c>
      <c r="E74" s="261">
        <f>[2]transit_general!C74</f>
        <v>29</v>
      </c>
      <c r="F74" s="357">
        <f>[2]transit_general!D74</f>
        <v>0</v>
      </c>
      <c r="G74" s="357">
        <f>[2]transit_general!E74</f>
        <v>0</v>
      </c>
      <c r="H74" s="357">
        <f>[2]transit_general!F74</f>
        <v>0</v>
      </c>
      <c r="I74" s="357">
        <f>[2]transit_general!G74</f>
        <v>0</v>
      </c>
      <c r="J74" s="357">
        <f>[2]transit_general!H74</f>
        <v>0</v>
      </c>
      <c r="K74" s="261">
        <f>[2]transit_general!I74</f>
        <v>0</v>
      </c>
      <c r="L74" s="261">
        <f>[2]transit_general!J74</f>
        <v>0</v>
      </c>
      <c r="M74" s="261">
        <f>[2]transit_general!K74</f>
        <v>0</v>
      </c>
      <c r="N74" s="261">
        <f>[2]transit_general!L74</f>
        <v>0</v>
      </c>
      <c r="O74" s="261">
        <f>[2]transit_general!M74</f>
        <v>0</v>
      </c>
      <c r="Q74" s="5"/>
      <c r="R74" s="5" t="str">
        <f>md[[#This Row],[route]]&amp;"-"&amp;md[[#This Row],[mode_transit_route_id]]</f>
        <v>707-29</v>
      </c>
      <c r="S74" s="5">
        <f>Table_socioeca8.sandag.org_abm2_trb[[#This Row],[route]]</f>
        <v>707</v>
      </c>
      <c r="T74" s="2">
        <f>Table_socioeca8.sandag.org_abm2_trb[[#This Row],[mode_transit_route_id]]</f>
        <v>29</v>
      </c>
      <c r="U74" s="344">
        <f>Table_socioeca8.sandag.org_abm2_trb[[#This Row],[boarding_EA]]</f>
        <v>0</v>
      </c>
      <c r="V74" s="344">
        <f>Table_socioeca8.sandag.org_abm2_trb[[#This Row],[boarding_AM]]</f>
        <v>0</v>
      </c>
      <c r="W74" s="344">
        <f>Table_socioeca8.sandag.org_abm2_trb[[#This Row],[boarding_MD]]</f>
        <v>0</v>
      </c>
      <c r="X74" s="344">
        <f>Table_socioeca8.sandag.org_abm2_trb[[#This Row],[boarding_PM]]</f>
        <v>0</v>
      </c>
      <c r="Y74" s="344">
        <f>Table_socioeca8.sandag.org_abm2_trb[[#This Row],[boarding_EV]]</f>
        <v>0</v>
      </c>
      <c r="Z74" s="3">
        <f>Table_socioeca8.sandag.org_abm2_trb[[#This Row],[passenger_mile_EA]]</f>
        <v>0</v>
      </c>
      <c r="AA74" s="3">
        <f>Table_socioeca8.sandag.org_abm2_trb[[#This Row],[passenger_mile_AM]]</f>
        <v>0</v>
      </c>
      <c r="AB74" s="3">
        <f>Table_socioeca8.sandag.org_abm2_trb[[#This Row],[passenger_mile_MD]]</f>
        <v>0</v>
      </c>
      <c r="AC74" s="3">
        <f>Table_socioeca8.sandag.org_abm2_trb[[#This Row],[passenger_mile_PM]]</f>
        <v>0</v>
      </c>
      <c r="AD74" s="3">
        <f>Table_socioeca8.sandag.org_abm2_trb[[#This Row],[passenger_mile_EV]]</f>
        <v>0</v>
      </c>
      <c r="AE74" s="5">
        <f>Table_socioeca8.sandag.org_abm2_trb[[#This Row],[mode_transit_route_id]]</f>
        <v>29</v>
      </c>
      <c r="AF74"/>
      <c r="AG74"/>
    </row>
    <row r="75" spans="4:33" x14ac:dyDescent="0.3">
      <c r="D75" s="47">
        <f>[2]transit_general!B75</f>
        <v>709</v>
      </c>
      <c r="E75" s="261">
        <f>[2]transit_general!C75</f>
        <v>29</v>
      </c>
      <c r="F75" s="357">
        <f>[2]transit_general!D75</f>
        <v>0</v>
      </c>
      <c r="G75" s="357">
        <f>[2]transit_general!E75</f>
        <v>0</v>
      </c>
      <c r="H75" s="357">
        <f>[2]transit_general!F75</f>
        <v>0</v>
      </c>
      <c r="I75" s="357">
        <f>[2]transit_general!G75</f>
        <v>0</v>
      </c>
      <c r="J75" s="357">
        <f>[2]transit_general!H75</f>
        <v>0</v>
      </c>
      <c r="K75" s="261">
        <f>[2]transit_general!I75</f>
        <v>0</v>
      </c>
      <c r="L75" s="261">
        <f>[2]transit_general!J75</f>
        <v>0</v>
      </c>
      <c r="M75" s="261">
        <f>[2]transit_general!K75</f>
        <v>0</v>
      </c>
      <c r="N75" s="261">
        <f>[2]transit_general!L75</f>
        <v>0</v>
      </c>
      <c r="O75" s="261">
        <f>[2]transit_general!M75</f>
        <v>0</v>
      </c>
      <c r="Q75" s="5"/>
      <c r="R75" s="5" t="str">
        <f>md[[#This Row],[route]]&amp;"-"&amp;md[[#This Row],[mode_transit_route_id]]</f>
        <v>709-29</v>
      </c>
      <c r="S75" s="5">
        <f>Table_socioeca8.sandag.org_abm2_trb[[#This Row],[route]]</f>
        <v>709</v>
      </c>
      <c r="T75" s="2">
        <f>Table_socioeca8.sandag.org_abm2_trb[[#This Row],[mode_transit_route_id]]</f>
        <v>29</v>
      </c>
      <c r="U75" s="344">
        <f>Table_socioeca8.sandag.org_abm2_trb[[#This Row],[boarding_EA]]</f>
        <v>0</v>
      </c>
      <c r="V75" s="344">
        <f>Table_socioeca8.sandag.org_abm2_trb[[#This Row],[boarding_AM]]</f>
        <v>0</v>
      </c>
      <c r="W75" s="344">
        <f>Table_socioeca8.sandag.org_abm2_trb[[#This Row],[boarding_MD]]</f>
        <v>0</v>
      </c>
      <c r="X75" s="344">
        <f>Table_socioeca8.sandag.org_abm2_trb[[#This Row],[boarding_PM]]</f>
        <v>0</v>
      </c>
      <c r="Y75" s="344">
        <f>Table_socioeca8.sandag.org_abm2_trb[[#This Row],[boarding_EV]]</f>
        <v>0</v>
      </c>
      <c r="Z75" s="3">
        <f>Table_socioeca8.sandag.org_abm2_trb[[#This Row],[passenger_mile_EA]]</f>
        <v>0</v>
      </c>
      <c r="AA75" s="3">
        <f>Table_socioeca8.sandag.org_abm2_trb[[#This Row],[passenger_mile_AM]]</f>
        <v>0</v>
      </c>
      <c r="AB75" s="3">
        <f>Table_socioeca8.sandag.org_abm2_trb[[#This Row],[passenger_mile_MD]]</f>
        <v>0</v>
      </c>
      <c r="AC75" s="3">
        <f>Table_socioeca8.sandag.org_abm2_trb[[#This Row],[passenger_mile_PM]]</f>
        <v>0</v>
      </c>
      <c r="AD75" s="3">
        <f>Table_socioeca8.sandag.org_abm2_trb[[#This Row],[passenger_mile_EV]]</f>
        <v>0</v>
      </c>
      <c r="AE75" s="5">
        <f>Table_socioeca8.sandag.org_abm2_trb[[#This Row],[mode_transit_route_id]]</f>
        <v>29</v>
      </c>
      <c r="AF75"/>
      <c r="AG75"/>
    </row>
    <row r="76" spans="4:33" x14ac:dyDescent="0.3">
      <c r="D76" s="47">
        <f>[2]transit_general!B76</f>
        <v>709</v>
      </c>
      <c r="E76" s="261">
        <f>[2]transit_general!C76</f>
        <v>28</v>
      </c>
      <c r="F76" s="357">
        <f>[2]transit_general!D76</f>
        <v>0</v>
      </c>
      <c r="G76" s="357">
        <f>[2]transit_general!E76</f>
        <v>0</v>
      </c>
      <c r="H76" s="357">
        <f>[2]transit_general!F76</f>
        <v>0</v>
      </c>
      <c r="I76" s="357">
        <f>[2]transit_general!G76</f>
        <v>0</v>
      </c>
      <c r="J76" s="357">
        <f>[2]transit_general!H76</f>
        <v>0</v>
      </c>
      <c r="K76" s="261">
        <f>[2]transit_general!I76</f>
        <v>0</v>
      </c>
      <c r="L76" s="261">
        <f>[2]transit_general!J76</f>
        <v>0</v>
      </c>
      <c r="M76" s="261">
        <f>[2]transit_general!K76</f>
        <v>0</v>
      </c>
      <c r="N76" s="261">
        <f>[2]transit_general!L76</f>
        <v>0</v>
      </c>
      <c r="O76" s="261">
        <f>[2]transit_general!M76</f>
        <v>0</v>
      </c>
      <c r="Q76" s="5"/>
      <c r="R76" s="5" t="str">
        <f>md[[#This Row],[route]]&amp;"-"&amp;md[[#This Row],[mode_transit_route_id]]</f>
        <v>709-28</v>
      </c>
      <c r="S76" s="5">
        <f>Table_socioeca8.sandag.org_abm2_trb[[#This Row],[route]]</f>
        <v>709</v>
      </c>
      <c r="T76" s="2">
        <f>Table_socioeca8.sandag.org_abm2_trb[[#This Row],[mode_transit_route_id]]</f>
        <v>28</v>
      </c>
      <c r="U76" s="344">
        <f>Table_socioeca8.sandag.org_abm2_trb[[#This Row],[boarding_EA]]</f>
        <v>0</v>
      </c>
      <c r="V76" s="344">
        <f>Table_socioeca8.sandag.org_abm2_trb[[#This Row],[boarding_AM]]</f>
        <v>0</v>
      </c>
      <c r="W76" s="344">
        <f>Table_socioeca8.sandag.org_abm2_trb[[#This Row],[boarding_MD]]</f>
        <v>0</v>
      </c>
      <c r="X76" s="344">
        <f>Table_socioeca8.sandag.org_abm2_trb[[#This Row],[boarding_PM]]</f>
        <v>0</v>
      </c>
      <c r="Y76" s="344">
        <f>Table_socioeca8.sandag.org_abm2_trb[[#This Row],[boarding_EV]]</f>
        <v>0</v>
      </c>
      <c r="Z76" s="3">
        <f>Table_socioeca8.sandag.org_abm2_trb[[#This Row],[passenger_mile_EA]]</f>
        <v>0</v>
      </c>
      <c r="AA76" s="3">
        <f>Table_socioeca8.sandag.org_abm2_trb[[#This Row],[passenger_mile_AM]]</f>
        <v>0</v>
      </c>
      <c r="AB76" s="3">
        <f>Table_socioeca8.sandag.org_abm2_trb[[#This Row],[passenger_mile_MD]]</f>
        <v>0</v>
      </c>
      <c r="AC76" s="3">
        <f>Table_socioeca8.sandag.org_abm2_trb[[#This Row],[passenger_mile_PM]]</f>
        <v>0</v>
      </c>
      <c r="AD76" s="3">
        <f>Table_socioeca8.sandag.org_abm2_trb[[#This Row],[passenger_mile_EV]]</f>
        <v>0</v>
      </c>
      <c r="AE76" s="5">
        <f>Table_socioeca8.sandag.org_abm2_trb[[#This Row],[mode_transit_route_id]]</f>
        <v>28</v>
      </c>
      <c r="AF76"/>
      <c r="AG76"/>
    </row>
    <row r="77" spans="4:33" x14ac:dyDescent="0.3">
      <c r="D77" s="47">
        <f>[2]transit_general!B77</f>
        <v>712</v>
      </c>
      <c r="E77" s="261">
        <f>[2]transit_general!C77</f>
        <v>29</v>
      </c>
      <c r="F77" s="357">
        <f>[2]transit_general!D77</f>
        <v>0</v>
      </c>
      <c r="G77" s="357">
        <f>[2]transit_general!E77</f>
        <v>0</v>
      </c>
      <c r="H77" s="357">
        <f>[2]transit_general!F77</f>
        <v>0</v>
      </c>
      <c r="I77" s="357">
        <f>[2]transit_general!G77</f>
        <v>0</v>
      </c>
      <c r="J77" s="357">
        <f>[2]transit_general!H77</f>
        <v>0</v>
      </c>
      <c r="K77" s="261">
        <f>[2]transit_general!I77</f>
        <v>0</v>
      </c>
      <c r="L77" s="261">
        <f>[2]transit_general!J77</f>
        <v>0</v>
      </c>
      <c r="M77" s="261">
        <f>[2]transit_general!K77</f>
        <v>0</v>
      </c>
      <c r="N77" s="261">
        <f>[2]transit_general!L77</f>
        <v>0</v>
      </c>
      <c r="O77" s="261">
        <f>[2]transit_general!M77</f>
        <v>0</v>
      </c>
      <c r="Q77" s="5"/>
      <c r="R77" s="5" t="str">
        <f>md[[#This Row],[route]]&amp;"-"&amp;md[[#This Row],[mode_transit_route_id]]</f>
        <v>712-29</v>
      </c>
      <c r="S77" s="5">
        <f>Table_socioeca8.sandag.org_abm2_trb[[#This Row],[route]]</f>
        <v>712</v>
      </c>
      <c r="T77" s="2">
        <f>Table_socioeca8.sandag.org_abm2_trb[[#This Row],[mode_transit_route_id]]</f>
        <v>29</v>
      </c>
      <c r="U77" s="344">
        <f>Table_socioeca8.sandag.org_abm2_trb[[#This Row],[boarding_EA]]</f>
        <v>0</v>
      </c>
      <c r="V77" s="344">
        <f>Table_socioeca8.sandag.org_abm2_trb[[#This Row],[boarding_AM]]</f>
        <v>0</v>
      </c>
      <c r="W77" s="344">
        <f>Table_socioeca8.sandag.org_abm2_trb[[#This Row],[boarding_MD]]</f>
        <v>0</v>
      </c>
      <c r="X77" s="344">
        <f>Table_socioeca8.sandag.org_abm2_trb[[#This Row],[boarding_PM]]</f>
        <v>0</v>
      </c>
      <c r="Y77" s="344">
        <f>Table_socioeca8.sandag.org_abm2_trb[[#This Row],[boarding_EV]]</f>
        <v>0</v>
      </c>
      <c r="Z77" s="3">
        <f>Table_socioeca8.sandag.org_abm2_trb[[#This Row],[passenger_mile_EA]]</f>
        <v>0</v>
      </c>
      <c r="AA77" s="3">
        <f>Table_socioeca8.sandag.org_abm2_trb[[#This Row],[passenger_mile_AM]]</f>
        <v>0</v>
      </c>
      <c r="AB77" s="3">
        <f>Table_socioeca8.sandag.org_abm2_trb[[#This Row],[passenger_mile_MD]]</f>
        <v>0</v>
      </c>
      <c r="AC77" s="3">
        <f>Table_socioeca8.sandag.org_abm2_trb[[#This Row],[passenger_mile_PM]]</f>
        <v>0</v>
      </c>
      <c r="AD77" s="3">
        <f>Table_socioeca8.sandag.org_abm2_trb[[#This Row],[passenger_mile_EV]]</f>
        <v>0</v>
      </c>
      <c r="AE77" s="5">
        <f>Table_socioeca8.sandag.org_abm2_trb[[#This Row],[mode_transit_route_id]]</f>
        <v>29</v>
      </c>
      <c r="AF77"/>
      <c r="AG77"/>
    </row>
    <row r="78" spans="4:33" x14ac:dyDescent="0.3">
      <c r="D78" s="47">
        <f>[2]transit_general!B78</f>
        <v>7</v>
      </c>
      <c r="E78" s="261">
        <f>[2]transit_general!C78</f>
        <v>29</v>
      </c>
      <c r="F78" s="357">
        <f>[2]transit_general!D78</f>
        <v>0</v>
      </c>
      <c r="G78" s="357">
        <f>[2]transit_general!E78</f>
        <v>0</v>
      </c>
      <c r="H78" s="357">
        <f>[2]transit_general!F78</f>
        <v>0</v>
      </c>
      <c r="I78" s="357">
        <f>[2]transit_general!G78</f>
        <v>0</v>
      </c>
      <c r="J78" s="357">
        <f>[2]transit_general!H78</f>
        <v>0</v>
      </c>
      <c r="K78" s="261">
        <f>[2]transit_general!I78</f>
        <v>0</v>
      </c>
      <c r="L78" s="261">
        <f>[2]transit_general!J78</f>
        <v>0</v>
      </c>
      <c r="M78" s="261">
        <f>[2]transit_general!K78</f>
        <v>0</v>
      </c>
      <c r="N78" s="261">
        <f>[2]transit_general!L78</f>
        <v>0</v>
      </c>
      <c r="O78" s="261">
        <f>[2]transit_general!M78</f>
        <v>0</v>
      </c>
      <c r="Q78" s="5"/>
      <c r="R78" s="5" t="str">
        <f>md[[#This Row],[route]]&amp;"-"&amp;md[[#This Row],[mode_transit_route_id]]</f>
        <v>7-29</v>
      </c>
      <c r="S78" s="5">
        <f>Table_socioeca8.sandag.org_abm2_trb[[#This Row],[route]]</f>
        <v>7</v>
      </c>
      <c r="T78" s="2">
        <f>Table_socioeca8.sandag.org_abm2_trb[[#This Row],[mode_transit_route_id]]</f>
        <v>29</v>
      </c>
      <c r="U78" s="344">
        <f>Table_socioeca8.sandag.org_abm2_trb[[#This Row],[boarding_EA]]</f>
        <v>0</v>
      </c>
      <c r="V78" s="344">
        <f>Table_socioeca8.sandag.org_abm2_trb[[#This Row],[boarding_AM]]</f>
        <v>0</v>
      </c>
      <c r="W78" s="344">
        <f>Table_socioeca8.sandag.org_abm2_trb[[#This Row],[boarding_MD]]</f>
        <v>0</v>
      </c>
      <c r="X78" s="344">
        <f>Table_socioeca8.sandag.org_abm2_trb[[#This Row],[boarding_PM]]</f>
        <v>0</v>
      </c>
      <c r="Y78" s="344">
        <f>Table_socioeca8.sandag.org_abm2_trb[[#This Row],[boarding_EV]]</f>
        <v>0</v>
      </c>
      <c r="Z78" s="3">
        <f>Table_socioeca8.sandag.org_abm2_trb[[#This Row],[passenger_mile_EA]]</f>
        <v>0</v>
      </c>
      <c r="AA78" s="3">
        <f>Table_socioeca8.sandag.org_abm2_trb[[#This Row],[passenger_mile_AM]]</f>
        <v>0</v>
      </c>
      <c r="AB78" s="3">
        <f>Table_socioeca8.sandag.org_abm2_trb[[#This Row],[passenger_mile_MD]]</f>
        <v>0</v>
      </c>
      <c r="AC78" s="3">
        <f>Table_socioeca8.sandag.org_abm2_trb[[#This Row],[passenger_mile_PM]]</f>
        <v>0</v>
      </c>
      <c r="AD78" s="3">
        <f>Table_socioeca8.sandag.org_abm2_trb[[#This Row],[passenger_mile_EV]]</f>
        <v>0</v>
      </c>
      <c r="AE78" s="5">
        <f>Table_socioeca8.sandag.org_abm2_trb[[#This Row],[mode_transit_route_id]]</f>
        <v>29</v>
      </c>
      <c r="AF78"/>
      <c r="AG78"/>
    </row>
    <row r="79" spans="4:33" x14ac:dyDescent="0.3">
      <c r="D79" s="47">
        <f>[2]transit_general!B79</f>
        <v>815</v>
      </c>
      <c r="E79" s="261">
        <f>[2]transit_general!C79</f>
        <v>29</v>
      </c>
      <c r="F79" s="357">
        <f>[2]transit_general!D79</f>
        <v>0</v>
      </c>
      <c r="G79" s="357">
        <f>[2]transit_general!E79</f>
        <v>0</v>
      </c>
      <c r="H79" s="357">
        <f>[2]transit_general!F79</f>
        <v>0</v>
      </c>
      <c r="I79" s="357">
        <f>[2]transit_general!G79</f>
        <v>0</v>
      </c>
      <c r="J79" s="357">
        <f>[2]transit_general!H79</f>
        <v>0</v>
      </c>
      <c r="K79" s="261">
        <f>[2]transit_general!I79</f>
        <v>0</v>
      </c>
      <c r="L79" s="261">
        <f>[2]transit_general!J79</f>
        <v>0</v>
      </c>
      <c r="M79" s="261">
        <f>[2]transit_general!K79</f>
        <v>0</v>
      </c>
      <c r="N79" s="261">
        <f>[2]transit_general!L79</f>
        <v>0</v>
      </c>
      <c r="O79" s="261">
        <f>[2]transit_general!M79</f>
        <v>0</v>
      </c>
      <c r="Q79" s="5"/>
      <c r="R79" s="5" t="str">
        <f>md[[#This Row],[route]]&amp;"-"&amp;md[[#This Row],[mode_transit_route_id]]</f>
        <v>815-29</v>
      </c>
      <c r="S79" s="5">
        <f>Table_socioeca8.sandag.org_abm2_trb[[#This Row],[route]]</f>
        <v>815</v>
      </c>
      <c r="T79" s="2">
        <f>Table_socioeca8.sandag.org_abm2_trb[[#This Row],[mode_transit_route_id]]</f>
        <v>29</v>
      </c>
      <c r="U79" s="344">
        <f>Table_socioeca8.sandag.org_abm2_trb[[#This Row],[boarding_EA]]</f>
        <v>0</v>
      </c>
      <c r="V79" s="344">
        <f>Table_socioeca8.sandag.org_abm2_trb[[#This Row],[boarding_AM]]</f>
        <v>0</v>
      </c>
      <c r="W79" s="344">
        <f>Table_socioeca8.sandag.org_abm2_trb[[#This Row],[boarding_MD]]</f>
        <v>0</v>
      </c>
      <c r="X79" s="344">
        <f>Table_socioeca8.sandag.org_abm2_trb[[#This Row],[boarding_PM]]</f>
        <v>0</v>
      </c>
      <c r="Y79" s="344">
        <f>Table_socioeca8.sandag.org_abm2_trb[[#This Row],[boarding_EV]]</f>
        <v>0</v>
      </c>
      <c r="Z79" s="3">
        <f>Table_socioeca8.sandag.org_abm2_trb[[#This Row],[passenger_mile_EA]]</f>
        <v>0</v>
      </c>
      <c r="AA79" s="3">
        <f>Table_socioeca8.sandag.org_abm2_trb[[#This Row],[passenger_mile_AM]]</f>
        <v>0</v>
      </c>
      <c r="AB79" s="3">
        <f>Table_socioeca8.sandag.org_abm2_trb[[#This Row],[passenger_mile_MD]]</f>
        <v>0</v>
      </c>
      <c r="AC79" s="3">
        <f>Table_socioeca8.sandag.org_abm2_trb[[#This Row],[passenger_mile_PM]]</f>
        <v>0</v>
      </c>
      <c r="AD79" s="3">
        <f>Table_socioeca8.sandag.org_abm2_trb[[#This Row],[passenger_mile_EV]]</f>
        <v>0</v>
      </c>
      <c r="AE79" s="5">
        <f>Table_socioeca8.sandag.org_abm2_trb[[#This Row],[mode_transit_route_id]]</f>
        <v>29</v>
      </c>
      <c r="AF79"/>
      <c r="AG79"/>
    </row>
    <row r="80" spans="4:33" x14ac:dyDescent="0.3">
      <c r="D80" s="47">
        <f>[2]transit_general!B80</f>
        <v>816</v>
      </c>
      <c r="E80" s="261">
        <f>[2]transit_general!C80</f>
        <v>29</v>
      </c>
      <c r="F80" s="357">
        <f>[2]transit_general!D80</f>
        <v>0</v>
      </c>
      <c r="G80" s="357">
        <f>[2]transit_general!E80</f>
        <v>0</v>
      </c>
      <c r="H80" s="357">
        <f>[2]transit_general!F80</f>
        <v>0</v>
      </c>
      <c r="I80" s="357">
        <f>[2]transit_general!G80</f>
        <v>0</v>
      </c>
      <c r="J80" s="357">
        <f>[2]transit_general!H80</f>
        <v>0</v>
      </c>
      <c r="K80" s="261">
        <f>[2]transit_general!I80</f>
        <v>0</v>
      </c>
      <c r="L80" s="261">
        <f>[2]transit_general!J80</f>
        <v>0</v>
      </c>
      <c r="M80" s="261">
        <f>[2]transit_general!K80</f>
        <v>0</v>
      </c>
      <c r="N80" s="261">
        <f>[2]transit_general!L80</f>
        <v>0</v>
      </c>
      <c r="O80" s="261">
        <f>[2]transit_general!M80</f>
        <v>0</v>
      </c>
      <c r="Q80" s="5"/>
      <c r="R80" s="5" t="str">
        <f>md[[#This Row],[route]]&amp;"-"&amp;md[[#This Row],[mode_transit_route_id]]</f>
        <v>816-29</v>
      </c>
      <c r="S80" s="5">
        <f>Table_socioeca8.sandag.org_abm2_trb[[#This Row],[route]]</f>
        <v>816</v>
      </c>
      <c r="T80" s="2">
        <f>Table_socioeca8.sandag.org_abm2_trb[[#This Row],[mode_transit_route_id]]</f>
        <v>29</v>
      </c>
      <c r="U80" s="344">
        <f>Table_socioeca8.sandag.org_abm2_trb[[#This Row],[boarding_EA]]</f>
        <v>0</v>
      </c>
      <c r="V80" s="344">
        <f>Table_socioeca8.sandag.org_abm2_trb[[#This Row],[boarding_AM]]</f>
        <v>0</v>
      </c>
      <c r="W80" s="344">
        <f>Table_socioeca8.sandag.org_abm2_trb[[#This Row],[boarding_MD]]</f>
        <v>0</v>
      </c>
      <c r="X80" s="344">
        <f>Table_socioeca8.sandag.org_abm2_trb[[#This Row],[boarding_PM]]</f>
        <v>0</v>
      </c>
      <c r="Y80" s="344">
        <f>Table_socioeca8.sandag.org_abm2_trb[[#This Row],[boarding_EV]]</f>
        <v>0</v>
      </c>
      <c r="Z80" s="3">
        <f>Table_socioeca8.sandag.org_abm2_trb[[#This Row],[passenger_mile_EA]]</f>
        <v>0</v>
      </c>
      <c r="AA80" s="3">
        <f>Table_socioeca8.sandag.org_abm2_trb[[#This Row],[passenger_mile_AM]]</f>
        <v>0</v>
      </c>
      <c r="AB80" s="3">
        <f>Table_socioeca8.sandag.org_abm2_trb[[#This Row],[passenger_mile_MD]]</f>
        <v>0</v>
      </c>
      <c r="AC80" s="3">
        <f>Table_socioeca8.sandag.org_abm2_trb[[#This Row],[passenger_mile_PM]]</f>
        <v>0</v>
      </c>
      <c r="AD80" s="3">
        <f>Table_socioeca8.sandag.org_abm2_trb[[#This Row],[passenger_mile_EV]]</f>
        <v>0</v>
      </c>
      <c r="AE80" s="5">
        <f>Table_socioeca8.sandag.org_abm2_trb[[#This Row],[mode_transit_route_id]]</f>
        <v>29</v>
      </c>
      <c r="AF80"/>
      <c r="AG80"/>
    </row>
    <row r="81" spans="4:33" x14ac:dyDescent="0.3">
      <c r="D81" s="47">
        <f>[2]transit_general!B81</f>
        <v>832</v>
      </c>
      <c r="E81" s="261">
        <f>[2]transit_general!C81</f>
        <v>29</v>
      </c>
      <c r="F81" s="357">
        <f>[2]transit_general!D81</f>
        <v>0</v>
      </c>
      <c r="G81" s="357">
        <f>[2]transit_general!E81</f>
        <v>0</v>
      </c>
      <c r="H81" s="357">
        <f>[2]transit_general!F81</f>
        <v>0</v>
      </c>
      <c r="I81" s="357">
        <f>[2]transit_general!G81</f>
        <v>0</v>
      </c>
      <c r="J81" s="357">
        <f>[2]transit_general!H81</f>
        <v>0</v>
      </c>
      <c r="K81" s="261">
        <f>[2]transit_general!I81</f>
        <v>0</v>
      </c>
      <c r="L81" s="261">
        <f>[2]transit_general!J81</f>
        <v>0</v>
      </c>
      <c r="M81" s="261">
        <f>[2]transit_general!K81</f>
        <v>0</v>
      </c>
      <c r="N81" s="261">
        <f>[2]transit_general!L81</f>
        <v>0</v>
      </c>
      <c r="O81" s="261">
        <f>[2]transit_general!M81</f>
        <v>0</v>
      </c>
      <c r="Q81" s="5"/>
      <c r="R81" s="5" t="str">
        <f>md[[#This Row],[route]]&amp;"-"&amp;md[[#This Row],[mode_transit_route_id]]</f>
        <v>832-29</v>
      </c>
      <c r="S81" s="5">
        <f>Table_socioeca8.sandag.org_abm2_trb[[#This Row],[route]]</f>
        <v>832</v>
      </c>
      <c r="T81" s="2">
        <f>Table_socioeca8.sandag.org_abm2_trb[[#This Row],[mode_transit_route_id]]</f>
        <v>29</v>
      </c>
      <c r="U81" s="344">
        <f>Table_socioeca8.sandag.org_abm2_trb[[#This Row],[boarding_EA]]</f>
        <v>0</v>
      </c>
      <c r="V81" s="344">
        <f>Table_socioeca8.sandag.org_abm2_trb[[#This Row],[boarding_AM]]</f>
        <v>0</v>
      </c>
      <c r="W81" s="344">
        <f>Table_socioeca8.sandag.org_abm2_trb[[#This Row],[boarding_MD]]</f>
        <v>0</v>
      </c>
      <c r="X81" s="344">
        <f>Table_socioeca8.sandag.org_abm2_trb[[#This Row],[boarding_PM]]</f>
        <v>0</v>
      </c>
      <c r="Y81" s="344">
        <f>Table_socioeca8.sandag.org_abm2_trb[[#This Row],[boarding_EV]]</f>
        <v>0</v>
      </c>
      <c r="Z81" s="3">
        <f>Table_socioeca8.sandag.org_abm2_trb[[#This Row],[passenger_mile_EA]]</f>
        <v>0</v>
      </c>
      <c r="AA81" s="3">
        <f>Table_socioeca8.sandag.org_abm2_trb[[#This Row],[passenger_mile_AM]]</f>
        <v>0</v>
      </c>
      <c r="AB81" s="3">
        <f>Table_socioeca8.sandag.org_abm2_trb[[#This Row],[passenger_mile_MD]]</f>
        <v>0</v>
      </c>
      <c r="AC81" s="3">
        <f>Table_socioeca8.sandag.org_abm2_trb[[#This Row],[passenger_mile_PM]]</f>
        <v>0</v>
      </c>
      <c r="AD81" s="3">
        <f>Table_socioeca8.sandag.org_abm2_trb[[#This Row],[passenger_mile_EV]]</f>
        <v>0</v>
      </c>
      <c r="AE81" s="5">
        <f>Table_socioeca8.sandag.org_abm2_trb[[#This Row],[mode_transit_route_id]]</f>
        <v>29</v>
      </c>
      <c r="AF81"/>
      <c r="AG81"/>
    </row>
    <row r="82" spans="4:33" x14ac:dyDescent="0.3">
      <c r="D82" s="47">
        <f>[2]transit_general!B82</f>
        <v>833</v>
      </c>
      <c r="E82" s="261">
        <f>[2]transit_general!C82</f>
        <v>29</v>
      </c>
      <c r="F82" s="357">
        <f>[2]transit_general!D82</f>
        <v>0</v>
      </c>
      <c r="G82" s="357">
        <f>[2]transit_general!E82</f>
        <v>0</v>
      </c>
      <c r="H82" s="357">
        <f>[2]transit_general!F82</f>
        <v>0</v>
      </c>
      <c r="I82" s="357">
        <f>[2]transit_general!G82</f>
        <v>0</v>
      </c>
      <c r="J82" s="357">
        <f>[2]transit_general!H82</f>
        <v>0</v>
      </c>
      <c r="K82" s="261">
        <f>[2]transit_general!I82</f>
        <v>0</v>
      </c>
      <c r="L82" s="261">
        <f>[2]transit_general!J82</f>
        <v>0</v>
      </c>
      <c r="M82" s="261">
        <f>[2]transit_general!K82</f>
        <v>0</v>
      </c>
      <c r="N82" s="261">
        <f>[2]transit_general!L82</f>
        <v>0</v>
      </c>
      <c r="O82" s="261">
        <f>[2]transit_general!M82</f>
        <v>0</v>
      </c>
      <c r="Q82" s="5"/>
      <c r="R82" s="5" t="str">
        <f>md[[#This Row],[route]]&amp;"-"&amp;md[[#This Row],[mode_transit_route_id]]</f>
        <v>833-29</v>
      </c>
      <c r="S82" s="5">
        <f>Table_socioeca8.sandag.org_abm2_trb[[#This Row],[route]]</f>
        <v>833</v>
      </c>
      <c r="T82" s="2">
        <f>Table_socioeca8.sandag.org_abm2_trb[[#This Row],[mode_transit_route_id]]</f>
        <v>29</v>
      </c>
      <c r="U82" s="344">
        <f>Table_socioeca8.sandag.org_abm2_trb[[#This Row],[boarding_EA]]</f>
        <v>0</v>
      </c>
      <c r="V82" s="344">
        <f>Table_socioeca8.sandag.org_abm2_trb[[#This Row],[boarding_AM]]</f>
        <v>0</v>
      </c>
      <c r="W82" s="344">
        <f>Table_socioeca8.sandag.org_abm2_trb[[#This Row],[boarding_MD]]</f>
        <v>0</v>
      </c>
      <c r="X82" s="344">
        <f>Table_socioeca8.sandag.org_abm2_trb[[#This Row],[boarding_PM]]</f>
        <v>0</v>
      </c>
      <c r="Y82" s="344">
        <f>Table_socioeca8.sandag.org_abm2_trb[[#This Row],[boarding_EV]]</f>
        <v>0</v>
      </c>
      <c r="Z82" s="3">
        <f>Table_socioeca8.sandag.org_abm2_trb[[#This Row],[passenger_mile_EA]]</f>
        <v>0</v>
      </c>
      <c r="AA82" s="3">
        <f>Table_socioeca8.sandag.org_abm2_trb[[#This Row],[passenger_mile_AM]]</f>
        <v>0</v>
      </c>
      <c r="AB82" s="3">
        <f>Table_socioeca8.sandag.org_abm2_trb[[#This Row],[passenger_mile_MD]]</f>
        <v>0</v>
      </c>
      <c r="AC82" s="3">
        <f>Table_socioeca8.sandag.org_abm2_trb[[#This Row],[passenger_mile_PM]]</f>
        <v>0</v>
      </c>
      <c r="AD82" s="3">
        <f>Table_socioeca8.sandag.org_abm2_trb[[#This Row],[passenger_mile_EV]]</f>
        <v>0</v>
      </c>
      <c r="AE82" s="5">
        <f>Table_socioeca8.sandag.org_abm2_trb[[#This Row],[mode_transit_route_id]]</f>
        <v>29</v>
      </c>
      <c r="AF82"/>
      <c r="AG82"/>
    </row>
    <row r="83" spans="4:33" x14ac:dyDescent="0.3">
      <c r="D83" s="47">
        <f>[2]transit_general!B83</f>
        <v>834</v>
      </c>
      <c r="E83" s="261">
        <f>[2]transit_general!C83</f>
        <v>29</v>
      </c>
      <c r="F83" s="357">
        <f>[2]transit_general!D83</f>
        <v>0</v>
      </c>
      <c r="G83" s="357">
        <f>[2]transit_general!E83</f>
        <v>0</v>
      </c>
      <c r="H83" s="357">
        <f>[2]transit_general!F83</f>
        <v>0</v>
      </c>
      <c r="I83" s="357">
        <f>[2]transit_general!G83</f>
        <v>0</v>
      </c>
      <c r="J83" s="357">
        <f>[2]transit_general!H83</f>
        <v>0</v>
      </c>
      <c r="K83" s="261">
        <f>[2]transit_general!I83</f>
        <v>0</v>
      </c>
      <c r="L83" s="261">
        <f>[2]transit_general!J83</f>
        <v>0</v>
      </c>
      <c r="M83" s="261">
        <f>[2]transit_general!K83</f>
        <v>0</v>
      </c>
      <c r="N83" s="261">
        <f>[2]transit_general!L83</f>
        <v>0</v>
      </c>
      <c r="O83" s="261">
        <f>[2]transit_general!M83</f>
        <v>0</v>
      </c>
      <c r="Q83" s="5"/>
      <c r="R83" s="5" t="str">
        <f>md[[#This Row],[route]]&amp;"-"&amp;md[[#This Row],[mode_transit_route_id]]</f>
        <v>834-29</v>
      </c>
      <c r="S83" s="5">
        <f>Table_socioeca8.sandag.org_abm2_trb[[#This Row],[route]]</f>
        <v>834</v>
      </c>
      <c r="T83" s="2">
        <f>Table_socioeca8.sandag.org_abm2_trb[[#This Row],[mode_transit_route_id]]</f>
        <v>29</v>
      </c>
      <c r="U83" s="344">
        <f>Table_socioeca8.sandag.org_abm2_trb[[#This Row],[boarding_EA]]</f>
        <v>0</v>
      </c>
      <c r="V83" s="344">
        <f>Table_socioeca8.sandag.org_abm2_trb[[#This Row],[boarding_AM]]</f>
        <v>0</v>
      </c>
      <c r="W83" s="344">
        <f>Table_socioeca8.sandag.org_abm2_trb[[#This Row],[boarding_MD]]</f>
        <v>0</v>
      </c>
      <c r="X83" s="344">
        <f>Table_socioeca8.sandag.org_abm2_trb[[#This Row],[boarding_PM]]</f>
        <v>0</v>
      </c>
      <c r="Y83" s="344">
        <f>Table_socioeca8.sandag.org_abm2_trb[[#This Row],[boarding_EV]]</f>
        <v>0</v>
      </c>
      <c r="Z83" s="3">
        <f>Table_socioeca8.sandag.org_abm2_trb[[#This Row],[passenger_mile_EA]]</f>
        <v>0</v>
      </c>
      <c r="AA83" s="3">
        <f>Table_socioeca8.sandag.org_abm2_trb[[#This Row],[passenger_mile_AM]]</f>
        <v>0</v>
      </c>
      <c r="AB83" s="3">
        <f>Table_socioeca8.sandag.org_abm2_trb[[#This Row],[passenger_mile_MD]]</f>
        <v>0</v>
      </c>
      <c r="AC83" s="3">
        <f>Table_socioeca8.sandag.org_abm2_trb[[#This Row],[passenger_mile_PM]]</f>
        <v>0</v>
      </c>
      <c r="AD83" s="3">
        <f>Table_socioeca8.sandag.org_abm2_trb[[#This Row],[passenger_mile_EV]]</f>
        <v>0</v>
      </c>
      <c r="AE83" s="5">
        <f>Table_socioeca8.sandag.org_abm2_trb[[#This Row],[mode_transit_route_id]]</f>
        <v>29</v>
      </c>
      <c r="AF83"/>
      <c r="AG83"/>
    </row>
    <row r="84" spans="4:33" x14ac:dyDescent="0.3">
      <c r="D84" s="47">
        <f>[2]transit_general!B84</f>
        <v>83</v>
      </c>
      <c r="E84" s="261">
        <f>[2]transit_general!C84</f>
        <v>29</v>
      </c>
      <c r="F84" s="357">
        <f>[2]transit_general!D84</f>
        <v>0</v>
      </c>
      <c r="G84" s="357">
        <f>[2]transit_general!E84</f>
        <v>0</v>
      </c>
      <c r="H84" s="357">
        <f>[2]transit_general!F84</f>
        <v>0</v>
      </c>
      <c r="I84" s="357">
        <f>[2]transit_general!G84</f>
        <v>0</v>
      </c>
      <c r="J84" s="357">
        <f>[2]transit_general!H84</f>
        <v>0</v>
      </c>
      <c r="K84" s="261">
        <f>[2]transit_general!I84</f>
        <v>0</v>
      </c>
      <c r="L84" s="261">
        <f>[2]transit_general!J84</f>
        <v>0</v>
      </c>
      <c r="M84" s="261">
        <f>[2]transit_general!K84</f>
        <v>0</v>
      </c>
      <c r="N84" s="261">
        <f>[2]transit_general!L84</f>
        <v>0</v>
      </c>
      <c r="O84" s="261">
        <f>[2]transit_general!M84</f>
        <v>0</v>
      </c>
      <c r="Q84" s="5"/>
      <c r="R84" s="5" t="str">
        <f>md[[#This Row],[route]]&amp;"-"&amp;md[[#This Row],[mode_transit_route_id]]</f>
        <v>83-29</v>
      </c>
      <c r="S84" s="5">
        <f>Table_socioeca8.sandag.org_abm2_trb[[#This Row],[route]]</f>
        <v>83</v>
      </c>
      <c r="T84" s="2">
        <f>Table_socioeca8.sandag.org_abm2_trb[[#This Row],[mode_transit_route_id]]</f>
        <v>29</v>
      </c>
      <c r="U84" s="344">
        <f>Table_socioeca8.sandag.org_abm2_trb[[#This Row],[boarding_EA]]</f>
        <v>0</v>
      </c>
      <c r="V84" s="344">
        <f>Table_socioeca8.sandag.org_abm2_trb[[#This Row],[boarding_AM]]</f>
        <v>0</v>
      </c>
      <c r="W84" s="344">
        <f>Table_socioeca8.sandag.org_abm2_trb[[#This Row],[boarding_MD]]</f>
        <v>0</v>
      </c>
      <c r="X84" s="344">
        <f>Table_socioeca8.sandag.org_abm2_trb[[#This Row],[boarding_PM]]</f>
        <v>0</v>
      </c>
      <c r="Y84" s="344">
        <f>Table_socioeca8.sandag.org_abm2_trb[[#This Row],[boarding_EV]]</f>
        <v>0</v>
      </c>
      <c r="Z84" s="3">
        <f>Table_socioeca8.sandag.org_abm2_trb[[#This Row],[passenger_mile_EA]]</f>
        <v>0</v>
      </c>
      <c r="AA84" s="3">
        <f>Table_socioeca8.sandag.org_abm2_trb[[#This Row],[passenger_mile_AM]]</f>
        <v>0</v>
      </c>
      <c r="AB84" s="3">
        <f>Table_socioeca8.sandag.org_abm2_trb[[#This Row],[passenger_mile_MD]]</f>
        <v>0</v>
      </c>
      <c r="AC84" s="3">
        <f>Table_socioeca8.sandag.org_abm2_trb[[#This Row],[passenger_mile_PM]]</f>
        <v>0</v>
      </c>
      <c r="AD84" s="3">
        <f>Table_socioeca8.sandag.org_abm2_trb[[#This Row],[passenger_mile_EV]]</f>
        <v>0</v>
      </c>
      <c r="AE84" s="5">
        <f>Table_socioeca8.sandag.org_abm2_trb[[#This Row],[mode_transit_route_id]]</f>
        <v>29</v>
      </c>
      <c r="AF84"/>
      <c r="AG84"/>
    </row>
    <row r="85" spans="4:33" x14ac:dyDescent="0.3">
      <c r="D85" s="47">
        <f>[2]transit_general!B85</f>
        <v>848</v>
      </c>
      <c r="E85" s="261">
        <f>[2]transit_general!C85</f>
        <v>29</v>
      </c>
      <c r="F85" s="357">
        <f>[2]transit_general!D85</f>
        <v>0</v>
      </c>
      <c r="G85" s="357">
        <f>[2]transit_general!E85</f>
        <v>0</v>
      </c>
      <c r="H85" s="357">
        <f>[2]transit_general!F85</f>
        <v>0</v>
      </c>
      <c r="I85" s="357">
        <f>[2]transit_general!G85</f>
        <v>0</v>
      </c>
      <c r="J85" s="357">
        <f>[2]transit_general!H85</f>
        <v>0</v>
      </c>
      <c r="K85" s="261">
        <f>[2]transit_general!I85</f>
        <v>0</v>
      </c>
      <c r="L85" s="261">
        <f>[2]transit_general!J85</f>
        <v>0</v>
      </c>
      <c r="M85" s="261">
        <f>[2]transit_general!K85</f>
        <v>0</v>
      </c>
      <c r="N85" s="261">
        <f>[2]transit_general!L85</f>
        <v>0</v>
      </c>
      <c r="O85" s="261">
        <f>[2]transit_general!M85</f>
        <v>0</v>
      </c>
      <c r="Q85" s="5"/>
      <c r="R85" s="5" t="str">
        <f>md[[#This Row],[route]]&amp;"-"&amp;md[[#This Row],[mode_transit_route_id]]</f>
        <v>848-29</v>
      </c>
      <c r="S85" s="5">
        <f>Table_socioeca8.sandag.org_abm2_trb[[#This Row],[route]]</f>
        <v>848</v>
      </c>
      <c r="T85" s="2">
        <f>Table_socioeca8.sandag.org_abm2_trb[[#This Row],[mode_transit_route_id]]</f>
        <v>29</v>
      </c>
      <c r="U85" s="344">
        <f>Table_socioeca8.sandag.org_abm2_trb[[#This Row],[boarding_EA]]</f>
        <v>0</v>
      </c>
      <c r="V85" s="344">
        <f>Table_socioeca8.sandag.org_abm2_trb[[#This Row],[boarding_AM]]</f>
        <v>0</v>
      </c>
      <c r="W85" s="344">
        <f>Table_socioeca8.sandag.org_abm2_trb[[#This Row],[boarding_MD]]</f>
        <v>0</v>
      </c>
      <c r="X85" s="344">
        <f>Table_socioeca8.sandag.org_abm2_trb[[#This Row],[boarding_PM]]</f>
        <v>0</v>
      </c>
      <c r="Y85" s="344">
        <f>Table_socioeca8.sandag.org_abm2_trb[[#This Row],[boarding_EV]]</f>
        <v>0</v>
      </c>
      <c r="Z85" s="3">
        <f>Table_socioeca8.sandag.org_abm2_trb[[#This Row],[passenger_mile_EA]]</f>
        <v>0</v>
      </c>
      <c r="AA85" s="3">
        <f>Table_socioeca8.sandag.org_abm2_trb[[#This Row],[passenger_mile_AM]]</f>
        <v>0</v>
      </c>
      <c r="AB85" s="3">
        <f>Table_socioeca8.sandag.org_abm2_trb[[#This Row],[passenger_mile_MD]]</f>
        <v>0</v>
      </c>
      <c r="AC85" s="3">
        <f>Table_socioeca8.sandag.org_abm2_trb[[#This Row],[passenger_mile_PM]]</f>
        <v>0</v>
      </c>
      <c r="AD85" s="3">
        <f>Table_socioeca8.sandag.org_abm2_trb[[#This Row],[passenger_mile_EV]]</f>
        <v>0</v>
      </c>
      <c r="AE85" s="5">
        <f>Table_socioeca8.sandag.org_abm2_trb[[#This Row],[mode_transit_route_id]]</f>
        <v>29</v>
      </c>
      <c r="AF85"/>
      <c r="AG85"/>
    </row>
    <row r="86" spans="4:33" x14ac:dyDescent="0.3">
      <c r="D86" s="47">
        <f>[2]transit_general!B86</f>
        <v>84</v>
      </c>
      <c r="E86" s="261">
        <f>[2]transit_general!C86</f>
        <v>29</v>
      </c>
      <c r="F86" s="357">
        <f>[2]transit_general!D86</f>
        <v>0</v>
      </c>
      <c r="G86" s="357">
        <f>[2]transit_general!E86</f>
        <v>0</v>
      </c>
      <c r="H86" s="357">
        <f>[2]transit_general!F86</f>
        <v>0</v>
      </c>
      <c r="I86" s="357">
        <f>[2]transit_general!G86</f>
        <v>0</v>
      </c>
      <c r="J86" s="357">
        <f>[2]transit_general!H86</f>
        <v>0</v>
      </c>
      <c r="K86" s="261">
        <f>[2]transit_general!I86</f>
        <v>0</v>
      </c>
      <c r="L86" s="261">
        <f>[2]transit_general!J86</f>
        <v>0</v>
      </c>
      <c r="M86" s="261">
        <f>[2]transit_general!K86</f>
        <v>0</v>
      </c>
      <c r="N86" s="261">
        <f>[2]transit_general!L86</f>
        <v>0</v>
      </c>
      <c r="O86" s="261">
        <f>[2]transit_general!M86</f>
        <v>0</v>
      </c>
      <c r="Q86" s="5"/>
      <c r="R86" s="5" t="str">
        <f>md[[#This Row],[route]]&amp;"-"&amp;md[[#This Row],[mode_transit_route_id]]</f>
        <v>84-29</v>
      </c>
      <c r="S86" s="5">
        <f>Table_socioeca8.sandag.org_abm2_trb[[#This Row],[route]]</f>
        <v>84</v>
      </c>
      <c r="T86" s="2">
        <f>Table_socioeca8.sandag.org_abm2_trb[[#This Row],[mode_transit_route_id]]</f>
        <v>29</v>
      </c>
      <c r="U86" s="344">
        <f>Table_socioeca8.sandag.org_abm2_trb[[#This Row],[boarding_EA]]</f>
        <v>0</v>
      </c>
      <c r="V86" s="344">
        <f>Table_socioeca8.sandag.org_abm2_trb[[#This Row],[boarding_AM]]</f>
        <v>0</v>
      </c>
      <c r="W86" s="344">
        <f>Table_socioeca8.sandag.org_abm2_trb[[#This Row],[boarding_MD]]</f>
        <v>0</v>
      </c>
      <c r="X86" s="344">
        <f>Table_socioeca8.sandag.org_abm2_trb[[#This Row],[boarding_PM]]</f>
        <v>0</v>
      </c>
      <c r="Y86" s="344">
        <f>Table_socioeca8.sandag.org_abm2_trb[[#This Row],[boarding_EV]]</f>
        <v>0</v>
      </c>
      <c r="Z86" s="3">
        <f>Table_socioeca8.sandag.org_abm2_trb[[#This Row],[passenger_mile_EA]]</f>
        <v>0</v>
      </c>
      <c r="AA86" s="3">
        <f>Table_socioeca8.sandag.org_abm2_trb[[#This Row],[passenger_mile_AM]]</f>
        <v>0</v>
      </c>
      <c r="AB86" s="3">
        <f>Table_socioeca8.sandag.org_abm2_trb[[#This Row],[passenger_mile_MD]]</f>
        <v>0</v>
      </c>
      <c r="AC86" s="3">
        <f>Table_socioeca8.sandag.org_abm2_trb[[#This Row],[passenger_mile_PM]]</f>
        <v>0</v>
      </c>
      <c r="AD86" s="3">
        <f>Table_socioeca8.sandag.org_abm2_trb[[#This Row],[passenger_mile_EV]]</f>
        <v>0</v>
      </c>
      <c r="AE86" s="5">
        <f>Table_socioeca8.sandag.org_abm2_trb[[#This Row],[mode_transit_route_id]]</f>
        <v>29</v>
      </c>
      <c r="AF86"/>
      <c r="AG86"/>
    </row>
    <row r="87" spans="4:33" x14ac:dyDescent="0.3">
      <c r="D87" s="47">
        <f>[2]transit_general!B87</f>
        <v>851</v>
      </c>
      <c r="E87" s="261">
        <f>[2]transit_general!C87</f>
        <v>29</v>
      </c>
      <c r="F87" s="357">
        <f>[2]transit_general!D87</f>
        <v>0</v>
      </c>
      <c r="G87" s="357">
        <f>[2]transit_general!E87</f>
        <v>0</v>
      </c>
      <c r="H87" s="357">
        <f>[2]transit_general!F87</f>
        <v>0</v>
      </c>
      <c r="I87" s="357">
        <f>[2]transit_general!G87</f>
        <v>0</v>
      </c>
      <c r="J87" s="357">
        <f>[2]transit_general!H87</f>
        <v>0</v>
      </c>
      <c r="K87" s="261">
        <f>[2]transit_general!I87</f>
        <v>0</v>
      </c>
      <c r="L87" s="261">
        <f>[2]transit_general!J87</f>
        <v>0</v>
      </c>
      <c r="M87" s="261">
        <f>[2]transit_general!K87</f>
        <v>0</v>
      </c>
      <c r="N87" s="261">
        <f>[2]transit_general!L87</f>
        <v>0</v>
      </c>
      <c r="O87" s="261">
        <f>[2]transit_general!M87</f>
        <v>0</v>
      </c>
      <c r="Q87" s="5"/>
      <c r="R87" s="5" t="str">
        <f>md[[#This Row],[route]]&amp;"-"&amp;md[[#This Row],[mode_transit_route_id]]</f>
        <v>851-29</v>
      </c>
      <c r="S87" s="5">
        <f>Table_socioeca8.sandag.org_abm2_trb[[#This Row],[route]]</f>
        <v>851</v>
      </c>
      <c r="T87" s="2">
        <f>Table_socioeca8.sandag.org_abm2_trb[[#This Row],[mode_transit_route_id]]</f>
        <v>29</v>
      </c>
      <c r="U87" s="344">
        <f>Table_socioeca8.sandag.org_abm2_trb[[#This Row],[boarding_EA]]</f>
        <v>0</v>
      </c>
      <c r="V87" s="344">
        <f>Table_socioeca8.sandag.org_abm2_trb[[#This Row],[boarding_AM]]</f>
        <v>0</v>
      </c>
      <c r="W87" s="344">
        <f>Table_socioeca8.sandag.org_abm2_trb[[#This Row],[boarding_MD]]</f>
        <v>0</v>
      </c>
      <c r="X87" s="344">
        <f>Table_socioeca8.sandag.org_abm2_trb[[#This Row],[boarding_PM]]</f>
        <v>0</v>
      </c>
      <c r="Y87" s="344">
        <f>Table_socioeca8.sandag.org_abm2_trb[[#This Row],[boarding_EV]]</f>
        <v>0</v>
      </c>
      <c r="Z87" s="3">
        <f>Table_socioeca8.sandag.org_abm2_trb[[#This Row],[passenger_mile_EA]]</f>
        <v>0</v>
      </c>
      <c r="AA87" s="3">
        <f>Table_socioeca8.sandag.org_abm2_trb[[#This Row],[passenger_mile_AM]]</f>
        <v>0</v>
      </c>
      <c r="AB87" s="3">
        <f>Table_socioeca8.sandag.org_abm2_trb[[#This Row],[passenger_mile_MD]]</f>
        <v>0</v>
      </c>
      <c r="AC87" s="3">
        <f>Table_socioeca8.sandag.org_abm2_trb[[#This Row],[passenger_mile_PM]]</f>
        <v>0</v>
      </c>
      <c r="AD87" s="3">
        <f>Table_socioeca8.sandag.org_abm2_trb[[#This Row],[passenger_mile_EV]]</f>
        <v>0</v>
      </c>
      <c r="AE87" s="5">
        <f>Table_socioeca8.sandag.org_abm2_trb[[#This Row],[mode_transit_route_id]]</f>
        <v>29</v>
      </c>
      <c r="AF87"/>
      <c r="AG87"/>
    </row>
    <row r="88" spans="4:33" x14ac:dyDescent="0.3">
      <c r="D88" s="47">
        <f>[2]transit_general!B88</f>
        <v>854</v>
      </c>
      <c r="E88" s="261">
        <f>[2]transit_general!C88</f>
        <v>29</v>
      </c>
      <c r="F88" s="357">
        <f>[2]transit_general!D88</f>
        <v>0</v>
      </c>
      <c r="G88" s="357">
        <f>[2]transit_general!E88</f>
        <v>0</v>
      </c>
      <c r="H88" s="357">
        <f>[2]transit_general!F88</f>
        <v>0</v>
      </c>
      <c r="I88" s="357">
        <f>[2]transit_general!G88</f>
        <v>0</v>
      </c>
      <c r="J88" s="357">
        <f>[2]transit_general!H88</f>
        <v>0</v>
      </c>
      <c r="K88" s="261">
        <f>[2]transit_general!I88</f>
        <v>0</v>
      </c>
      <c r="L88" s="261">
        <f>[2]transit_general!J88</f>
        <v>0</v>
      </c>
      <c r="M88" s="261">
        <f>[2]transit_general!K88</f>
        <v>0</v>
      </c>
      <c r="N88" s="261">
        <f>[2]transit_general!L88</f>
        <v>0</v>
      </c>
      <c r="O88" s="261">
        <f>[2]transit_general!M88</f>
        <v>0</v>
      </c>
      <c r="Q88" s="5"/>
      <c r="R88" s="5" t="str">
        <f>md[[#This Row],[route]]&amp;"-"&amp;md[[#This Row],[mode_transit_route_id]]</f>
        <v>854-29</v>
      </c>
      <c r="S88" s="5">
        <f>Table_socioeca8.sandag.org_abm2_trb[[#This Row],[route]]</f>
        <v>854</v>
      </c>
      <c r="T88" s="2">
        <f>Table_socioeca8.sandag.org_abm2_trb[[#This Row],[mode_transit_route_id]]</f>
        <v>29</v>
      </c>
      <c r="U88" s="344">
        <f>Table_socioeca8.sandag.org_abm2_trb[[#This Row],[boarding_EA]]</f>
        <v>0</v>
      </c>
      <c r="V88" s="344">
        <f>Table_socioeca8.sandag.org_abm2_trb[[#This Row],[boarding_AM]]</f>
        <v>0</v>
      </c>
      <c r="W88" s="344">
        <f>Table_socioeca8.sandag.org_abm2_trb[[#This Row],[boarding_MD]]</f>
        <v>0</v>
      </c>
      <c r="X88" s="344">
        <f>Table_socioeca8.sandag.org_abm2_trb[[#This Row],[boarding_PM]]</f>
        <v>0</v>
      </c>
      <c r="Y88" s="344">
        <f>Table_socioeca8.sandag.org_abm2_trb[[#This Row],[boarding_EV]]</f>
        <v>0</v>
      </c>
      <c r="Z88" s="3">
        <f>Table_socioeca8.sandag.org_abm2_trb[[#This Row],[passenger_mile_EA]]</f>
        <v>0</v>
      </c>
      <c r="AA88" s="3">
        <f>Table_socioeca8.sandag.org_abm2_trb[[#This Row],[passenger_mile_AM]]</f>
        <v>0</v>
      </c>
      <c r="AB88" s="3">
        <f>Table_socioeca8.sandag.org_abm2_trb[[#This Row],[passenger_mile_MD]]</f>
        <v>0</v>
      </c>
      <c r="AC88" s="3">
        <f>Table_socioeca8.sandag.org_abm2_trb[[#This Row],[passenger_mile_PM]]</f>
        <v>0</v>
      </c>
      <c r="AD88" s="3">
        <f>Table_socioeca8.sandag.org_abm2_trb[[#This Row],[passenger_mile_EV]]</f>
        <v>0</v>
      </c>
      <c r="AE88" s="5">
        <f>Table_socioeca8.sandag.org_abm2_trb[[#This Row],[mode_transit_route_id]]</f>
        <v>29</v>
      </c>
      <c r="AF88"/>
      <c r="AG88"/>
    </row>
    <row r="89" spans="4:33" x14ac:dyDescent="0.3">
      <c r="D89" s="47">
        <f>[2]transit_general!B89</f>
        <v>855</v>
      </c>
      <c r="E89" s="261">
        <f>[2]transit_general!C89</f>
        <v>29</v>
      </c>
      <c r="F89" s="357">
        <f>[2]transit_general!D89</f>
        <v>0</v>
      </c>
      <c r="G89" s="357">
        <f>[2]transit_general!E89</f>
        <v>0</v>
      </c>
      <c r="H89" s="357">
        <f>[2]transit_general!F89</f>
        <v>0</v>
      </c>
      <c r="I89" s="357">
        <f>[2]transit_general!G89</f>
        <v>0</v>
      </c>
      <c r="J89" s="357">
        <f>[2]transit_general!H89</f>
        <v>0</v>
      </c>
      <c r="K89" s="261">
        <f>[2]transit_general!I89</f>
        <v>0</v>
      </c>
      <c r="L89" s="261">
        <f>[2]transit_general!J89</f>
        <v>0</v>
      </c>
      <c r="M89" s="261">
        <f>[2]transit_general!K89</f>
        <v>0</v>
      </c>
      <c r="N89" s="261">
        <f>[2]transit_general!L89</f>
        <v>0</v>
      </c>
      <c r="O89" s="261">
        <f>[2]transit_general!M89</f>
        <v>0</v>
      </c>
      <c r="Q89" s="5"/>
      <c r="R89" s="5" t="str">
        <f>md[[#This Row],[route]]&amp;"-"&amp;md[[#This Row],[mode_transit_route_id]]</f>
        <v>855-29</v>
      </c>
      <c r="S89" s="5">
        <f>Table_socioeca8.sandag.org_abm2_trb[[#This Row],[route]]</f>
        <v>855</v>
      </c>
      <c r="T89" s="2">
        <f>Table_socioeca8.sandag.org_abm2_trb[[#This Row],[mode_transit_route_id]]</f>
        <v>29</v>
      </c>
      <c r="U89" s="344">
        <f>Table_socioeca8.sandag.org_abm2_trb[[#This Row],[boarding_EA]]</f>
        <v>0</v>
      </c>
      <c r="V89" s="344">
        <f>Table_socioeca8.sandag.org_abm2_trb[[#This Row],[boarding_AM]]</f>
        <v>0</v>
      </c>
      <c r="W89" s="344">
        <f>Table_socioeca8.sandag.org_abm2_trb[[#This Row],[boarding_MD]]</f>
        <v>0</v>
      </c>
      <c r="X89" s="344">
        <f>Table_socioeca8.sandag.org_abm2_trb[[#This Row],[boarding_PM]]</f>
        <v>0</v>
      </c>
      <c r="Y89" s="344">
        <f>Table_socioeca8.sandag.org_abm2_trb[[#This Row],[boarding_EV]]</f>
        <v>0</v>
      </c>
      <c r="Z89" s="3">
        <f>Table_socioeca8.sandag.org_abm2_trb[[#This Row],[passenger_mile_EA]]</f>
        <v>0</v>
      </c>
      <c r="AA89" s="3">
        <f>Table_socioeca8.sandag.org_abm2_trb[[#This Row],[passenger_mile_AM]]</f>
        <v>0</v>
      </c>
      <c r="AB89" s="3">
        <f>Table_socioeca8.sandag.org_abm2_trb[[#This Row],[passenger_mile_MD]]</f>
        <v>0</v>
      </c>
      <c r="AC89" s="3">
        <f>Table_socioeca8.sandag.org_abm2_trb[[#This Row],[passenger_mile_PM]]</f>
        <v>0</v>
      </c>
      <c r="AD89" s="3">
        <f>Table_socioeca8.sandag.org_abm2_trb[[#This Row],[passenger_mile_EV]]</f>
        <v>0</v>
      </c>
      <c r="AE89" s="5">
        <f>Table_socioeca8.sandag.org_abm2_trb[[#This Row],[mode_transit_route_id]]</f>
        <v>29</v>
      </c>
      <c r="AF89"/>
      <c r="AG89"/>
    </row>
    <row r="90" spans="4:33" x14ac:dyDescent="0.3">
      <c r="D90" s="47">
        <f>[2]transit_general!B90</f>
        <v>856</v>
      </c>
      <c r="E90" s="261">
        <f>[2]transit_general!C90</f>
        <v>29</v>
      </c>
      <c r="F90" s="357">
        <f>[2]transit_general!D90</f>
        <v>0</v>
      </c>
      <c r="G90" s="357">
        <f>[2]transit_general!E90</f>
        <v>0</v>
      </c>
      <c r="H90" s="357">
        <f>[2]transit_general!F90</f>
        <v>0</v>
      </c>
      <c r="I90" s="357">
        <f>[2]transit_general!G90</f>
        <v>0</v>
      </c>
      <c r="J90" s="357">
        <f>[2]transit_general!H90</f>
        <v>0</v>
      </c>
      <c r="K90" s="261">
        <f>[2]transit_general!I90</f>
        <v>0</v>
      </c>
      <c r="L90" s="261">
        <f>[2]transit_general!J90</f>
        <v>0</v>
      </c>
      <c r="M90" s="261">
        <f>[2]transit_general!K90</f>
        <v>0</v>
      </c>
      <c r="N90" s="261">
        <f>[2]transit_general!L90</f>
        <v>0</v>
      </c>
      <c r="O90" s="261">
        <f>[2]transit_general!M90</f>
        <v>0</v>
      </c>
      <c r="Q90" s="5"/>
      <c r="R90" s="5" t="str">
        <f>md[[#This Row],[route]]&amp;"-"&amp;md[[#This Row],[mode_transit_route_id]]</f>
        <v>856-29</v>
      </c>
      <c r="S90" s="5">
        <f>Table_socioeca8.sandag.org_abm2_trb[[#This Row],[route]]</f>
        <v>856</v>
      </c>
      <c r="T90" s="2">
        <f>Table_socioeca8.sandag.org_abm2_trb[[#This Row],[mode_transit_route_id]]</f>
        <v>29</v>
      </c>
      <c r="U90" s="344">
        <f>Table_socioeca8.sandag.org_abm2_trb[[#This Row],[boarding_EA]]</f>
        <v>0</v>
      </c>
      <c r="V90" s="344">
        <f>Table_socioeca8.sandag.org_abm2_trb[[#This Row],[boarding_AM]]</f>
        <v>0</v>
      </c>
      <c r="W90" s="344">
        <f>Table_socioeca8.sandag.org_abm2_trb[[#This Row],[boarding_MD]]</f>
        <v>0</v>
      </c>
      <c r="X90" s="344">
        <f>Table_socioeca8.sandag.org_abm2_trb[[#This Row],[boarding_PM]]</f>
        <v>0</v>
      </c>
      <c r="Y90" s="344">
        <f>Table_socioeca8.sandag.org_abm2_trb[[#This Row],[boarding_EV]]</f>
        <v>0</v>
      </c>
      <c r="Z90" s="3">
        <f>Table_socioeca8.sandag.org_abm2_trb[[#This Row],[passenger_mile_EA]]</f>
        <v>0</v>
      </c>
      <c r="AA90" s="3">
        <f>Table_socioeca8.sandag.org_abm2_trb[[#This Row],[passenger_mile_AM]]</f>
        <v>0</v>
      </c>
      <c r="AB90" s="3">
        <f>Table_socioeca8.sandag.org_abm2_trb[[#This Row],[passenger_mile_MD]]</f>
        <v>0</v>
      </c>
      <c r="AC90" s="3">
        <f>Table_socioeca8.sandag.org_abm2_trb[[#This Row],[passenger_mile_PM]]</f>
        <v>0</v>
      </c>
      <c r="AD90" s="3">
        <f>Table_socioeca8.sandag.org_abm2_trb[[#This Row],[passenger_mile_EV]]</f>
        <v>0</v>
      </c>
      <c r="AE90" s="5">
        <f>Table_socioeca8.sandag.org_abm2_trb[[#This Row],[mode_transit_route_id]]</f>
        <v>29</v>
      </c>
      <c r="AF90"/>
      <c r="AG90"/>
    </row>
    <row r="91" spans="4:33" x14ac:dyDescent="0.3">
      <c r="D91" s="47">
        <f>[2]transit_general!B91</f>
        <v>864</v>
      </c>
      <c r="E91" s="261">
        <f>[2]transit_general!C91</f>
        <v>29</v>
      </c>
      <c r="F91" s="357">
        <f>[2]transit_general!D91</f>
        <v>0</v>
      </c>
      <c r="G91" s="357">
        <f>[2]transit_general!E91</f>
        <v>0</v>
      </c>
      <c r="H91" s="357">
        <f>[2]transit_general!F91</f>
        <v>0</v>
      </c>
      <c r="I91" s="357">
        <f>[2]transit_general!G91</f>
        <v>0</v>
      </c>
      <c r="J91" s="357">
        <f>[2]transit_general!H91</f>
        <v>0</v>
      </c>
      <c r="K91" s="261">
        <f>[2]transit_general!I91</f>
        <v>0</v>
      </c>
      <c r="L91" s="261">
        <f>[2]transit_general!J91</f>
        <v>0</v>
      </c>
      <c r="M91" s="261">
        <f>[2]transit_general!K91</f>
        <v>0</v>
      </c>
      <c r="N91" s="261">
        <f>[2]transit_general!L91</f>
        <v>0</v>
      </c>
      <c r="O91" s="261">
        <f>[2]transit_general!M91</f>
        <v>0</v>
      </c>
      <c r="Q91" s="5"/>
      <c r="R91" s="5" t="str">
        <f>md[[#This Row],[route]]&amp;"-"&amp;md[[#This Row],[mode_transit_route_id]]</f>
        <v>864-29</v>
      </c>
      <c r="S91" s="5">
        <f>Table_socioeca8.sandag.org_abm2_trb[[#This Row],[route]]</f>
        <v>864</v>
      </c>
      <c r="T91" s="2">
        <f>Table_socioeca8.sandag.org_abm2_trb[[#This Row],[mode_transit_route_id]]</f>
        <v>29</v>
      </c>
      <c r="U91" s="344">
        <f>Table_socioeca8.sandag.org_abm2_trb[[#This Row],[boarding_EA]]</f>
        <v>0</v>
      </c>
      <c r="V91" s="344">
        <f>Table_socioeca8.sandag.org_abm2_trb[[#This Row],[boarding_AM]]</f>
        <v>0</v>
      </c>
      <c r="W91" s="344">
        <f>Table_socioeca8.sandag.org_abm2_trb[[#This Row],[boarding_MD]]</f>
        <v>0</v>
      </c>
      <c r="X91" s="344">
        <f>Table_socioeca8.sandag.org_abm2_trb[[#This Row],[boarding_PM]]</f>
        <v>0</v>
      </c>
      <c r="Y91" s="344">
        <f>Table_socioeca8.sandag.org_abm2_trb[[#This Row],[boarding_EV]]</f>
        <v>0</v>
      </c>
      <c r="Z91" s="3">
        <f>Table_socioeca8.sandag.org_abm2_trb[[#This Row],[passenger_mile_EA]]</f>
        <v>0</v>
      </c>
      <c r="AA91" s="3">
        <f>Table_socioeca8.sandag.org_abm2_trb[[#This Row],[passenger_mile_AM]]</f>
        <v>0</v>
      </c>
      <c r="AB91" s="3">
        <f>Table_socioeca8.sandag.org_abm2_trb[[#This Row],[passenger_mile_MD]]</f>
        <v>0</v>
      </c>
      <c r="AC91" s="3">
        <f>Table_socioeca8.sandag.org_abm2_trb[[#This Row],[passenger_mile_PM]]</f>
        <v>0</v>
      </c>
      <c r="AD91" s="3">
        <f>Table_socioeca8.sandag.org_abm2_trb[[#This Row],[passenger_mile_EV]]</f>
        <v>0</v>
      </c>
      <c r="AE91" s="5">
        <f>Table_socioeca8.sandag.org_abm2_trb[[#This Row],[mode_transit_route_id]]</f>
        <v>29</v>
      </c>
      <c r="AF91"/>
      <c r="AG91"/>
    </row>
    <row r="92" spans="4:33" x14ac:dyDescent="0.3">
      <c r="D92" s="47">
        <f>[2]transit_general!B92</f>
        <v>871</v>
      </c>
      <c r="E92" s="261">
        <f>[2]transit_general!C92</f>
        <v>29</v>
      </c>
      <c r="F92" s="357">
        <f>[2]transit_general!D92</f>
        <v>0</v>
      </c>
      <c r="G92" s="357">
        <f>[2]transit_general!E92</f>
        <v>0</v>
      </c>
      <c r="H92" s="357">
        <f>[2]transit_general!F92</f>
        <v>0</v>
      </c>
      <c r="I92" s="357">
        <f>[2]transit_general!G92</f>
        <v>0</v>
      </c>
      <c r="J92" s="357">
        <f>[2]transit_general!H92</f>
        <v>0</v>
      </c>
      <c r="K92" s="261">
        <f>[2]transit_general!I92</f>
        <v>0</v>
      </c>
      <c r="L92" s="261">
        <f>[2]transit_general!J92</f>
        <v>0</v>
      </c>
      <c r="M92" s="261">
        <f>[2]transit_general!K92</f>
        <v>0</v>
      </c>
      <c r="N92" s="261">
        <f>[2]transit_general!L92</f>
        <v>0</v>
      </c>
      <c r="O92" s="261">
        <f>[2]transit_general!M92</f>
        <v>0</v>
      </c>
      <c r="Q92" s="5"/>
      <c r="R92" s="5" t="str">
        <f>md[[#This Row],[route]]&amp;"-"&amp;md[[#This Row],[mode_transit_route_id]]</f>
        <v>871-29</v>
      </c>
      <c r="S92" s="5">
        <f>Table_socioeca8.sandag.org_abm2_trb[[#This Row],[route]]</f>
        <v>871</v>
      </c>
      <c r="T92" s="2">
        <f>Table_socioeca8.sandag.org_abm2_trb[[#This Row],[mode_transit_route_id]]</f>
        <v>29</v>
      </c>
      <c r="U92" s="344">
        <f>Table_socioeca8.sandag.org_abm2_trb[[#This Row],[boarding_EA]]</f>
        <v>0</v>
      </c>
      <c r="V92" s="344">
        <f>Table_socioeca8.sandag.org_abm2_trb[[#This Row],[boarding_AM]]</f>
        <v>0</v>
      </c>
      <c r="W92" s="344">
        <f>Table_socioeca8.sandag.org_abm2_trb[[#This Row],[boarding_MD]]</f>
        <v>0</v>
      </c>
      <c r="X92" s="344">
        <f>Table_socioeca8.sandag.org_abm2_trb[[#This Row],[boarding_PM]]</f>
        <v>0</v>
      </c>
      <c r="Y92" s="344">
        <f>Table_socioeca8.sandag.org_abm2_trb[[#This Row],[boarding_EV]]</f>
        <v>0</v>
      </c>
      <c r="Z92" s="3">
        <f>Table_socioeca8.sandag.org_abm2_trb[[#This Row],[passenger_mile_EA]]</f>
        <v>0</v>
      </c>
      <c r="AA92" s="3">
        <f>Table_socioeca8.sandag.org_abm2_trb[[#This Row],[passenger_mile_AM]]</f>
        <v>0</v>
      </c>
      <c r="AB92" s="3">
        <f>Table_socioeca8.sandag.org_abm2_trb[[#This Row],[passenger_mile_MD]]</f>
        <v>0</v>
      </c>
      <c r="AC92" s="3">
        <f>Table_socioeca8.sandag.org_abm2_trb[[#This Row],[passenger_mile_PM]]</f>
        <v>0</v>
      </c>
      <c r="AD92" s="3">
        <f>Table_socioeca8.sandag.org_abm2_trb[[#This Row],[passenger_mile_EV]]</f>
        <v>0</v>
      </c>
      <c r="AE92" s="5">
        <f>Table_socioeca8.sandag.org_abm2_trb[[#This Row],[mode_transit_route_id]]</f>
        <v>29</v>
      </c>
      <c r="AF92"/>
      <c r="AG92"/>
    </row>
    <row r="93" spans="4:33" x14ac:dyDescent="0.3">
      <c r="D93" s="47">
        <f>[2]transit_general!B93</f>
        <v>872</v>
      </c>
      <c r="E93" s="261">
        <f>[2]transit_general!C93</f>
        <v>29</v>
      </c>
      <c r="F93" s="357">
        <f>[2]transit_general!D93</f>
        <v>0</v>
      </c>
      <c r="G93" s="357">
        <f>[2]transit_general!E93</f>
        <v>0</v>
      </c>
      <c r="H93" s="357">
        <f>[2]transit_general!F93</f>
        <v>0</v>
      </c>
      <c r="I93" s="357">
        <f>[2]transit_general!G93</f>
        <v>0</v>
      </c>
      <c r="J93" s="357">
        <f>[2]transit_general!H93</f>
        <v>0</v>
      </c>
      <c r="K93" s="261">
        <f>[2]transit_general!I93</f>
        <v>0</v>
      </c>
      <c r="L93" s="261">
        <f>[2]transit_general!J93</f>
        <v>0</v>
      </c>
      <c r="M93" s="261">
        <f>[2]transit_general!K93</f>
        <v>0</v>
      </c>
      <c r="N93" s="261">
        <f>[2]transit_general!L93</f>
        <v>0</v>
      </c>
      <c r="O93" s="261">
        <f>[2]transit_general!M93</f>
        <v>0</v>
      </c>
      <c r="Q93" s="337"/>
      <c r="R93" s="337" t="str">
        <f>md[[#This Row],[route]]&amp;"-"&amp;md[[#This Row],[mode_transit_route_id]]</f>
        <v>872-29</v>
      </c>
      <c r="S93" s="337">
        <f>Table_socioeca8.sandag.org_abm2_trb[[#This Row],[route]]</f>
        <v>872</v>
      </c>
      <c r="T93" s="358">
        <f>Table_socioeca8.sandag.org_abm2_trb[[#This Row],[mode_transit_route_id]]</f>
        <v>29</v>
      </c>
      <c r="U93" s="344">
        <f>Table_socioeca8.sandag.org_abm2_trb[[#This Row],[boarding_EA]]</f>
        <v>0</v>
      </c>
      <c r="V93" s="344">
        <f>Table_socioeca8.sandag.org_abm2_trb[[#This Row],[boarding_AM]]</f>
        <v>0</v>
      </c>
      <c r="W93" s="344">
        <f>Table_socioeca8.sandag.org_abm2_trb[[#This Row],[boarding_MD]]</f>
        <v>0</v>
      </c>
      <c r="X93" s="344">
        <f>Table_socioeca8.sandag.org_abm2_trb[[#This Row],[boarding_PM]]</f>
        <v>0</v>
      </c>
      <c r="Y93" s="344">
        <f>Table_socioeca8.sandag.org_abm2_trb[[#This Row],[boarding_EV]]</f>
        <v>0</v>
      </c>
      <c r="Z93" s="3">
        <f>Table_socioeca8.sandag.org_abm2_trb[[#This Row],[passenger_mile_EA]]</f>
        <v>0</v>
      </c>
      <c r="AA93" s="3">
        <f>Table_socioeca8.sandag.org_abm2_trb[[#This Row],[passenger_mile_AM]]</f>
        <v>0</v>
      </c>
      <c r="AB93" s="3">
        <f>Table_socioeca8.sandag.org_abm2_trb[[#This Row],[passenger_mile_MD]]</f>
        <v>0</v>
      </c>
      <c r="AC93" s="3">
        <f>Table_socioeca8.sandag.org_abm2_trb[[#This Row],[passenger_mile_PM]]</f>
        <v>0</v>
      </c>
      <c r="AD93" s="3">
        <f>Table_socioeca8.sandag.org_abm2_trb[[#This Row],[passenger_mile_EV]]</f>
        <v>0</v>
      </c>
      <c r="AE93" s="5">
        <f>Table_socioeca8.sandag.org_abm2_trb[[#This Row],[mode_transit_route_id]]</f>
        <v>29</v>
      </c>
      <c r="AF93"/>
      <c r="AG93"/>
    </row>
    <row r="94" spans="4:33" x14ac:dyDescent="0.3">
      <c r="D94" s="47">
        <f>[2]transit_general!B94</f>
        <v>874</v>
      </c>
      <c r="E94" s="261">
        <f>[2]transit_general!C94</f>
        <v>29</v>
      </c>
      <c r="F94" s="357">
        <f>[2]transit_general!D94</f>
        <v>0</v>
      </c>
      <c r="G94" s="357">
        <f>[2]transit_general!E94</f>
        <v>0</v>
      </c>
      <c r="H94" s="357">
        <f>[2]transit_general!F94</f>
        <v>0</v>
      </c>
      <c r="I94" s="357">
        <f>[2]transit_general!G94</f>
        <v>0</v>
      </c>
      <c r="J94" s="357">
        <f>[2]transit_general!H94</f>
        <v>0</v>
      </c>
      <c r="K94" s="261">
        <f>[2]transit_general!I94</f>
        <v>0</v>
      </c>
      <c r="L94" s="261">
        <f>[2]transit_general!J94</f>
        <v>0</v>
      </c>
      <c r="M94" s="261">
        <f>[2]transit_general!K94</f>
        <v>0</v>
      </c>
      <c r="N94" s="261">
        <f>[2]transit_general!L94</f>
        <v>0</v>
      </c>
      <c r="O94" s="261">
        <f>[2]transit_general!M94</f>
        <v>0</v>
      </c>
      <c r="Q94" s="5"/>
      <c r="R94" s="5" t="str">
        <f>md[[#This Row],[route]]&amp;"-"&amp;md[[#This Row],[mode_transit_route_id]]</f>
        <v>874-29</v>
      </c>
      <c r="S94" s="5">
        <f>Table_socioeca8.sandag.org_abm2_trb[[#This Row],[route]]</f>
        <v>874</v>
      </c>
      <c r="T94" s="2">
        <f>Table_socioeca8.sandag.org_abm2_trb[[#This Row],[mode_transit_route_id]]</f>
        <v>29</v>
      </c>
      <c r="U94" s="344">
        <f>Table_socioeca8.sandag.org_abm2_trb[[#This Row],[boarding_EA]]</f>
        <v>0</v>
      </c>
      <c r="V94" s="344">
        <f>Table_socioeca8.sandag.org_abm2_trb[[#This Row],[boarding_AM]]</f>
        <v>0</v>
      </c>
      <c r="W94" s="344">
        <f>Table_socioeca8.sandag.org_abm2_trb[[#This Row],[boarding_MD]]</f>
        <v>0</v>
      </c>
      <c r="X94" s="344">
        <f>Table_socioeca8.sandag.org_abm2_trb[[#This Row],[boarding_PM]]</f>
        <v>0</v>
      </c>
      <c r="Y94" s="344">
        <f>Table_socioeca8.sandag.org_abm2_trb[[#This Row],[boarding_EV]]</f>
        <v>0</v>
      </c>
      <c r="Z94" s="3">
        <f>Table_socioeca8.sandag.org_abm2_trb[[#This Row],[passenger_mile_EA]]</f>
        <v>0</v>
      </c>
      <c r="AA94" s="3">
        <f>Table_socioeca8.sandag.org_abm2_trb[[#This Row],[passenger_mile_AM]]</f>
        <v>0</v>
      </c>
      <c r="AB94" s="3">
        <f>Table_socioeca8.sandag.org_abm2_trb[[#This Row],[passenger_mile_MD]]</f>
        <v>0</v>
      </c>
      <c r="AC94" s="3">
        <f>Table_socioeca8.sandag.org_abm2_trb[[#This Row],[passenger_mile_PM]]</f>
        <v>0</v>
      </c>
      <c r="AD94" s="3">
        <f>Table_socioeca8.sandag.org_abm2_trb[[#This Row],[passenger_mile_EV]]</f>
        <v>0</v>
      </c>
      <c r="AE94" s="5">
        <f>Table_socioeca8.sandag.org_abm2_trb[[#This Row],[mode_transit_route_id]]</f>
        <v>29</v>
      </c>
      <c r="AF94"/>
      <c r="AG94"/>
    </row>
    <row r="95" spans="4:33" x14ac:dyDescent="0.3">
      <c r="D95" s="47">
        <f>[2]transit_general!B95</f>
        <v>875</v>
      </c>
      <c r="E95" s="261">
        <f>[2]transit_general!C95</f>
        <v>29</v>
      </c>
      <c r="F95" s="357">
        <f>[2]transit_general!D95</f>
        <v>0</v>
      </c>
      <c r="G95" s="357">
        <f>[2]transit_general!E95</f>
        <v>0</v>
      </c>
      <c r="H95" s="357">
        <f>[2]transit_general!F95</f>
        <v>0</v>
      </c>
      <c r="I95" s="357">
        <f>[2]transit_general!G95</f>
        <v>0</v>
      </c>
      <c r="J95" s="357">
        <f>[2]transit_general!H95</f>
        <v>0</v>
      </c>
      <c r="K95" s="261">
        <f>[2]transit_general!I95</f>
        <v>0</v>
      </c>
      <c r="L95" s="261">
        <f>[2]transit_general!J95</f>
        <v>0</v>
      </c>
      <c r="M95" s="261">
        <f>[2]transit_general!K95</f>
        <v>0</v>
      </c>
      <c r="N95" s="261">
        <f>[2]transit_general!L95</f>
        <v>0</v>
      </c>
      <c r="O95" s="261">
        <f>[2]transit_general!M95</f>
        <v>0</v>
      </c>
      <c r="Q95" s="5"/>
      <c r="R95" s="5" t="str">
        <f>md[[#This Row],[route]]&amp;"-"&amp;md[[#This Row],[mode_transit_route_id]]</f>
        <v>875-29</v>
      </c>
      <c r="S95" s="5">
        <f>Table_socioeca8.sandag.org_abm2_trb[[#This Row],[route]]</f>
        <v>875</v>
      </c>
      <c r="T95" s="2">
        <f>Table_socioeca8.sandag.org_abm2_trb[[#This Row],[mode_transit_route_id]]</f>
        <v>29</v>
      </c>
      <c r="U95" s="344">
        <f>Table_socioeca8.sandag.org_abm2_trb[[#This Row],[boarding_EA]]</f>
        <v>0</v>
      </c>
      <c r="V95" s="344">
        <f>Table_socioeca8.sandag.org_abm2_trb[[#This Row],[boarding_AM]]</f>
        <v>0</v>
      </c>
      <c r="W95" s="344">
        <f>Table_socioeca8.sandag.org_abm2_trb[[#This Row],[boarding_MD]]</f>
        <v>0</v>
      </c>
      <c r="X95" s="344">
        <f>Table_socioeca8.sandag.org_abm2_trb[[#This Row],[boarding_PM]]</f>
        <v>0</v>
      </c>
      <c r="Y95" s="344">
        <f>Table_socioeca8.sandag.org_abm2_trb[[#This Row],[boarding_EV]]</f>
        <v>0</v>
      </c>
      <c r="Z95" s="3">
        <f>Table_socioeca8.sandag.org_abm2_trb[[#This Row],[passenger_mile_EA]]</f>
        <v>0</v>
      </c>
      <c r="AA95" s="3">
        <f>Table_socioeca8.sandag.org_abm2_trb[[#This Row],[passenger_mile_AM]]</f>
        <v>0</v>
      </c>
      <c r="AB95" s="3">
        <f>Table_socioeca8.sandag.org_abm2_trb[[#This Row],[passenger_mile_MD]]</f>
        <v>0</v>
      </c>
      <c r="AC95" s="3">
        <f>Table_socioeca8.sandag.org_abm2_trb[[#This Row],[passenger_mile_PM]]</f>
        <v>0</v>
      </c>
      <c r="AD95" s="3">
        <f>Table_socioeca8.sandag.org_abm2_trb[[#This Row],[passenger_mile_EV]]</f>
        <v>0</v>
      </c>
      <c r="AE95" s="5">
        <f>Table_socioeca8.sandag.org_abm2_trb[[#This Row],[mode_transit_route_id]]</f>
        <v>29</v>
      </c>
      <c r="AF95"/>
      <c r="AG95"/>
    </row>
    <row r="96" spans="4:33" x14ac:dyDescent="0.3">
      <c r="D96" s="47">
        <f>[2]transit_general!B96</f>
        <v>88</v>
      </c>
      <c r="E96" s="261">
        <f>[2]transit_general!C96</f>
        <v>29</v>
      </c>
      <c r="F96" s="357">
        <f>[2]transit_general!D96</f>
        <v>0</v>
      </c>
      <c r="G96" s="357">
        <f>[2]transit_general!E96</f>
        <v>0</v>
      </c>
      <c r="H96" s="357">
        <f>[2]transit_general!F96</f>
        <v>0</v>
      </c>
      <c r="I96" s="357">
        <f>[2]transit_general!G96</f>
        <v>0</v>
      </c>
      <c r="J96" s="357">
        <f>[2]transit_general!H96</f>
        <v>0</v>
      </c>
      <c r="K96" s="261">
        <f>[2]transit_general!I96</f>
        <v>0</v>
      </c>
      <c r="L96" s="261">
        <f>[2]transit_general!J96</f>
        <v>0</v>
      </c>
      <c r="M96" s="261">
        <f>[2]transit_general!K96</f>
        <v>0</v>
      </c>
      <c r="N96" s="261">
        <f>[2]transit_general!L96</f>
        <v>0</v>
      </c>
      <c r="O96" s="261">
        <f>[2]transit_general!M96</f>
        <v>0</v>
      </c>
      <c r="Q96" s="5"/>
      <c r="R96" s="5" t="str">
        <f>md[[#This Row],[route]]&amp;"-"&amp;md[[#This Row],[mode_transit_route_id]]</f>
        <v>88-29</v>
      </c>
      <c r="S96" s="5">
        <f>Table_socioeca8.sandag.org_abm2_trb[[#This Row],[route]]</f>
        <v>88</v>
      </c>
      <c r="T96" s="2">
        <f>Table_socioeca8.sandag.org_abm2_trb[[#This Row],[mode_transit_route_id]]</f>
        <v>29</v>
      </c>
      <c r="U96" s="344">
        <f>Table_socioeca8.sandag.org_abm2_trb[[#This Row],[boarding_EA]]</f>
        <v>0</v>
      </c>
      <c r="V96" s="344">
        <f>Table_socioeca8.sandag.org_abm2_trb[[#This Row],[boarding_AM]]</f>
        <v>0</v>
      </c>
      <c r="W96" s="344">
        <f>Table_socioeca8.sandag.org_abm2_trb[[#This Row],[boarding_MD]]</f>
        <v>0</v>
      </c>
      <c r="X96" s="344">
        <f>Table_socioeca8.sandag.org_abm2_trb[[#This Row],[boarding_PM]]</f>
        <v>0</v>
      </c>
      <c r="Y96" s="344">
        <f>Table_socioeca8.sandag.org_abm2_trb[[#This Row],[boarding_EV]]</f>
        <v>0</v>
      </c>
      <c r="Z96" s="3">
        <f>Table_socioeca8.sandag.org_abm2_trb[[#This Row],[passenger_mile_EA]]</f>
        <v>0</v>
      </c>
      <c r="AA96" s="3">
        <f>Table_socioeca8.sandag.org_abm2_trb[[#This Row],[passenger_mile_AM]]</f>
        <v>0</v>
      </c>
      <c r="AB96" s="3">
        <f>Table_socioeca8.sandag.org_abm2_trb[[#This Row],[passenger_mile_MD]]</f>
        <v>0</v>
      </c>
      <c r="AC96" s="3">
        <f>Table_socioeca8.sandag.org_abm2_trb[[#This Row],[passenger_mile_PM]]</f>
        <v>0</v>
      </c>
      <c r="AD96" s="3">
        <f>Table_socioeca8.sandag.org_abm2_trb[[#This Row],[passenger_mile_EV]]</f>
        <v>0</v>
      </c>
      <c r="AE96" s="5">
        <f>Table_socioeca8.sandag.org_abm2_trb[[#This Row],[mode_transit_route_id]]</f>
        <v>29</v>
      </c>
      <c r="AF96"/>
      <c r="AG96"/>
    </row>
    <row r="97" spans="4:33" x14ac:dyDescent="0.3">
      <c r="D97" s="47">
        <f>[2]transit_general!B97</f>
        <v>8</v>
      </c>
      <c r="E97" s="261">
        <f>[2]transit_general!C97</f>
        <v>29</v>
      </c>
      <c r="F97" s="357">
        <f>[2]transit_general!D97</f>
        <v>0</v>
      </c>
      <c r="G97" s="357">
        <f>[2]transit_general!E97</f>
        <v>0</v>
      </c>
      <c r="H97" s="357">
        <f>[2]transit_general!F97</f>
        <v>0</v>
      </c>
      <c r="I97" s="357">
        <f>[2]transit_general!G97</f>
        <v>0</v>
      </c>
      <c r="J97" s="357">
        <f>[2]transit_general!H97</f>
        <v>0</v>
      </c>
      <c r="K97" s="261">
        <f>[2]transit_general!I97</f>
        <v>0</v>
      </c>
      <c r="L97" s="261">
        <f>[2]transit_general!J97</f>
        <v>0</v>
      </c>
      <c r="M97" s="261">
        <f>[2]transit_general!K97</f>
        <v>0</v>
      </c>
      <c r="N97" s="261">
        <f>[2]transit_general!L97</f>
        <v>0</v>
      </c>
      <c r="O97" s="261">
        <f>[2]transit_general!M97</f>
        <v>0</v>
      </c>
      <c r="Q97" s="5"/>
      <c r="R97" s="5" t="str">
        <f>md[[#This Row],[route]]&amp;"-"&amp;md[[#This Row],[mode_transit_route_id]]</f>
        <v>8-29</v>
      </c>
      <c r="S97" s="5">
        <f>Table_socioeca8.sandag.org_abm2_trb[[#This Row],[route]]</f>
        <v>8</v>
      </c>
      <c r="T97" s="2">
        <f>Table_socioeca8.sandag.org_abm2_trb[[#This Row],[mode_transit_route_id]]</f>
        <v>29</v>
      </c>
      <c r="U97" s="344">
        <f>Table_socioeca8.sandag.org_abm2_trb[[#This Row],[boarding_EA]]</f>
        <v>0</v>
      </c>
      <c r="V97" s="344">
        <f>Table_socioeca8.sandag.org_abm2_trb[[#This Row],[boarding_AM]]</f>
        <v>0</v>
      </c>
      <c r="W97" s="344">
        <f>Table_socioeca8.sandag.org_abm2_trb[[#This Row],[boarding_MD]]</f>
        <v>0</v>
      </c>
      <c r="X97" s="344">
        <f>Table_socioeca8.sandag.org_abm2_trb[[#This Row],[boarding_PM]]</f>
        <v>0</v>
      </c>
      <c r="Y97" s="344">
        <f>Table_socioeca8.sandag.org_abm2_trb[[#This Row],[boarding_EV]]</f>
        <v>0</v>
      </c>
      <c r="Z97" s="3">
        <f>Table_socioeca8.sandag.org_abm2_trb[[#This Row],[passenger_mile_EA]]</f>
        <v>0</v>
      </c>
      <c r="AA97" s="3">
        <f>Table_socioeca8.sandag.org_abm2_trb[[#This Row],[passenger_mile_AM]]</f>
        <v>0</v>
      </c>
      <c r="AB97" s="3">
        <f>Table_socioeca8.sandag.org_abm2_trb[[#This Row],[passenger_mile_MD]]</f>
        <v>0</v>
      </c>
      <c r="AC97" s="3">
        <f>Table_socioeca8.sandag.org_abm2_trb[[#This Row],[passenger_mile_PM]]</f>
        <v>0</v>
      </c>
      <c r="AD97" s="3">
        <f>Table_socioeca8.sandag.org_abm2_trb[[#This Row],[passenger_mile_EV]]</f>
        <v>0</v>
      </c>
      <c r="AE97" s="5">
        <f>Table_socioeca8.sandag.org_abm2_trb[[#This Row],[mode_transit_route_id]]</f>
        <v>29</v>
      </c>
      <c r="AF97"/>
      <c r="AG97"/>
    </row>
    <row r="98" spans="4:33" x14ac:dyDescent="0.3">
      <c r="D98" s="47">
        <f>[2]transit_general!B98</f>
        <v>901</v>
      </c>
      <c r="E98" s="261">
        <f>[2]transit_general!C98</f>
        <v>29</v>
      </c>
      <c r="F98" s="357">
        <f>[2]transit_general!D98</f>
        <v>0</v>
      </c>
      <c r="G98" s="357">
        <f>[2]transit_general!E98</f>
        <v>0</v>
      </c>
      <c r="H98" s="357">
        <f>[2]transit_general!F98</f>
        <v>0</v>
      </c>
      <c r="I98" s="357">
        <f>[2]transit_general!G98</f>
        <v>0</v>
      </c>
      <c r="J98" s="357">
        <f>[2]transit_general!H98</f>
        <v>0</v>
      </c>
      <c r="K98" s="261">
        <f>[2]transit_general!I98</f>
        <v>0</v>
      </c>
      <c r="L98" s="261">
        <f>[2]transit_general!J98</f>
        <v>0</v>
      </c>
      <c r="M98" s="261">
        <f>[2]transit_general!K98</f>
        <v>0</v>
      </c>
      <c r="N98" s="261">
        <f>[2]transit_general!L98</f>
        <v>0</v>
      </c>
      <c r="O98" s="261">
        <f>[2]transit_general!M98</f>
        <v>0</v>
      </c>
      <c r="Q98" s="5"/>
      <c r="R98" s="5" t="str">
        <f>md[[#This Row],[route]]&amp;"-"&amp;md[[#This Row],[mode_transit_route_id]]</f>
        <v>901-29</v>
      </c>
      <c r="S98" s="5">
        <f>Table_socioeca8.sandag.org_abm2_trb[[#This Row],[route]]</f>
        <v>901</v>
      </c>
      <c r="T98" s="2">
        <f>Table_socioeca8.sandag.org_abm2_trb[[#This Row],[mode_transit_route_id]]</f>
        <v>29</v>
      </c>
      <c r="U98" s="344">
        <f>Table_socioeca8.sandag.org_abm2_trb[[#This Row],[boarding_EA]]</f>
        <v>0</v>
      </c>
      <c r="V98" s="344">
        <f>Table_socioeca8.sandag.org_abm2_trb[[#This Row],[boarding_AM]]</f>
        <v>0</v>
      </c>
      <c r="W98" s="344">
        <f>Table_socioeca8.sandag.org_abm2_trb[[#This Row],[boarding_MD]]</f>
        <v>0</v>
      </c>
      <c r="X98" s="344">
        <f>Table_socioeca8.sandag.org_abm2_trb[[#This Row],[boarding_PM]]</f>
        <v>0</v>
      </c>
      <c r="Y98" s="344">
        <f>Table_socioeca8.sandag.org_abm2_trb[[#This Row],[boarding_EV]]</f>
        <v>0</v>
      </c>
      <c r="Z98" s="3">
        <f>Table_socioeca8.sandag.org_abm2_trb[[#This Row],[passenger_mile_EA]]</f>
        <v>0</v>
      </c>
      <c r="AA98" s="3">
        <f>Table_socioeca8.sandag.org_abm2_trb[[#This Row],[passenger_mile_AM]]</f>
        <v>0</v>
      </c>
      <c r="AB98" s="3">
        <f>Table_socioeca8.sandag.org_abm2_trb[[#This Row],[passenger_mile_MD]]</f>
        <v>0</v>
      </c>
      <c r="AC98" s="3">
        <f>Table_socioeca8.sandag.org_abm2_trb[[#This Row],[passenger_mile_PM]]</f>
        <v>0</v>
      </c>
      <c r="AD98" s="3">
        <f>Table_socioeca8.sandag.org_abm2_trb[[#This Row],[passenger_mile_EV]]</f>
        <v>0</v>
      </c>
      <c r="AE98" s="5">
        <f>Table_socioeca8.sandag.org_abm2_trb[[#This Row],[mode_transit_route_id]]</f>
        <v>29</v>
      </c>
      <c r="AF98"/>
      <c r="AG98"/>
    </row>
    <row r="99" spans="4:33" x14ac:dyDescent="0.3">
      <c r="D99" s="47">
        <f>[2]transit_general!B99</f>
        <v>904</v>
      </c>
      <c r="E99" s="261">
        <f>[2]transit_general!C99</f>
        <v>29</v>
      </c>
      <c r="F99" s="357">
        <f>[2]transit_general!D99</f>
        <v>0</v>
      </c>
      <c r="G99" s="357">
        <f>[2]transit_general!E99</f>
        <v>0</v>
      </c>
      <c r="H99" s="357">
        <f>[2]transit_general!F99</f>
        <v>0</v>
      </c>
      <c r="I99" s="357">
        <f>[2]transit_general!G99</f>
        <v>0</v>
      </c>
      <c r="J99" s="357">
        <f>[2]transit_general!H99</f>
        <v>0</v>
      </c>
      <c r="K99" s="261">
        <f>[2]transit_general!I99</f>
        <v>0</v>
      </c>
      <c r="L99" s="261">
        <f>[2]transit_general!J99</f>
        <v>0</v>
      </c>
      <c r="M99" s="261">
        <f>[2]transit_general!K99</f>
        <v>0</v>
      </c>
      <c r="N99" s="261">
        <f>[2]transit_general!L99</f>
        <v>0</v>
      </c>
      <c r="O99" s="261">
        <f>[2]transit_general!M99</f>
        <v>0</v>
      </c>
      <c r="Q99" s="5"/>
      <c r="R99" s="5" t="str">
        <f>md[[#This Row],[route]]&amp;"-"&amp;md[[#This Row],[mode_transit_route_id]]</f>
        <v>904-29</v>
      </c>
      <c r="S99" s="5">
        <f>Table_socioeca8.sandag.org_abm2_trb[[#This Row],[route]]</f>
        <v>904</v>
      </c>
      <c r="T99" s="2">
        <f>Table_socioeca8.sandag.org_abm2_trb[[#This Row],[mode_transit_route_id]]</f>
        <v>29</v>
      </c>
      <c r="U99" s="344">
        <f>Table_socioeca8.sandag.org_abm2_trb[[#This Row],[boarding_EA]]</f>
        <v>0</v>
      </c>
      <c r="V99" s="344">
        <f>Table_socioeca8.sandag.org_abm2_trb[[#This Row],[boarding_AM]]</f>
        <v>0</v>
      </c>
      <c r="W99" s="344">
        <f>Table_socioeca8.sandag.org_abm2_trb[[#This Row],[boarding_MD]]</f>
        <v>0</v>
      </c>
      <c r="X99" s="344">
        <f>Table_socioeca8.sandag.org_abm2_trb[[#This Row],[boarding_PM]]</f>
        <v>0</v>
      </c>
      <c r="Y99" s="344">
        <f>Table_socioeca8.sandag.org_abm2_trb[[#This Row],[boarding_EV]]</f>
        <v>0</v>
      </c>
      <c r="Z99" s="3">
        <f>Table_socioeca8.sandag.org_abm2_trb[[#This Row],[passenger_mile_EA]]</f>
        <v>0</v>
      </c>
      <c r="AA99" s="3">
        <f>Table_socioeca8.sandag.org_abm2_trb[[#This Row],[passenger_mile_AM]]</f>
        <v>0</v>
      </c>
      <c r="AB99" s="3">
        <f>Table_socioeca8.sandag.org_abm2_trb[[#This Row],[passenger_mile_MD]]</f>
        <v>0</v>
      </c>
      <c r="AC99" s="3">
        <f>Table_socioeca8.sandag.org_abm2_trb[[#This Row],[passenger_mile_PM]]</f>
        <v>0</v>
      </c>
      <c r="AD99" s="3">
        <f>Table_socioeca8.sandag.org_abm2_trb[[#This Row],[passenger_mile_EV]]</f>
        <v>0</v>
      </c>
      <c r="AE99" s="5">
        <f>Table_socioeca8.sandag.org_abm2_trb[[#This Row],[mode_transit_route_id]]</f>
        <v>29</v>
      </c>
      <c r="AF99"/>
      <c r="AG99"/>
    </row>
    <row r="100" spans="4:33" x14ac:dyDescent="0.3">
      <c r="D100" s="47">
        <f>[2]transit_general!B100</f>
        <v>905</v>
      </c>
      <c r="E100" s="261">
        <f>[2]transit_general!C100</f>
        <v>29</v>
      </c>
      <c r="F100" s="357">
        <f>[2]transit_general!D100</f>
        <v>0</v>
      </c>
      <c r="G100" s="357">
        <f>[2]transit_general!E100</f>
        <v>0</v>
      </c>
      <c r="H100" s="357">
        <f>[2]transit_general!F100</f>
        <v>0</v>
      </c>
      <c r="I100" s="357">
        <f>[2]transit_general!G100</f>
        <v>0</v>
      </c>
      <c r="J100" s="357">
        <f>[2]transit_general!H100</f>
        <v>0</v>
      </c>
      <c r="K100" s="261">
        <f>[2]transit_general!I100</f>
        <v>0</v>
      </c>
      <c r="L100" s="261">
        <f>[2]transit_general!J100</f>
        <v>0</v>
      </c>
      <c r="M100" s="261">
        <f>[2]transit_general!K100</f>
        <v>0</v>
      </c>
      <c r="N100" s="261">
        <f>[2]transit_general!L100</f>
        <v>0</v>
      </c>
      <c r="O100" s="261">
        <f>[2]transit_general!M100</f>
        <v>0</v>
      </c>
      <c r="Q100" s="5"/>
      <c r="R100" s="5" t="str">
        <f>md[[#This Row],[route]]&amp;"-"&amp;md[[#This Row],[mode_transit_route_id]]</f>
        <v>905-29</v>
      </c>
      <c r="S100" s="5">
        <f>Table_socioeca8.sandag.org_abm2_trb[[#This Row],[route]]</f>
        <v>905</v>
      </c>
      <c r="T100" s="2">
        <f>Table_socioeca8.sandag.org_abm2_trb[[#This Row],[mode_transit_route_id]]</f>
        <v>29</v>
      </c>
      <c r="U100" s="344">
        <f>Table_socioeca8.sandag.org_abm2_trb[[#This Row],[boarding_EA]]</f>
        <v>0</v>
      </c>
      <c r="V100" s="344">
        <f>Table_socioeca8.sandag.org_abm2_trb[[#This Row],[boarding_AM]]</f>
        <v>0</v>
      </c>
      <c r="W100" s="344">
        <f>Table_socioeca8.sandag.org_abm2_trb[[#This Row],[boarding_MD]]</f>
        <v>0</v>
      </c>
      <c r="X100" s="344">
        <f>Table_socioeca8.sandag.org_abm2_trb[[#This Row],[boarding_PM]]</f>
        <v>0</v>
      </c>
      <c r="Y100" s="344">
        <f>Table_socioeca8.sandag.org_abm2_trb[[#This Row],[boarding_EV]]</f>
        <v>0</v>
      </c>
      <c r="Z100" s="3">
        <f>Table_socioeca8.sandag.org_abm2_trb[[#This Row],[passenger_mile_EA]]</f>
        <v>0</v>
      </c>
      <c r="AA100" s="3">
        <f>Table_socioeca8.sandag.org_abm2_trb[[#This Row],[passenger_mile_AM]]</f>
        <v>0</v>
      </c>
      <c r="AB100" s="3">
        <f>Table_socioeca8.sandag.org_abm2_trb[[#This Row],[passenger_mile_MD]]</f>
        <v>0</v>
      </c>
      <c r="AC100" s="3">
        <f>Table_socioeca8.sandag.org_abm2_trb[[#This Row],[passenger_mile_PM]]</f>
        <v>0</v>
      </c>
      <c r="AD100" s="3">
        <f>Table_socioeca8.sandag.org_abm2_trb[[#This Row],[passenger_mile_EV]]</f>
        <v>0</v>
      </c>
      <c r="AE100" s="5">
        <f>Table_socioeca8.sandag.org_abm2_trb[[#This Row],[mode_transit_route_id]]</f>
        <v>29</v>
      </c>
      <c r="AF100"/>
      <c r="AG100"/>
    </row>
    <row r="101" spans="4:33" x14ac:dyDescent="0.3">
      <c r="D101" s="47">
        <f>[2]transit_general!B101</f>
        <v>906</v>
      </c>
      <c r="E101" s="261">
        <f>[2]transit_general!C101</f>
        <v>29</v>
      </c>
      <c r="F101" s="357">
        <f>[2]transit_general!D101</f>
        <v>0</v>
      </c>
      <c r="G101" s="357">
        <f>[2]transit_general!E101</f>
        <v>0</v>
      </c>
      <c r="H101" s="357">
        <f>[2]transit_general!F101</f>
        <v>0</v>
      </c>
      <c r="I101" s="357">
        <f>[2]transit_general!G101</f>
        <v>0</v>
      </c>
      <c r="J101" s="357">
        <f>[2]transit_general!H101</f>
        <v>0</v>
      </c>
      <c r="K101" s="261">
        <f>[2]transit_general!I101</f>
        <v>0</v>
      </c>
      <c r="L101" s="261">
        <f>[2]transit_general!J101</f>
        <v>0</v>
      </c>
      <c r="M101" s="261">
        <f>[2]transit_general!K101</f>
        <v>0</v>
      </c>
      <c r="N101" s="261">
        <f>[2]transit_general!L101</f>
        <v>0</v>
      </c>
      <c r="O101" s="261">
        <f>[2]transit_general!M101</f>
        <v>0</v>
      </c>
      <c r="Q101" s="5"/>
      <c r="R101" s="5" t="str">
        <f>md[[#This Row],[route]]&amp;"-"&amp;md[[#This Row],[mode_transit_route_id]]</f>
        <v>906-29</v>
      </c>
      <c r="S101" s="5">
        <f>Table_socioeca8.sandag.org_abm2_trb[[#This Row],[route]]</f>
        <v>906</v>
      </c>
      <c r="T101" s="2">
        <f>Table_socioeca8.sandag.org_abm2_trb[[#This Row],[mode_transit_route_id]]</f>
        <v>29</v>
      </c>
      <c r="U101" s="344">
        <f>Table_socioeca8.sandag.org_abm2_trb[[#This Row],[boarding_EA]]</f>
        <v>0</v>
      </c>
      <c r="V101" s="344">
        <f>Table_socioeca8.sandag.org_abm2_trb[[#This Row],[boarding_AM]]</f>
        <v>0</v>
      </c>
      <c r="W101" s="344">
        <f>Table_socioeca8.sandag.org_abm2_trb[[#This Row],[boarding_MD]]</f>
        <v>0</v>
      </c>
      <c r="X101" s="344">
        <f>Table_socioeca8.sandag.org_abm2_trb[[#This Row],[boarding_PM]]</f>
        <v>0</v>
      </c>
      <c r="Y101" s="344">
        <f>Table_socioeca8.sandag.org_abm2_trb[[#This Row],[boarding_EV]]</f>
        <v>0</v>
      </c>
      <c r="Z101" s="3">
        <f>Table_socioeca8.sandag.org_abm2_trb[[#This Row],[passenger_mile_EA]]</f>
        <v>0</v>
      </c>
      <c r="AA101" s="3">
        <f>Table_socioeca8.sandag.org_abm2_trb[[#This Row],[passenger_mile_AM]]</f>
        <v>0</v>
      </c>
      <c r="AB101" s="3">
        <f>Table_socioeca8.sandag.org_abm2_trb[[#This Row],[passenger_mile_MD]]</f>
        <v>0</v>
      </c>
      <c r="AC101" s="3">
        <f>Table_socioeca8.sandag.org_abm2_trb[[#This Row],[passenger_mile_PM]]</f>
        <v>0</v>
      </c>
      <c r="AD101" s="3">
        <f>Table_socioeca8.sandag.org_abm2_trb[[#This Row],[passenger_mile_EV]]</f>
        <v>0</v>
      </c>
      <c r="AE101" s="5">
        <f>Table_socioeca8.sandag.org_abm2_trb[[#This Row],[mode_transit_route_id]]</f>
        <v>29</v>
      </c>
      <c r="AF101"/>
      <c r="AG101"/>
    </row>
    <row r="102" spans="4:33" x14ac:dyDescent="0.3">
      <c r="D102" s="47">
        <f>[2]transit_general!B102</f>
        <v>907</v>
      </c>
      <c r="E102" s="261">
        <f>[2]transit_general!C102</f>
        <v>29</v>
      </c>
      <c r="F102" s="357">
        <f>[2]transit_general!D102</f>
        <v>0</v>
      </c>
      <c r="G102" s="357">
        <f>[2]transit_general!E102</f>
        <v>0</v>
      </c>
      <c r="H102" s="357">
        <f>[2]transit_general!F102</f>
        <v>0</v>
      </c>
      <c r="I102" s="357">
        <f>[2]transit_general!G102</f>
        <v>0</v>
      </c>
      <c r="J102" s="357">
        <f>[2]transit_general!H102</f>
        <v>0</v>
      </c>
      <c r="K102" s="261">
        <f>[2]transit_general!I102</f>
        <v>0</v>
      </c>
      <c r="L102" s="261">
        <f>[2]transit_general!J102</f>
        <v>0</v>
      </c>
      <c r="M102" s="261">
        <f>[2]transit_general!K102</f>
        <v>0</v>
      </c>
      <c r="N102" s="261">
        <f>[2]transit_general!L102</f>
        <v>0</v>
      </c>
      <c r="O102" s="261">
        <f>[2]transit_general!M102</f>
        <v>0</v>
      </c>
      <c r="Q102" s="5"/>
      <c r="R102" s="5" t="str">
        <f>md[[#This Row],[route]]&amp;"-"&amp;md[[#This Row],[mode_transit_route_id]]</f>
        <v>907-29</v>
      </c>
      <c r="S102" s="5">
        <f>Table_socioeca8.sandag.org_abm2_trb[[#This Row],[route]]</f>
        <v>907</v>
      </c>
      <c r="T102" s="2">
        <f>Table_socioeca8.sandag.org_abm2_trb[[#This Row],[mode_transit_route_id]]</f>
        <v>29</v>
      </c>
      <c r="U102" s="344">
        <f>Table_socioeca8.sandag.org_abm2_trb[[#This Row],[boarding_EA]]</f>
        <v>0</v>
      </c>
      <c r="V102" s="344">
        <f>Table_socioeca8.sandag.org_abm2_trb[[#This Row],[boarding_AM]]</f>
        <v>0</v>
      </c>
      <c r="W102" s="344">
        <f>Table_socioeca8.sandag.org_abm2_trb[[#This Row],[boarding_MD]]</f>
        <v>0</v>
      </c>
      <c r="X102" s="344">
        <f>Table_socioeca8.sandag.org_abm2_trb[[#This Row],[boarding_PM]]</f>
        <v>0</v>
      </c>
      <c r="Y102" s="344">
        <f>Table_socioeca8.sandag.org_abm2_trb[[#This Row],[boarding_EV]]</f>
        <v>0</v>
      </c>
      <c r="Z102" s="3">
        <f>Table_socioeca8.sandag.org_abm2_trb[[#This Row],[passenger_mile_EA]]</f>
        <v>0</v>
      </c>
      <c r="AA102" s="3">
        <f>Table_socioeca8.sandag.org_abm2_trb[[#This Row],[passenger_mile_AM]]</f>
        <v>0</v>
      </c>
      <c r="AB102" s="3">
        <f>Table_socioeca8.sandag.org_abm2_trb[[#This Row],[passenger_mile_MD]]</f>
        <v>0</v>
      </c>
      <c r="AC102" s="3">
        <f>Table_socioeca8.sandag.org_abm2_trb[[#This Row],[passenger_mile_PM]]</f>
        <v>0</v>
      </c>
      <c r="AD102" s="3">
        <f>Table_socioeca8.sandag.org_abm2_trb[[#This Row],[passenger_mile_EV]]</f>
        <v>0</v>
      </c>
      <c r="AE102" s="5">
        <f>Table_socioeca8.sandag.org_abm2_trb[[#This Row],[mode_transit_route_id]]</f>
        <v>29</v>
      </c>
      <c r="AF102"/>
      <c r="AG102"/>
    </row>
    <row r="103" spans="4:33" x14ac:dyDescent="0.3">
      <c r="D103" s="47">
        <f>[2]transit_general!B103</f>
        <v>916</v>
      </c>
      <c r="E103" s="261">
        <f>[2]transit_general!C103</f>
        <v>29</v>
      </c>
      <c r="F103" s="357">
        <f>[2]transit_general!D103</f>
        <v>0</v>
      </c>
      <c r="G103" s="357">
        <f>[2]transit_general!E103</f>
        <v>0</v>
      </c>
      <c r="H103" s="357">
        <f>[2]transit_general!F103</f>
        <v>0</v>
      </c>
      <c r="I103" s="357">
        <f>[2]transit_general!G103</f>
        <v>0</v>
      </c>
      <c r="J103" s="357">
        <f>[2]transit_general!H103</f>
        <v>0</v>
      </c>
      <c r="K103" s="261">
        <f>[2]transit_general!I103</f>
        <v>0</v>
      </c>
      <c r="L103" s="261">
        <f>[2]transit_general!J103</f>
        <v>0</v>
      </c>
      <c r="M103" s="261">
        <f>[2]transit_general!K103</f>
        <v>0</v>
      </c>
      <c r="N103" s="261">
        <f>[2]transit_general!L103</f>
        <v>0</v>
      </c>
      <c r="O103" s="261">
        <f>[2]transit_general!M103</f>
        <v>0</v>
      </c>
      <c r="Q103" s="5"/>
      <c r="R103" s="5" t="str">
        <f>md[[#This Row],[route]]&amp;"-"&amp;md[[#This Row],[mode_transit_route_id]]</f>
        <v>916-29</v>
      </c>
      <c r="S103" s="5">
        <f>Table_socioeca8.sandag.org_abm2_trb[[#This Row],[route]]</f>
        <v>916</v>
      </c>
      <c r="T103" s="2">
        <f>Table_socioeca8.sandag.org_abm2_trb[[#This Row],[mode_transit_route_id]]</f>
        <v>29</v>
      </c>
      <c r="U103" s="344">
        <f>Table_socioeca8.sandag.org_abm2_trb[[#This Row],[boarding_EA]]</f>
        <v>0</v>
      </c>
      <c r="V103" s="344">
        <f>Table_socioeca8.sandag.org_abm2_trb[[#This Row],[boarding_AM]]</f>
        <v>0</v>
      </c>
      <c r="W103" s="344">
        <f>Table_socioeca8.sandag.org_abm2_trb[[#This Row],[boarding_MD]]</f>
        <v>0</v>
      </c>
      <c r="X103" s="344">
        <f>Table_socioeca8.sandag.org_abm2_trb[[#This Row],[boarding_PM]]</f>
        <v>0</v>
      </c>
      <c r="Y103" s="344">
        <f>Table_socioeca8.sandag.org_abm2_trb[[#This Row],[boarding_EV]]</f>
        <v>0</v>
      </c>
      <c r="Z103" s="3">
        <f>Table_socioeca8.sandag.org_abm2_trb[[#This Row],[passenger_mile_EA]]</f>
        <v>0</v>
      </c>
      <c r="AA103" s="3">
        <f>Table_socioeca8.sandag.org_abm2_trb[[#This Row],[passenger_mile_AM]]</f>
        <v>0</v>
      </c>
      <c r="AB103" s="3">
        <f>Table_socioeca8.sandag.org_abm2_trb[[#This Row],[passenger_mile_MD]]</f>
        <v>0</v>
      </c>
      <c r="AC103" s="3">
        <f>Table_socioeca8.sandag.org_abm2_trb[[#This Row],[passenger_mile_PM]]</f>
        <v>0</v>
      </c>
      <c r="AD103" s="3">
        <f>Table_socioeca8.sandag.org_abm2_trb[[#This Row],[passenger_mile_EV]]</f>
        <v>0</v>
      </c>
      <c r="AE103" s="5">
        <f>Table_socioeca8.sandag.org_abm2_trb[[#This Row],[mode_transit_route_id]]</f>
        <v>29</v>
      </c>
      <c r="AF103"/>
      <c r="AG103"/>
    </row>
    <row r="104" spans="4:33" x14ac:dyDescent="0.3">
      <c r="D104" s="47">
        <f>[2]transit_general!B104</f>
        <v>917</v>
      </c>
      <c r="E104" s="261">
        <f>[2]transit_general!C104</f>
        <v>29</v>
      </c>
      <c r="F104" s="357">
        <f>[2]transit_general!D104</f>
        <v>0</v>
      </c>
      <c r="G104" s="357">
        <f>[2]transit_general!E104</f>
        <v>0</v>
      </c>
      <c r="H104" s="357">
        <f>[2]transit_general!F104</f>
        <v>0</v>
      </c>
      <c r="I104" s="357">
        <f>[2]transit_general!G104</f>
        <v>0</v>
      </c>
      <c r="J104" s="357">
        <f>[2]transit_general!H104</f>
        <v>0</v>
      </c>
      <c r="K104" s="261">
        <f>[2]transit_general!I104</f>
        <v>0</v>
      </c>
      <c r="L104" s="261">
        <f>[2]transit_general!J104</f>
        <v>0</v>
      </c>
      <c r="M104" s="261">
        <f>[2]transit_general!K104</f>
        <v>0</v>
      </c>
      <c r="N104" s="261">
        <f>[2]transit_general!L104</f>
        <v>0</v>
      </c>
      <c r="O104" s="261">
        <f>[2]transit_general!M104</f>
        <v>0</v>
      </c>
      <c r="Q104" s="5"/>
      <c r="R104" s="5" t="str">
        <f>md[[#This Row],[route]]&amp;"-"&amp;md[[#This Row],[mode_transit_route_id]]</f>
        <v>917-29</v>
      </c>
      <c r="S104" s="5">
        <f>Table_socioeca8.sandag.org_abm2_trb[[#This Row],[route]]</f>
        <v>917</v>
      </c>
      <c r="T104" s="2">
        <f>Table_socioeca8.sandag.org_abm2_trb[[#This Row],[mode_transit_route_id]]</f>
        <v>29</v>
      </c>
      <c r="U104" s="344">
        <f>Table_socioeca8.sandag.org_abm2_trb[[#This Row],[boarding_EA]]</f>
        <v>0</v>
      </c>
      <c r="V104" s="344">
        <f>Table_socioeca8.sandag.org_abm2_trb[[#This Row],[boarding_AM]]</f>
        <v>0</v>
      </c>
      <c r="W104" s="344">
        <f>Table_socioeca8.sandag.org_abm2_trb[[#This Row],[boarding_MD]]</f>
        <v>0</v>
      </c>
      <c r="X104" s="344">
        <f>Table_socioeca8.sandag.org_abm2_trb[[#This Row],[boarding_PM]]</f>
        <v>0</v>
      </c>
      <c r="Y104" s="344">
        <f>Table_socioeca8.sandag.org_abm2_trb[[#This Row],[boarding_EV]]</f>
        <v>0</v>
      </c>
      <c r="Z104" s="3">
        <f>Table_socioeca8.sandag.org_abm2_trb[[#This Row],[passenger_mile_EA]]</f>
        <v>0</v>
      </c>
      <c r="AA104" s="3">
        <f>Table_socioeca8.sandag.org_abm2_trb[[#This Row],[passenger_mile_AM]]</f>
        <v>0</v>
      </c>
      <c r="AB104" s="3">
        <f>Table_socioeca8.sandag.org_abm2_trb[[#This Row],[passenger_mile_MD]]</f>
        <v>0</v>
      </c>
      <c r="AC104" s="3">
        <f>Table_socioeca8.sandag.org_abm2_trb[[#This Row],[passenger_mile_PM]]</f>
        <v>0</v>
      </c>
      <c r="AD104" s="3">
        <f>Table_socioeca8.sandag.org_abm2_trb[[#This Row],[passenger_mile_EV]]</f>
        <v>0</v>
      </c>
      <c r="AE104" s="5">
        <f>Table_socioeca8.sandag.org_abm2_trb[[#This Row],[mode_transit_route_id]]</f>
        <v>29</v>
      </c>
      <c r="AF104"/>
      <c r="AG104"/>
    </row>
    <row r="105" spans="4:33" x14ac:dyDescent="0.3">
      <c r="D105" s="47">
        <f>[2]transit_general!B105</f>
        <v>921</v>
      </c>
      <c r="E105" s="261">
        <f>[2]transit_general!C105</f>
        <v>29</v>
      </c>
      <c r="F105" s="357">
        <f>[2]transit_general!D105</f>
        <v>0</v>
      </c>
      <c r="G105" s="357">
        <f>[2]transit_general!E105</f>
        <v>0</v>
      </c>
      <c r="H105" s="357">
        <f>[2]transit_general!F105</f>
        <v>0</v>
      </c>
      <c r="I105" s="357">
        <f>[2]transit_general!G105</f>
        <v>0</v>
      </c>
      <c r="J105" s="357">
        <f>[2]transit_general!H105</f>
        <v>0</v>
      </c>
      <c r="K105" s="261">
        <f>[2]transit_general!I105</f>
        <v>0</v>
      </c>
      <c r="L105" s="261">
        <f>[2]transit_general!J105</f>
        <v>0</v>
      </c>
      <c r="M105" s="261">
        <f>[2]transit_general!K105</f>
        <v>0</v>
      </c>
      <c r="N105" s="261">
        <f>[2]transit_general!L105</f>
        <v>0</v>
      </c>
      <c r="O105" s="261">
        <f>[2]transit_general!M105</f>
        <v>0</v>
      </c>
      <c r="Q105" s="5"/>
      <c r="R105" s="5" t="str">
        <f>md[[#This Row],[route]]&amp;"-"&amp;md[[#This Row],[mode_transit_route_id]]</f>
        <v>921-29</v>
      </c>
      <c r="S105" s="5">
        <f>Table_socioeca8.sandag.org_abm2_trb[[#This Row],[route]]</f>
        <v>921</v>
      </c>
      <c r="T105" s="2">
        <f>Table_socioeca8.sandag.org_abm2_trb[[#This Row],[mode_transit_route_id]]</f>
        <v>29</v>
      </c>
      <c r="U105" s="344">
        <f>Table_socioeca8.sandag.org_abm2_trb[[#This Row],[boarding_EA]]</f>
        <v>0</v>
      </c>
      <c r="V105" s="344">
        <f>Table_socioeca8.sandag.org_abm2_trb[[#This Row],[boarding_AM]]</f>
        <v>0</v>
      </c>
      <c r="W105" s="344">
        <f>Table_socioeca8.sandag.org_abm2_trb[[#This Row],[boarding_MD]]</f>
        <v>0</v>
      </c>
      <c r="X105" s="344">
        <f>Table_socioeca8.sandag.org_abm2_trb[[#This Row],[boarding_PM]]</f>
        <v>0</v>
      </c>
      <c r="Y105" s="344">
        <f>Table_socioeca8.sandag.org_abm2_trb[[#This Row],[boarding_EV]]</f>
        <v>0</v>
      </c>
      <c r="Z105" s="3">
        <f>Table_socioeca8.sandag.org_abm2_trb[[#This Row],[passenger_mile_EA]]</f>
        <v>0</v>
      </c>
      <c r="AA105" s="3">
        <f>Table_socioeca8.sandag.org_abm2_trb[[#This Row],[passenger_mile_AM]]</f>
        <v>0</v>
      </c>
      <c r="AB105" s="3">
        <f>Table_socioeca8.sandag.org_abm2_trb[[#This Row],[passenger_mile_MD]]</f>
        <v>0</v>
      </c>
      <c r="AC105" s="3">
        <f>Table_socioeca8.sandag.org_abm2_trb[[#This Row],[passenger_mile_PM]]</f>
        <v>0</v>
      </c>
      <c r="AD105" s="3">
        <f>Table_socioeca8.sandag.org_abm2_trb[[#This Row],[passenger_mile_EV]]</f>
        <v>0</v>
      </c>
      <c r="AE105" s="5">
        <f>Table_socioeca8.sandag.org_abm2_trb[[#This Row],[mode_transit_route_id]]</f>
        <v>29</v>
      </c>
      <c r="AF105"/>
      <c r="AG105"/>
    </row>
    <row r="106" spans="4:33" x14ac:dyDescent="0.3">
      <c r="D106" s="47">
        <f>[2]transit_general!B106</f>
        <v>923</v>
      </c>
      <c r="E106" s="261">
        <f>[2]transit_general!C106</f>
        <v>29</v>
      </c>
      <c r="F106" s="357">
        <f>[2]transit_general!D106</f>
        <v>0</v>
      </c>
      <c r="G106" s="357">
        <f>[2]transit_general!E106</f>
        <v>0</v>
      </c>
      <c r="H106" s="357">
        <f>[2]transit_general!F106</f>
        <v>0</v>
      </c>
      <c r="I106" s="357">
        <f>[2]transit_general!G106</f>
        <v>0</v>
      </c>
      <c r="J106" s="357">
        <f>[2]transit_general!H106</f>
        <v>0</v>
      </c>
      <c r="K106" s="261">
        <f>[2]transit_general!I106</f>
        <v>0</v>
      </c>
      <c r="L106" s="261">
        <f>[2]transit_general!J106</f>
        <v>0</v>
      </c>
      <c r="M106" s="261">
        <f>[2]transit_general!K106</f>
        <v>0</v>
      </c>
      <c r="N106" s="261">
        <f>[2]transit_general!L106</f>
        <v>0</v>
      </c>
      <c r="O106" s="261">
        <f>[2]transit_general!M106</f>
        <v>0</v>
      </c>
      <c r="Q106" s="5"/>
      <c r="R106" s="5" t="str">
        <f>md[[#This Row],[route]]&amp;"-"&amp;md[[#This Row],[mode_transit_route_id]]</f>
        <v>923-29</v>
      </c>
      <c r="S106" s="5">
        <f>Table_socioeca8.sandag.org_abm2_trb[[#This Row],[route]]</f>
        <v>923</v>
      </c>
      <c r="T106" s="2">
        <f>Table_socioeca8.sandag.org_abm2_trb[[#This Row],[mode_transit_route_id]]</f>
        <v>29</v>
      </c>
      <c r="U106" s="344">
        <f>Table_socioeca8.sandag.org_abm2_trb[[#This Row],[boarding_EA]]</f>
        <v>0</v>
      </c>
      <c r="V106" s="344">
        <f>Table_socioeca8.sandag.org_abm2_trb[[#This Row],[boarding_AM]]</f>
        <v>0</v>
      </c>
      <c r="W106" s="344">
        <f>Table_socioeca8.sandag.org_abm2_trb[[#This Row],[boarding_MD]]</f>
        <v>0</v>
      </c>
      <c r="X106" s="344">
        <f>Table_socioeca8.sandag.org_abm2_trb[[#This Row],[boarding_PM]]</f>
        <v>0</v>
      </c>
      <c r="Y106" s="344">
        <f>Table_socioeca8.sandag.org_abm2_trb[[#This Row],[boarding_EV]]</f>
        <v>0</v>
      </c>
      <c r="Z106" s="3">
        <f>Table_socioeca8.sandag.org_abm2_trb[[#This Row],[passenger_mile_EA]]</f>
        <v>0</v>
      </c>
      <c r="AA106" s="3">
        <f>Table_socioeca8.sandag.org_abm2_trb[[#This Row],[passenger_mile_AM]]</f>
        <v>0</v>
      </c>
      <c r="AB106" s="3">
        <f>Table_socioeca8.sandag.org_abm2_trb[[#This Row],[passenger_mile_MD]]</f>
        <v>0</v>
      </c>
      <c r="AC106" s="3">
        <f>Table_socioeca8.sandag.org_abm2_trb[[#This Row],[passenger_mile_PM]]</f>
        <v>0</v>
      </c>
      <c r="AD106" s="3">
        <f>Table_socioeca8.sandag.org_abm2_trb[[#This Row],[passenger_mile_EV]]</f>
        <v>0</v>
      </c>
      <c r="AE106" s="5">
        <f>Table_socioeca8.sandag.org_abm2_trb[[#This Row],[mode_transit_route_id]]</f>
        <v>29</v>
      </c>
      <c r="AF106"/>
      <c r="AG106"/>
    </row>
    <row r="107" spans="4:33" x14ac:dyDescent="0.3">
      <c r="D107" s="47">
        <f>[2]transit_general!B107</f>
        <v>928</v>
      </c>
      <c r="E107" s="261">
        <f>[2]transit_general!C107</f>
        <v>29</v>
      </c>
      <c r="F107" s="357">
        <f>[2]transit_general!D107</f>
        <v>0</v>
      </c>
      <c r="G107" s="357">
        <f>[2]transit_general!E107</f>
        <v>0</v>
      </c>
      <c r="H107" s="357">
        <f>[2]transit_general!F107</f>
        <v>0</v>
      </c>
      <c r="I107" s="357">
        <f>[2]transit_general!G107</f>
        <v>0</v>
      </c>
      <c r="J107" s="357">
        <f>[2]transit_general!H107</f>
        <v>0</v>
      </c>
      <c r="K107" s="261">
        <f>[2]transit_general!I107</f>
        <v>0</v>
      </c>
      <c r="L107" s="261">
        <f>[2]transit_general!J107</f>
        <v>0</v>
      </c>
      <c r="M107" s="261">
        <f>[2]transit_general!K107</f>
        <v>0</v>
      </c>
      <c r="N107" s="261">
        <f>[2]transit_general!L107</f>
        <v>0</v>
      </c>
      <c r="O107" s="261">
        <f>[2]transit_general!M107</f>
        <v>0</v>
      </c>
      <c r="Q107" s="5"/>
      <c r="R107" s="5" t="str">
        <f>md[[#This Row],[route]]&amp;"-"&amp;md[[#This Row],[mode_transit_route_id]]</f>
        <v>928-29</v>
      </c>
      <c r="S107" s="5">
        <f>Table_socioeca8.sandag.org_abm2_trb[[#This Row],[route]]</f>
        <v>928</v>
      </c>
      <c r="T107" s="2">
        <f>Table_socioeca8.sandag.org_abm2_trb[[#This Row],[mode_transit_route_id]]</f>
        <v>29</v>
      </c>
      <c r="U107" s="344">
        <f>Table_socioeca8.sandag.org_abm2_trb[[#This Row],[boarding_EA]]</f>
        <v>0</v>
      </c>
      <c r="V107" s="344">
        <f>Table_socioeca8.sandag.org_abm2_trb[[#This Row],[boarding_AM]]</f>
        <v>0</v>
      </c>
      <c r="W107" s="344">
        <f>Table_socioeca8.sandag.org_abm2_trb[[#This Row],[boarding_MD]]</f>
        <v>0</v>
      </c>
      <c r="X107" s="344">
        <f>Table_socioeca8.sandag.org_abm2_trb[[#This Row],[boarding_PM]]</f>
        <v>0</v>
      </c>
      <c r="Y107" s="344">
        <f>Table_socioeca8.sandag.org_abm2_trb[[#This Row],[boarding_EV]]</f>
        <v>0</v>
      </c>
      <c r="Z107" s="3">
        <f>Table_socioeca8.sandag.org_abm2_trb[[#This Row],[passenger_mile_EA]]</f>
        <v>0</v>
      </c>
      <c r="AA107" s="3">
        <f>Table_socioeca8.sandag.org_abm2_trb[[#This Row],[passenger_mile_AM]]</f>
        <v>0</v>
      </c>
      <c r="AB107" s="3">
        <f>Table_socioeca8.sandag.org_abm2_trb[[#This Row],[passenger_mile_MD]]</f>
        <v>0</v>
      </c>
      <c r="AC107" s="3">
        <f>Table_socioeca8.sandag.org_abm2_trb[[#This Row],[passenger_mile_PM]]</f>
        <v>0</v>
      </c>
      <c r="AD107" s="3">
        <f>Table_socioeca8.sandag.org_abm2_trb[[#This Row],[passenger_mile_EV]]</f>
        <v>0</v>
      </c>
      <c r="AE107" s="5">
        <f>Table_socioeca8.sandag.org_abm2_trb[[#This Row],[mode_transit_route_id]]</f>
        <v>29</v>
      </c>
      <c r="AF107"/>
      <c r="AG107"/>
    </row>
    <row r="108" spans="4:33" x14ac:dyDescent="0.3">
      <c r="D108" s="47">
        <f>[2]transit_general!B108</f>
        <v>929</v>
      </c>
      <c r="E108" s="261">
        <f>[2]transit_general!C108</f>
        <v>29</v>
      </c>
      <c r="F108" s="357">
        <f>[2]transit_general!D108</f>
        <v>0</v>
      </c>
      <c r="G108" s="357">
        <f>[2]transit_general!E108</f>
        <v>0</v>
      </c>
      <c r="H108" s="357">
        <f>[2]transit_general!F108</f>
        <v>0</v>
      </c>
      <c r="I108" s="357">
        <f>[2]transit_general!G108</f>
        <v>0</v>
      </c>
      <c r="J108" s="357">
        <f>[2]transit_general!H108</f>
        <v>0</v>
      </c>
      <c r="K108" s="261">
        <f>[2]transit_general!I108</f>
        <v>0</v>
      </c>
      <c r="L108" s="261">
        <f>[2]transit_general!J108</f>
        <v>0</v>
      </c>
      <c r="M108" s="261">
        <f>[2]transit_general!K108</f>
        <v>0</v>
      </c>
      <c r="N108" s="261">
        <f>[2]transit_general!L108</f>
        <v>0</v>
      </c>
      <c r="O108" s="261">
        <f>[2]transit_general!M108</f>
        <v>0</v>
      </c>
      <c r="Q108" s="5"/>
      <c r="R108" s="5" t="str">
        <f>md[[#This Row],[route]]&amp;"-"&amp;md[[#This Row],[mode_transit_route_id]]</f>
        <v>929-29</v>
      </c>
      <c r="S108" s="5">
        <f>Table_socioeca8.sandag.org_abm2_trb[[#This Row],[route]]</f>
        <v>929</v>
      </c>
      <c r="T108" s="2">
        <f>Table_socioeca8.sandag.org_abm2_trb[[#This Row],[mode_transit_route_id]]</f>
        <v>29</v>
      </c>
      <c r="U108" s="344">
        <f>Table_socioeca8.sandag.org_abm2_trb[[#This Row],[boarding_EA]]</f>
        <v>0</v>
      </c>
      <c r="V108" s="344">
        <f>Table_socioeca8.sandag.org_abm2_trb[[#This Row],[boarding_AM]]</f>
        <v>0</v>
      </c>
      <c r="W108" s="344">
        <f>Table_socioeca8.sandag.org_abm2_trb[[#This Row],[boarding_MD]]</f>
        <v>0</v>
      </c>
      <c r="X108" s="344">
        <f>Table_socioeca8.sandag.org_abm2_trb[[#This Row],[boarding_PM]]</f>
        <v>0</v>
      </c>
      <c r="Y108" s="344">
        <f>Table_socioeca8.sandag.org_abm2_trb[[#This Row],[boarding_EV]]</f>
        <v>0</v>
      </c>
      <c r="Z108" s="3">
        <f>Table_socioeca8.sandag.org_abm2_trb[[#This Row],[passenger_mile_EA]]</f>
        <v>0</v>
      </c>
      <c r="AA108" s="3">
        <f>Table_socioeca8.sandag.org_abm2_trb[[#This Row],[passenger_mile_AM]]</f>
        <v>0</v>
      </c>
      <c r="AB108" s="3">
        <f>Table_socioeca8.sandag.org_abm2_trb[[#This Row],[passenger_mile_MD]]</f>
        <v>0</v>
      </c>
      <c r="AC108" s="3">
        <f>Table_socioeca8.sandag.org_abm2_trb[[#This Row],[passenger_mile_PM]]</f>
        <v>0</v>
      </c>
      <c r="AD108" s="3">
        <f>Table_socioeca8.sandag.org_abm2_trb[[#This Row],[passenger_mile_EV]]</f>
        <v>0</v>
      </c>
      <c r="AE108" s="5">
        <f>Table_socioeca8.sandag.org_abm2_trb[[#This Row],[mode_transit_route_id]]</f>
        <v>29</v>
      </c>
      <c r="AF108"/>
      <c r="AG108"/>
    </row>
    <row r="109" spans="4:33" x14ac:dyDescent="0.3">
      <c r="D109" s="47">
        <f>[2]transit_general!B109</f>
        <v>932</v>
      </c>
      <c r="E109" s="261">
        <f>[2]transit_general!C109</f>
        <v>29</v>
      </c>
      <c r="F109" s="357">
        <f>[2]transit_general!D109</f>
        <v>0</v>
      </c>
      <c r="G109" s="357">
        <f>[2]transit_general!E109</f>
        <v>0</v>
      </c>
      <c r="H109" s="357">
        <f>[2]transit_general!F109</f>
        <v>0</v>
      </c>
      <c r="I109" s="357">
        <f>[2]transit_general!G109</f>
        <v>0</v>
      </c>
      <c r="J109" s="357">
        <f>[2]transit_general!H109</f>
        <v>0</v>
      </c>
      <c r="K109" s="261">
        <f>[2]transit_general!I109</f>
        <v>0</v>
      </c>
      <c r="L109" s="261">
        <f>[2]transit_general!J109</f>
        <v>0</v>
      </c>
      <c r="M109" s="261">
        <f>[2]transit_general!K109</f>
        <v>0</v>
      </c>
      <c r="N109" s="261">
        <f>[2]transit_general!L109</f>
        <v>0</v>
      </c>
      <c r="O109" s="261">
        <f>[2]transit_general!M109</f>
        <v>0</v>
      </c>
      <c r="Q109" s="5"/>
      <c r="R109" s="5" t="str">
        <f>md[[#This Row],[route]]&amp;"-"&amp;md[[#This Row],[mode_transit_route_id]]</f>
        <v>932-29</v>
      </c>
      <c r="S109" s="5">
        <f>Table_socioeca8.sandag.org_abm2_trb[[#This Row],[route]]</f>
        <v>932</v>
      </c>
      <c r="T109" s="2">
        <f>Table_socioeca8.sandag.org_abm2_trb[[#This Row],[mode_transit_route_id]]</f>
        <v>29</v>
      </c>
      <c r="U109" s="344">
        <f>Table_socioeca8.sandag.org_abm2_trb[[#This Row],[boarding_EA]]</f>
        <v>0</v>
      </c>
      <c r="V109" s="344">
        <f>Table_socioeca8.sandag.org_abm2_trb[[#This Row],[boarding_AM]]</f>
        <v>0</v>
      </c>
      <c r="W109" s="344">
        <f>Table_socioeca8.sandag.org_abm2_trb[[#This Row],[boarding_MD]]</f>
        <v>0</v>
      </c>
      <c r="X109" s="344">
        <f>Table_socioeca8.sandag.org_abm2_trb[[#This Row],[boarding_PM]]</f>
        <v>0</v>
      </c>
      <c r="Y109" s="344">
        <f>Table_socioeca8.sandag.org_abm2_trb[[#This Row],[boarding_EV]]</f>
        <v>0</v>
      </c>
      <c r="Z109" s="3">
        <f>Table_socioeca8.sandag.org_abm2_trb[[#This Row],[passenger_mile_EA]]</f>
        <v>0</v>
      </c>
      <c r="AA109" s="3">
        <f>Table_socioeca8.sandag.org_abm2_trb[[#This Row],[passenger_mile_AM]]</f>
        <v>0</v>
      </c>
      <c r="AB109" s="3">
        <f>Table_socioeca8.sandag.org_abm2_trb[[#This Row],[passenger_mile_MD]]</f>
        <v>0</v>
      </c>
      <c r="AC109" s="3">
        <f>Table_socioeca8.sandag.org_abm2_trb[[#This Row],[passenger_mile_PM]]</f>
        <v>0</v>
      </c>
      <c r="AD109" s="3">
        <f>Table_socioeca8.sandag.org_abm2_trb[[#This Row],[passenger_mile_EV]]</f>
        <v>0</v>
      </c>
      <c r="AE109" s="5">
        <f>Table_socioeca8.sandag.org_abm2_trb[[#This Row],[mode_transit_route_id]]</f>
        <v>29</v>
      </c>
      <c r="AF109"/>
      <c r="AG109"/>
    </row>
    <row r="110" spans="4:33" x14ac:dyDescent="0.3">
      <c r="D110" s="47">
        <f>[2]transit_general!B110</f>
        <v>933</v>
      </c>
      <c r="E110" s="261">
        <f>[2]transit_general!C110</f>
        <v>29</v>
      </c>
      <c r="F110" s="357">
        <f>[2]transit_general!D110</f>
        <v>0</v>
      </c>
      <c r="G110" s="357">
        <f>[2]transit_general!E110</f>
        <v>0</v>
      </c>
      <c r="H110" s="357">
        <f>[2]transit_general!F110</f>
        <v>0</v>
      </c>
      <c r="I110" s="357">
        <f>[2]transit_general!G110</f>
        <v>0</v>
      </c>
      <c r="J110" s="357">
        <f>[2]transit_general!H110</f>
        <v>0</v>
      </c>
      <c r="K110" s="261">
        <f>[2]transit_general!I110</f>
        <v>0</v>
      </c>
      <c r="L110" s="261">
        <f>[2]transit_general!J110</f>
        <v>0</v>
      </c>
      <c r="M110" s="261">
        <f>[2]transit_general!K110</f>
        <v>0</v>
      </c>
      <c r="N110" s="261">
        <f>[2]transit_general!L110</f>
        <v>0</v>
      </c>
      <c r="O110" s="261">
        <f>[2]transit_general!M110</f>
        <v>0</v>
      </c>
      <c r="Q110" s="5"/>
      <c r="R110" s="5" t="str">
        <f>md[[#This Row],[route]]&amp;"-"&amp;md[[#This Row],[mode_transit_route_id]]</f>
        <v>933-29</v>
      </c>
      <c r="S110" s="5">
        <f>Table_socioeca8.sandag.org_abm2_trb[[#This Row],[route]]</f>
        <v>933</v>
      </c>
      <c r="T110" s="2">
        <f>Table_socioeca8.sandag.org_abm2_trb[[#This Row],[mode_transit_route_id]]</f>
        <v>29</v>
      </c>
      <c r="U110" s="344">
        <f>Table_socioeca8.sandag.org_abm2_trb[[#This Row],[boarding_EA]]</f>
        <v>0</v>
      </c>
      <c r="V110" s="344">
        <f>Table_socioeca8.sandag.org_abm2_trb[[#This Row],[boarding_AM]]</f>
        <v>0</v>
      </c>
      <c r="W110" s="344">
        <f>Table_socioeca8.sandag.org_abm2_trb[[#This Row],[boarding_MD]]</f>
        <v>0</v>
      </c>
      <c r="X110" s="344">
        <f>Table_socioeca8.sandag.org_abm2_trb[[#This Row],[boarding_PM]]</f>
        <v>0</v>
      </c>
      <c r="Y110" s="344">
        <f>Table_socioeca8.sandag.org_abm2_trb[[#This Row],[boarding_EV]]</f>
        <v>0</v>
      </c>
      <c r="Z110" s="3">
        <f>Table_socioeca8.sandag.org_abm2_trb[[#This Row],[passenger_mile_EA]]</f>
        <v>0</v>
      </c>
      <c r="AA110" s="3">
        <f>Table_socioeca8.sandag.org_abm2_trb[[#This Row],[passenger_mile_AM]]</f>
        <v>0</v>
      </c>
      <c r="AB110" s="3">
        <f>Table_socioeca8.sandag.org_abm2_trb[[#This Row],[passenger_mile_MD]]</f>
        <v>0</v>
      </c>
      <c r="AC110" s="3">
        <f>Table_socioeca8.sandag.org_abm2_trb[[#This Row],[passenger_mile_PM]]</f>
        <v>0</v>
      </c>
      <c r="AD110" s="3">
        <f>Table_socioeca8.sandag.org_abm2_trb[[#This Row],[passenger_mile_EV]]</f>
        <v>0</v>
      </c>
      <c r="AE110" s="5">
        <f>Table_socioeca8.sandag.org_abm2_trb[[#This Row],[mode_transit_route_id]]</f>
        <v>29</v>
      </c>
      <c r="AF110"/>
      <c r="AG110"/>
    </row>
    <row r="111" spans="4:33" x14ac:dyDescent="0.3">
      <c r="D111" s="47">
        <f>[2]transit_general!B111</f>
        <v>934</v>
      </c>
      <c r="E111" s="261">
        <f>[2]transit_general!C111</f>
        <v>29</v>
      </c>
      <c r="F111" s="357">
        <f>[2]transit_general!D111</f>
        <v>0</v>
      </c>
      <c r="G111" s="357">
        <f>[2]transit_general!E111</f>
        <v>0</v>
      </c>
      <c r="H111" s="357">
        <f>[2]transit_general!F111</f>
        <v>0</v>
      </c>
      <c r="I111" s="357">
        <f>[2]transit_general!G111</f>
        <v>0</v>
      </c>
      <c r="J111" s="357">
        <f>[2]transit_general!H111</f>
        <v>0</v>
      </c>
      <c r="K111" s="261">
        <f>[2]transit_general!I111</f>
        <v>0</v>
      </c>
      <c r="L111" s="261">
        <f>[2]transit_general!J111</f>
        <v>0</v>
      </c>
      <c r="M111" s="261">
        <f>[2]transit_general!K111</f>
        <v>0</v>
      </c>
      <c r="N111" s="261">
        <f>[2]transit_general!L111</f>
        <v>0</v>
      </c>
      <c r="O111" s="261">
        <f>[2]transit_general!M111</f>
        <v>0</v>
      </c>
      <c r="Q111" s="5"/>
      <c r="R111" s="5" t="str">
        <f>md[[#This Row],[route]]&amp;"-"&amp;md[[#This Row],[mode_transit_route_id]]</f>
        <v>934-29</v>
      </c>
      <c r="S111" s="5">
        <f>Table_socioeca8.sandag.org_abm2_trb[[#This Row],[route]]</f>
        <v>934</v>
      </c>
      <c r="T111" s="2">
        <f>Table_socioeca8.sandag.org_abm2_trb[[#This Row],[mode_transit_route_id]]</f>
        <v>29</v>
      </c>
      <c r="U111" s="344">
        <f>Table_socioeca8.sandag.org_abm2_trb[[#This Row],[boarding_EA]]</f>
        <v>0</v>
      </c>
      <c r="V111" s="344">
        <f>Table_socioeca8.sandag.org_abm2_trb[[#This Row],[boarding_AM]]</f>
        <v>0</v>
      </c>
      <c r="W111" s="344">
        <f>Table_socioeca8.sandag.org_abm2_trb[[#This Row],[boarding_MD]]</f>
        <v>0</v>
      </c>
      <c r="X111" s="344">
        <f>Table_socioeca8.sandag.org_abm2_trb[[#This Row],[boarding_PM]]</f>
        <v>0</v>
      </c>
      <c r="Y111" s="344">
        <f>Table_socioeca8.sandag.org_abm2_trb[[#This Row],[boarding_EV]]</f>
        <v>0</v>
      </c>
      <c r="Z111" s="3">
        <f>Table_socioeca8.sandag.org_abm2_trb[[#This Row],[passenger_mile_EA]]</f>
        <v>0</v>
      </c>
      <c r="AA111" s="3">
        <f>Table_socioeca8.sandag.org_abm2_trb[[#This Row],[passenger_mile_AM]]</f>
        <v>0</v>
      </c>
      <c r="AB111" s="3">
        <f>Table_socioeca8.sandag.org_abm2_trb[[#This Row],[passenger_mile_MD]]</f>
        <v>0</v>
      </c>
      <c r="AC111" s="3">
        <f>Table_socioeca8.sandag.org_abm2_trb[[#This Row],[passenger_mile_PM]]</f>
        <v>0</v>
      </c>
      <c r="AD111" s="3">
        <f>Table_socioeca8.sandag.org_abm2_trb[[#This Row],[passenger_mile_EV]]</f>
        <v>0</v>
      </c>
      <c r="AE111" s="5">
        <f>Table_socioeca8.sandag.org_abm2_trb[[#This Row],[mode_transit_route_id]]</f>
        <v>29</v>
      </c>
      <c r="AF111"/>
      <c r="AG111"/>
    </row>
    <row r="112" spans="4:33" x14ac:dyDescent="0.3">
      <c r="D112" s="47">
        <f>[2]transit_general!B112</f>
        <v>936</v>
      </c>
      <c r="E112" s="261">
        <f>[2]transit_general!C112</f>
        <v>29</v>
      </c>
      <c r="F112" s="357">
        <f>[2]transit_general!D112</f>
        <v>0</v>
      </c>
      <c r="G112" s="357">
        <f>[2]transit_general!E112</f>
        <v>0</v>
      </c>
      <c r="H112" s="357">
        <f>[2]transit_general!F112</f>
        <v>0</v>
      </c>
      <c r="I112" s="357">
        <f>[2]transit_general!G112</f>
        <v>0</v>
      </c>
      <c r="J112" s="357">
        <f>[2]transit_general!H112</f>
        <v>0</v>
      </c>
      <c r="K112" s="261">
        <f>[2]transit_general!I112</f>
        <v>0</v>
      </c>
      <c r="L112" s="261">
        <f>[2]transit_general!J112</f>
        <v>0</v>
      </c>
      <c r="M112" s="261">
        <f>[2]transit_general!K112</f>
        <v>0</v>
      </c>
      <c r="N112" s="261">
        <f>[2]transit_general!L112</f>
        <v>0</v>
      </c>
      <c r="O112" s="261">
        <f>[2]transit_general!M112</f>
        <v>0</v>
      </c>
      <c r="Q112" s="5"/>
      <c r="R112" s="5" t="str">
        <f>md[[#This Row],[route]]&amp;"-"&amp;md[[#This Row],[mode_transit_route_id]]</f>
        <v>936-29</v>
      </c>
      <c r="S112" s="5">
        <f>Table_socioeca8.sandag.org_abm2_trb[[#This Row],[route]]</f>
        <v>936</v>
      </c>
      <c r="T112" s="2">
        <f>Table_socioeca8.sandag.org_abm2_trb[[#This Row],[mode_transit_route_id]]</f>
        <v>29</v>
      </c>
      <c r="U112" s="344">
        <f>Table_socioeca8.sandag.org_abm2_trb[[#This Row],[boarding_EA]]</f>
        <v>0</v>
      </c>
      <c r="V112" s="344">
        <f>Table_socioeca8.sandag.org_abm2_trb[[#This Row],[boarding_AM]]</f>
        <v>0</v>
      </c>
      <c r="W112" s="344">
        <f>Table_socioeca8.sandag.org_abm2_trb[[#This Row],[boarding_MD]]</f>
        <v>0</v>
      </c>
      <c r="X112" s="344">
        <f>Table_socioeca8.sandag.org_abm2_trb[[#This Row],[boarding_PM]]</f>
        <v>0</v>
      </c>
      <c r="Y112" s="344">
        <f>Table_socioeca8.sandag.org_abm2_trb[[#This Row],[boarding_EV]]</f>
        <v>0</v>
      </c>
      <c r="Z112" s="3">
        <f>Table_socioeca8.sandag.org_abm2_trb[[#This Row],[passenger_mile_EA]]</f>
        <v>0</v>
      </c>
      <c r="AA112" s="3">
        <f>Table_socioeca8.sandag.org_abm2_trb[[#This Row],[passenger_mile_AM]]</f>
        <v>0</v>
      </c>
      <c r="AB112" s="3">
        <f>Table_socioeca8.sandag.org_abm2_trb[[#This Row],[passenger_mile_MD]]</f>
        <v>0</v>
      </c>
      <c r="AC112" s="3">
        <f>Table_socioeca8.sandag.org_abm2_trb[[#This Row],[passenger_mile_PM]]</f>
        <v>0</v>
      </c>
      <c r="AD112" s="3">
        <f>Table_socioeca8.sandag.org_abm2_trb[[#This Row],[passenger_mile_EV]]</f>
        <v>0</v>
      </c>
      <c r="AE112" s="5">
        <f>Table_socioeca8.sandag.org_abm2_trb[[#This Row],[mode_transit_route_id]]</f>
        <v>29</v>
      </c>
      <c r="AF112"/>
      <c r="AG112"/>
    </row>
    <row r="113" spans="4:33" x14ac:dyDescent="0.3">
      <c r="D113" s="47">
        <f>[2]transit_general!B113</f>
        <v>944</v>
      </c>
      <c r="E113" s="261">
        <f>[2]transit_general!C113</f>
        <v>29</v>
      </c>
      <c r="F113" s="357">
        <f>[2]transit_general!D113</f>
        <v>0</v>
      </c>
      <c r="G113" s="357">
        <f>[2]transit_general!E113</f>
        <v>0</v>
      </c>
      <c r="H113" s="357">
        <f>[2]transit_general!F113</f>
        <v>0</v>
      </c>
      <c r="I113" s="357">
        <f>[2]transit_general!G113</f>
        <v>0</v>
      </c>
      <c r="J113" s="357">
        <f>[2]transit_general!H113</f>
        <v>0</v>
      </c>
      <c r="K113" s="261">
        <f>[2]transit_general!I113</f>
        <v>0</v>
      </c>
      <c r="L113" s="261">
        <f>[2]transit_general!J113</f>
        <v>0</v>
      </c>
      <c r="M113" s="261">
        <f>[2]transit_general!K113</f>
        <v>0</v>
      </c>
      <c r="N113" s="261">
        <f>[2]transit_general!L113</f>
        <v>0</v>
      </c>
      <c r="O113" s="261">
        <f>[2]transit_general!M113</f>
        <v>0</v>
      </c>
      <c r="Q113" s="5"/>
      <c r="R113" s="5" t="str">
        <f>md[[#This Row],[route]]&amp;"-"&amp;md[[#This Row],[mode_transit_route_id]]</f>
        <v>944-29</v>
      </c>
      <c r="S113" s="5">
        <f>Table_socioeca8.sandag.org_abm2_trb[[#This Row],[route]]</f>
        <v>944</v>
      </c>
      <c r="T113" s="2">
        <f>Table_socioeca8.sandag.org_abm2_trb[[#This Row],[mode_transit_route_id]]</f>
        <v>29</v>
      </c>
      <c r="U113" s="344">
        <f>Table_socioeca8.sandag.org_abm2_trb[[#This Row],[boarding_EA]]</f>
        <v>0</v>
      </c>
      <c r="V113" s="344">
        <f>Table_socioeca8.sandag.org_abm2_trb[[#This Row],[boarding_AM]]</f>
        <v>0</v>
      </c>
      <c r="W113" s="344">
        <f>Table_socioeca8.sandag.org_abm2_trb[[#This Row],[boarding_MD]]</f>
        <v>0</v>
      </c>
      <c r="X113" s="344">
        <f>Table_socioeca8.sandag.org_abm2_trb[[#This Row],[boarding_PM]]</f>
        <v>0</v>
      </c>
      <c r="Y113" s="344">
        <f>Table_socioeca8.sandag.org_abm2_trb[[#This Row],[boarding_EV]]</f>
        <v>0</v>
      </c>
      <c r="Z113" s="3">
        <f>Table_socioeca8.sandag.org_abm2_trb[[#This Row],[passenger_mile_EA]]</f>
        <v>0</v>
      </c>
      <c r="AA113" s="3">
        <f>Table_socioeca8.sandag.org_abm2_trb[[#This Row],[passenger_mile_AM]]</f>
        <v>0</v>
      </c>
      <c r="AB113" s="3">
        <f>Table_socioeca8.sandag.org_abm2_trb[[#This Row],[passenger_mile_MD]]</f>
        <v>0</v>
      </c>
      <c r="AC113" s="3">
        <f>Table_socioeca8.sandag.org_abm2_trb[[#This Row],[passenger_mile_PM]]</f>
        <v>0</v>
      </c>
      <c r="AD113" s="3">
        <f>Table_socioeca8.sandag.org_abm2_trb[[#This Row],[passenger_mile_EV]]</f>
        <v>0</v>
      </c>
      <c r="AE113" s="5">
        <f>Table_socioeca8.sandag.org_abm2_trb[[#This Row],[mode_transit_route_id]]</f>
        <v>29</v>
      </c>
      <c r="AF113"/>
      <c r="AG113"/>
    </row>
    <row r="114" spans="4:33" x14ac:dyDescent="0.3">
      <c r="D114" s="47">
        <f>[2]transit_general!B114</f>
        <v>945</v>
      </c>
      <c r="E114" s="261">
        <f>[2]transit_general!C114</f>
        <v>29</v>
      </c>
      <c r="F114" s="357">
        <f>[2]transit_general!D114</f>
        <v>0</v>
      </c>
      <c r="G114" s="357">
        <f>[2]transit_general!E114</f>
        <v>0</v>
      </c>
      <c r="H114" s="357">
        <f>[2]transit_general!F114</f>
        <v>0</v>
      </c>
      <c r="I114" s="357">
        <f>[2]transit_general!G114</f>
        <v>0</v>
      </c>
      <c r="J114" s="357">
        <f>[2]transit_general!H114</f>
        <v>0</v>
      </c>
      <c r="K114" s="261">
        <f>[2]transit_general!I114</f>
        <v>0</v>
      </c>
      <c r="L114" s="261">
        <f>[2]transit_general!J114</f>
        <v>0</v>
      </c>
      <c r="M114" s="261">
        <f>[2]transit_general!K114</f>
        <v>0</v>
      </c>
      <c r="N114" s="261">
        <f>[2]transit_general!L114</f>
        <v>0</v>
      </c>
      <c r="O114" s="261">
        <f>[2]transit_general!M114</f>
        <v>0</v>
      </c>
      <c r="Q114" s="5"/>
      <c r="R114" s="5" t="str">
        <f>md[[#This Row],[route]]&amp;"-"&amp;md[[#This Row],[mode_transit_route_id]]</f>
        <v>945-29</v>
      </c>
      <c r="S114" s="5">
        <f>Table_socioeca8.sandag.org_abm2_trb[[#This Row],[route]]</f>
        <v>945</v>
      </c>
      <c r="T114" s="2">
        <f>Table_socioeca8.sandag.org_abm2_trb[[#This Row],[mode_transit_route_id]]</f>
        <v>29</v>
      </c>
      <c r="U114" s="344">
        <f>Table_socioeca8.sandag.org_abm2_trb[[#This Row],[boarding_EA]]</f>
        <v>0</v>
      </c>
      <c r="V114" s="344">
        <f>Table_socioeca8.sandag.org_abm2_trb[[#This Row],[boarding_AM]]</f>
        <v>0</v>
      </c>
      <c r="W114" s="344">
        <f>Table_socioeca8.sandag.org_abm2_trb[[#This Row],[boarding_MD]]</f>
        <v>0</v>
      </c>
      <c r="X114" s="344">
        <f>Table_socioeca8.sandag.org_abm2_trb[[#This Row],[boarding_PM]]</f>
        <v>0</v>
      </c>
      <c r="Y114" s="344">
        <f>Table_socioeca8.sandag.org_abm2_trb[[#This Row],[boarding_EV]]</f>
        <v>0</v>
      </c>
      <c r="Z114" s="3">
        <f>Table_socioeca8.sandag.org_abm2_trb[[#This Row],[passenger_mile_EA]]</f>
        <v>0</v>
      </c>
      <c r="AA114" s="3">
        <f>Table_socioeca8.sandag.org_abm2_trb[[#This Row],[passenger_mile_AM]]</f>
        <v>0</v>
      </c>
      <c r="AB114" s="3">
        <f>Table_socioeca8.sandag.org_abm2_trb[[#This Row],[passenger_mile_MD]]</f>
        <v>0</v>
      </c>
      <c r="AC114" s="3">
        <f>Table_socioeca8.sandag.org_abm2_trb[[#This Row],[passenger_mile_PM]]</f>
        <v>0</v>
      </c>
      <c r="AD114" s="3">
        <f>Table_socioeca8.sandag.org_abm2_trb[[#This Row],[passenger_mile_EV]]</f>
        <v>0</v>
      </c>
      <c r="AE114" s="5">
        <f>Table_socioeca8.sandag.org_abm2_trb[[#This Row],[mode_transit_route_id]]</f>
        <v>29</v>
      </c>
      <c r="AF114"/>
      <c r="AG114"/>
    </row>
    <row r="115" spans="4:33" x14ac:dyDescent="0.3">
      <c r="D115" s="47">
        <f>[2]transit_general!B115</f>
        <v>950</v>
      </c>
      <c r="E115" s="261">
        <f>[2]transit_general!C115</f>
        <v>28</v>
      </c>
      <c r="F115" s="357">
        <f>[2]transit_general!D115</f>
        <v>0</v>
      </c>
      <c r="G115" s="357">
        <f>[2]transit_general!E115</f>
        <v>0</v>
      </c>
      <c r="H115" s="357">
        <f>[2]transit_general!F115</f>
        <v>0</v>
      </c>
      <c r="I115" s="357">
        <f>[2]transit_general!G115</f>
        <v>0</v>
      </c>
      <c r="J115" s="357">
        <f>[2]transit_general!H115</f>
        <v>0</v>
      </c>
      <c r="K115" s="261">
        <f>[2]transit_general!I115</f>
        <v>0</v>
      </c>
      <c r="L115" s="261">
        <f>[2]transit_general!J115</f>
        <v>0</v>
      </c>
      <c r="M115" s="261">
        <f>[2]transit_general!K115</f>
        <v>0</v>
      </c>
      <c r="N115" s="261">
        <f>[2]transit_general!L115</f>
        <v>0</v>
      </c>
      <c r="O115" s="261">
        <f>[2]transit_general!M115</f>
        <v>0</v>
      </c>
      <c r="Q115" s="5"/>
      <c r="R115" s="5" t="str">
        <f>md[[#This Row],[route]]&amp;"-"&amp;md[[#This Row],[mode_transit_route_id]]</f>
        <v>950-28</v>
      </c>
      <c r="S115" s="5">
        <f>Table_socioeca8.sandag.org_abm2_trb[[#This Row],[route]]</f>
        <v>950</v>
      </c>
      <c r="T115" s="2">
        <f>Table_socioeca8.sandag.org_abm2_trb[[#This Row],[mode_transit_route_id]]</f>
        <v>28</v>
      </c>
      <c r="U115" s="344">
        <f>Table_socioeca8.sandag.org_abm2_trb[[#This Row],[boarding_EA]]</f>
        <v>0</v>
      </c>
      <c r="V115" s="344">
        <f>Table_socioeca8.sandag.org_abm2_trb[[#This Row],[boarding_AM]]</f>
        <v>0</v>
      </c>
      <c r="W115" s="344">
        <f>Table_socioeca8.sandag.org_abm2_trb[[#This Row],[boarding_MD]]</f>
        <v>0</v>
      </c>
      <c r="X115" s="344">
        <f>Table_socioeca8.sandag.org_abm2_trb[[#This Row],[boarding_PM]]</f>
        <v>0</v>
      </c>
      <c r="Y115" s="344">
        <f>Table_socioeca8.sandag.org_abm2_trb[[#This Row],[boarding_EV]]</f>
        <v>0</v>
      </c>
      <c r="Z115" s="3">
        <f>Table_socioeca8.sandag.org_abm2_trb[[#This Row],[passenger_mile_EA]]</f>
        <v>0</v>
      </c>
      <c r="AA115" s="3">
        <f>Table_socioeca8.sandag.org_abm2_trb[[#This Row],[passenger_mile_AM]]</f>
        <v>0</v>
      </c>
      <c r="AB115" s="3">
        <f>Table_socioeca8.sandag.org_abm2_trb[[#This Row],[passenger_mile_MD]]</f>
        <v>0</v>
      </c>
      <c r="AC115" s="3">
        <f>Table_socioeca8.sandag.org_abm2_trb[[#This Row],[passenger_mile_PM]]</f>
        <v>0</v>
      </c>
      <c r="AD115" s="3">
        <f>Table_socioeca8.sandag.org_abm2_trb[[#This Row],[passenger_mile_EV]]</f>
        <v>0</v>
      </c>
      <c r="AE115" s="5">
        <f>Table_socioeca8.sandag.org_abm2_trb[[#This Row],[mode_transit_route_id]]</f>
        <v>28</v>
      </c>
      <c r="AF115"/>
      <c r="AG115"/>
    </row>
    <row r="116" spans="4:33" x14ac:dyDescent="0.3">
      <c r="D116" s="47">
        <f>[2]transit_general!B116</f>
        <v>955</v>
      </c>
      <c r="E116" s="261">
        <f>[2]transit_general!C116</f>
        <v>29</v>
      </c>
      <c r="F116" s="357">
        <f>[2]transit_general!D116</f>
        <v>0</v>
      </c>
      <c r="G116" s="357">
        <f>[2]transit_general!E116</f>
        <v>0</v>
      </c>
      <c r="H116" s="357">
        <f>[2]transit_general!F116</f>
        <v>0</v>
      </c>
      <c r="I116" s="357">
        <f>[2]transit_general!G116</f>
        <v>0</v>
      </c>
      <c r="J116" s="357">
        <f>[2]transit_general!H116</f>
        <v>0</v>
      </c>
      <c r="K116" s="261">
        <f>[2]transit_general!I116</f>
        <v>0</v>
      </c>
      <c r="L116" s="261">
        <f>[2]transit_general!J116</f>
        <v>0</v>
      </c>
      <c r="M116" s="261">
        <f>[2]transit_general!K116</f>
        <v>0</v>
      </c>
      <c r="N116" s="261">
        <f>[2]transit_general!L116</f>
        <v>0</v>
      </c>
      <c r="O116" s="261">
        <f>[2]transit_general!M116</f>
        <v>0</v>
      </c>
      <c r="Q116" s="5"/>
      <c r="R116" s="5" t="str">
        <f>md[[#This Row],[route]]&amp;"-"&amp;md[[#This Row],[mode_transit_route_id]]</f>
        <v>955-29</v>
      </c>
      <c r="S116" s="5">
        <f>Table_socioeca8.sandag.org_abm2_trb[[#This Row],[route]]</f>
        <v>955</v>
      </c>
      <c r="T116" s="2">
        <f>Table_socioeca8.sandag.org_abm2_trb[[#This Row],[mode_transit_route_id]]</f>
        <v>29</v>
      </c>
      <c r="U116" s="344">
        <f>Table_socioeca8.sandag.org_abm2_trb[[#This Row],[boarding_EA]]</f>
        <v>0</v>
      </c>
      <c r="V116" s="344">
        <f>Table_socioeca8.sandag.org_abm2_trb[[#This Row],[boarding_AM]]</f>
        <v>0</v>
      </c>
      <c r="W116" s="344">
        <f>Table_socioeca8.sandag.org_abm2_trb[[#This Row],[boarding_MD]]</f>
        <v>0</v>
      </c>
      <c r="X116" s="344">
        <f>Table_socioeca8.sandag.org_abm2_trb[[#This Row],[boarding_PM]]</f>
        <v>0</v>
      </c>
      <c r="Y116" s="344">
        <f>Table_socioeca8.sandag.org_abm2_trb[[#This Row],[boarding_EV]]</f>
        <v>0</v>
      </c>
      <c r="Z116" s="3">
        <f>Table_socioeca8.sandag.org_abm2_trb[[#This Row],[passenger_mile_EA]]</f>
        <v>0</v>
      </c>
      <c r="AA116" s="3">
        <f>Table_socioeca8.sandag.org_abm2_trb[[#This Row],[passenger_mile_AM]]</f>
        <v>0</v>
      </c>
      <c r="AB116" s="3">
        <f>Table_socioeca8.sandag.org_abm2_trb[[#This Row],[passenger_mile_MD]]</f>
        <v>0</v>
      </c>
      <c r="AC116" s="3">
        <f>Table_socioeca8.sandag.org_abm2_trb[[#This Row],[passenger_mile_PM]]</f>
        <v>0</v>
      </c>
      <c r="AD116" s="3">
        <f>Table_socioeca8.sandag.org_abm2_trb[[#This Row],[passenger_mile_EV]]</f>
        <v>0</v>
      </c>
      <c r="AE116" s="5">
        <f>Table_socioeca8.sandag.org_abm2_trb[[#This Row],[mode_transit_route_id]]</f>
        <v>29</v>
      </c>
      <c r="AF116"/>
      <c r="AG116"/>
    </row>
    <row r="117" spans="4:33" x14ac:dyDescent="0.3">
      <c r="D117" s="47">
        <f>[2]transit_general!B117</f>
        <v>961</v>
      </c>
      <c r="E117" s="261">
        <f>[2]transit_general!C117</f>
        <v>29</v>
      </c>
      <c r="F117" s="357">
        <f>[2]transit_general!D117</f>
        <v>0</v>
      </c>
      <c r="G117" s="357">
        <f>[2]transit_general!E117</f>
        <v>0</v>
      </c>
      <c r="H117" s="357">
        <f>[2]transit_general!F117</f>
        <v>0</v>
      </c>
      <c r="I117" s="357">
        <f>[2]transit_general!G117</f>
        <v>0</v>
      </c>
      <c r="J117" s="357">
        <f>[2]transit_general!H117</f>
        <v>0</v>
      </c>
      <c r="K117" s="261">
        <f>[2]transit_general!I117</f>
        <v>0</v>
      </c>
      <c r="L117" s="261">
        <f>[2]transit_general!J117</f>
        <v>0</v>
      </c>
      <c r="M117" s="261">
        <f>[2]transit_general!K117</f>
        <v>0</v>
      </c>
      <c r="N117" s="261">
        <f>[2]transit_general!L117</f>
        <v>0</v>
      </c>
      <c r="O117" s="261">
        <f>[2]transit_general!M117</f>
        <v>0</v>
      </c>
      <c r="Q117" s="5"/>
      <c r="R117" s="5" t="str">
        <f>md[[#This Row],[route]]&amp;"-"&amp;md[[#This Row],[mode_transit_route_id]]</f>
        <v>961-29</v>
      </c>
      <c r="S117" s="5">
        <f>Table_socioeca8.sandag.org_abm2_trb[[#This Row],[route]]</f>
        <v>961</v>
      </c>
      <c r="T117" s="2">
        <f>Table_socioeca8.sandag.org_abm2_trb[[#This Row],[mode_transit_route_id]]</f>
        <v>29</v>
      </c>
      <c r="U117" s="344">
        <f>Table_socioeca8.sandag.org_abm2_trb[[#This Row],[boarding_EA]]</f>
        <v>0</v>
      </c>
      <c r="V117" s="344">
        <f>Table_socioeca8.sandag.org_abm2_trb[[#This Row],[boarding_AM]]</f>
        <v>0</v>
      </c>
      <c r="W117" s="344">
        <f>Table_socioeca8.sandag.org_abm2_trb[[#This Row],[boarding_MD]]</f>
        <v>0</v>
      </c>
      <c r="X117" s="344">
        <f>Table_socioeca8.sandag.org_abm2_trb[[#This Row],[boarding_PM]]</f>
        <v>0</v>
      </c>
      <c r="Y117" s="344">
        <f>Table_socioeca8.sandag.org_abm2_trb[[#This Row],[boarding_EV]]</f>
        <v>0</v>
      </c>
      <c r="Z117" s="3">
        <f>Table_socioeca8.sandag.org_abm2_trb[[#This Row],[passenger_mile_EA]]</f>
        <v>0</v>
      </c>
      <c r="AA117" s="3">
        <f>Table_socioeca8.sandag.org_abm2_trb[[#This Row],[passenger_mile_AM]]</f>
        <v>0</v>
      </c>
      <c r="AB117" s="3">
        <f>Table_socioeca8.sandag.org_abm2_trb[[#This Row],[passenger_mile_MD]]</f>
        <v>0</v>
      </c>
      <c r="AC117" s="3">
        <f>Table_socioeca8.sandag.org_abm2_trb[[#This Row],[passenger_mile_PM]]</f>
        <v>0</v>
      </c>
      <c r="AD117" s="3">
        <f>Table_socioeca8.sandag.org_abm2_trb[[#This Row],[passenger_mile_EV]]</f>
        <v>0</v>
      </c>
      <c r="AE117" s="5">
        <f>Table_socioeca8.sandag.org_abm2_trb[[#This Row],[mode_transit_route_id]]</f>
        <v>29</v>
      </c>
      <c r="AF117"/>
      <c r="AG117"/>
    </row>
    <row r="118" spans="4:33" x14ac:dyDescent="0.3">
      <c r="D118" s="47">
        <f>[2]transit_general!B118</f>
        <v>962</v>
      </c>
      <c r="E118" s="261">
        <f>[2]transit_general!C118</f>
        <v>29</v>
      </c>
      <c r="F118" s="357">
        <f>[2]transit_general!D118</f>
        <v>0</v>
      </c>
      <c r="G118" s="357">
        <f>[2]transit_general!E118</f>
        <v>0</v>
      </c>
      <c r="H118" s="357">
        <f>[2]transit_general!F118</f>
        <v>0</v>
      </c>
      <c r="I118" s="357">
        <f>[2]transit_general!G118</f>
        <v>0</v>
      </c>
      <c r="J118" s="357">
        <f>[2]transit_general!H118</f>
        <v>0</v>
      </c>
      <c r="K118" s="261">
        <f>[2]transit_general!I118</f>
        <v>0</v>
      </c>
      <c r="L118" s="261">
        <f>[2]transit_general!J118</f>
        <v>0</v>
      </c>
      <c r="M118" s="261">
        <f>[2]transit_general!K118</f>
        <v>0</v>
      </c>
      <c r="N118" s="261">
        <f>[2]transit_general!L118</f>
        <v>0</v>
      </c>
      <c r="O118" s="261">
        <f>[2]transit_general!M118</f>
        <v>0</v>
      </c>
      <c r="Q118" s="5"/>
      <c r="R118" s="5" t="str">
        <f>md[[#This Row],[route]]&amp;"-"&amp;md[[#This Row],[mode_transit_route_id]]</f>
        <v>962-29</v>
      </c>
      <c r="S118" s="5">
        <f>Table_socioeca8.sandag.org_abm2_trb[[#This Row],[route]]</f>
        <v>962</v>
      </c>
      <c r="T118" s="2">
        <f>Table_socioeca8.sandag.org_abm2_trb[[#This Row],[mode_transit_route_id]]</f>
        <v>29</v>
      </c>
      <c r="U118" s="344">
        <f>Table_socioeca8.sandag.org_abm2_trb[[#This Row],[boarding_EA]]</f>
        <v>0</v>
      </c>
      <c r="V118" s="344">
        <f>Table_socioeca8.sandag.org_abm2_trb[[#This Row],[boarding_AM]]</f>
        <v>0</v>
      </c>
      <c r="W118" s="344">
        <f>Table_socioeca8.sandag.org_abm2_trb[[#This Row],[boarding_MD]]</f>
        <v>0</v>
      </c>
      <c r="X118" s="344">
        <f>Table_socioeca8.sandag.org_abm2_trb[[#This Row],[boarding_PM]]</f>
        <v>0</v>
      </c>
      <c r="Y118" s="344">
        <f>Table_socioeca8.sandag.org_abm2_trb[[#This Row],[boarding_EV]]</f>
        <v>0</v>
      </c>
      <c r="Z118" s="3">
        <f>Table_socioeca8.sandag.org_abm2_trb[[#This Row],[passenger_mile_EA]]</f>
        <v>0</v>
      </c>
      <c r="AA118" s="3">
        <f>Table_socioeca8.sandag.org_abm2_trb[[#This Row],[passenger_mile_AM]]</f>
        <v>0</v>
      </c>
      <c r="AB118" s="3">
        <f>Table_socioeca8.sandag.org_abm2_trb[[#This Row],[passenger_mile_MD]]</f>
        <v>0</v>
      </c>
      <c r="AC118" s="3">
        <f>Table_socioeca8.sandag.org_abm2_trb[[#This Row],[passenger_mile_PM]]</f>
        <v>0</v>
      </c>
      <c r="AD118" s="3">
        <f>Table_socioeca8.sandag.org_abm2_trb[[#This Row],[passenger_mile_EV]]</f>
        <v>0</v>
      </c>
      <c r="AE118" s="5">
        <f>Table_socioeca8.sandag.org_abm2_trb[[#This Row],[mode_transit_route_id]]</f>
        <v>29</v>
      </c>
      <c r="AF118"/>
      <c r="AG118"/>
    </row>
    <row r="119" spans="4:33" x14ac:dyDescent="0.3">
      <c r="D119" s="47">
        <f>[2]transit_general!B119</f>
        <v>963</v>
      </c>
      <c r="E119" s="261">
        <f>[2]transit_general!C119</f>
        <v>29</v>
      </c>
      <c r="F119" s="357">
        <f>[2]transit_general!D119</f>
        <v>0</v>
      </c>
      <c r="G119" s="357">
        <f>[2]transit_general!E119</f>
        <v>0</v>
      </c>
      <c r="H119" s="357">
        <f>[2]transit_general!F119</f>
        <v>0</v>
      </c>
      <c r="I119" s="357">
        <f>[2]transit_general!G119</f>
        <v>0</v>
      </c>
      <c r="J119" s="357">
        <f>[2]transit_general!H119</f>
        <v>0</v>
      </c>
      <c r="K119" s="261">
        <f>[2]transit_general!I119</f>
        <v>0</v>
      </c>
      <c r="L119" s="261">
        <f>[2]transit_general!J119</f>
        <v>0</v>
      </c>
      <c r="M119" s="261">
        <f>[2]transit_general!K119</f>
        <v>0</v>
      </c>
      <c r="N119" s="261">
        <f>[2]transit_general!L119</f>
        <v>0</v>
      </c>
      <c r="O119" s="261">
        <f>[2]transit_general!M119</f>
        <v>0</v>
      </c>
      <c r="Q119" s="5"/>
      <c r="R119" s="5" t="str">
        <f>md[[#This Row],[route]]&amp;"-"&amp;md[[#This Row],[mode_transit_route_id]]</f>
        <v>963-29</v>
      </c>
      <c r="S119" s="5">
        <f>Table_socioeca8.sandag.org_abm2_trb[[#This Row],[route]]</f>
        <v>963</v>
      </c>
      <c r="T119" s="2">
        <f>Table_socioeca8.sandag.org_abm2_trb[[#This Row],[mode_transit_route_id]]</f>
        <v>29</v>
      </c>
      <c r="U119" s="344">
        <f>Table_socioeca8.sandag.org_abm2_trb[[#This Row],[boarding_EA]]</f>
        <v>0</v>
      </c>
      <c r="V119" s="344">
        <f>Table_socioeca8.sandag.org_abm2_trb[[#This Row],[boarding_AM]]</f>
        <v>0</v>
      </c>
      <c r="W119" s="344">
        <f>Table_socioeca8.sandag.org_abm2_trb[[#This Row],[boarding_MD]]</f>
        <v>0</v>
      </c>
      <c r="X119" s="344">
        <f>Table_socioeca8.sandag.org_abm2_trb[[#This Row],[boarding_PM]]</f>
        <v>0</v>
      </c>
      <c r="Y119" s="344">
        <f>Table_socioeca8.sandag.org_abm2_trb[[#This Row],[boarding_EV]]</f>
        <v>0</v>
      </c>
      <c r="Z119" s="3">
        <f>Table_socioeca8.sandag.org_abm2_trb[[#This Row],[passenger_mile_EA]]</f>
        <v>0</v>
      </c>
      <c r="AA119" s="3">
        <f>Table_socioeca8.sandag.org_abm2_trb[[#This Row],[passenger_mile_AM]]</f>
        <v>0</v>
      </c>
      <c r="AB119" s="3">
        <f>Table_socioeca8.sandag.org_abm2_trb[[#This Row],[passenger_mile_MD]]</f>
        <v>0</v>
      </c>
      <c r="AC119" s="3">
        <f>Table_socioeca8.sandag.org_abm2_trb[[#This Row],[passenger_mile_PM]]</f>
        <v>0</v>
      </c>
      <c r="AD119" s="3">
        <f>Table_socioeca8.sandag.org_abm2_trb[[#This Row],[passenger_mile_EV]]</f>
        <v>0</v>
      </c>
      <c r="AE119" s="5">
        <f>Table_socioeca8.sandag.org_abm2_trb[[#This Row],[mode_transit_route_id]]</f>
        <v>29</v>
      </c>
      <c r="AF119"/>
      <c r="AG119"/>
    </row>
    <row r="120" spans="4:33" x14ac:dyDescent="0.3">
      <c r="D120" s="47">
        <f>[2]transit_general!B120</f>
        <v>964</v>
      </c>
      <c r="E120" s="261">
        <f>[2]transit_general!C120</f>
        <v>29</v>
      </c>
      <c r="F120" s="357">
        <f>[2]transit_general!D120</f>
        <v>0</v>
      </c>
      <c r="G120" s="357">
        <f>[2]transit_general!E120</f>
        <v>0</v>
      </c>
      <c r="H120" s="357">
        <f>[2]transit_general!F120</f>
        <v>0</v>
      </c>
      <c r="I120" s="357">
        <f>[2]transit_general!G120</f>
        <v>0</v>
      </c>
      <c r="J120" s="357">
        <f>[2]transit_general!H120</f>
        <v>0</v>
      </c>
      <c r="K120" s="261">
        <f>[2]transit_general!I120</f>
        <v>0</v>
      </c>
      <c r="L120" s="261">
        <f>[2]transit_general!J120</f>
        <v>0</v>
      </c>
      <c r="M120" s="261">
        <f>[2]transit_general!K120</f>
        <v>0</v>
      </c>
      <c r="N120" s="261">
        <f>[2]transit_general!L120</f>
        <v>0</v>
      </c>
      <c r="O120" s="261">
        <f>[2]transit_general!M120</f>
        <v>0</v>
      </c>
      <c r="Q120" s="5"/>
      <c r="R120" s="5" t="str">
        <f>md[[#This Row],[route]]&amp;"-"&amp;md[[#This Row],[mode_transit_route_id]]</f>
        <v>964-29</v>
      </c>
      <c r="S120" s="5">
        <f>Table_socioeca8.sandag.org_abm2_trb[[#This Row],[route]]</f>
        <v>964</v>
      </c>
      <c r="T120" s="2">
        <f>Table_socioeca8.sandag.org_abm2_trb[[#This Row],[mode_transit_route_id]]</f>
        <v>29</v>
      </c>
      <c r="U120" s="344">
        <f>Table_socioeca8.sandag.org_abm2_trb[[#This Row],[boarding_EA]]</f>
        <v>0</v>
      </c>
      <c r="V120" s="344">
        <f>Table_socioeca8.sandag.org_abm2_trb[[#This Row],[boarding_AM]]</f>
        <v>0</v>
      </c>
      <c r="W120" s="344">
        <f>Table_socioeca8.sandag.org_abm2_trb[[#This Row],[boarding_MD]]</f>
        <v>0</v>
      </c>
      <c r="X120" s="344">
        <f>Table_socioeca8.sandag.org_abm2_trb[[#This Row],[boarding_PM]]</f>
        <v>0</v>
      </c>
      <c r="Y120" s="344">
        <f>Table_socioeca8.sandag.org_abm2_trb[[#This Row],[boarding_EV]]</f>
        <v>0</v>
      </c>
      <c r="Z120" s="3">
        <f>Table_socioeca8.sandag.org_abm2_trb[[#This Row],[passenger_mile_EA]]</f>
        <v>0</v>
      </c>
      <c r="AA120" s="3">
        <f>Table_socioeca8.sandag.org_abm2_trb[[#This Row],[passenger_mile_AM]]</f>
        <v>0</v>
      </c>
      <c r="AB120" s="3">
        <f>Table_socioeca8.sandag.org_abm2_trb[[#This Row],[passenger_mile_MD]]</f>
        <v>0</v>
      </c>
      <c r="AC120" s="3">
        <f>Table_socioeca8.sandag.org_abm2_trb[[#This Row],[passenger_mile_PM]]</f>
        <v>0</v>
      </c>
      <c r="AD120" s="3">
        <f>Table_socioeca8.sandag.org_abm2_trb[[#This Row],[passenger_mile_EV]]</f>
        <v>0</v>
      </c>
      <c r="AE120" s="5">
        <f>Table_socioeca8.sandag.org_abm2_trb[[#This Row],[mode_transit_route_id]]</f>
        <v>29</v>
      </c>
      <c r="AF120"/>
      <c r="AG120"/>
    </row>
    <row r="121" spans="4:33" x14ac:dyDescent="0.3">
      <c r="D121" s="47">
        <f>[2]transit_general!B121</f>
        <v>965</v>
      </c>
      <c r="E121" s="261">
        <f>[2]transit_general!C121</f>
        <v>29</v>
      </c>
      <c r="F121" s="357">
        <f>[2]transit_general!D121</f>
        <v>0</v>
      </c>
      <c r="G121" s="357">
        <f>[2]transit_general!E121</f>
        <v>0</v>
      </c>
      <c r="H121" s="357">
        <f>[2]transit_general!F121</f>
        <v>0</v>
      </c>
      <c r="I121" s="357">
        <f>[2]transit_general!G121</f>
        <v>0</v>
      </c>
      <c r="J121" s="357">
        <f>[2]transit_general!H121</f>
        <v>0</v>
      </c>
      <c r="K121" s="261">
        <f>[2]transit_general!I121</f>
        <v>0</v>
      </c>
      <c r="L121" s="261">
        <f>[2]transit_general!J121</f>
        <v>0</v>
      </c>
      <c r="M121" s="261">
        <f>[2]transit_general!K121</f>
        <v>0</v>
      </c>
      <c r="N121" s="261">
        <f>[2]transit_general!L121</f>
        <v>0</v>
      </c>
      <c r="O121" s="261">
        <f>[2]transit_general!M121</f>
        <v>0</v>
      </c>
      <c r="Q121" s="5"/>
      <c r="R121" s="5" t="str">
        <f>md[[#This Row],[route]]&amp;"-"&amp;md[[#This Row],[mode_transit_route_id]]</f>
        <v>965-29</v>
      </c>
      <c r="S121" s="5">
        <f>Table_socioeca8.sandag.org_abm2_trb[[#This Row],[route]]</f>
        <v>965</v>
      </c>
      <c r="T121" s="2">
        <f>Table_socioeca8.sandag.org_abm2_trb[[#This Row],[mode_transit_route_id]]</f>
        <v>29</v>
      </c>
      <c r="U121" s="344">
        <f>Table_socioeca8.sandag.org_abm2_trb[[#This Row],[boarding_EA]]</f>
        <v>0</v>
      </c>
      <c r="V121" s="344">
        <f>Table_socioeca8.sandag.org_abm2_trb[[#This Row],[boarding_AM]]</f>
        <v>0</v>
      </c>
      <c r="W121" s="344">
        <f>Table_socioeca8.sandag.org_abm2_trb[[#This Row],[boarding_MD]]</f>
        <v>0</v>
      </c>
      <c r="X121" s="344">
        <f>Table_socioeca8.sandag.org_abm2_trb[[#This Row],[boarding_PM]]</f>
        <v>0</v>
      </c>
      <c r="Y121" s="344">
        <f>Table_socioeca8.sandag.org_abm2_trb[[#This Row],[boarding_EV]]</f>
        <v>0</v>
      </c>
      <c r="Z121" s="3">
        <f>Table_socioeca8.sandag.org_abm2_trb[[#This Row],[passenger_mile_EA]]</f>
        <v>0</v>
      </c>
      <c r="AA121" s="3">
        <f>Table_socioeca8.sandag.org_abm2_trb[[#This Row],[passenger_mile_AM]]</f>
        <v>0</v>
      </c>
      <c r="AB121" s="3">
        <f>Table_socioeca8.sandag.org_abm2_trb[[#This Row],[passenger_mile_MD]]</f>
        <v>0</v>
      </c>
      <c r="AC121" s="3">
        <f>Table_socioeca8.sandag.org_abm2_trb[[#This Row],[passenger_mile_PM]]</f>
        <v>0</v>
      </c>
      <c r="AD121" s="3">
        <f>Table_socioeca8.sandag.org_abm2_trb[[#This Row],[passenger_mile_EV]]</f>
        <v>0</v>
      </c>
      <c r="AE121" s="5">
        <f>Table_socioeca8.sandag.org_abm2_trb[[#This Row],[mode_transit_route_id]]</f>
        <v>29</v>
      </c>
      <c r="AF121"/>
      <c r="AG121"/>
    </row>
    <row r="122" spans="4:33" x14ac:dyDescent="0.3">
      <c r="D122" s="47">
        <f>[2]transit_general!B122</f>
        <v>967</v>
      </c>
      <c r="E122" s="261">
        <f>[2]transit_general!C122</f>
        <v>29</v>
      </c>
      <c r="F122" s="357">
        <f>[2]transit_general!D122</f>
        <v>0</v>
      </c>
      <c r="G122" s="357">
        <f>[2]transit_general!E122</f>
        <v>0</v>
      </c>
      <c r="H122" s="357">
        <f>[2]transit_general!F122</f>
        <v>0</v>
      </c>
      <c r="I122" s="357">
        <f>[2]transit_general!G122</f>
        <v>0</v>
      </c>
      <c r="J122" s="357">
        <f>[2]transit_general!H122</f>
        <v>0</v>
      </c>
      <c r="K122" s="261">
        <f>[2]transit_general!I122</f>
        <v>0</v>
      </c>
      <c r="L122" s="261">
        <f>[2]transit_general!J122</f>
        <v>0</v>
      </c>
      <c r="M122" s="261">
        <f>[2]transit_general!K122</f>
        <v>0</v>
      </c>
      <c r="N122" s="261">
        <f>[2]transit_general!L122</f>
        <v>0</v>
      </c>
      <c r="O122" s="261">
        <f>[2]transit_general!M122</f>
        <v>0</v>
      </c>
      <c r="Q122" s="5"/>
      <c r="R122" s="5" t="str">
        <f>md[[#This Row],[route]]&amp;"-"&amp;md[[#This Row],[mode_transit_route_id]]</f>
        <v>967-29</v>
      </c>
      <c r="S122" s="5">
        <f>Table_socioeca8.sandag.org_abm2_trb[[#This Row],[route]]</f>
        <v>967</v>
      </c>
      <c r="T122" s="2">
        <f>Table_socioeca8.sandag.org_abm2_trb[[#This Row],[mode_transit_route_id]]</f>
        <v>29</v>
      </c>
      <c r="U122" s="344">
        <f>Table_socioeca8.sandag.org_abm2_trb[[#This Row],[boarding_EA]]</f>
        <v>0</v>
      </c>
      <c r="V122" s="344">
        <f>Table_socioeca8.sandag.org_abm2_trb[[#This Row],[boarding_AM]]</f>
        <v>0</v>
      </c>
      <c r="W122" s="344">
        <f>Table_socioeca8.sandag.org_abm2_trb[[#This Row],[boarding_MD]]</f>
        <v>0</v>
      </c>
      <c r="X122" s="344">
        <f>Table_socioeca8.sandag.org_abm2_trb[[#This Row],[boarding_PM]]</f>
        <v>0</v>
      </c>
      <c r="Y122" s="344">
        <f>Table_socioeca8.sandag.org_abm2_trb[[#This Row],[boarding_EV]]</f>
        <v>0</v>
      </c>
      <c r="Z122" s="3">
        <f>Table_socioeca8.sandag.org_abm2_trb[[#This Row],[passenger_mile_EA]]</f>
        <v>0</v>
      </c>
      <c r="AA122" s="3">
        <f>Table_socioeca8.sandag.org_abm2_trb[[#This Row],[passenger_mile_AM]]</f>
        <v>0</v>
      </c>
      <c r="AB122" s="3">
        <f>Table_socioeca8.sandag.org_abm2_trb[[#This Row],[passenger_mile_MD]]</f>
        <v>0</v>
      </c>
      <c r="AC122" s="3">
        <f>Table_socioeca8.sandag.org_abm2_trb[[#This Row],[passenger_mile_PM]]</f>
        <v>0</v>
      </c>
      <c r="AD122" s="3">
        <f>Table_socioeca8.sandag.org_abm2_trb[[#This Row],[passenger_mile_EV]]</f>
        <v>0</v>
      </c>
      <c r="AE122" s="5">
        <f>Table_socioeca8.sandag.org_abm2_trb[[#This Row],[mode_transit_route_id]]</f>
        <v>29</v>
      </c>
      <c r="AF122"/>
      <c r="AG122"/>
    </row>
    <row r="123" spans="4:33" x14ac:dyDescent="0.3">
      <c r="D123" s="47">
        <f>[2]transit_general!B123</f>
        <v>968</v>
      </c>
      <c r="E123" s="261">
        <f>[2]transit_general!C123</f>
        <v>29</v>
      </c>
      <c r="F123" s="357">
        <f>[2]transit_general!D123</f>
        <v>0</v>
      </c>
      <c r="G123" s="357">
        <f>[2]transit_general!E123</f>
        <v>0</v>
      </c>
      <c r="H123" s="357">
        <f>[2]transit_general!F123</f>
        <v>0</v>
      </c>
      <c r="I123" s="357">
        <f>[2]transit_general!G123</f>
        <v>0</v>
      </c>
      <c r="J123" s="357">
        <f>[2]transit_general!H123</f>
        <v>0</v>
      </c>
      <c r="K123" s="261">
        <f>[2]transit_general!I123</f>
        <v>0</v>
      </c>
      <c r="L123" s="261">
        <f>[2]transit_general!J123</f>
        <v>0</v>
      </c>
      <c r="M123" s="261">
        <f>[2]transit_general!K123</f>
        <v>0</v>
      </c>
      <c r="N123" s="261">
        <f>[2]transit_general!L123</f>
        <v>0</v>
      </c>
      <c r="O123" s="261">
        <f>[2]transit_general!M123</f>
        <v>0</v>
      </c>
      <c r="Q123" s="5"/>
      <c r="R123" s="5" t="str">
        <f>md[[#This Row],[route]]&amp;"-"&amp;md[[#This Row],[mode_transit_route_id]]</f>
        <v>968-29</v>
      </c>
      <c r="S123" s="5">
        <f>Table_socioeca8.sandag.org_abm2_trb[[#This Row],[route]]</f>
        <v>968</v>
      </c>
      <c r="T123" s="2">
        <f>Table_socioeca8.sandag.org_abm2_trb[[#This Row],[mode_transit_route_id]]</f>
        <v>29</v>
      </c>
      <c r="U123" s="344">
        <f>Table_socioeca8.sandag.org_abm2_trb[[#This Row],[boarding_EA]]</f>
        <v>0</v>
      </c>
      <c r="V123" s="344">
        <f>Table_socioeca8.sandag.org_abm2_trb[[#This Row],[boarding_AM]]</f>
        <v>0</v>
      </c>
      <c r="W123" s="344">
        <f>Table_socioeca8.sandag.org_abm2_trb[[#This Row],[boarding_MD]]</f>
        <v>0</v>
      </c>
      <c r="X123" s="344">
        <f>Table_socioeca8.sandag.org_abm2_trb[[#This Row],[boarding_PM]]</f>
        <v>0</v>
      </c>
      <c r="Y123" s="344">
        <f>Table_socioeca8.sandag.org_abm2_trb[[#This Row],[boarding_EV]]</f>
        <v>0</v>
      </c>
      <c r="Z123" s="3">
        <f>Table_socioeca8.sandag.org_abm2_trb[[#This Row],[passenger_mile_EA]]</f>
        <v>0</v>
      </c>
      <c r="AA123" s="3">
        <f>Table_socioeca8.sandag.org_abm2_trb[[#This Row],[passenger_mile_AM]]</f>
        <v>0</v>
      </c>
      <c r="AB123" s="3">
        <f>Table_socioeca8.sandag.org_abm2_trb[[#This Row],[passenger_mile_MD]]</f>
        <v>0</v>
      </c>
      <c r="AC123" s="3">
        <f>Table_socioeca8.sandag.org_abm2_trb[[#This Row],[passenger_mile_PM]]</f>
        <v>0</v>
      </c>
      <c r="AD123" s="3">
        <f>Table_socioeca8.sandag.org_abm2_trb[[#This Row],[passenger_mile_EV]]</f>
        <v>0</v>
      </c>
      <c r="AE123" s="5">
        <f>Table_socioeca8.sandag.org_abm2_trb[[#This Row],[mode_transit_route_id]]</f>
        <v>29</v>
      </c>
      <c r="AF123"/>
      <c r="AG123"/>
    </row>
    <row r="124" spans="4:33" x14ac:dyDescent="0.3">
      <c r="D124" s="47">
        <f>[2]transit_general!B124</f>
        <v>992</v>
      </c>
      <c r="E124" s="261">
        <f>[2]transit_general!C124</f>
        <v>29</v>
      </c>
      <c r="F124" s="357">
        <f>[2]transit_general!D124</f>
        <v>0</v>
      </c>
      <c r="G124" s="357">
        <f>[2]transit_general!E124</f>
        <v>0</v>
      </c>
      <c r="H124" s="357">
        <f>[2]transit_general!F124</f>
        <v>0</v>
      </c>
      <c r="I124" s="357">
        <f>[2]transit_general!G124</f>
        <v>0</v>
      </c>
      <c r="J124" s="357">
        <f>[2]transit_general!H124</f>
        <v>0</v>
      </c>
      <c r="K124" s="261">
        <f>[2]transit_general!I124</f>
        <v>0</v>
      </c>
      <c r="L124" s="261">
        <f>[2]transit_general!J124</f>
        <v>0</v>
      </c>
      <c r="M124" s="261">
        <f>[2]transit_general!K124</f>
        <v>0</v>
      </c>
      <c r="N124" s="261">
        <f>[2]transit_general!L124</f>
        <v>0</v>
      </c>
      <c r="O124" s="261">
        <f>[2]transit_general!M124</f>
        <v>0</v>
      </c>
      <c r="Q124" s="5"/>
      <c r="R124" s="5" t="str">
        <f>md[[#This Row],[route]]&amp;"-"&amp;md[[#This Row],[mode_transit_route_id]]</f>
        <v>992-29</v>
      </c>
      <c r="S124" s="5">
        <f>Table_socioeca8.sandag.org_abm2_trb[[#This Row],[route]]</f>
        <v>992</v>
      </c>
      <c r="T124" s="2">
        <f>Table_socioeca8.sandag.org_abm2_trb[[#This Row],[mode_transit_route_id]]</f>
        <v>29</v>
      </c>
      <c r="U124" s="344">
        <f>Table_socioeca8.sandag.org_abm2_trb[[#This Row],[boarding_EA]]</f>
        <v>0</v>
      </c>
      <c r="V124" s="344">
        <f>Table_socioeca8.sandag.org_abm2_trb[[#This Row],[boarding_AM]]</f>
        <v>0</v>
      </c>
      <c r="W124" s="344">
        <f>Table_socioeca8.sandag.org_abm2_trb[[#This Row],[boarding_MD]]</f>
        <v>0</v>
      </c>
      <c r="X124" s="344">
        <f>Table_socioeca8.sandag.org_abm2_trb[[#This Row],[boarding_PM]]</f>
        <v>0</v>
      </c>
      <c r="Y124" s="344">
        <f>Table_socioeca8.sandag.org_abm2_trb[[#This Row],[boarding_EV]]</f>
        <v>0</v>
      </c>
      <c r="Z124" s="3">
        <f>Table_socioeca8.sandag.org_abm2_trb[[#This Row],[passenger_mile_EA]]</f>
        <v>0</v>
      </c>
      <c r="AA124" s="3">
        <f>Table_socioeca8.sandag.org_abm2_trb[[#This Row],[passenger_mile_AM]]</f>
        <v>0</v>
      </c>
      <c r="AB124" s="3">
        <f>Table_socioeca8.sandag.org_abm2_trb[[#This Row],[passenger_mile_MD]]</f>
        <v>0</v>
      </c>
      <c r="AC124" s="3">
        <f>Table_socioeca8.sandag.org_abm2_trb[[#This Row],[passenger_mile_PM]]</f>
        <v>0</v>
      </c>
      <c r="AD124" s="3">
        <f>Table_socioeca8.sandag.org_abm2_trb[[#This Row],[passenger_mile_EV]]</f>
        <v>0</v>
      </c>
      <c r="AE124" s="5">
        <f>Table_socioeca8.sandag.org_abm2_trb[[#This Row],[mode_transit_route_id]]</f>
        <v>29</v>
      </c>
      <c r="AF124"/>
      <c r="AG124"/>
    </row>
    <row r="125" spans="4:33" x14ac:dyDescent="0.3">
      <c r="D125" s="47">
        <f>[2]transit_general!B125</f>
        <v>9</v>
      </c>
      <c r="E125" s="261">
        <f>[2]transit_general!C125</f>
        <v>29</v>
      </c>
      <c r="F125" s="357">
        <f>[2]transit_general!D125</f>
        <v>0</v>
      </c>
      <c r="G125" s="357">
        <f>[2]transit_general!E125</f>
        <v>0</v>
      </c>
      <c r="H125" s="357">
        <f>[2]transit_general!F125</f>
        <v>0</v>
      </c>
      <c r="I125" s="357">
        <f>[2]transit_general!G125</f>
        <v>0</v>
      </c>
      <c r="J125" s="357">
        <f>[2]transit_general!H125</f>
        <v>0</v>
      </c>
      <c r="K125" s="261">
        <f>[2]transit_general!I125</f>
        <v>0</v>
      </c>
      <c r="L125" s="261">
        <f>[2]transit_general!J125</f>
        <v>0</v>
      </c>
      <c r="M125" s="261">
        <f>[2]transit_general!K125</f>
        <v>0</v>
      </c>
      <c r="N125" s="261">
        <f>[2]transit_general!L125</f>
        <v>0</v>
      </c>
      <c r="O125" s="261">
        <f>[2]transit_general!M125</f>
        <v>0</v>
      </c>
      <c r="Q125" s="5"/>
      <c r="R125" s="5" t="str">
        <f>md[[#This Row],[route]]&amp;"-"&amp;md[[#This Row],[mode_transit_route_id]]</f>
        <v>9-29</v>
      </c>
      <c r="S125" s="5">
        <f>Table_socioeca8.sandag.org_abm2_trb[[#This Row],[route]]</f>
        <v>9</v>
      </c>
      <c r="T125" s="2">
        <f>Table_socioeca8.sandag.org_abm2_trb[[#This Row],[mode_transit_route_id]]</f>
        <v>29</v>
      </c>
      <c r="U125" s="344">
        <f>Table_socioeca8.sandag.org_abm2_trb[[#This Row],[boarding_EA]]</f>
        <v>0</v>
      </c>
      <c r="V125" s="344">
        <f>Table_socioeca8.sandag.org_abm2_trb[[#This Row],[boarding_AM]]</f>
        <v>0</v>
      </c>
      <c r="W125" s="344">
        <f>Table_socioeca8.sandag.org_abm2_trb[[#This Row],[boarding_MD]]</f>
        <v>0</v>
      </c>
      <c r="X125" s="344">
        <f>Table_socioeca8.sandag.org_abm2_trb[[#This Row],[boarding_PM]]</f>
        <v>0</v>
      </c>
      <c r="Y125" s="344">
        <f>Table_socioeca8.sandag.org_abm2_trb[[#This Row],[boarding_EV]]</f>
        <v>0</v>
      </c>
      <c r="Z125" s="3">
        <f>Table_socioeca8.sandag.org_abm2_trb[[#This Row],[passenger_mile_EA]]</f>
        <v>0</v>
      </c>
      <c r="AA125" s="3">
        <f>Table_socioeca8.sandag.org_abm2_trb[[#This Row],[passenger_mile_AM]]</f>
        <v>0</v>
      </c>
      <c r="AB125" s="3">
        <f>Table_socioeca8.sandag.org_abm2_trb[[#This Row],[passenger_mile_MD]]</f>
        <v>0</v>
      </c>
      <c r="AC125" s="3">
        <f>Table_socioeca8.sandag.org_abm2_trb[[#This Row],[passenger_mile_PM]]</f>
        <v>0</v>
      </c>
      <c r="AD125" s="3">
        <f>Table_socioeca8.sandag.org_abm2_trb[[#This Row],[passenger_mile_EV]]</f>
        <v>0</v>
      </c>
      <c r="AE125" s="5">
        <f>Table_socioeca8.sandag.org_abm2_trb[[#This Row],[mode_transit_route_id]]</f>
        <v>29</v>
      </c>
      <c r="AF125"/>
      <c r="AG125"/>
    </row>
    <row r="126" spans="4:33" x14ac:dyDescent="0.3">
      <c r="D126" s="47">
        <f>[2]transit_general!B126</f>
        <v>110</v>
      </c>
      <c r="E126" s="261">
        <f>[2]transit_general!C126</f>
        <v>28</v>
      </c>
      <c r="F126" s="357">
        <f>[2]transit_general!D126</f>
        <v>0</v>
      </c>
      <c r="G126" s="357">
        <f>[2]transit_general!E126</f>
        <v>0</v>
      </c>
      <c r="H126" s="357">
        <f>[2]transit_general!F126</f>
        <v>0</v>
      </c>
      <c r="I126" s="357">
        <f>[2]transit_general!G126</f>
        <v>0</v>
      </c>
      <c r="J126" s="357">
        <f>[2]transit_general!H126</f>
        <v>0</v>
      </c>
      <c r="K126" s="261">
        <f>[2]transit_general!I126</f>
        <v>0</v>
      </c>
      <c r="L126" s="261">
        <f>[2]transit_general!J126</f>
        <v>0</v>
      </c>
      <c r="M126" s="261">
        <f>[2]transit_general!K126</f>
        <v>0</v>
      </c>
      <c r="N126" s="261">
        <f>[2]transit_general!L126</f>
        <v>0</v>
      </c>
      <c r="O126" s="261">
        <f>[2]transit_general!M126</f>
        <v>0</v>
      </c>
      <c r="Q126" s="5"/>
      <c r="R126" s="5" t="str">
        <f>md[[#This Row],[route]]&amp;"-"&amp;md[[#This Row],[mode_transit_route_id]]</f>
        <v>110-28</v>
      </c>
      <c r="S126" s="5">
        <f>Table_socioeca8.sandag.org_abm2_trb[[#This Row],[route]]</f>
        <v>110</v>
      </c>
      <c r="T126" s="2">
        <f>Table_socioeca8.sandag.org_abm2_trb[[#This Row],[mode_transit_route_id]]</f>
        <v>28</v>
      </c>
      <c r="U126" s="344">
        <f>Table_socioeca8.sandag.org_abm2_trb[[#This Row],[boarding_EA]]</f>
        <v>0</v>
      </c>
      <c r="V126" s="344">
        <f>Table_socioeca8.sandag.org_abm2_trb[[#This Row],[boarding_AM]]</f>
        <v>0</v>
      </c>
      <c r="W126" s="344">
        <f>Table_socioeca8.sandag.org_abm2_trb[[#This Row],[boarding_MD]]</f>
        <v>0</v>
      </c>
      <c r="X126" s="344">
        <f>Table_socioeca8.sandag.org_abm2_trb[[#This Row],[boarding_PM]]</f>
        <v>0</v>
      </c>
      <c r="Y126" s="344">
        <f>Table_socioeca8.sandag.org_abm2_trb[[#This Row],[boarding_EV]]</f>
        <v>0</v>
      </c>
      <c r="Z126" s="3">
        <f>Table_socioeca8.sandag.org_abm2_trb[[#This Row],[passenger_mile_EA]]</f>
        <v>0</v>
      </c>
      <c r="AA126" s="3">
        <f>Table_socioeca8.sandag.org_abm2_trb[[#This Row],[passenger_mile_AM]]</f>
        <v>0</v>
      </c>
      <c r="AB126" s="3">
        <f>Table_socioeca8.sandag.org_abm2_trb[[#This Row],[passenger_mile_MD]]</f>
        <v>0</v>
      </c>
      <c r="AC126" s="3">
        <f>Table_socioeca8.sandag.org_abm2_trb[[#This Row],[passenger_mile_PM]]</f>
        <v>0</v>
      </c>
      <c r="AD126" s="3">
        <f>Table_socioeca8.sandag.org_abm2_trb[[#This Row],[passenger_mile_EV]]</f>
        <v>0</v>
      </c>
      <c r="AE126" s="5">
        <f>Table_socioeca8.sandag.org_abm2_trb[[#This Row],[mode_transit_route_id]]</f>
        <v>28</v>
      </c>
      <c r="AF126"/>
      <c r="AG126"/>
    </row>
    <row r="127" spans="4:33" x14ac:dyDescent="0.3">
      <c r="D127" s="47">
        <f>[2]transit_general!B127</f>
        <v>288</v>
      </c>
      <c r="E127" s="261">
        <f>[2]transit_general!C127</f>
        <v>25</v>
      </c>
      <c r="F127" s="357">
        <f>[2]transit_general!D127</f>
        <v>0</v>
      </c>
      <c r="G127" s="357">
        <f>[2]transit_general!E127</f>
        <v>0</v>
      </c>
      <c r="H127" s="357">
        <f>[2]transit_general!F127</f>
        <v>0</v>
      </c>
      <c r="I127" s="357">
        <f>[2]transit_general!G127</f>
        <v>0</v>
      </c>
      <c r="J127" s="357">
        <f>[2]transit_general!H127</f>
        <v>0</v>
      </c>
      <c r="K127" s="261">
        <f>[2]transit_general!I127</f>
        <v>0</v>
      </c>
      <c r="L127" s="261">
        <f>[2]transit_general!J127</f>
        <v>0</v>
      </c>
      <c r="M127" s="261">
        <f>[2]transit_general!K127</f>
        <v>0</v>
      </c>
      <c r="N127" s="261">
        <f>[2]transit_general!L127</f>
        <v>0</v>
      </c>
      <c r="O127" s="261">
        <f>[2]transit_general!M127</f>
        <v>0</v>
      </c>
      <c r="Q127" s="5"/>
      <c r="R127" s="5" t="str">
        <f>md[[#This Row],[route]]&amp;"-"&amp;md[[#This Row],[mode_transit_route_id]]</f>
        <v>288-25</v>
      </c>
      <c r="S127" s="5">
        <f>Table_socioeca8.sandag.org_abm2_trb[[#This Row],[route]]</f>
        <v>288</v>
      </c>
      <c r="T127" s="2">
        <f>Table_socioeca8.sandag.org_abm2_trb[[#This Row],[mode_transit_route_id]]</f>
        <v>25</v>
      </c>
      <c r="U127" s="344">
        <f>Table_socioeca8.sandag.org_abm2_trb[[#This Row],[boarding_EA]]</f>
        <v>0</v>
      </c>
      <c r="V127" s="344">
        <f>Table_socioeca8.sandag.org_abm2_trb[[#This Row],[boarding_AM]]</f>
        <v>0</v>
      </c>
      <c r="W127" s="344">
        <f>Table_socioeca8.sandag.org_abm2_trb[[#This Row],[boarding_MD]]</f>
        <v>0</v>
      </c>
      <c r="X127" s="344">
        <f>Table_socioeca8.sandag.org_abm2_trb[[#This Row],[boarding_PM]]</f>
        <v>0</v>
      </c>
      <c r="Y127" s="344">
        <f>Table_socioeca8.sandag.org_abm2_trb[[#This Row],[boarding_EV]]</f>
        <v>0</v>
      </c>
      <c r="Z127" s="3">
        <f>Table_socioeca8.sandag.org_abm2_trb[[#This Row],[passenger_mile_EA]]</f>
        <v>0</v>
      </c>
      <c r="AA127" s="3">
        <f>Table_socioeca8.sandag.org_abm2_trb[[#This Row],[passenger_mile_AM]]</f>
        <v>0</v>
      </c>
      <c r="AB127" s="3">
        <f>Table_socioeca8.sandag.org_abm2_trb[[#This Row],[passenger_mile_MD]]</f>
        <v>0</v>
      </c>
      <c r="AC127" s="3">
        <f>Table_socioeca8.sandag.org_abm2_trb[[#This Row],[passenger_mile_PM]]</f>
        <v>0</v>
      </c>
      <c r="AD127" s="3">
        <f>Table_socioeca8.sandag.org_abm2_trb[[#This Row],[passenger_mile_EV]]</f>
        <v>0</v>
      </c>
      <c r="AE127" s="5">
        <f>Table_socioeca8.sandag.org_abm2_trb[[#This Row],[mode_transit_route_id]]</f>
        <v>25</v>
      </c>
      <c r="AF127"/>
      <c r="AG127"/>
    </row>
    <row r="128" spans="4:33" x14ac:dyDescent="0.3">
      <c r="D128" s="47">
        <f>[2]transit_general!B128</f>
        <v>290</v>
      </c>
      <c r="E128" s="261">
        <f>[2]transit_general!C128</f>
        <v>25</v>
      </c>
      <c r="F128" s="357">
        <f>[2]transit_general!D128</f>
        <v>0</v>
      </c>
      <c r="G128" s="357">
        <f>[2]transit_general!E128</f>
        <v>0</v>
      </c>
      <c r="H128" s="357">
        <f>[2]transit_general!F128</f>
        <v>0</v>
      </c>
      <c r="I128" s="357">
        <f>[2]transit_general!G128</f>
        <v>0</v>
      </c>
      <c r="J128" s="357">
        <f>[2]transit_general!H128</f>
        <v>0</v>
      </c>
      <c r="K128" s="261">
        <f>[2]transit_general!I128</f>
        <v>0</v>
      </c>
      <c r="L128" s="261">
        <f>[2]transit_general!J128</f>
        <v>0</v>
      </c>
      <c r="M128" s="261">
        <f>[2]transit_general!K128</f>
        <v>0</v>
      </c>
      <c r="N128" s="261">
        <f>[2]transit_general!L128</f>
        <v>0</v>
      </c>
      <c r="O128" s="261">
        <f>[2]transit_general!M128</f>
        <v>0</v>
      </c>
      <c r="Q128" s="5"/>
      <c r="R128" s="5" t="str">
        <f>md[[#This Row],[route]]&amp;"-"&amp;md[[#This Row],[mode_transit_route_id]]</f>
        <v>290-25</v>
      </c>
      <c r="S128" s="5">
        <f>Table_socioeca8.sandag.org_abm2_trb[[#This Row],[route]]</f>
        <v>290</v>
      </c>
      <c r="T128" s="2">
        <f>Table_socioeca8.sandag.org_abm2_trb[[#This Row],[mode_transit_route_id]]</f>
        <v>25</v>
      </c>
      <c r="U128" s="344">
        <f>Table_socioeca8.sandag.org_abm2_trb[[#This Row],[boarding_EA]]</f>
        <v>0</v>
      </c>
      <c r="V128" s="344">
        <f>Table_socioeca8.sandag.org_abm2_trb[[#This Row],[boarding_AM]]</f>
        <v>0</v>
      </c>
      <c r="W128" s="344">
        <f>Table_socioeca8.sandag.org_abm2_trb[[#This Row],[boarding_MD]]</f>
        <v>0</v>
      </c>
      <c r="X128" s="344">
        <f>Table_socioeca8.sandag.org_abm2_trb[[#This Row],[boarding_PM]]</f>
        <v>0</v>
      </c>
      <c r="Y128" s="344">
        <f>Table_socioeca8.sandag.org_abm2_trb[[#This Row],[boarding_EV]]</f>
        <v>0</v>
      </c>
      <c r="Z128" s="3">
        <f>Table_socioeca8.sandag.org_abm2_trb[[#This Row],[passenger_mile_EA]]</f>
        <v>0</v>
      </c>
      <c r="AA128" s="3">
        <f>Table_socioeca8.sandag.org_abm2_trb[[#This Row],[passenger_mile_AM]]</f>
        <v>0</v>
      </c>
      <c r="AB128" s="3">
        <f>Table_socioeca8.sandag.org_abm2_trb[[#This Row],[passenger_mile_MD]]</f>
        <v>0</v>
      </c>
      <c r="AC128" s="3">
        <f>Table_socioeca8.sandag.org_abm2_trb[[#This Row],[passenger_mile_PM]]</f>
        <v>0</v>
      </c>
      <c r="AD128" s="3">
        <f>Table_socioeca8.sandag.org_abm2_trb[[#This Row],[passenger_mile_EV]]</f>
        <v>0</v>
      </c>
      <c r="AE128" s="5">
        <f>Table_socioeca8.sandag.org_abm2_trb[[#This Row],[mode_transit_route_id]]</f>
        <v>25</v>
      </c>
      <c r="AF128"/>
      <c r="AG128"/>
    </row>
    <row r="129" spans="4:33" x14ac:dyDescent="0.3">
      <c r="D129" s="47">
        <f>[2]transit_general!B129</f>
        <v>31</v>
      </c>
      <c r="E129" s="261">
        <f>[2]transit_general!C129</f>
        <v>29</v>
      </c>
      <c r="F129" s="357">
        <f>[2]transit_general!D129</f>
        <v>0</v>
      </c>
      <c r="G129" s="357">
        <f>[2]transit_general!E129</f>
        <v>0</v>
      </c>
      <c r="H129" s="357">
        <f>[2]transit_general!F129</f>
        <v>0</v>
      </c>
      <c r="I129" s="357">
        <f>[2]transit_general!G129</f>
        <v>0</v>
      </c>
      <c r="J129" s="357">
        <f>[2]transit_general!H129</f>
        <v>0</v>
      </c>
      <c r="K129" s="261">
        <f>[2]transit_general!I129</f>
        <v>0</v>
      </c>
      <c r="L129" s="261">
        <f>[2]transit_general!J129</f>
        <v>0</v>
      </c>
      <c r="M129" s="261">
        <f>[2]transit_general!K129</f>
        <v>0</v>
      </c>
      <c r="N129" s="261">
        <f>[2]transit_general!L129</f>
        <v>0</v>
      </c>
      <c r="O129" s="261">
        <f>[2]transit_general!M129</f>
        <v>0</v>
      </c>
      <c r="Q129" s="5"/>
      <c r="R129" s="5" t="str">
        <f>md[[#This Row],[route]]&amp;"-"&amp;md[[#This Row],[mode_transit_route_id]]</f>
        <v>31-29</v>
      </c>
      <c r="S129" s="5">
        <f>Table_socioeca8.sandag.org_abm2_trb[[#This Row],[route]]</f>
        <v>31</v>
      </c>
      <c r="T129" s="2">
        <f>Table_socioeca8.sandag.org_abm2_trb[[#This Row],[mode_transit_route_id]]</f>
        <v>29</v>
      </c>
      <c r="U129" s="344">
        <f>Table_socioeca8.sandag.org_abm2_trb[[#This Row],[boarding_EA]]</f>
        <v>0</v>
      </c>
      <c r="V129" s="344">
        <f>Table_socioeca8.sandag.org_abm2_trb[[#This Row],[boarding_AM]]</f>
        <v>0</v>
      </c>
      <c r="W129" s="344">
        <f>Table_socioeca8.sandag.org_abm2_trb[[#This Row],[boarding_MD]]</f>
        <v>0</v>
      </c>
      <c r="X129" s="344">
        <f>Table_socioeca8.sandag.org_abm2_trb[[#This Row],[boarding_PM]]</f>
        <v>0</v>
      </c>
      <c r="Y129" s="344">
        <f>Table_socioeca8.sandag.org_abm2_trb[[#This Row],[boarding_EV]]</f>
        <v>0</v>
      </c>
      <c r="Z129" s="3">
        <f>Table_socioeca8.sandag.org_abm2_trb[[#This Row],[passenger_mile_EA]]</f>
        <v>0</v>
      </c>
      <c r="AA129" s="3">
        <f>Table_socioeca8.sandag.org_abm2_trb[[#This Row],[passenger_mile_AM]]</f>
        <v>0</v>
      </c>
      <c r="AB129" s="3">
        <f>Table_socioeca8.sandag.org_abm2_trb[[#This Row],[passenger_mile_MD]]</f>
        <v>0</v>
      </c>
      <c r="AC129" s="3">
        <f>Table_socioeca8.sandag.org_abm2_trb[[#This Row],[passenger_mile_PM]]</f>
        <v>0</v>
      </c>
      <c r="AD129" s="3">
        <f>Table_socioeca8.sandag.org_abm2_trb[[#This Row],[passenger_mile_EV]]</f>
        <v>0</v>
      </c>
      <c r="AE129" s="5">
        <f>Table_socioeca8.sandag.org_abm2_trb[[#This Row],[mode_transit_route_id]]</f>
        <v>29</v>
      </c>
      <c r="AF129"/>
      <c r="AG129"/>
    </row>
    <row r="130" spans="4:33" x14ac:dyDescent="0.3">
      <c r="D130" s="47">
        <f>[2]transit_general!B130</f>
        <v>335</v>
      </c>
      <c r="E130" s="261">
        <f>[2]transit_general!C130</f>
        <v>29</v>
      </c>
      <c r="F130" s="357">
        <f>[2]transit_general!D130</f>
        <v>0</v>
      </c>
      <c r="G130" s="357">
        <f>[2]transit_general!E130</f>
        <v>0</v>
      </c>
      <c r="H130" s="357">
        <f>[2]transit_general!F130</f>
        <v>0</v>
      </c>
      <c r="I130" s="357">
        <f>[2]transit_general!G130</f>
        <v>0</v>
      </c>
      <c r="J130" s="357">
        <f>[2]transit_general!H130</f>
        <v>0</v>
      </c>
      <c r="K130" s="261">
        <f>[2]transit_general!I130</f>
        <v>0</v>
      </c>
      <c r="L130" s="261">
        <f>[2]transit_general!J130</f>
        <v>0</v>
      </c>
      <c r="M130" s="261">
        <f>[2]transit_general!K130</f>
        <v>0</v>
      </c>
      <c r="N130" s="261">
        <f>[2]transit_general!L130</f>
        <v>0</v>
      </c>
      <c r="O130" s="261">
        <f>[2]transit_general!M130</f>
        <v>0</v>
      </c>
      <c r="Q130" s="5"/>
      <c r="R130" s="5" t="str">
        <f>md[[#This Row],[route]]&amp;"-"&amp;md[[#This Row],[mode_transit_route_id]]</f>
        <v>335-29</v>
      </c>
      <c r="S130" s="5">
        <f>Table_socioeca8.sandag.org_abm2_trb[[#This Row],[route]]</f>
        <v>335</v>
      </c>
      <c r="T130" s="2">
        <f>Table_socioeca8.sandag.org_abm2_trb[[#This Row],[mode_transit_route_id]]</f>
        <v>29</v>
      </c>
      <c r="U130" s="344">
        <f>Table_socioeca8.sandag.org_abm2_trb[[#This Row],[boarding_EA]]</f>
        <v>0</v>
      </c>
      <c r="V130" s="344">
        <f>Table_socioeca8.sandag.org_abm2_trb[[#This Row],[boarding_AM]]</f>
        <v>0</v>
      </c>
      <c r="W130" s="344">
        <f>Table_socioeca8.sandag.org_abm2_trb[[#This Row],[boarding_MD]]</f>
        <v>0</v>
      </c>
      <c r="X130" s="344">
        <f>Table_socioeca8.sandag.org_abm2_trb[[#This Row],[boarding_PM]]</f>
        <v>0</v>
      </c>
      <c r="Y130" s="344">
        <f>Table_socioeca8.sandag.org_abm2_trb[[#This Row],[boarding_EV]]</f>
        <v>0</v>
      </c>
      <c r="Z130" s="3">
        <f>Table_socioeca8.sandag.org_abm2_trb[[#This Row],[passenger_mile_EA]]</f>
        <v>0</v>
      </c>
      <c r="AA130" s="3">
        <f>Table_socioeca8.sandag.org_abm2_trb[[#This Row],[passenger_mile_AM]]</f>
        <v>0</v>
      </c>
      <c r="AB130" s="3">
        <f>Table_socioeca8.sandag.org_abm2_trb[[#This Row],[passenger_mile_MD]]</f>
        <v>0</v>
      </c>
      <c r="AC130" s="3">
        <f>Table_socioeca8.sandag.org_abm2_trb[[#This Row],[passenger_mile_PM]]</f>
        <v>0</v>
      </c>
      <c r="AD130" s="3">
        <f>Table_socioeca8.sandag.org_abm2_trb[[#This Row],[passenger_mile_EV]]</f>
        <v>0</v>
      </c>
      <c r="AE130" s="5">
        <f>Table_socioeca8.sandag.org_abm2_trb[[#This Row],[mode_transit_route_id]]</f>
        <v>29</v>
      </c>
      <c r="AF130"/>
      <c r="AG130"/>
    </row>
    <row r="131" spans="4:33" x14ac:dyDescent="0.3">
      <c r="D131" s="47">
        <f>[2]transit_general!B131</f>
        <v>444</v>
      </c>
      <c r="E131" s="261">
        <f>[2]transit_general!C131</f>
        <v>29</v>
      </c>
      <c r="F131" s="357">
        <f>[2]transit_general!D131</f>
        <v>0</v>
      </c>
      <c r="G131" s="357">
        <f>[2]transit_general!E131</f>
        <v>0</v>
      </c>
      <c r="H131" s="357">
        <f>[2]transit_general!F131</f>
        <v>0</v>
      </c>
      <c r="I131" s="357">
        <f>[2]transit_general!G131</f>
        <v>0</v>
      </c>
      <c r="J131" s="357">
        <f>[2]transit_general!H131</f>
        <v>0</v>
      </c>
      <c r="K131" s="261">
        <f>[2]transit_general!I131</f>
        <v>0</v>
      </c>
      <c r="L131" s="261">
        <f>[2]transit_general!J131</f>
        <v>0</v>
      </c>
      <c r="M131" s="261">
        <f>[2]transit_general!K131</f>
        <v>0</v>
      </c>
      <c r="N131" s="261">
        <f>[2]transit_general!L131</f>
        <v>0</v>
      </c>
      <c r="O131" s="261">
        <f>[2]transit_general!M131</f>
        <v>0</v>
      </c>
      <c r="Q131" s="5"/>
      <c r="R131" s="5" t="str">
        <f>md[[#This Row],[route]]&amp;"-"&amp;md[[#This Row],[mode_transit_route_id]]</f>
        <v>444-29</v>
      </c>
      <c r="S131" s="5">
        <f>Table_socioeca8.sandag.org_abm2_trb[[#This Row],[route]]</f>
        <v>444</v>
      </c>
      <c r="T131" s="2">
        <f>Table_socioeca8.sandag.org_abm2_trb[[#This Row],[mode_transit_route_id]]</f>
        <v>29</v>
      </c>
      <c r="U131" s="344">
        <f>Table_socioeca8.sandag.org_abm2_trb[[#This Row],[boarding_EA]]</f>
        <v>0</v>
      </c>
      <c r="V131" s="344">
        <f>Table_socioeca8.sandag.org_abm2_trb[[#This Row],[boarding_AM]]</f>
        <v>0</v>
      </c>
      <c r="W131" s="344">
        <f>Table_socioeca8.sandag.org_abm2_trb[[#This Row],[boarding_MD]]</f>
        <v>0</v>
      </c>
      <c r="X131" s="344">
        <f>Table_socioeca8.sandag.org_abm2_trb[[#This Row],[boarding_PM]]</f>
        <v>0</v>
      </c>
      <c r="Y131" s="344">
        <f>Table_socioeca8.sandag.org_abm2_trb[[#This Row],[boarding_EV]]</f>
        <v>0</v>
      </c>
      <c r="Z131" s="3">
        <f>Table_socioeca8.sandag.org_abm2_trb[[#This Row],[passenger_mile_EA]]</f>
        <v>0</v>
      </c>
      <c r="AA131" s="3">
        <f>Table_socioeca8.sandag.org_abm2_trb[[#This Row],[passenger_mile_AM]]</f>
        <v>0</v>
      </c>
      <c r="AB131" s="3">
        <f>Table_socioeca8.sandag.org_abm2_trb[[#This Row],[passenger_mile_MD]]</f>
        <v>0</v>
      </c>
      <c r="AC131" s="3">
        <f>Table_socioeca8.sandag.org_abm2_trb[[#This Row],[passenger_mile_PM]]</f>
        <v>0</v>
      </c>
      <c r="AD131" s="3">
        <f>Table_socioeca8.sandag.org_abm2_trb[[#This Row],[passenger_mile_EV]]</f>
        <v>0</v>
      </c>
      <c r="AE131" s="5">
        <f>Table_socioeca8.sandag.org_abm2_trb[[#This Row],[mode_transit_route_id]]</f>
        <v>29</v>
      </c>
      <c r="AF131"/>
      <c r="AG131"/>
    </row>
    <row r="132" spans="4:33" x14ac:dyDescent="0.3">
      <c r="D132" s="47">
        <f>[2]transit_general!B132</f>
        <v>445</v>
      </c>
      <c r="E132" s="261">
        <f>[2]transit_general!C132</f>
        <v>29</v>
      </c>
      <c r="F132" s="357">
        <f>[2]transit_general!D132</f>
        <v>0</v>
      </c>
      <c r="G132" s="357">
        <f>[2]transit_general!E132</f>
        <v>0</v>
      </c>
      <c r="H132" s="357">
        <f>[2]transit_general!F132</f>
        <v>0</v>
      </c>
      <c r="I132" s="357">
        <f>[2]transit_general!G132</f>
        <v>0</v>
      </c>
      <c r="J132" s="357">
        <f>[2]transit_general!H132</f>
        <v>0</v>
      </c>
      <c r="K132" s="261">
        <f>[2]transit_general!I132</f>
        <v>0</v>
      </c>
      <c r="L132" s="261">
        <f>[2]transit_general!J132</f>
        <v>0</v>
      </c>
      <c r="M132" s="261">
        <f>[2]transit_general!K132</f>
        <v>0</v>
      </c>
      <c r="N132" s="261">
        <f>[2]transit_general!L132</f>
        <v>0</v>
      </c>
      <c r="O132" s="261">
        <f>[2]transit_general!M132</f>
        <v>0</v>
      </c>
      <c r="Q132" s="5"/>
      <c r="R132" s="5" t="str">
        <f>md[[#This Row],[route]]&amp;"-"&amp;md[[#This Row],[mode_transit_route_id]]</f>
        <v>445-29</v>
      </c>
      <c r="S132" s="5">
        <f>Table_socioeca8.sandag.org_abm2_trb[[#This Row],[route]]</f>
        <v>445</v>
      </c>
      <c r="T132" s="2">
        <f>Table_socioeca8.sandag.org_abm2_trb[[#This Row],[mode_transit_route_id]]</f>
        <v>29</v>
      </c>
      <c r="U132" s="344">
        <f>Table_socioeca8.sandag.org_abm2_trb[[#This Row],[boarding_EA]]</f>
        <v>0</v>
      </c>
      <c r="V132" s="344">
        <f>Table_socioeca8.sandag.org_abm2_trb[[#This Row],[boarding_AM]]</f>
        <v>0</v>
      </c>
      <c r="W132" s="344">
        <f>Table_socioeca8.sandag.org_abm2_trb[[#This Row],[boarding_MD]]</f>
        <v>0</v>
      </c>
      <c r="X132" s="344">
        <f>Table_socioeca8.sandag.org_abm2_trb[[#This Row],[boarding_PM]]</f>
        <v>0</v>
      </c>
      <c r="Y132" s="344">
        <f>Table_socioeca8.sandag.org_abm2_trb[[#This Row],[boarding_EV]]</f>
        <v>0</v>
      </c>
      <c r="Z132" s="3">
        <f>Table_socioeca8.sandag.org_abm2_trb[[#This Row],[passenger_mile_EA]]</f>
        <v>0</v>
      </c>
      <c r="AA132" s="3">
        <f>Table_socioeca8.sandag.org_abm2_trb[[#This Row],[passenger_mile_AM]]</f>
        <v>0</v>
      </c>
      <c r="AB132" s="3">
        <f>Table_socioeca8.sandag.org_abm2_trb[[#This Row],[passenger_mile_MD]]</f>
        <v>0</v>
      </c>
      <c r="AC132" s="3">
        <f>Table_socioeca8.sandag.org_abm2_trb[[#This Row],[passenger_mile_PM]]</f>
        <v>0</v>
      </c>
      <c r="AD132" s="3">
        <f>Table_socioeca8.sandag.org_abm2_trb[[#This Row],[passenger_mile_EV]]</f>
        <v>0</v>
      </c>
      <c r="AE132" s="5">
        <f>Table_socioeca8.sandag.org_abm2_trb[[#This Row],[mode_transit_route_id]]</f>
        <v>29</v>
      </c>
      <c r="AF132"/>
      <c r="AG132"/>
    </row>
    <row r="133" spans="4:33" x14ac:dyDescent="0.3">
      <c r="D133" s="47">
        <f>[2]transit_general!B133</f>
        <v>446</v>
      </c>
      <c r="E133" s="261">
        <f>[2]transit_general!C133</f>
        <v>29</v>
      </c>
      <c r="F133" s="357">
        <f>[2]transit_general!D133</f>
        <v>0</v>
      </c>
      <c r="G133" s="357">
        <f>[2]transit_general!E133</f>
        <v>0</v>
      </c>
      <c r="H133" s="357">
        <f>[2]transit_general!F133</f>
        <v>0</v>
      </c>
      <c r="I133" s="357">
        <f>[2]transit_general!G133</f>
        <v>0</v>
      </c>
      <c r="J133" s="357">
        <f>[2]transit_general!H133</f>
        <v>0</v>
      </c>
      <c r="K133" s="261">
        <f>[2]transit_general!I133</f>
        <v>0</v>
      </c>
      <c r="L133" s="261">
        <f>[2]transit_general!J133</f>
        <v>0</v>
      </c>
      <c r="M133" s="261">
        <f>[2]transit_general!K133</f>
        <v>0</v>
      </c>
      <c r="N133" s="261">
        <f>[2]transit_general!L133</f>
        <v>0</v>
      </c>
      <c r="O133" s="261">
        <f>[2]transit_general!M133</f>
        <v>0</v>
      </c>
      <c r="Q133" s="5"/>
      <c r="R133" s="5" t="str">
        <f>md[[#This Row],[route]]&amp;"-"&amp;md[[#This Row],[mode_transit_route_id]]</f>
        <v>446-29</v>
      </c>
      <c r="S133" s="5">
        <f>Table_socioeca8.sandag.org_abm2_trb[[#This Row],[route]]</f>
        <v>446</v>
      </c>
      <c r="T133" s="2">
        <f>Table_socioeca8.sandag.org_abm2_trb[[#This Row],[mode_transit_route_id]]</f>
        <v>29</v>
      </c>
      <c r="U133" s="344">
        <f>Table_socioeca8.sandag.org_abm2_trb[[#This Row],[boarding_EA]]</f>
        <v>0</v>
      </c>
      <c r="V133" s="344">
        <f>Table_socioeca8.sandag.org_abm2_trb[[#This Row],[boarding_AM]]</f>
        <v>0</v>
      </c>
      <c r="W133" s="344">
        <f>Table_socioeca8.sandag.org_abm2_trb[[#This Row],[boarding_MD]]</f>
        <v>0</v>
      </c>
      <c r="X133" s="344">
        <f>Table_socioeca8.sandag.org_abm2_trb[[#This Row],[boarding_PM]]</f>
        <v>0</v>
      </c>
      <c r="Y133" s="344">
        <f>Table_socioeca8.sandag.org_abm2_trb[[#This Row],[boarding_EV]]</f>
        <v>0</v>
      </c>
      <c r="Z133" s="3">
        <f>Table_socioeca8.sandag.org_abm2_trb[[#This Row],[passenger_mile_EA]]</f>
        <v>0</v>
      </c>
      <c r="AA133" s="3">
        <f>Table_socioeca8.sandag.org_abm2_trb[[#This Row],[passenger_mile_AM]]</f>
        <v>0</v>
      </c>
      <c r="AB133" s="3">
        <f>Table_socioeca8.sandag.org_abm2_trb[[#This Row],[passenger_mile_MD]]</f>
        <v>0</v>
      </c>
      <c r="AC133" s="3">
        <f>Table_socioeca8.sandag.org_abm2_trb[[#This Row],[passenger_mile_PM]]</f>
        <v>0</v>
      </c>
      <c r="AD133" s="3">
        <f>Table_socioeca8.sandag.org_abm2_trb[[#This Row],[passenger_mile_EV]]</f>
        <v>0</v>
      </c>
      <c r="AE133" s="5">
        <f>Table_socioeca8.sandag.org_abm2_trb[[#This Row],[mode_transit_route_id]]</f>
        <v>29</v>
      </c>
      <c r="AF133"/>
      <c r="AG133"/>
    </row>
    <row r="134" spans="4:33" x14ac:dyDescent="0.3">
      <c r="D134" s="47">
        <f>[2]transit_general!B134</f>
        <v>60</v>
      </c>
      <c r="E134" s="261">
        <f>[2]transit_general!C134</f>
        <v>28</v>
      </c>
      <c r="F134" s="357">
        <f>[2]transit_general!D134</f>
        <v>0</v>
      </c>
      <c r="G134" s="357">
        <f>[2]transit_general!E134</f>
        <v>0</v>
      </c>
      <c r="H134" s="357">
        <f>[2]transit_general!F134</f>
        <v>0</v>
      </c>
      <c r="I134" s="357">
        <f>[2]transit_general!G134</f>
        <v>0</v>
      </c>
      <c r="J134" s="357">
        <f>[2]transit_general!H134</f>
        <v>0</v>
      </c>
      <c r="K134" s="261">
        <f>[2]transit_general!I134</f>
        <v>0</v>
      </c>
      <c r="L134" s="261">
        <f>[2]transit_general!J134</f>
        <v>0</v>
      </c>
      <c r="M134" s="261">
        <f>[2]transit_general!K134</f>
        <v>0</v>
      </c>
      <c r="N134" s="261">
        <f>[2]transit_general!L134</f>
        <v>0</v>
      </c>
      <c r="O134" s="261">
        <f>[2]transit_general!M134</f>
        <v>0</v>
      </c>
      <c r="Q134" s="5"/>
      <c r="R134" s="5" t="str">
        <f>md[[#This Row],[route]]&amp;"-"&amp;md[[#This Row],[mode_transit_route_id]]</f>
        <v>60-28</v>
      </c>
      <c r="S134" s="5">
        <f>Table_socioeca8.sandag.org_abm2_trb[[#This Row],[route]]</f>
        <v>60</v>
      </c>
      <c r="T134" s="2">
        <f>Table_socioeca8.sandag.org_abm2_trb[[#This Row],[mode_transit_route_id]]</f>
        <v>28</v>
      </c>
      <c r="U134" s="344">
        <f>Table_socioeca8.sandag.org_abm2_trb[[#This Row],[boarding_EA]]</f>
        <v>0</v>
      </c>
      <c r="V134" s="344">
        <f>Table_socioeca8.sandag.org_abm2_trb[[#This Row],[boarding_AM]]</f>
        <v>0</v>
      </c>
      <c r="W134" s="344">
        <f>Table_socioeca8.sandag.org_abm2_trb[[#This Row],[boarding_MD]]</f>
        <v>0</v>
      </c>
      <c r="X134" s="344">
        <f>Table_socioeca8.sandag.org_abm2_trb[[#This Row],[boarding_PM]]</f>
        <v>0</v>
      </c>
      <c r="Y134" s="344">
        <f>Table_socioeca8.sandag.org_abm2_trb[[#This Row],[boarding_EV]]</f>
        <v>0</v>
      </c>
      <c r="Z134" s="3">
        <f>Table_socioeca8.sandag.org_abm2_trb[[#This Row],[passenger_mile_EA]]</f>
        <v>0</v>
      </c>
      <c r="AA134" s="3">
        <f>Table_socioeca8.sandag.org_abm2_trb[[#This Row],[passenger_mile_AM]]</f>
        <v>0</v>
      </c>
      <c r="AB134" s="3">
        <f>Table_socioeca8.sandag.org_abm2_trb[[#This Row],[passenger_mile_MD]]</f>
        <v>0</v>
      </c>
      <c r="AC134" s="3">
        <f>Table_socioeca8.sandag.org_abm2_trb[[#This Row],[passenger_mile_PM]]</f>
        <v>0</v>
      </c>
      <c r="AD134" s="3">
        <f>Table_socioeca8.sandag.org_abm2_trb[[#This Row],[passenger_mile_EV]]</f>
        <v>0</v>
      </c>
      <c r="AE134" s="5">
        <f>Table_socioeca8.sandag.org_abm2_trb[[#This Row],[mode_transit_route_id]]</f>
        <v>28</v>
      </c>
      <c r="AF134"/>
      <c r="AG134"/>
    </row>
    <row r="135" spans="4:33" x14ac:dyDescent="0.3">
      <c r="D135" s="47">
        <f>[2]transit_general!B135</f>
        <v>870</v>
      </c>
      <c r="E135" s="261">
        <f>[2]transit_general!C135</f>
        <v>27</v>
      </c>
      <c r="F135" s="357">
        <f>[2]transit_general!D135</f>
        <v>0</v>
      </c>
      <c r="G135" s="357">
        <f>[2]transit_general!E135</f>
        <v>0</v>
      </c>
      <c r="H135" s="357">
        <f>[2]transit_general!F135</f>
        <v>0</v>
      </c>
      <c r="I135" s="357">
        <f>[2]transit_general!G135</f>
        <v>0</v>
      </c>
      <c r="J135" s="357">
        <f>[2]transit_general!H135</f>
        <v>0</v>
      </c>
      <c r="K135" s="261">
        <f>[2]transit_general!I135</f>
        <v>0</v>
      </c>
      <c r="L135" s="261">
        <f>[2]transit_general!J135</f>
        <v>0</v>
      </c>
      <c r="M135" s="261">
        <f>[2]transit_general!K135</f>
        <v>0</v>
      </c>
      <c r="N135" s="261">
        <f>[2]transit_general!L135</f>
        <v>0</v>
      </c>
      <c r="O135" s="261">
        <f>[2]transit_general!M135</f>
        <v>0</v>
      </c>
      <c r="Q135" s="5"/>
      <c r="R135" s="5" t="str">
        <f>md[[#This Row],[route]]&amp;"-"&amp;md[[#This Row],[mode_transit_route_id]]</f>
        <v>870-27</v>
      </c>
      <c r="S135" s="5">
        <f>Table_socioeca8.sandag.org_abm2_trb[[#This Row],[route]]</f>
        <v>870</v>
      </c>
      <c r="T135" s="2">
        <f>Table_socioeca8.sandag.org_abm2_trb[[#This Row],[mode_transit_route_id]]</f>
        <v>27</v>
      </c>
      <c r="U135" s="344">
        <f>Table_socioeca8.sandag.org_abm2_trb[[#This Row],[boarding_EA]]</f>
        <v>0</v>
      </c>
      <c r="V135" s="344">
        <f>Table_socioeca8.sandag.org_abm2_trb[[#This Row],[boarding_AM]]</f>
        <v>0</v>
      </c>
      <c r="W135" s="344">
        <f>Table_socioeca8.sandag.org_abm2_trb[[#This Row],[boarding_MD]]</f>
        <v>0</v>
      </c>
      <c r="X135" s="344">
        <f>Table_socioeca8.sandag.org_abm2_trb[[#This Row],[boarding_PM]]</f>
        <v>0</v>
      </c>
      <c r="Y135" s="344">
        <f>Table_socioeca8.sandag.org_abm2_trb[[#This Row],[boarding_EV]]</f>
        <v>0</v>
      </c>
      <c r="Z135" s="3">
        <f>Table_socioeca8.sandag.org_abm2_trb[[#This Row],[passenger_mile_EA]]</f>
        <v>0</v>
      </c>
      <c r="AA135" s="3">
        <f>Table_socioeca8.sandag.org_abm2_trb[[#This Row],[passenger_mile_AM]]</f>
        <v>0</v>
      </c>
      <c r="AB135" s="3">
        <f>Table_socioeca8.sandag.org_abm2_trb[[#This Row],[passenger_mile_MD]]</f>
        <v>0</v>
      </c>
      <c r="AC135" s="3">
        <f>Table_socioeca8.sandag.org_abm2_trb[[#This Row],[passenger_mile_PM]]</f>
        <v>0</v>
      </c>
      <c r="AD135" s="3">
        <f>Table_socioeca8.sandag.org_abm2_trb[[#This Row],[passenger_mile_EV]]</f>
        <v>0</v>
      </c>
      <c r="AE135" s="5">
        <f>Table_socioeca8.sandag.org_abm2_trb[[#This Row],[mode_transit_route_id]]</f>
        <v>27</v>
      </c>
      <c r="AF135"/>
      <c r="AG135"/>
    </row>
    <row r="136" spans="4:33" x14ac:dyDescent="0.3">
      <c r="D136" s="47">
        <f>[2]transit_general!B136</f>
        <v>972</v>
      </c>
      <c r="E136" s="261">
        <f>[2]transit_general!C136</f>
        <v>29</v>
      </c>
      <c r="F136" s="357">
        <f>[2]transit_general!D136</f>
        <v>0</v>
      </c>
      <c r="G136" s="357">
        <f>[2]transit_general!E136</f>
        <v>0</v>
      </c>
      <c r="H136" s="357">
        <f>[2]transit_general!F136</f>
        <v>0</v>
      </c>
      <c r="I136" s="357">
        <f>[2]transit_general!G136</f>
        <v>0</v>
      </c>
      <c r="J136" s="357">
        <f>[2]transit_general!H136</f>
        <v>0</v>
      </c>
      <c r="K136" s="261">
        <f>[2]transit_general!I136</f>
        <v>0</v>
      </c>
      <c r="L136" s="261">
        <f>[2]transit_general!J136</f>
        <v>0</v>
      </c>
      <c r="M136" s="261">
        <f>[2]transit_general!K136</f>
        <v>0</v>
      </c>
      <c r="N136" s="261">
        <f>[2]transit_general!L136</f>
        <v>0</v>
      </c>
      <c r="O136" s="261">
        <f>[2]transit_general!M136</f>
        <v>0</v>
      </c>
      <c r="Q136" s="5"/>
      <c r="R136" s="5" t="str">
        <f>md[[#This Row],[route]]&amp;"-"&amp;md[[#This Row],[mode_transit_route_id]]</f>
        <v>972-29</v>
      </c>
      <c r="S136" s="5">
        <f>Table_socioeca8.sandag.org_abm2_trb[[#This Row],[route]]</f>
        <v>972</v>
      </c>
      <c r="T136" s="2">
        <f>Table_socioeca8.sandag.org_abm2_trb[[#This Row],[mode_transit_route_id]]</f>
        <v>29</v>
      </c>
      <c r="U136" s="344">
        <f>Table_socioeca8.sandag.org_abm2_trb[[#This Row],[boarding_EA]]</f>
        <v>0</v>
      </c>
      <c r="V136" s="344">
        <f>Table_socioeca8.sandag.org_abm2_trb[[#This Row],[boarding_AM]]</f>
        <v>0</v>
      </c>
      <c r="W136" s="344">
        <f>Table_socioeca8.sandag.org_abm2_trb[[#This Row],[boarding_MD]]</f>
        <v>0</v>
      </c>
      <c r="X136" s="344">
        <f>Table_socioeca8.sandag.org_abm2_trb[[#This Row],[boarding_PM]]</f>
        <v>0</v>
      </c>
      <c r="Y136" s="344">
        <f>Table_socioeca8.sandag.org_abm2_trb[[#This Row],[boarding_EV]]</f>
        <v>0</v>
      </c>
      <c r="Z136" s="3">
        <f>Table_socioeca8.sandag.org_abm2_trb[[#This Row],[passenger_mile_EA]]</f>
        <v>0</v>
      </c>
      <c r="AA136" s="3">
        <f>Table_socioeca8.sandag.org_abm2_trb[[#This Row],[passenger_mile_AM]]</f>
        <v>0</v>
      </c>
      <c r="AB136" s="3">
        <f>Table_socioeca8.sandag.org_abm2_trb[[#This Row],[passenger_mile_MD]]</f>
        <v>0</v>
      </c>
      <c r="AC136" s="3">
        <f>Table_socioeca8.sandag.org_abm2_trb[[#This Row],[passenger_mile_PM]]</f>
        <v>0</v>
      </c>
      <c r="AD136" s="3">
        <f>Table_socioeca8.sandag.org_abm2_trb[[#This Row],[passenger_mile_EV]]</f>
        <v>0</v>
      </c>
      <c r="AE136" s="5">
        <f>Table_socioeca8.sandag.org_abm2_trb[[#This Row],[mode_transit_route_id]]</f>
        <v>29</v>
      </c>
      <c r="AF136"/>
      <c r="AG136"/>
    </row>
    <row r="137" spans="4:33" x14ac:dyDescent="0.3">
      <c r="D137" s="47">
        <f>[2]transit_general!B137</f>
        <v>973</v>
      </c>
      <c r="E137" s="261">
        <f>[2]transit_general!C137</f>
        <v>29</v>
      </c>
      <c r="F137" s="357">
        <f>[2]transit_general!D137</f>
        <v>0</v>
      </c>
      <c r="G137" s="357">
        <f>[2]transit_general!E137</f>
        <v>0</v>
      </c>
      <c r="H137" s="357">
        <f>[2]transit_general!F137</f>
        <v>0</v>
      </c>
      <c r="I137" s="357">
        <f>[2]transit_general!G137</f>
        <v>0</v>
      </c>
      <c r="J137" s="357">
        <f>[2]transit_general!H137</f>
        <v>0</v>
      </c>
      <c r="K137" s="261">
        <f>[2]transit_general!I137</f>
        <v>0</v>
      </c>
      <c r="L137" s="261">
        <f>[2]transit_general!J137</f>
        <v>0</v>
      </c>
      <c r="M137" s="261">
        <f>[2]transit_general!K137</f>
        <v>0</v>
      </c>
      <c r="N137" s="261">
        <f>[2]transit_general!L137</f>
        <v>0</v>
      </c>
      <c r="O137" s="261">
        <f>[2]transit_general!M137</f>
        <v>0</v>
      </c>
      <c r="Q137" s="5"/>
      <c r="R137" s="5" t="str">
        <f>md[[#This Row],[route]]&amp;"-"&amp;md[[#This Row],[mode_transit_route_id]]</f>
        <v>973-29</v>
      </c>
      <c r="S137" s="5">
        <f>Table_socioeca8.sandag.org_abm2_trb[[#This Row],[route]]</f>
        <v>973</v>
      </c>
      <c r="T137" s="2">
        <f>Table_socioeca8.sandag.org_abm2_trb[[#This Row],[mode_transit_route_id]]</f>
        <v>29</v>
      </c>
      <c r="U137" s="344">
        <f>Table_socioeca8.sandag.org_abm2_trb[[#This Row],[boarding_EA]]</f>
        <v>0</v>
      </c>
      <c r="V137" s="344">
        <f>Table_socioeca8.sandag.org_abm2_trb[[#This Row],[boarding_AM]]</f>
        <v>0</v>
      </c>
      <c r="W137" s="344">
        <f>Table_socioeca8.sandag.org_abm2_trb[[#This Row],[boarding_MD]]</f>
        <v>0</v>
      </c>
      <c r="X137" s="344">
        <f>Table_socioeca8.sandag.org_abm2_trb[[#This Row],[boarding_PM]]</f>
        <v>0</v>
      </c>
      <c r="Y137" s="344">
        <f>Table_socioeca8.sandag.org_abm2_trb[[#This Row],[boarding_EV]]</f>
        <v>0</v>
      </c>
      <c r="Z137" s="3">
        <f>Table_socioeca8.sandag.org_abm2_trb[[#This Row],[passenger_mile_EA]]</f>
        <v>0</v>
      </c>
      <c r="AA137" s="3">
        <f>Table_socioeca8.sandag.org_abm2_trb[[#This Row],[passenger_mile_AM]]</f>
        <v>0</v>
      </c>
      <c r="AB137" s="3">
        <f>Table_socioeca8.sandag.org_abm2_trb[[#This Row],[passenger_mile_MD]]</f>
        <v>0</v>
      </c>
      <c r="AC137" s="3">
        <f>Table_socioeca8.sandag.org_abm2_trb[[#This Row],[passenger_mile_PM]]</f>
        <v>0</v>
      </c>
      <c r="AD137" s="3">
        <f>Table_socioeca8.sandag.org_abm2_trb[[#This Row],[passenger_mile_EV]]</f>
        <v>0</v>
      </c>
      <c r="AE137" s="5">
        <f>Table_socioeca8.sandag.org_abm2_trb[[#This Row],[mode_transit_route_id]]</f>
        <v>29</v>
      </c>
      <c r="AF137"/>
      <c r="AG137"/>
    </row>
    <row r="138" spans="4:33" x14ac:dyDescent="0.3">
      <c r="D138" s="47">
        <f>[2]transit_general!B138</f>
        <v>978</v>
      </c>
      <c r="E138" s="261">
        <f>[2]transit_general!C138</f>
        <v>29</v>
      </c>
      <c r="F138" s="357">
        <f>[2]transit_general!D138</f>
        <v>0</v>
      </c>
      <c r="G138" s="357">
        <f>[2]transit_general!E138</f>
        <v>0</v>
      </c>
      <c r="H138" s="357">
        <f>[2]transit_general!F138</f>
        <v>0</v>
      </c>
      <c r="I138" s="357">
        <f>[2]transit_general!G138</f>
        <v>0</v>
      </c>
      <c r="J138" s="357">
        <f>[2]transit_general!H138</f>
        <v>0</v>
      </c>
      <c r="K138" s="261">
        <f>[2]transit_general!I138</f>
        <v>0</v>
      </c>
      <c r="L138" s="261">
        <f>[2]transit_general!J138</f>
        <v>0</v>
      </c>
      <c r="M138" s="261">
        <f>[2]transit_general!K138</f>
        <v>0</v>
      </c>
      <c r="N138" s="261">
        <f>[2]transit_general!L138</f>
        <v>0</v>
      </c>
      <c r="O138" s="261">
        <f>[2]transit_general!M138</f>
        <v>0</v>
      </c>
      <c r="Q138" s="5"/>
      <c r="R138" s="5" t="str">
        <f>md[[#This Row],[route]]&amp;"-"&amp;md[[#This Row],[mode_transit_route_id]]</f>
        <v>978-29</v>
      </c>
      <c r="S138" s="5">
        <f>Table_socioeca8.sandag.org_abm2_trb[[#This Row],[route]]</f>
        <v>978</v>
      </c>
      <c r="T138" s="2">
        <f>Table_socioeca8.sandag.org_abm2_trb[[#This Row],[mode_transit_route_id]]</f>
        <v>29</v>
      </c>
      <c r="U138" s="344">
        <f>Table_socioeca8.sandag.org_abm2_trb[[#This Row],[boarding_EA]]</f>
        <v>0</v>
      </c>
      <c r="V138" s="344">
        <f>Table_socioeca8.sandag.org_abm2_trb[[#This Row],[boarding_AM]]</f>
        <v>0</v>
      </c>
      <c r="W138" s="344">
        <f>Table_socioeca8.sandag.org_abm2_trb[[#This Row],[boarding_MD]]</f>
        <v>0</v>
      </c>
      <c r="X138" s="344">
        <f>Table_socioeca8.sandag.org_abm2_trb[[#This Row],[boarding_PM]]</f>
        <v>0</v>
      </c>
      <c r="Y138" s="344">
        <f>Table_socioeca8.sandag.org_abm2_trb[[#This Row],[boarding_EV]]</f>
        <v>0</v>
      </c>
      <c r="Z138" s="3">
        <f>Table_socioeca8.sandag.org_abm2_trb[[#This Row],[passenger_mile_EA]]</f>
        <v>0</v>
      </c>
      <c r="AA138" s="3">
        <f>Table_socioeca8.sandag.org_abm2_trb[[#This Row],[passenger_mile_AM]]</f>
        <v>0</v>
      </c>
      <c r="AB138" s="3">
        <f>Table_socioeca8.sandag.org_abm2_trb[[#This Row],[passenger_mile_MD]]</f>
        <v>0</v>
      </c>
      <c r="AC138" s="3">
        <f>Table_socioeca8.sandag.org_abm2_trb[[#This Row],[passenger_mile_PM]]</f>
        <v>0</v>
      </c>
      <c r="AD138" s="3">
        <f>Table_socioeca8.sandag.org_abm2_trb[[#This Row],[passenger_mile_EV]]</f>
        <v>0</v>
      </c>
      <c r="AE138" s="5">
        <f>Table_socioeca8.sandag.org_abm2_trb[[#This Row],[mode_transit_route_id]]</f>
        <v>29</v>
      </c>
      <c r="AF138"/>
      <c r="AG138"/>
    </row>
    <row r="139" spans="4:33" x14ac:dyDescent="0.3">
      <c r="D139" s="47">
        <f>[2]transit_general!B139</f>
        <v>979</v>
      </c>
      <c r="E139" s="261">
        <f>[2]transit_general!C139</f>
        <v>29</v>
      </c>
      <c r="F139" s="357">
        <f>[2]transit_general!D139</f>
        <v>0</v>
      </c>
      <c r="G139" s="357">
        <f>[2]transit_general!E139</f>
        <v>0</v>
      </c>
      <c r="H139" s="357">
        <f>[2]transit_general!F139</f>
        <v>0</v>
      </c>
      <c r="I139" s="357">
        <f>[2]transit_general!G139</f>
        <v>0</v>
      </c>
      <c r="J139" s="357">
        <f>[2]transit_general!H139</f>
        <v>0</v>
      </c>
      <c r="K139" s="261">
        <f>[2]transit_general!I139</f>
        <v>0</v>
      </c>
      <c r="L139" s="261">
        <f>[2]transit_general!J139</f>
        <v>0</v>
      </c>
      <c r="M139" s="261">
        <f>[2]transit_general!K139</f>
        <v>0</v>
      </c>
      <c r="N139" s="261">
        <f>[2]transit_general!L139</f>
        <v>0</v>
      </c>
      <c r="O139" s="261">
        <f>[2]transit_general!M139</f>
        <v>0</v>
      </c>
      <c r="Q139" s="5"/>
      <c r="R139" s="5" t="str">
        <f>md[[#This Row],[route]]&amp;"-"&amp;md[[#This Row],[mode_transit_route_id]]</f>
        <v>979-29</v>
      </c>
      <c r="S139" s="5">
        <f>Table_socioeca8.sandag.org_abm2_trb[[#This Row],[route]]</f>
        <v>979</v>
      </c>
      <c r="T139" s="2">
        <f>Table_socioeca8.sandag.org_abm2_trb[[#This Row],[mode_transit_route_id]]</f>
        <v>29</v>
      </c>
      <c r="U139" s="344">
        <f>Table_socioeca8.sandag.org_abm2_trb[[#This Row],[boarding_EA]]</f>
        <v>0</v>
      </c>
      <c r="V139" s="344">
        <f>Table_socioeca8.sandag.org_abm2_trb[[#This Row],[boarding_AM]]</f>
        <v>0</v>
      </c>
      <c r="W139" s="344">
        <f>Table_socioeca8.sandag.org_abm2_trb[[#This Row],[boarding_MD]]</f>
        <v>0</v>
      </c>
      <c r="X139" s="344">
        <f>Table_socioeca8.sandag.org_abm2_trb[[#This Row],[boarding_PM]]</f>
        <v>0</v>
      </c>
      <c r="Y139" s="344">
        <f>Table_socioeca8.sandag.org_abm2_trb[[#This Row],[boarding_EV]]</f>
        <v>0</v>
      </c>
      <c r="Z139" s="3">
        <f>Table_socioeca8.sandag.org_abm2_trb[[#This Row],[passenger_mile_EA]]</f>
        <v>0</v>
      </c>
      <c r="AA139" s="3">
        <f>Table_socioeca8.sandag.org_abm2_trb[[#This Row],[passenger_mile_AM]]</f>
        <v>0</v>
      </c>
      <c r="AB139" s="3">
        <f>Table_socioeca8.sandag.org_abm2_trb[[#This Row],[passenger_mile_MD]]</f>
        <v>0</v>
      </c>
      <c r="AC139" s="3">
        <f>Table_socioeca8.sandag.org_abm2_trb[[#This Row],[passenger_mile_PM]]</f>
        <v>0</v>
      </c>
      <c r="AD139" s="3">
        <f>Table_socioeca8.sandag.org_abm2_trb[[#This Row],[passenger_mile_EV]]</f>
        <v>0</v>
      </c>
      <c r="AE139" s="5">
        <f>Table_socioeca8.sandag.org_abm2_trb[[#This Row],[mode_transit_route_id]]</f>
        <v>29</v>
      </c>
      <c r="AF139" s="5"/>
      <c r="AG139"/>
    </row>
  </sheetData>
  <hyperlinks>
    <hyperlink ref="B11" r:id="rId1" xr:uid="{00000000-0004-0000-0000-000000000000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W148"/>
  <sheetViews>
    <sheetView workbookViewId="0">
      <pane ySplit="2" topLeftCell="A3" activePane="bottomLeft" state="frozen"/>
      <selection pane="bottomLeft" activeCell="E60" sqref="E60"/>
    </sheetView>
  </sheetViews>
  <sheetFormatPr defaultColWidth="9.109375" defaultRowHeight="14.4" x14ac:dyDescent="0.3"/>
  <cols>
    <col min="1" max="2" width="15.6640625" style="5" customWidth="1"/>
    <col min="3" max="3" width="9.109375" style="5" bestFit="1" customWidth="1"/>
    <col min="4" max="4" width="9.109375" style="5" customWidth="1"/>
    <col min="5" max="5" width="17.6640625" style="6" customWidth="1"/>
    <col min="6" max="6" width="21.33203125" style="280" customWidth="1"/>
    <col min="7" max="7" width="9.109375" style="246" bestFit="1" customWidth="1"/>
    <col min="8" max="8" width="10.109375" style="246" bestFit="1" customWidth="1"/>
    <col min="9" max="9" width="11.109375" style="246" bestFit="1" customWidth="1"/>
    <col min="10" max="11" width="10.109375" style="246" bestFit="1" customWidth="1"/>
    <col min="12" max="12" width="10.109375" style="314" bestFit="1" customWidth="1"/>
    <col min="13" max="16" width="11.109375" style="314" bestFit="1" customWidth="1"/>
    <col min="17" max="21" width="9.109375" style="250"/>
    <col min="22" max="22" width="25.88671875" style="250" hidden="1" customWidth="1"/>
    <col min="23" max="23" width="17.109375" style="64" customWidth="1"/>
    <col min="24" max="24" width="11.5546875" style="5" bestFit="1" customWidth="1"/>
    <col min="25" max="16384" width="9.109375" style="5"/>
  </cols>
  <sheetData>
    <row r="1" spans="1:23" x14ac:dyDescent="0.3">
      <c r="A1" s="5" t="s">
        <v>133</v>
      </c>
      <c r="B1" s="5" t="s">
        <v>134</v>
      </c>
      <c r="C1" s="5" t="s">
        <v>1</v>
      </c>
      <c r="D1" s="5" t="s">
        <v>2</v>
      </c>
      <c r="E1" s="6" t="s">
        <v>92</v>
      </c>
      <c r="F1" s="280" t="s">
        <v>93</v>
      </c>
      <c r="G1" s="246" t="s">
        <v>4</v>
      </c>
      <c r="H1" s="246" t="s">
        <v>5</v>
      </c>
      <c r="I1" s="246" t="s">
        <v>6</v>
      </c>
      <c r="J1" s="246" t="s">
        <v>7</v>
      </c>
      <c r="K1" s="246" t="s">
        <v>8</v>
      </c>
      <c r="L1" s="314" t="s">
        <v>4</v>
      </c>
      <c r="M1" s="314" t="s">
        <v>5</v>
      </c>
      <c r="N1" s="314" t="s">
        <v>6</v>
      </c>
      <c r="O1" s="314" t="s">
        <v>7</v>
      </c>
      <c r="P1" s="314" t="s">
        <v>8</v>
      </c>
      <c r="Q1" s="250" t="s">
        <v>4</v>
      </c>
      <c r="R1" s="250" t="s">
        <v>5</v>
      </c>
      <c r="S1" s="250" t="s">
        <v>6</v>
      </c>
      <c r="T1" s="250" t="s">
        <v>7</v>
      </c>
      <c r="U1" s="250" t="s">
        <v>8</v>
      </c>
      <c r="V1" s="250" t="s">
        <v>137</v>
      </c>
    </row>
    <row r="2" spans="1:23" x14ac:dyDescent="0.3">
      <c r="A2" s="5" t="str">
        <f>CONCATENATE(D2,"_",C2)</f>
        <v>4_398</v>
      </c>
      <c r="B2" s="5">
        <v>1</v>
      </c>
      <c r="C2" s="4">
        <v>398</v>
      </c>
      <c r="D2" s="5">
        <v>4</v>
      </c>
      <c r="E2" s="6" t="s">
        <v>12</v>
      </c>
      <c r="F2" s="280" t="str">
        <f>VLOOKUP(C2,abm2_mode!$A$2:$C$139,3,FALSE)</f>
        <v xml:space="preserve">Commuter Rail                                                              </v>
      </c>
      <c r="G2" s="247">
        <v>133.1666666666666</v>
      </c>
      <c r="H2" s="247">
        <v>1734.8333333333335</v>
      </c>
      <c r="I2" s="247">
        <v>803.6874999999992</v>
      </c>
      <c r="J2" s="247">
        <v>2212.6961754643235</v>
      </c>
      <c r="K2" s="247">
        <v>311.61632453567751</v>
      </c>
      <c r="L2" s="319">
        <v>3523.3236666666644</v>
      </c>
      <c r="M2" s="319">
        <v>40504.156333333332</v>
      </c>
      <c r="N2" s="319">
        <v>20830.683437499982</v>
      </c>
      <c r="O2" s="319">
        <v>50134.506117729783</v>
      </c>
      <c r="P2" s="319">
        <v>7720.1904447702391</v>
      </c>
      <c r="Q2" s="251">
        <f t="shared" ref="Q2:U8" si="0">L2/G2</f>
        <v>26.457999999999995</v>
      </c>
      <c r="R2" s="251">
        <f t="shared" si="0"/>
        <v>23.347577865308864</v>
      </c>
      <c r="S2" s="251">
        <f t="shared" si="0"/>
        <v>25.918884438914382</v>
      </c>
      <c r="T2" s="251">
        <f t="shared" si="0"/>
        <v>22.657654798544272</v>
      </c>
      <c r="U2" s="251">
        <f t="shared" si="0"/>
        <v>24.774666270368453</v>
      </c>
      <c r="V2" s="251" t="str">
        <f>CONCATENATE(B2,"_",C2,"_",D2,"_",E2)</f>
        <v>1_398_4_Commuter Rail</v>
      </c>
      <c r="W2" s="318"/>
    </row>
    <row r="3" spans="1:23" x14ac:dyDescent="0.3">
      <c r="A3" s="5" t="str">
        <f t="shared" ref="A3:A67" si="1">CONCATENATE(D3,"_",C3)</f>
        <v>5_399</v>
      </c>
      <c r="B3" s="5">
        <v>2</v>
      </c>
      <c r="C3" s="4">
        <v>399</v>
      </c>
      <c r="D3" s="5">
        <v>5</v>
      </c>
      <c r="E3" s="6" t="s">
        <v>13</v>
      </c>
      <c r="F3" s="280" t="str">
        <f>VLOOKUP(C3,abm2_mode!$A$2:$C$139,3,FALSE)</f>
        <v xml:space="preserve">Light Rail                                                                 </v>
      </c>
      <c r="G3" s="247">
        <v>322.4905660377359</v>
      </c>
      <c r="H3" s="247">
        <v>2161.4528301886789</v>
      </c>
      <c r="I3" s="247">
        <v>4419.0377358490532</v>
      </c>
      <c r="J3" s="247">
        <v>2723.8962264150991</v>
      </c>
      <c r="K3" s="247">
        <v>654.62264150943224</v>
      </c>
      <c r="L3" s="319">
        <v>2717.5439622641516</v>
      </c>
      <c r="M3" s="319">
        <v>16440.69886792453</v>
      </c>
      <c r="N3" s="319">
        <v>31460.081320754685</v>
      </c>
      <c r="O3" s="319">
        <v>20861.415849056644</v>
      </c>
      <c r="P3" s="319">
        <v>4975.1599999999862</v>
      </c>
      <c r="Q3" s="251">
        <f t="shared" si="0"/>
        <v>8.4267394102504092</v>
      </c>
      <c r="R3" s="251">
        <f t="shared" si="0"/>
        <v>7.6063186012203552</v>
      </c>
      <c r="S3" s="251">
        <f t="shared" si="0"/>
        <v>7.1192153589315508</v>
      </c>
      <c r="T3" s="251">
        <f t="shared" si="0"/>
        <v>7.6586676271849781</v>
      </c>
      <c r="U3" s="251">
        <f t="shared" si="0"/>
        <v>7.600042657443435</v>
      </c>
      <c r="V3" s="251" t="str">
        <f t="shared" ref="V3:V67" si="2">CONCATENATE(B3,"_",C3,"_",D3,"_",E3)</f>
        <v>2_399_5_LRT</v>
      </c>
      <c r="W3" s="318"/>
    </row>
    <row r="4" spans="1:23" x14ac:dyDescent="0.3">
      <c r="A4" s="5" t="str">
        <f t="shared" si="1"/>
        <v>5_510</v>
      </c>
      <c r="B4" s="5">
        <v>3</v>
      </c>
      <c r="C4" s="4">
        <v>510</v>
      </c>
      <c r="D4" s="5">
        <v>5</v>
      </c>
      <c r="E4" s="6" t="s">
        <v>13</v>
      </c>
      <c r="F4" s="280" t="str">
        <f>VLOOKUP(C4,abm2_mode!$A$2:$C$139,3,FALSE)</f>
        <v xml:space="preserve">Light Rail                                                                 </v>
      </c>
      <c r="G4" s="247">
        <v>3016.4121648745522</v>
      </c>
      <c r="H4" s="247">
        <v>11172.674724014336</v>
      </c>
      <c r="I4" s="247">
        <v>20995.503999999968</v>
      </c>
      <c r="J4" s="247">
        <v>14643.362222222277</v>
      </c>
      <c r="K4" s="247">
        <v>6402.5268888888713</v>
      </c>
      <c r="L4" s="319">
        <v>22943.627405017916</v>
      </c>
      <c r="M4" s="319">
        <v>70803.065039426525</v>
      </c>
      <c r="N4" s="319">
        <v>117702.22833333307</v>
      </c>
      <c r="O4" s="319">
        <v>87062.974111111471</v>
      </c>
      <c r="P4" s="319">
        <v>40477.005111110993</v>
      </c>
      <c r="Q4" s="251">
        <f t="shared" si="0"/>
        <v>7.6062640484584128</v>
      </c>
      <c r="R4" s="251">
        <f t="shared" si="0"/>
        <v>6.337163372996419</v>
      </c>
      <c r="S4" s="251">
        <f t="shared" si="0"/>
        <v>5.6060682483894286</v>
      </c>
      <c r="T4" s="251">
        <f t="shared" si="0"/>
        <v>5.9455590041327815</v>
      </c>
      <c r="U4" s="251">
        <f t="shared" si="0"/>
        <v>6.3220359419897081</v>
      </c>
      <c r="V4" s="251" t="str">
        <f t="shared" si="2"/>
        <v>3_510_5_LRT</v>
      </c>
      <c r="W4" s="318"/>
    </row>
    <row r="5" spans="1:23" x14ac:dyDescent="0.3">
      <c r="A5" s="5" t="str">
        <f t="shared" si="1"/>
        <v>5_520</v>
      </c>
      <c r="B5" s="5">
        <v>4</v>
      </c>
      <c r="C5" s="4">
        <v>520</v>
      </c>
      <c r="D5" s="5">
        <v>5</v>
      </c>
      <c r="E5" s="6" t="s">
        <v>13</v>
      </c>
      <c r="F5" s="280" t="str">
        <f>VLOOKUP(C5,abm2_mode!$A$2:$C$139,3,FALSE)</f>
        <v xml:space="preserve">Light Rail                                                                 </v>
      </c>
      <c r="G5" s="247">
        <v>938.71547169811311</v>
      </c>
      <c r="H5" s="247">
        <v>5509.3343396226419</v>
      </c>
      <c r="I5" s="247">
        <v>12183.698490566025</v>
      </c>
      <c r="J5" s="247">
        <v>7424.5313207547415</v>
      </c>
      <c r="K5" s="247">
        <v>3505.7703773584822</v>
      </c>
      <c r="L5" s="319">
        <v>5506.5503773584906</v>
      </c>
      <c r="M5" s="319">
        <v>28414.933962264153</v>
      </c>
      <c r="N5" s="319">
        <v>53738.262641509362</v>
      </c>
      <c r="O5" s="319">
        <v>36274.153584905776</v>
      </c>
      <c r="P5" s="319">
        <v>17461.889433962224</v>
      </c>
      <c r="Q5" s="251">
        <f t="shared" si="0"/>
        <v>5.8660483856703429</v>
      </c>
      <c r="R5" s="251">
        <f t="shared" si="0"/>
        <v>5.1575983976696564</v>
      </c>
      <c r="S5" s="251">
        <f t="shared" si="0"/>
        <v>4.4106691152214168</v>
      </c>
      <c r="T5" s="251">
        <f t="shared" si="0"/>
        <v>4.8857162853504299</v>
      </c>
      <c r="U5" s="251">
        <f t="shared" si="0"/>
        <v>4.9808993614463013</v>
      </c>
      <c r="V5" s="251" t="str">
        <f t="shared" si="2"/>
        <v>4_520_5_LRT</v>
      </c>
      <c r="W5" s="318"/>
    </row>
    <row r="6" spans="1:23" x14ac:dyDescent="0.3">
      <c r="A6" s="5" t="str">
        <f t="shared" si="1"/>
        <v>5_530</v>
      </c>
      <c r="B6" s="5">
        <v>5</v>
      </c>
      <c r="C6" s="4">
        <v>530</v>
      </c>
      <c r="D6" s="5">
        <v>5</v>
      </c>
      <c r="E6" s="6" t="s">
        <v>13</v>
      </c>
      <c r="F6" s="280" t="str">
        <f>VLOOKUP(C6,abm2_mode!$A$2:$C$139,3,FALSE)</f>
        <v xml:space="preserve">Light Rail                                                                 </v>
      </c>
      <c r="G6" s="247">
        <v>790.25388059701504</v>
      </c>
      <c r="H6" s="247">
        <v>6005.3594029850728</v>
      </c>
      <c r="I6" s="247">
        <v>14187.149402985058</v>
      </c>
      <c r="J6" s="247">
        <v>9441.663582089579</v>
      </c>
      <c r="K6" s="247">
        <v>4412.8937313432725</v>
      </c>
      <c r="L6" s="319">
        <v>4998.9000000000005</v>
      </c>
      <c r="M6" s="319">
        <v>36058.18925373134</v>
      </c>
      <c r="N6" s="319">
        <v>76495.104179104412</v>
      </c>
      <c r="O6" s="319">
        <v>50928.791194030004</v>
      </c>
      <c r="P6" s="319">
        <v>23550.725373134264</v>
      </c>
      <c r="Q6" s="251">
        <f t="shared" si="0"/>
        <v>6.3256886460632993</v>
      </c>
      <c r="R6" s="251">
        <f t="shared" si="0"/>
        <v>6.004334933860572</v>
      </c>
      <c r="S6" s="251">
        <f t="shared" si="0"/>
        <v>5.3918586466009444</v>
      </c>
      <c r="T6" s="251">
        <f t="shared" si="0"/>
        <v>5.3940484906324855</v>
      </c>
      <c r="U6" s="251">
        <f t="shared" si="0"/>
        <v>5.3367986647540429</v>
      </c>
      <c r="V6" s="251" t="str">
        <f t="shared" si="2"/>
        <v>5_530_5_LRT</v>
      </c>
      <c r="W6" s="318"/>
    </row>
    <row r="7" spans="1:23" x14ac:dyDescent="0.3">
      <c r="A7" s="5" t="str">
        <f t="shared" si="1"/>
        <v>6_235</v>
      </c>
      <c r="B7" s="5">
        <v>6</v>
      </c>
      <c r="C7" s="4">
        <v>235</v>
      </c>
      <c r="D7" s="5">
        <v>6</v>
      </c>
      <c r="E7" s="6" t="s">
        <v>11</v>
      </c>
      <c r="F7" s="280" t="str">
        <f>VLOOKUP(C7,abm2_mode!$A$2:$C$139,3,FALSE)</f>
        <v xml:space="preserve">Freeway Rapid                                                              </v>
      </c>
      <c r="G7" s="247">
        <v>214.20927767052768</v>
      </c>
      <c r="H7" s="247">
        <v>1395.099766197251</v>
      </c>
      <c r="I7" s="247">
        <v>1942.7578164360123</v>
      </c>
      <c r="J7" s="247">
        <v>1547.2442239514619</v>
      </c>
      <c r="K7" s="247">
        <v>573.31891574474719</v>
      </c>
      <c r="L7" s="319">
        <v>3454.1738104013098</v>
      </c>
      <c r="M7" s="319">
        <v>21468.882731861118</v>
      </c>
      <c r="N7" s="319">
        <v>33406.01247128642</v>
      </c>
      <c r="O7" s="319">
        <v>24729.847665543686</v>
      </c>
      <c r="P7" s="319">
        <v>10586.253320907457</v>
      </c>
      <c r="Q7" s="251">
        <f t="shared" si="0"/>
        <v>16.125229719107342</v>
      </c>
      <c r="R7" s="251">
        <f t="shared" si="0"/>
        <v>15.388779535373864</v>
      </c>
      <c r="S7" s="251">
        <f t="shared" si="0"/>
        <v>17.195150207950121</v>
      </c>
      <c r="T7" s="251">
        <f t="shared" si="0"/>
        <v>15.983157204740987</v>
      </c>
      <c r="U7" s="251">
        <f t="shared" si="0"/>
        <v>18.464859662193081</v>
      </c>
      <c r="V7" s="251" t="str">
        <f t="shared" si="2"/>
        <v>6_235_6_Freeway Rapid</v>
      </c>
      <c r="W7" s="318"/>
    </row>
    <row r="8" spans="1:23" x14ac:dyDescent="0.3">
      <c r="A8" s="5" t="str">
        <f t="shared" si="1"/>
        <v>6_237</v>
      </c>
      <c r="B8" s="5">
        <v>7</v>
      </c>
      <c r="C8" s="4">
        <v>237</v>
      </c>
      <c r="D8" s="5">
        <v>6</v>
      </c>
      <c r="E8" s="6" t="s">
        <v>11</v>
      </c>
      <c r="F8" s="280" t="str">
        <f>VLOOKUP(C8,abm2_mode!$A$2:$C$139,3,FALSE)</f>
        <v xml:space="preserve">Freeway Rapid                                                              </v>
      </c>
      <c r="G8" s="247">
        <v>9.8065553997194748</v>
      </c>
      <c r="H8" s="247">
        <v>412.37030569029747</v>
      </c>
      <c r="I8" s="247">
        <v>178.4489324018474</v>
      </c>
      <c r="J8" s="247">
        <v>433.01151042970469</v>
      </c>
      <c r="K8" s="247">
        <v>74.532696078430831</v>
      </c>
      <c r="L8" s="319">
        <v>60.760112201963395</v>
      </c>
      <c r="M8" s="319">
        <v>2847.7047779785375</v>
      </c>
      <c r="N8" s="319">
        <v>1147.6562399821987</v>
      </c>
      <c r="O8" s="319">
        <v>2914.5439025170417</v>
      </c>
      <c r="P8" s="319">
        <v>426.16496732025769</v>
      </c>
      <c r="Q8" s="251">
        <f t="shared" si="0"/>
        <v>6.1958669201727545</v>
      </c>
      <c r="R8" s="251">
        <f t="shared" si="0"/>
        <v>6.9056979580805455</v>
      </c>
      <c r="S8" s="251">
        <f t="shared" si="0"/>
        <v>6.4312866686016532</v>
      </c>
      <c r="T8" s="251">
        <f t="shared" si="0"/>
        <v>6.7308693471560508</v>
      </c>
      <c r="U8" s="251">
        <f t="shared" si="0"/>
        <v>5.7178257294195269</v>
      </c>
      <c r="V8" s="251" t="str">
        <f t="shared" si="2"/>
        <v>7_237_6_Freeway Rapid</v>
      </c>
      <c r="W8" s="318"/>
    </row>
    <row r="9" spans="1:23" x14ac:dyDescent="0.3">
      <c r="A9" s="5" t="str">
        <f t="shared" si="1"/>
        <v>6_288</v>
      </c>
      <c r="B9" s="5">
        <v>8</v>
      </c>
      <c r="C9" s="4">
        <v>288</v>
      </c>
      <c r="D9" s="5">
        <v>6</v>
      </c>
      <c r="E9" s="6" t="s">
        <v>11</v>
      </c>
      <c r="F9" s="280" t="s">
        <v>99</v>
      </c>
      <c r="G9" s="247">
        <v>36.323333333333338</v>
      </c>
      <c r="H9" s="247">
        <v>237.10523809523806</v>
      </c>
      <c r="I9" s="247">
        <v>17.098796992480942</v>
      </c>
      <c r="J9" s="247">
        <v>246.11263157894763</v>
      </c>
      <c r="K9" s="247">
        <v>0</v>
      </c>
      <c r="L9" s="319">
        <v>1095.3611111111113</v>
      </c>
      <c r="M9" s="319">
        <v>7113.1488888888871</v>
      </c>
      <c r="N9" s="319">
        <v>514.2057894736763</v>
      </c>
      <c r="O9" s="319">
        <v>7129.9942105263253</v>
      </c>
      <c r="P9" s="319">
        <v>0</v>
      </c>
      <c r="Q9" s="251">
        <f t="shared" ref="Q9:T15" si="3">L9/G9</f>
        <v>30.15585329295525</v>
      </c>
      <c r="R9" s="251">
        <f t="shared" si="3"/>
        <v>29.999965188587478</v>
      </c>
      <c r="S9" s="251">
        <f t="shared" si="3"/>
        <v>30.072629653407439</v>
      </c>
      <c r="T9" s="251">
        <f t="shared" si="3"/>
        <v>28.970452125043312</v>
      </c>
      <c r="U9" s="251">
        <v>0</v>
      </c>
      <c r="V9" s="251" t="str">
        <f t="shared" si="2"/>
        <v>8_288_6_Freeway Rapid</v>
      </c>
      <c r="W9" s="318"/>
    </row>
    <row r="10" spans="1:23" x14ac:dyDescent="0.3">
      <c r="A10" s="5" t="str">
        <f t="shared" si="1"/>
        <v>6_290</v>
      </c>
      <c r="B10" s="5">
        <v>9</v>
      </c>
      <c r="C10" s="4">
        <v>290</v>
      </c>
      <c r="D10" s="5">
        <v>6</v>
      </c>
      <c r="E10" s="6" t="s">
        <v>11</v>
      </c>
      <c r="F10" s="280" t="str">
        <f>VLOOKUP(C10,abm2_mode!$A$2:$C$139,3,FALSE)</f>
        <v xml:space="preserve">Freeway Rapid                                                              </v>
      </c>
      <c r="G10" s="247">
        <v>34.71521739130435</v>
      </c>
      <c r="H10" s="247">
        <v>358.96595907928389</v>
      </c>
      <c r="I10" s="247">
        <v>23.204910485933066</v>
      </c>
      <c r="J10" s="247">
        <v>322.84391304347878</v>
      </c>
      <c r="K10" s="247">
        <v>0</v>
      </c>
      <c r="L10" s="319">
        <v>725.13586956521738</v>
      </c>
      <c r="M10" s="319">
        <v>7062.9804049445847</v>
      </c>
      <c r="N10" s="319">
        <v>474.76981244670895</v>
      </c>
      <c r="O10" s="319">
        <v>6342.4739130434873</v>
      </c>
      <c r="P10" s="319">
        <v>0</v>
      </c>
      <c r="Q10" s="251">
        <f t="shared" si="3"/>
        <v>20.888126996054854</v>
      </c>
      <c r="R10" s="251">
        <f t="shared" si="3"/>
        <v>19.675905824219399</v>
      </c>
      <c r="S10" s="251">
        <f t="shared" si="3"/>
        <v>20.459885537352829</v>
      </c>
      <c r="T10" s="251">
        <f t="shared" si="3"/>
        <v>19.645635729205523</v>
      </c>
      <c r="U10" s="251">
        <v>0</v>
      </c>
      <c r="V10" s="251" t="str">
        <f t="shared" si="2"/>
        <v>9_290_6_Freeway Rapid</v>
      </c>
      <c r="W10" s="318"/>
    </row>
    <row r="11" spans="1:23" x14ac:dyDescent="0.3">
      <c r="A11" s="5" t="str">
        <f t="shared" si="1"/>
        <v>7_201</v>
      </c>
      <c r="B11" s="5">
        <v>10</v>
      </c>
      <c r="C11" s="4">
        <v>201</v>
      </c>
      <c r="D11" s="5">
        <v>7</v>
      </c>
      <c r="E11" s="6" t="s">
        <v>10</v>
      </c>
      <c r="F11" s="280" t="str">
        <f>VLOOKUP(C11,abm2_mode!$A$2:$C$139,3,FALSE)</f>
        <v xml:space="preserve">Arterial Rapid                                                             </v>
      </c>
      <c r="G11" s="247">
        <v>3.2559999999999976</v>
      </c>
      <c r="H11" s="247">
        <v>115.44399999999993</v>
      </c>
      <c r="I11" s="247">
        <v>1033.1249431818158</v>
      </c>
      <c r="J11" s="247">
        <v>1463.5786247556257</v>
      </c>
      <c r="K11" s="247">
        <v>665.87643206255939</v>
      </c>
      <c r="L11" s="319">
        <v>8.7879999999999932</v>
      </c>
      <c r="M11" s="319">
        <v>277.42699999999979</v>
      </c>
      <c r="N11" s="319">
        <v>2048.1667424242382</v>
      </c>
      <c r="O11" s="319">
        <v>2781.4944648093924</v>
      </c>
      <c r="P11" s="319">
        <v>1320.5537927663697</v>
      </c>
      <c r="Q11" s="251">
        <f t="shared" si="3"/>
        <v>2.6990171990171987</v>
      </c>
      <c r="R11" s="251">
        <f t="shared" si="3"/>
        <v>2.4031305221579289</v>
      </c>
      <c r="S11" s="251">
        <f t="shared" si="3"/>
        <v>1.9824966534215107</v>
      </c>
      <c r="T11" s="251">
        <f t="shared" si="3"/>
        <v>1.9004749165927588</v>
      </c>
      <c r="U11" s="251">
        <f>P11/K11</f>
        <v>1.9831814570699555</v>
      </c>
      <c r="V11" s="251" t="str">
        <f t="shared" si="2"/>
        <v>10_201_7_Arterial Rapid</v>
      </c>
      <c r="W11" s="318"/>
    </row>
    <row r="12" spans="1:23" x14ac:dyDescent="0.3">
      <c r="A12" s="5" t="str">
        <f t="shared" si="1"/>
        <v>7_202</v>
      </c>
      <c r="B12" s="5">
        <v>11</v>
      </c>
      <c r="C12" s="4">
        <v>202</v>
      </c>
      <c r="D12" s="5">
        <v>7</v>
      </c>
      <c r="E12" s="6" t="s">
        <v>10</v>
      </c>
      <c r="F12" s="280" t="str">
        <f>VLOOKUP(C12,abm2_mode!$A$2:$C$139,3,FALSE)</f>
        <v xml:space="preserve">Arterial Rapid                                                             </v>
      </c>
      <c r="G12" s="247">
        <v>3.2538461538461472</v>
      </c>
      <c r="H12" s="247">
        <v>818.46841191067006</v>
      </c>
      <c r="I12" s="247">
        <v>2347.5344086021487</v>
      </c>
      <c r="J12" s="247">
        <v>769.07559139785246</v>
      </c>
      <c r="K12" s="247">
        <v>302.21774193548288</v>
      </c>
      <c r="L12" s="319">
        <v>6.3749999999999876</v>
      </c>
      <c r="M12" s="319">
        <v>1789.1376881720428</v>
      </c>
      <c r="N12" s="319">
        <v>5103.1185239491633</v>
      </c>
      <c r="O12" s="319">
        <v>1628.8091104594396</v>
      </c>
      <c r="P12" s="319">
        <v>699.76967741935255</v>
      </c>
      <c r="Q12" s="251">
        <f t="shared" si="3"/>
        <v>1.9592198581560285</v>
      </c>
      <c r="R12" s="251">
        <f t="shared" si="3"/>
        <v>2.1859581410055862</v>
      </c>
      <c r="S12" s="251">
        <f t="shared" si="3"/>
        <v>2.1738205434815505</v>
      </c>
      <c r="T12" s="251">
        <f t="shared" si="3"/>
        <v>2.1178790858502698</v>
      </c>
      <c r="U12" s="251">
        <f>P12/K12</f>
        <v>2.3154486991327552</v>
      </c>
      <c r="V12" s="251" t="str">
        <f t="shared" si="2"/>
        <v>11_202_7_Arterial Rapid</v>
      </c>
      <c r="W12" s="318"/>
    </row>
    <row r="13" spans="1:23" x14ac:dyDescent="0.3">
      <c r="A13" s="5" t="str">
        <f t="shared" si="1"/>
        <v>7_204</v>
      </c>
      <c r="B13" s="5">
        <v>12</v>
      </c>
      <c r="C13" s="4">
        <v>204</v>
      </c>
      <c r="D13" s="5">
        <v>7</v>
      </c>
      <c r="E13" s="6" t="s">
        <v>10</v>
      </c>
      <c r="F13" s="280" t="str">
        <f>VLOOKUP(C13,abm2_mode!$A$2:$C$139,3,FALSE)</f>
        <v xml:space="preserve">Arterial Rapid                                                             </v>
      </c>
      <c r="G13" s="247">
        <v>2.67</v>
      </c>
      <c r="H13" s="247">
        <v>90.59666666666665</v>
      </c>
      <c r="I13" s="247">
        <v>240.10866666666629</v>
      </c>
      <c r="J13" s="247">
        <v>146.63082051282129</v>
      </c>
      <c r="K13" s="247">
        <v>77.933846153845749</v>
      </c>
      <c r="L13" s="319">
        <v>3.3</v>
      </c>
      <c r="M13" s="319">
        <v>139.42399999999998</v>
      </c>
      <c r="N13" s="319">
        <v>373.51866666666604</v>
      </c>
      <c r="O13" s="319">
        <v>219.67579487179606</v>
      </c>
      <c r="P13" s="319">
        <v>114.71153846153783</v>
      </c>
      <c r="Q13" s="251">
        <f t="shared" si="3"/>
        <v>1.2359550561797752</v>
      </c>
      <c r="R13" s="251">
        <f t="shared" si="3"/>
        <v>1.5389528680231062</v>
      </c>
      <c r="S13" s="251">
        <f t="shared" si="3"/>
        <v>1.5556234260598671</v>
      </c>
      <c r="T13" s="251">
        <f t="shared" si="3"/>
        <v>1.4981556681160886</v>
      </c>
      <c r="U13" s="251">
        <f>P13/K13</f>
        <v>1.4719091142389003</v>
      </c>
      <c r="V13" s="251" t="str">
        <f t="shared" si="2"/>
        <v>12_204_7_Arterial Rapid</v>
      </c>
      <c r="W13" s="318"/>
    </row>
    <row r="14" spans="1:23" x14ac:dyDescent="0.3">
      <c r="A14" s="5" t="str">
        <f t="shared" si="1"/>
        <v>7_215</v>
      </c>
      <c r="B14" s="5">
        <v>13</v>
      </c>
      <c r="C14" s="4">
        <v>215</v>
      </c>
      <c r="D14" s="5">
        <v>7</v>
      </c>
      <c r="E14" s="6" t="s">
        <v>10</v>
      </c>
      <c r="F14" s="280" t="str">
        <f>VLOOKUP(C14,abm2_mode!$A$2:$C$139,3,FALSE)</f>
        <v xml:space="preserve">Arterial Rapid                                                             </v>
      </c>
      <c r="G14" s="247">
        <v>195.83398863732913</v>
      </c>
      <c r="H14" s="247">
        <v>1367.1615215667528</v>
      </c>
      <c r="I14" s="247">
        <v>3090.310914297339</v>
      </c>
      <c r="J14" s="247">
        <v>1986.7446880447606</v>
      </c>
      <c r="K14" s="247">
        <v>1017.5788874538199</v>
      </c>
      <c r="L14" s="319">
        <v>749.13004164437211</v>
      </c>
      <c r="M14" s="319">
        <v>4600.0289379474652</v>
      </c>
      <c r="N14" s="319">
        <v>10053.891583086208</v>
      </c>
      <c r="O14" s="319">
        <v>6354.7671782947727</v>
      </c>
      <c r="P14" s="319">
        <v>3671.6022590271768</v>
      </c>
      <c r="Q14" s="251">
        <f t="shared" si="3"/>
        <v>3.8253320930500405</v>
      </c>
      <c r="R14" s="251">
        <f t="shared" si="3"/>
        <v>3.3646565276909493</v>
      </c>
      <c r="S14" s="251">
        <f t="shared" si="3"/>
        <v>3.2533592450428945</v>
      </c>
      <c r="T14" s="251">
        <f t="shared" si="3"/>
        <v>3.198582694864919</v>
      </c>
      <c r="U14" s="251">
        <f>P14/K14</f>
        <v>3.6081745644450613</v>
      </c>
      <c r="V14" s="251" t="str">
        <f t="shared" si="2"/>
        <v>13_215_7_Arterial Rapid</v>
      </c>
      <c r="W14" s="318"/>
    </row>
    <row r="15" spans="1:23" x14ac:dyDescent="0.3">
      <c r="A15" s="5" t="str">
        <f t="shared" si="1"/>
        <v>7_350</v>
      </c>
      <c r="B15" s="5">
        <v>14</v>
      </c>
      <c r="C15" s="4">
        <v>350</v>
      </c>
      <c r="D15" s="5">
        <v>7</v>
      </c>
      <c r="E15" s="6" t="s">
        <v>10</v>
      </c>
      <c r="F15" s="280" t="str">
        <f>VLOOKUP(C15,abm2_mode!$A$2:$C$139,3,FALSE)</f>
        <v xml:space="preserve">Arterial Rapid                                                             </v>
      </c>
      <c r="G15" s="247">
        <v>42.18</v>
      </c>
      <c r="H15" s="247">
        <v>438.70200000000011</v>
      </c>
      <c r="I15" s="247">
        <v>1003.9601052631556</v>
      </c>
      <c r="J15" s="247">
        <v>446.25339473684465</v>
      </c>
      <c r="K15" s="247">
        <v>116.16449999999966</v>
      </c>
      <c r="L15" s="319">
        <v>84.54</v>
      </c>
      <c r="M15" s="319">
        <v>967.18533333333323</v>
      </c>
      <c r="N15" s="319">
        <v>2372.2590768300006</v>
      </c>
      <c r="O15" s="319">
        <v>1029.2515898366669</v>
      </c>
      <c r="P15" s="319">
        <v>270.75399999999917</v>
      </c>
      <c r="Q15" s="251">
        <f t="shared" si="3"/>
        <v>2.004267425320057</v>
      </c>
      <c r="R15" s="251">
        <f t="shared" si="3"/>
        <v>2.2046522088646348</v>
      </c>
      <c r="S15" s="251">
        <f t="shared" si="3"/>
        <v>2.3629017372240999</v>
      </c>
      <c r="T15" s="251">
        <f t="shared" si="3"/>
        <v>2.3064285941031684</v>
      </c>
      <c r="U15" s="251">
        <f>P15/K15</f>
        <v>2.3307809184389376</v>
      </c>
      <c r="V15" s="251" t="str">
        <f t="shared" si="2"/>
        <v>14_350_7_Arterial Rapid</v>
      </c>
      <c r="W15" s="318"/>
    </row>
    <row r="16" spans="1:23" x14ac:dyDescent="0.3">
      <c r="A16" s="5" t="str">
        <f t="shared" si="1"/>
        <v>8_870</v>
      </c>
      <c r="B16" s="5">
        <v>15</v>
      </c>
      <c r="C16" s="270">
        <v>870</v>
      </c>
      <c r="D16" s="271">
        <v>8</v>
      </c>
      <c r="E16" s="275" t="s">
        <v>14</v>
      </c>
      <c r="F16" s="281" t="str">
        <f>VLOOKUP(C16,abm2_mode!$A$2:$C$139,3,FALSE)</f>
        <v xml:space="preserve">Premium Express Bus                                                        </v>
      </c>
      <c r="G16" s="272">
        <v>0</v>
      </c>
      <c r="H16" s="272">
        <v>31</v>
      </c>
      <c r="I16" s="272">
        <v>0</v>
      </c>
      <c r="J16" s="272">
        <v>25</v>
      </c>
      <c r="K16" s="272">
        <v>0</v>
      </c>
      <c r="L16" s="324">
        <v>0</v>
      </c>
      <c r="M16" s="324">
        <v>352.63</v>
      </c>
      <c r="N16" s="324">
        <v>0</v>
      </c>
      <c r="O16" s="324">
        <v>339.14</v>
      </c>
      <c r="P16" s="324">
        <v>0</v>
      </c>
      <c r="Q16" s="273">
        <v>0</v>
      </c>
      <c r="R16" s="273">
        <f t="shared" ref="R16:R48" si="4">M16/H16</f>
        <v>11.37516129032258</v>
      </c>
      <c r="S16" s="273">
        <v>0</v>
      </c>
      <c r="T16" s="273">
        <f t="shared" ref="T16:T48" si="5">O16/J16</f>
        <v>13.5656</v>
      </c>
      <c r="U16" s="273">
        <v>0</v>
      </c>
      <c r="V16" s="251" t="str">
        <f t="shared" si="2"/>
        <v>15_870_8_Limited Express</v>
      </c>
      <c r="W16" s="318"/>
    </row>
    <row r="17" spans="1:23" x14ac:dyDescent="0.3">
      <c r="A17" s="5" t="str">
        <f t="shared" si="1"/>
        <v>9_10</v>
      </c>
      <c r="B17" s="5">
        <v>16</v>
      </c>
      <c r="C17" s="4">
        <v>10</v>
      </c>
      <c r="D17" s="5">
        <v>9</v>
      </c>
      <c r="E17" s="6" t="s">
        <v>9</v>
      </c>
      <c r="F17" s="280" t="str">
        <f>VLOOKUP(C17,abm2_mode!$A$2:$C$139,3,FALSE)</f>
        <v xml:space="preserve">Express Bus                                                                </v>
      </c>
      <c r="G17" s="247">
        <v>81.067751879699216</v>
      </c>
      <c r="H17" s="247">
        <v>913.83335266575523</v>
      </c>
      <c r="I17" s="247">
        <v>2333.9452799086625</v>
      </c>
      <c r="J17" s="247">
        <v>1229.4405180281537</v>
      </c>
      <c r="K17" s="247">
        <v>566.67309751772859</v>
      </c>
      <c r="L17" s="319">
        <v>323.45302819548863</v>
      </c>
      <c r="M17" s="319">
        <v>3017.3862581681474</v>
      </c>
      <c r="N17" s="319">
        <v>6365.7810208448718</v>
      </c>
      <c r="O17" s="319">
        <v>3768.7908922595843</v>
      </c>
      <c r="P17" s="319">
        <v>2000.6688005319081</v>
      </c>
      <c r="Q17" s="251">
        <f>L17/G17</f>
        <v>3.9899099296040417</v>
      </c>
      <c r="R17" s="251">
        <f t="shared" si="4"/>
        <v>3.3018999026092564</v>
      </c>
      <c r="S17" s="251">
        <f>N17/I17</f>
        <v>2.7274765503902443</v>
      </c>
      <c r="T17" s="251">
        <f t="shared" si="5"/>
        <v>3.0654519978763872</v>
      </c>
      <c r="U17" s="251">
        <f>P17/K17</f>
        <v>3.5305519342557399</v>
      </c>
      <c r="V17" s="251" t="str">
        <f t="shared" si="2"/>
        <v>16_10_9_Express</v>
      </c>
      <c r="W17" s="318"/>
    </row>
    <row r="18" spans="1:23" x14ac:dyDescent="0.3">
      <c r="A18" s="5" t="str">
        <f t="shared" si="1"/>
        <v>9_20</v>
      </c>
      <c r="B18" s="5">
        <v>17</v>
      </c>
      <c r="C18" s="4">
        <v>20</v>
      </c>
      <c r="D18" s="5">
        <v>9</v>
      </c>
      <c r="E18" s="6" t="s">
        <v>9</v>
      </c>
      <c r="F18" s="280" t="str">
        <f>VLOOKUP(C18,abm2_mode!$A$2:$C$139,3,FALSE)</f>
        <v xml:space="preserve">Express Bus                                                                </v>
      </c>
      <c r="G18" s="247">
        <v>74.738496990244172</v>
      </c>
      <c r="H18" s="247">
        <v>714.07283493092586</v>
      </c>
      <c r="I18" s="247">
        <v>1085.0324881148758</v>
      </c>
      <c r="J18" s="247">
        <v>679.71644196868385</v>
      </c>
      <c r="K18" s="247">
        <v>188.5197379952705</v>
      </c>
      <c r="L18" s="319">
        <v>697.63632917229597</v>
      </c>
      <c r="M18" s="319">
        <v>5953.5926544615168</v>
      </c>
      <c r="N18" s="319">
        <v>9244.1247061094582</v>
      </c>
      <c r="O18" s="319">
        <v>5660.3278943724199</v>
      </c>
      <c r="P18" s="319">
        <v>1938.3284158843103</v>
      </c>
      <c r="Q18" s="251">
        <f>L18/G18</f>
        <v>9.3343639123939095</v>
      </c>
      <c r="R18" s="251">
        <f t="shared" si="4"/>
        <v>8.3375145548526906</v>
      </c>
      <c r="S18" s="251">
        <f>N18/I18</f>
        <v>8.5196755003807354</v>
      </c>
      <c r="T18" s="251">
        <f t="shared" si="5"/>
        <v>8.3274841461510576</v>
      </c>
      <c r="U18" s="251">
        <f>P18/K18</f>
        <v>10.281832748637378</v>
      </c>
      <c r="V18" s="251" t="str">
        <f t="shared" si="2"/>
        <v>17_20_9_Express</v>
      </c>
      <c r="W18" s="318"/>
    </row>
    <row r="19" spans="1:23" x14ac:dyDescent="0.3">
      <c r="A19" s="5" t="str">
        <f t="shared" si="1"/>
        <v>9_50</v>
      </c>
      <c r="B19" s="5">
        <v>18</v>
      </c>
      <c r="C19" s="4">
        <v>50</v>
      </c>
      <c r="D19" s="5">
        <v>9</v>
      </c>
      <c r="E19" s="6" t="s">
        <v>9</v>
      </c>
      <c r="F19" s="280" t="str">
        <f>VLOOKUP(C19,abm2_mode!$A$2:$C$139,3,FALSE)</f>
        <v xml:space="preserve">Express Bus                                                                </v>
      </c>
      <c r="G19" s="247">
        <v>45.437770530479128</v>
      </c>
      <c r="H19" s="247">
        <v>318.17407818323551</v>
      </c>
      <c r="I19" s="247">
        <v>322.76417135317428</v>
      </c>
      <c r="J19" s="247">
        <v>305.26211946799503</v>
      </c>
      <c r="K19" s="247">
        <v>7.421860465116092</v>
      </c>
      <c r="L19" s="319">
        <v>450.0916396627693</v>
      </c>
      <c r="M19" s="319">
        <v>2616.071880725598</v>
      </c>
      <c r="N19" s="319">
        <v>2290.1544394778498</v>
      </c>
      <c r="O19" s="319">
        <v>2323.0536680407622</v>
      </c>
      <c r="P19" s="319">
        <v>63.368372093021655</v>
      </c>
      <c r="Q19" s="251">
        <f>L19/G19</f>
        <v>9.9056717441902897</v>
      </c>
      <c r="R19" s="251">
        <f t="shared" si="4"/>
        <v>8.222140205963008</v>
      </c>
      <c r="S19" s="251">
        <f>N19/I19</f>
        <v>7.0954419441181473</v>
      </c>
      <c r="T19" s="251">
        <f t="shared" si="5"/>
        <v>7.6100292826680738</v>
      </c>
      <c r="U19" s="251">
        <f>P19/K19</f>
        <v>8.5380710659898469</v>
      </c>
      <c r="V19" s="251" t="str">
        <f t="shared" si="2"/>
        <v>18_50_9_Express</v>
      </c>
      <c r="W19" s="318"/>
    </row>
    <row r="20" spans="1:23" x14ac:dyDescent="0.3">
      <c r="A20" s="5" t="str">
        <f t="shared" si="1"/>
        <v>9_60</v>
      </c>
      <c r="B20" s="5">
        <v>19</v>
      </c>
      <c r="C20" s="4">
        <v>60</v>
      </c>
      <c r="D20" s="5">
        <v>9</v>
      </c>
      <c r="E20" s="6" t="s">
        <v>9</v>
      </c>
      <c r="F20" s="280" t="str">
        <f>VLOOKUP(C20,abm2_mode!$A$2:$C$139,3,FALSE)</f>
        <v xml:space="preserve">Express Bus                                                                </v>
      </c>
      <c r="G20" s="247">
        <v>48.311000000000014</v>
      </c>
      <c r="H20" s="247">
        <v>148.86899999999997</v>
      </c>
      <c r="I20" s="247">
        <v>2.4953846153843084</v>
      </c>
      <c r="J20" s="247">
        <v>140.22461538461567</v>
      </c>
      <c r="K20" s="247">
        <v>0</v>
      </c>
      <c r="L20" s="319">
        <v>552.69100000000003</v>
      </c>
      <c r="M20" s="319">
        <v>1426.7089999999998</v>
      </c>
      <c r="N20" s="319">
        <v>22.555384615381843</v>
      </c>
      <c r="O20" s="319">
        <v>1288.2846153846181</v>
      </c>
      <c r="P20" s="319">
        <v>0</v>
      </c>
      <c r="Q20" s="251">
        <f>L20/G20</f>
        <v>11.440272401730452</v>
      </c>
      <c r="R20" s="251">
        <f t="shared" si="4"/>
        <v>9.5836540851352545</v>
      </c>
      <c r="S20" s="251">
        <f>N20/I20</f>
        <v>9.0388409371146743</v>
      </c>
      <c r="T20" s="251">
        <f t="shared" si="5"/>
        <v>9.1872929146643845</v>
      </c>
      <c r="U20" s="251">
        <v>0</v>
      </c>
      <c r="V20" s="251" t="str">
        <f t="shared" si="2"/>
        <v>19_60_9_Express</v>
      </c>
      <c r="W20" s="318"/>
    </row>
    <row r="21" spans="1:23" x14ac:dyDescent="0.3">
      <c r="A21" s="5" t="str">
        <f t="shared" si="1"/>
        <v>9_110</v>
      </c>
      <c r="B21" s="5">
        <v>20</v>
      </c>
      <c r="C21" s="4">
        <v>110</v>
      </c>
      <c r="D21" s="5">
        <v>9</v>
      </c>
      <c r="E21" s="6" t="s">
        <v>9</v>
      </c>
      <c r="F21" s="280" t="str">
        <f>VLOOKUP(C21,abm2_mode!$A$2:$C$139,3,FALSE)</f>
        <v xml:space="preserve">Express Bus                                                                </v>
      </c>
      <c r="G21" s="247">
        <v>0</v>
      </c>
      <c r="H21" s="247">
        <v>110.49000000000001</v>
      </c>
      <c r="I21" s="247">
        <v>0</v>
      </c>
      <c r="J21" s="247">
        <v>113.47</v>
      </c>
      <c r="K21" s="247">
        <v>0</v>
      </c>
      <c r="L21" s="319">
        <v>0</v>
      </c>
      <c r="M21" s="319">
        <v>1572.6799999999998</v>
      </c>
      <c r="N21" s="319">
        <v>0</v>
      </c>
      <c r="O21" s="319">
        <v>1663.27</v>
      </c>
      <c r="P21" s="319">
        <v>0</v>
      </c>
      <c r="Q21" s="251">
        <v>0</v>
      </c>
      <c r="R21" s="251">
        <f t="shared" si="4"/>
        <v>14.23368630645307</v>
      </c>
      <c r="S21" s="251">
        <v>0</v>
      </c>
      <c r="T21" s="251">
        <f t="shared" si="5"/>
        <v>14.658235657001851</v>
      </c>
      <c r="U21" s="251">
        <v>0</v>
      </c>
      <c r="V21" s="251" t="str">
        <f t="shared" si="2"/>
        <v>20_110_9_Express</v>
      </c>
      <c r="W21" s="318"/>
    </row>
    <row r="22" spans="1:23" x14ac:dyDescent="0.3">
      <c r="A22" s="5" t="str">
        <f t="shared" si="1"/>
        <v>9_120</v>
      </c>
      <c r="B22" s="5">
        <v>21</v>
      </c>
      <c r="C22" s="4">
        <v>120</v>
      </c>
      <c r="D22" s="5">
        <v>9</v>
      </c>
      <c r="E22" s="6" t="s">
        <v>9</v>
      </c>
      <c r="F22" s="280" t="str">
        <f>VLOOKUP(C22,abm2_mode!$A$2:$C$139,3,FALSE)</f>
        <v xml:space="preserve">Express Bus                                                                </v>
      </c>
      <c r="G22" s="247">
        <v>38.992273595199116</v>
      </c>
      <c r="H22" s="247">
        <v>541.35095280084795</v>
      </c>
      <c r="I22" s="247">
        <v>1379.353312065489</v>
      </c>
      <c r="J22" s="247">
        <v>693.108147557037</v>
      </c>
      <c r="K22" s="247">
        <v>295.18531398142665</v>
      </c>
      <c r="L22" s="319">
        <v>149.63631989907253</v>
      </c>
      <c r="M22" s="319">
        <v>1958.3441748674122</v>
      </c>
      <c r="N22" s="319">
        <v>4677.6988001053023</v>
      </c>
      <c r="O22" s="319">
        <v>2250.4470078102063</v>
      </c>
      <c r="P22" s="319">
        <v>1039.8636973180051</v>
      </c>
      <c r="Q22" s="251">
        <f>L22/G22</f>
        <v>3.8375889914122974</v>
      </c>
      <c r="R22" s="251">
        <f t="shared" si="4"/>
        <v>3.6175131210821889</v>
      </c>
      <c r="S22" s="251">
        <f t="shared" ref="S22:S55" si="6">N22/I22</f>
        <v>3.3912259891562968</v>
      </c>
      <c r="T22" s="251">
        <f t="shared" si="5"/>
        <v>3.2468915792466766</v>
      </c>
      <c r="U22" s="251">
        <f t="shared" ref="U22:U36" si="7">P22/K22</f>
        <v>3.5227487549852645</v>
      </c>
      <c r="V22" s="251" t="str">
        <f t="shared" si="2"/>
        <v>21_120_9_Express</v>
      </c>
      <c r="W22" s="318"/>
    </row>
    <row r="23" spans="1:23" x14ac:dyDescent="0.3">
      <c r="A23" s="5" t="str">
        <f t="shared" si="1"/>
        <v>9_150</v>
      </c>
      <c r="B23" s="5">
        <v>22</v>
      </c>
      <c r="C23" s="4">
        <v>150</v>
      </c>
      <c r="D23" s="5">
        <v>9</v>
      </c>
      <c r="E23" s="6" t="s">
        <v>9</v>
      </c>
      <c r="F23" s="280" t="str">
        <f>VLOOKUP(C23,abm2_mode!$A$2:$C$139,3,FALSE)</f>
        <v xml:space="preserve">Express Bus                                                                </v>
      </c>
      <c r="G23" s="247">
        <v>0</v>
      </c>
      <c r="H23" s="247">
        <v>853.23509139769192</v>
      </c>
      <c r="I23" s="247">
        <v>1342.0124062896327</v>
      </c>
      <c r="J23" s="247">
        <v>911.29095357442793</v>
      </c>
      <c r="K23" s="247">
        <v>286.36154873824779</v>
      </c>
      <c r="L23" s="319">
        <v>0</v>
      </c>
      <c r="M23" s="319">
        <v>7757.0281953752128</v>
      </c>
      <c r="N23" s="319">
        <v>10208.65177224734</v>
      </c>
      <c r="O23" s="319">
        <v>7731.3480383151054</v>
      </c>
      <c r="P23" s="319">
        <v>2141.6419940623405</v>
      </c>
      <c r="Q23" s="251">
        <v>0</v>
      </c>
      <c r="R23" s="251">
        <f t="shared" si="4"/>
        <v>9.0913140746102652</v>
      </c>
      <c r="S23" s="251">
        <f t="shared" si="6"/>
        <v>7.6069727257380597</v>
      </c>
      <c r="T23" s="251">
        <f t="shared" si="5"/>
        <v>8.4839512649498303</v>
      </c>
      <c r="U23" s="251">
        <f t="shared" si="7"/>
        <v>7.4788043419192922</v>
      </c>
      <c r="V23" s="251" t="str">
        <f t="shared" si="2"/>
        <v>22_150_9_Express</v>
      </c>
      <c r="W23" s="318"/>
    </row>
    <row r="24" spans="1:23" x14ac:dyDescent="0.3">
      <c r="A24" s="5" t="str">
        <f t="shared" si="1"/>
        <v>9_950</v>
      </c>
      <c r="B24" s="5">
        <v>23</v>
      </c>
      <c r="C24" s="4">
        <v>950</v>
      </c>
      <c r="D24" s="5">
        <v>9</v>
      </c>
      <c r="E24" s="6" t="s">
        <v>9</v>
      </c>
      <c r="F24" s="280" t="str">
        <f>VLOOKUP(C24,abm2_mode!$A$2:$C$139,3,FALSE)</f>
        <v xml:space="preserve">Express Bus                                                                </v>
      </c>
      <c r="G24" s="247">
        <v>222.58428571428564</v>
      </c>
      <c r="H24" s="247">
        <v>448.43428571428575</v>
      </c>
      <c r="I24" s="247">
        <v>326.84214285714188</v>
      </c>
      <c r="J24" s="247">
        <v>251.11928571428672</v>
      </c>
      <c r="K24" s="247">
        <v>24.25</v>
      </c>
      <c r="L24" s="319">
        <v>1824.9064285714283</v>
      </c>
      <c r="M24" s="319">
        <v>3737.2578571428571</v>
      </c>
      <c r="N24" s="319">
        <v>2721.9321428571347</v>
      </c>
      <c r="O24" s="319">
        <v>2089.9335714285799</v>
      </c>
      <c r="P24" s="319">
        <v>196.61</v>
      </c>
      <c r="Q24" s="251">
        <f t="shared" ref="Q24:Q37" si="8">L24/G24</f>
        <v>8.1987208697828766</v>
      </c>
      <c r="R24" s="251">
        <f t="shared" si="4"/>
        <v>8.3340145394770371</v>
      </c>
      <c r="S24" s="251">
        <f t="shared" si="6"/>
        <v>8.3279717819218106</v>
      </c>
      <c r="T24" s="251">
        <f t="shared" si="5"/>
        <v>8.3224733834518023</v>
      </c>
      <c r="U24" s="251">
        <f t="shared" si="7"/>
        <v>8.1076288659793825</v>
      </c>
      <c r="V24" s="251" t="str">
        <f t="shared" si="2"/>
        <v>23_950_9_Express</v>
      </c>
      <c r="W24" s="318"/>
    </row>
    <row r="25" spans="1:23" x14ac:dyDescent="0.3">
      <c r="A25" s="1" t="str">
        <f t="shared" si="1"/>
        <v>9_709E</v>
      </c>
      <c r="B25" s="5">
        <v>24</v>
      </c>
      <c r="C25" s="274" t="s">
        <v>104</v>
      </c>
      <c r="D25" s="1">
        <v>9</v>
      </c>
      <c r="E25" s="276" t="s">
        <v>9</v>
      </c>
      <c r="F25" s="282" t="str">
        <f>VLOOKUP(C25,abm2_mode!$A$2:$C$139,3,FALSE)</f>
        <v xml:space="preserve">Express Bus                                                                </v>
      </c>
      <c r="G25" s="268">
        <v>0</v>
      </c>
      <c r="H25" s="268">
        <v>221.13</v>
      </c>
      <c r="I25" s="268">
        <v>121.81000000000003</v>
      </c>
      <c r="J25" s="268">
        <v>123.11</v>
      </c>
      <c r="K25" s="268">
        <v>0</v>
      </c>
      <c r="L25" s="323">
        <v>0</v>
      </c>
      <c r="M25" s="323">
        <v>1189.0685714285712</v>
      </c>
      <c r="N25" s="323">
        <v>627.1614285714287</v>
      </c>
      <c r="O25" s="323">
        <v>680.41</v>
      </c>
      <c r="P25" s="323">
        <v>0</v>
      </c>
      <c r="Q25" s="264"/>
      <c r="R25" s="264"/>
      <c r="S25" s="264"/>
      <c r="T25" s="264"/>
      <c r="U25" s="264"/>
      <c r="V25" s="251" t="str">
        <f t="shared" si="2"/>
        <v>24_709E_9_Express</v>
      </c>
      <c r="W25" s="318"/>
    </row>
    <row r="26" spans="1:23" x14ac:dyDescent="0.3">
      <c r="A26" s="5" t="str">
        <f t="shared" si="1"/>
        <v>10_1</v>
      </c>
      <c r="B26" s="5">
        <v>25</v>
      </c>
      <c r="C26" s="4">
        <v>1</v>
      </c>
      <c r="D26" s="5">
        <v>10</v>
      </c>
      <c r="E26" s="6" t="s">
        <v>0</v>
      </c>
      <c r="F26" s="280" t="str">
        <f>VLOOKUP(C26,abm2_mode!$A$2:$C$139,3,FALSE)</f>
        <v xml:space="preserve">Local Bus                                                                  </v>
      </c>
      <c r="G26" s="247">
        <v>79.084685156651219</v>
      </c>
      <c r="H26" s="247">
        <v>674.38103289960497</v>
      </c>
      <c r="I26" s="247">
        <v>2410.8810218071703</v>
      </c>
      <c r="J26" s="247">
        <v>1141.0123323892522</v>
      </c>
      <c r="K26" s="247">
        <v>480.51092774732143</v>
      </c>
      <c r="L26" s="319">
        <v>190.69981684643034</v>
      </c>
      <c r="M26" s="319">
        <v>1613.818825206441</v>
      </c>
      <c r="N26" s="319">
        <v>5265.7598450829046</v>
      </c>
      <c r="O26" s="319">
        <v>2507.325380377667</v>
      </c>
      <c r="P26" s="319">
        <v>1430.5361324865578</v>
      </c>
      <c r="Q26" s="251">
        <f t="shared" si="8"/>
        <v>2.411336865901299</v>
      </c>
      <c r="R26" s="251">
        <f t="shared" si="4"/>
        <v>2.3930370910160073</v>
      </c>
      <c r="S26" s="251">
        <f t="shared" si="6"/>
        <v>2.1841641281558339</v>
      </c>
      <c r="T26" s="251">
        <f t="shared" si="5"/>
        <v>2.197456862825828</v>
      </c>
      <c r="U26" s="251">
        <f t="shared" si="7"/>
        <v>2.9771146708214111</v>
      </c>
      <c r="V26" s="251" t="str">
        <f t="shared" si="2"/>
        <v>25_1_10_Local</v>
      </c>
      <c r="W26" s="318"/>
    </row>
    <row r="27" spans="1:23" x14ac:dyDescent="0.3">
      <c r="A27" s="5" t="str">
        <f t="shared" si="1"/>
        <v>10_2</v>
      </c>
      <c r="B27" s="5">
        <v>26</v>
      </c>
      <c r="C27" s="4">
        <v>2</v>
      </c>
      <c r="D27" s="5">
        <v>10</v>
      </c>
      <c r="E27" s="6" t="s">
        <v>0</v>
      </c>
      <c r="F27" s="280" t="str">
        <f>VLOOKUP(C27,abm2_mode!$A$2:$C$139,3,FALSE)</f>
        <v xml:space="preserve">Local Bus                                                                  </v>
      </c>
      <c r="G27" s="247">
        <v>67.694236453201952</v>
      </c>
      <c r="H27" s="247">
        <v>724.98387165490612</v>
      </c>
      <c r="I27" s="247">
        <v>1566.4937430488624</v>
      </c>
      <c r="J27" s="247">
        <v>964.42564334852523</v>
      </c>
      <c r="K27" s="247">
        <v>388.33250549450395</v>
      </c>
      <c r="L27" s="319">
        <v>125.27300492610831</v>
      </c>
      <c r="M27" s="319">
        <v>1349.5715896684862</v>
      </c>
      <c r="N27" s="319">
        <v>2896.6355930226605</v>
      </c>
      <c r="O27" s="319">
        <v>1813.4309576818916</v>
      </c>
      <c r="P27" s="319">
        <v>780.05885470085173</v>
      </c>
      <c r="Q27" s="251">
        <f t="shared" si="8"/>
        <v>1.8505712079744252</v>
      </c>
      <c r="R27" s="251">
        <f t="shared" si="4"/>
        <v>1.8615194660645984</v>
      </c>
      <c r="S27" s="251">
        <f t="shared" si="6"/>
        <v>1.8491204359265085</v>
      </c>
      <c r="T27" s="251">
        <f t="shared" si="5"/>
        <v>1.8803222106222572</v>
      </c>
      <c r="U27" s="251">
        <f t="shared" si="7"/>
        <v>2.0087395303350206</v>
      </c>
      <c r="V27" s="251" t="str">
        <f t="shared" si="2"/>
        <v>26_2_10_Local</v>
      </c>
      <c r="W27" s="318"/>
    </row>
    <row r="28" spans="1:23" x14ac:dyDescent="0.3">
      <c r="A28" s="5" t="str">
        <f t="shared" si="1"/>
        <v>10_3</v>
      </c>
      <c r="B28" s="5">
        <v>27</v>
      </c>
      <c r="C28" s="4">
        <v>3</v>
      </c>
      <c r="D28" s="5">
        <v>10</v>
      </c>
      <c r="E28" s="6" t="s">
        <v>0</v>
      </c>
      <c r="F28" s="280" t="str">
        <f>VLOOKUP(C28,abm2_mode!$A$2:$C$139,3,FALSE)</f>
        <v xml:space="preserve">Local Bus                                                                  </v>
      </c>
      <c r="G28" s="247">
        <v>97.604630844954869</v>
      </c>
      <c r="H28" s="247">
        <v>1070.2351672912118</v>
      </c>
      <c r="I28" s="247">
        <v>2887.5392578078863</v>
      </c>
      <c r="J28" s="247">
        <v>1396.9119571937842</v>
      </c>
      <c r="K28" s="247">
        <v>509.25898686216311</v>
      </c>
      <c r="L28" s="319">
        <v>224.85074856439701</v>
      </c>
      <c r="M28" s="319">
        <v>2134.2037523845725</v>
      </c>
      <c r="N28" s="319">
        <v>5495.9742473027709</v>
      </c>
      <c r="O28" s="319">
        <v>2849.6725274186047</v>
      </c>
      <c r="P28" s="319">
        <v>1274.3087243296529</v>
      </c>
      <c r="Q28" s="251">
        <f t="shared" si="8"/>
        <v>2.3036893497560871</v>
      </c>
      <c r="R28" s="251">
        <f t="shared" si="4"/>
        <v>1.9941446680230925</v>
      </c>
      <c r="S28" s="251">
        <f t="shared" si="6"/>
        <v>1.903341827281376</v>
      </c>
      <c r="T28" s="251">
        <f t="shared" si="5"/>
        <v>2.0399800522455465</v>
      </c>
      <c r="U28" s="251">
        <f t="shared" si="7"/>
        <v>2.5022802880345818</v>
      </c>
      <c r="V28" s="251" t="str">
        <f t="shared" si="2"/>
        <v>27_3_10_Local</v>
      </c>
      <c r="W28" s="318"/>
    </row>
    <row r="29" spans="1:23" x14ac:dyDescent="0.3">
      <c r="A29" s="5" t="str">
        <f t="shared" si="1"/>
        <v>10_4</v>
      </c>
      <c r="B29" s="5">
        <v>28</v>
      </c>
      <c r="C29" s="4">
        <v>4</v>
      </c>
      <c r="D29" s="5">
        <v>10</v>
      </c>
      <c r="E29" s="6" t="s">
        <v>0</v>
      </c>
      <c r="F29" s="280" t="str">
        <f>VLOOKUP(C29,abm2_mode!$A$2:$C$139,3,FALSE)</f>
        <v xml:space="preserve">Local Bus                                                                  </v>
      </c>
      <c r="G29" s="247">
        <v>60.585499999999996</v>
      </c>
      <c r="H29" s="247">
        <v>450.0163</v>
      </c>
      <c r="I29" s="247">
        <v>1128.6425678799651</v>
      </c>
      <c r="J29" s="247">
        <v>736.59914729640946</v>
      </c>
      <c r="K29" s="247">
        <v>323.35648482362535</v>
      </c>
      <c r="L29" s="319">
        <v>197.1575</v>
      </c>
      <c r="M29" s="319">
        <v>1219.1794999999997</v>
      </c>
      <c r="N29" s="319">
        <v>3013.828879410944</v>
      </c>
      <c r="O29" s="319">
        <v>1995.1607202609207</v>
      </c>
      <c r="P29" s="319">
        <v>1078.953400328136</v>
      </c>
      <c r="Q29" s="251">
        <f t="shared" si="8"/>
        <v>3.2542027382789613</v>
      </c>
      <c r="R29" s="251">
        <f t="shared" si="4"/>
        <v>2.7091896449084172</v>
      </c>
      <c r="S29" s="251">
        <f t="shared" si="6"/>
        <v>2.6703129628294109</v>
      </c>
      <c r="T29" s="251">
        <f t="shared" si="5"/>
        <v>2.7086112271292961</v>
      </c>
      <c r="U29" s="251">
        <f t="shared" si="7"/>
        <v>3.3367303609718872</v>
      </c>
      <c r="V29" s="251" t="str">
        <f t="shared" si="2"/>
        <v>28_4_10_Local</v>
      </c>
      <c r="W29" s="318"/>
    </row>
    <row r="30" spans="1:23" x14ac:dyDescent="0.3">
      <c r="A30" s="5" t="str">
        <f t="shared" si="1"/>
        <v>10_5</v>
      </c>
      <c r="B30" s="5">
        <v>29</v>
      </c>
      <c r="C30" s="4">
        <v>5</v>
      </c>
      <c r="D30" s="5">
        <v>10</v>
      </c>
      <c r="E30" s="6" t="s">
        <v>0</v>
      </c>
      <c r="F30" s="280" t="str">
        <f>VLOOKUP(C30,abm2_mode!$A$2:$C$139,3,FALSE)</f>
        <v xml:space="preserve">Local Bus                                                                  </v>
      </c>
      <c r="G30" s="247">
        <v>61.532026315789423</v>
      </c>
      <c r="H30" s="247">
        <v>628.2115570175439</v>
      </c>
      <c r="I30" s="247">
        <v>1420.6413999442561</v>
      </c>
      <c r="J30" s="247">
        <v>791.8716833890777</v>
      </c>
      <c r="K30" s="247">
        <v>247.0433333333325</v>
      </c>
      <c r="L30" s="319">
        <v>134.32081578947358</v>
      </c>
      <c r="M30" s="319">
        <v>1183.3251008771933</v>
      </c>
      <c r="N30" s="319">
        <v>2469.8199863433629</v>
      </c>
      <c r="O30" s="319">
        <v>1462.2698112756862</v>
      </c>
      <c r="P30" s="319">
        <v>476.36428571428439</v>
      </c>
      <c r="Q30" s="251">
        <f t="shared" si="8"/>
        <v>2.1829415319450676</v>
      </c>
      <c r="R30" s="251">
        <f t="shared" si="4"/>
        <v>1.8836410881949868</v>
      </c>
      <c r="S30" s="251">
        <f t="shared" si="6"/>
        <v>1.7385245751955947</v>
      </c>
      <c r="T30" s="251">
        <f t="shared" si="5"/>
        <v>1.8465994452755492</v>
      </c>
      <c r="U30" s="251">
        <f t="shared" si="7"/>
        <v>1.9282620554327283</v>
      </c>
      <c r="V30" s="251" t="str">
        <f t="shared" si="2"/>
        <v>29_5_10_Local</v>
      </c>
      <c r="W30" s="318"/>
    </row>
    <row r="31" spans="1:23" x14ac:dyDescent="0.3">
      <c r="A31" s="5" t="str">
        <f t="shared" si="1"/>
        <v>10_6</v>
      </c>
      <c r="B31" s="5">
        <v>30</v>
      </c>
      <c r="C31" s="4">
        <v>6</v>
      </c>
      <c r="D31" s="5">
        <v>10</v>
      </c>
      <c r="E31" s="6" t="s">
        <v>0</v>
      </c>
      <c r="F31" s="280" t="str">
        <f>VLOOKUP(C31,abm2_mode!$A$2:$C$139,3,FALSE)</f>
        <v xml:space="preserve">Local Bus                                                                  </v>
      </c>
      <c r="G31" s="247">
        <v>18.227894736842096</v>
      </c>
      <c r="H31" s="247">
        <v>280.32008945288118</v>
      </c>
      <c r="I31" s="247">
        <v>841.50509052291966</v>
      </c>
      <c r="J31" s="247">
        <v>416.73692528735728</v>
      </c>
      <c r="K31" s="247">
        <v>170.26000000000002</v>
      </c>
      <c r="L31" s="319">
        <v>49.474736842105237</v>
      </c>
      <c r="M31" s="319">
        <v>668.89613272311215</v>
      </c>
      <c r="N31" s="319">
        <v>1806.1806821589189</v>
      </c>
      <c r="O31" s="319">
        <v>942.59844827586403</v>
      </c>
      <c r="P31" s="319">
        <v>447.21999999999997</v>
      </c>
      <c r="Q31" s="251">
        <f t="shared" si="8"/>
        <v>2.7142320907804693</v>
      </c>
      <c r="R31" s="251">
        <f t="shared" si="4"/>
        <v>2.386186926626058</v>
      </c>
      <c r="S31" s="251">
        <f t="shared" si="6"/>
        <v>2.146369288195916</v>
      </c>
      <c r="T31" s="251">
        <f t="shared" si="5"/>
        <v>2.2618548803322471</v>
      </c>
      <c r="U31" s="251">
        <f t="shared" si="7"/>
        <v>2.6266885939151883</v>
      </c>
      <c r="V31" s="251" t="str">
        <f t="shared" si="2"/>
        <v>30_6_10_Local</v>
      </c>
      <c r="W31" s="318"/>
    </row>
    <row r="32" spans="1:23" x14ac:dyDescent="0.3">
      <c r="A32" s="5" t="str">
        <f t="shared" si="1"/>
        <v>10_7</v>
      </c>
      <c r="B32" s="5">
        <v>31</v>
      </c>
      <c r="C32" s="4">
        <v>7</v>
      </c>
      <c r="D32" s="5">
        <v>10</v>
      </c>
      <c r="E32" s="6" t="s">
        <v>0</v>
      </c>
      <c r="F32" s="280" t="str">
        <f>VLOOKUP(C32,abm2_mode!$A$2:$C$139,3,FALSE)</f>
        <v xml:space="preserve">Local Bus                                                                  </v>
      </c>
      <c r="G32" s="247">
        <v>187.50530816512364</v>
      </c>
      <c r="H32" s="247">
        <v>1579.4288393467234</v>
      </c>
      <c r="I32" s="247">
        <v>4250.5428358381314</v>
      </c>
      <c r="J32" s="247">
        <v>2176.9602055165738</v>
      </c>
      <c r="K32" s="247">
        <v>1026.0528111334481</v>
      </c>
      <c r="L32" s="319">
        <v>628.5845749529658</v>
      </c>
      <c r="M32" s="319">
        <v>4278.5286947190007</v>
      </c>
      <c r="N32" s="319">
        <v>10141.731913811203</v>
      </c>
      <c r="O32" s="319">
        <v>5403.2718684387373</v>
      </c>
      <c r="P32" s="319">
        <v>3187.6629480780912</v>
      </c>
      <c r="Q32" s="251">
        <f t="shared" si="8"/>
        <v>3.3523561604955341</v>
      </c>
      <c r="R32" s="251">
        <f t="shared" si="4"/>
        <v>2.7089088081288089</v>
      </c>
      <c r="S32" s="251">
        <f t="shared" si="6"/>
        <v>2.3859851095492921</v>
      </c>
      <c r="T32" s="251">
        <f t="shared" si="5"/>
        <v>2.4820260171713096</v>
      </c>
      <c r="U32" s="251">
        <f t="shared" si="7"/>
        <v>3.1067240530794713</v>
      </c>
      <c r="V32" s="251" t="str">
        <f t="shared" si="2"/>
        <v>31_7_10_Local</v>
      </c>
      <c r="W32" s="318"/>
    </row>
    <row r="33" spans="1:23" x14ac:dyDescent="0.3">
      <c r="A33" s="5" t="str">
        <f t="shared" si="1"/>
        <v>10_8</v>
      </c>
      <c r="B33" s="5">
        <v>32</v>
      </c>
      <c r="C33" s="4">
        <v>8</v>
      </c>
      <c r="D33" s="5">
        <v>10</v>
      </c>
      <c r="E33" s="6" t="s">
        <v>0</v>
      </c>
      <c r="F33" s="280" t="str">
        <f>VLOOKUP(C33,abm2_mode!$A$2:$C$139,3,FALSE)</f>
        <v xml:space="preserve">Local Bus                                                                  </v>
      </c>
      <c r="G33" s="247">
        <v>26.605263157894747</v>
      </c>
      <c r="H33" s="247">
        <v>188.22598684210519</v>
      </c>
      <c r="I33" s="247">
        <v>681.28066111111002</v>
      </c>
      <c r="J33" s="247">
        <v>381.10308888889034</v>
      </c>
      <c r="K33" s="247">
        <v>172.45499999999964</v>
      </c>
      <c r="L33" s="319">
        <v>75.312631578947389</v>
      </c>
      <c r="M33" s="319">
        <v>584.45820175438598</v>
      </c>
      <c r="N33" s="319">
        <v>1806.7043666666632</v>
      </c>
      <c r="O33" s="319">
        <v>1077.859800000004</v>
      </c>
      <c r="P33" s="319">
        <v>508.77499999999895</v>
      </c>
      <c r="Q33" s="251">
        <f t="shared" si="8"/>
        <v>2.8307418397626112</v>
      </c>
      <c r="R33" s="251">
        <f t="shared" si="4"/>
        <v>3.1050877275764437</v>
      </c>
      <c r="S33" s="251">
        <f t="shared" si="6"/>
        <v>2.6519237515418155</v>
      </c>
      <c r="T33" s="251">
        <f t="shared" si="5"/>
        <v>2.8282630905525181</v>
      </c>
      <c r="U33" s="251">
        <f t="shared" si="7"/>
        <v>2.9501899046127975</v>
      </c>
      <c r="V33" s="251" t="str">
        <f t="shared" si="2"/>
        <v>32_8_10_Local</v>
      </c>
      <c r="W33" s="318"/>
    </row>
    <row r="34" spans="1:23" x14ac:dyDescent="0.3">
      <c r="A34" s="5" t="str">
        <f t="shared" si="1"/>
        <v>10_9</v>
      </c>
      <c r="B34" s="5">
        <v>33</v>
      </c>
      <c r="C34" s="4">
        <v>9</v>
      </c>
      <c r="D34" s="5">
        <v>10</v>
      </c>
      <c r="E34" s="6" t="s">
        <v>0</v>
      </c>
      <c r="F34" s="280" t="str">
        <f>VLOOKUP(C34,abm2_mode!$A$2:$C$139,3,FALSE)</f>
        <v xml:space="preserve">Local Bus                                                                  </v>
      </c>
      <c r="G34" s="247">
        <v>4.463529411764708</v>
      </c>
      <c r="H34" s="247">
        <v>201.95393140328235</v>
      </c>
      <c r="I34" s="247">
        <v>640.91005269846562</v>
      </c>
      <c r="J34" s="247">
        <v>353.40538971229387</v>
      </c>
      <c r="K34" s="247">
        <v>98.137096774193381</v>
      </c>
      <c r="L34" s="319">
        <v>11.2164705882353</v>
      </c>
      <c r="M34" s="319">
        <v>530.29948552461747</v>
      </c>
      <c r="N34" s="319">
        <v>1773.420352767454</v>
      </c>
      <c r="O34" s="319">
        <v>970.98143305517749</v>
      </c>
      <c r="P34" s="319">
        <v>249.07225806451575</v>
      </c>
      <c r="Q34" s="251">
        <f t="shared" si="8"/>
        <v>2.5129151291512914</v>
      </c>
      <c r="R34" s="251">
        <f t="shared" si="4"/>
        <v>2.6258438339863805</v>
      </c>
      <c r="S34" s="251">
        <f t="shared" si="6"/>
        <v>2.7670346958995355</v>
      </c>
      <c r="T34" s="251">
        <f t="shared" si="5"/>
        <v>2.747500353193963</v>
      </c>
      <c r="U34" s="251">
        <f t="shared" si="7"/>
        <v>2.5380031226887998</v>
      </c>
      <c r="V34" s="251" t="str">
        <f t="shared" si="2"/>
        <v>33_9_10_Local</v>
      </c>
      <c r="W34" s="318"/>
    </row>
    <row r="35" spans="1:23" x14ac:dyDescent="0.3">
      <c r="A35" s="5" t="str">
        <f t="shared" si="1"/>
        <v>10_11</v>
      </c>
      <c r="B35" s="5">
        <v>34</v>
      </c>
      <c r="C35" s="4">
        <v>11</v>
      </c>
      <c r="D35" s="5">
        <v>10</v>
      </c>
      <c r="E35" s="6" t="s">
        <v>0</v>
      </c>
      <c r="F35" s="280" t="str">
        <f>VLOOKUP(C35,abm2_mode!$A$2:$C$139,3,FALSE)</f>
        <v xml:space="preserve">Local Bus                                                                  </v>
      </c>
      <c r="G35" s="247">
        <v>169.20255369843977</v>
      </c>
      <c r="H35" s="247">
        <v>1648.8545165431465</v>
      </c>
      <c r="I35" s="247">
        <v>3591.9043751812587</v>
      </c>
      <c r="J35" s="247">
        <v>2096.3592853196274</v>
      </c>
      <c r="K35" s="247">
        <v>649.49926925752891</v>
      </c>
      <c r="L35" s="319">
        <v>712.30730136635998</v>
      </c>
      <c r="M35" s="319">
        <v>5675.8485749079045</v>
      </c>
      <c r="N35" s="319">
        <v>11061.171580431415</v>
      </c>
      <c r="O35" s="319">
        <v>6650.0390362831995</v>
      </c>
      <c r="P35" s="319">
        <v>2622.3735070111188</v>
      </c>
      <c r="Q35" s="251">
        <f t="shared" si="8"/>
        <v>4.2097904895446518</v>
      </c>
      <c r="R35" s="251">
        <f t="shared" si="4"/>
        <v>3.4422979819999067</v>
      </c>
      <c r="S35" s="251">
        <f t="shared" si="6"/>
        <v>3.0794727323088145</v>
      </c>
      <c r="T35" s="251">
        <f t="shared" si="5"/>
        <v>3.1721847885770602</v>
      </c>
      <c r="U35" s="251">
        <f t="shared" si="7"/>
        <v>4.037531112250317</v>
      </c>
      <c r="V35" s="251" t="str">
        <f t="shared" si="2"/>
        <v>34_11_10_Local</v>
      </c>
      <c r="W35" s="318"/>
    </row>
    <row r="36" spans="1:23" x14ac:dyDescent="0.3">
      <c r="A36" s="5" t="str">
        <f t="shared" si="1"/>
        <v>10_13</v>
      </c>
      <c r="B36" s="5">
        <v>35</v>
      </c>
      <c r="C36" s="4">
        <v>13</v>
      </c>
      <c r="D36" s="5">
        <v>10</v>
      </c>
      <c r="E36" s="6" t="s">
        <v>0</v>
      </c>
      <c r="F36" s="280" t="str">
        <f>VLOOKUP(C36,abm2_mode!$A$2:$C$139,3,FALSE)</f>
        <v xml:space="preserve">Local Bus                                                                  </v>
      </c>
      <c r="G36" s="247">
        <v>173.6163673444276</v>
      </c>
      <c r="H36" s="247">
        <v>1383.9710793477545</v>
      </c>
      <c r="I36" s="247">
        <v>3098.831014846276</v>
      </c>
      <c r="J36" s="247">
        <v>1623.0986658273853</v>
      </c>
      <c r="K36" s="247">
        <v>555.74287263415658</v>
      </c>
      <c r="L36" s="319">
        <v>494.40483302072516</v>
      </c>
      <c r="M36" s="319">
        <v>3706.2246742236703</v>
      </c>
      <c r="N36" s="319">
        <v>8158.4943389094415</v>
      </c>
      <c r="O36" s="319">
        <v>4385.881414213929</v>
      </c>
      <c r="P36" s="319">
        <v>1648.924739632233</v>
      </c>
      <c r="Q36" s="251">
        <f t="shared" si="8"/>
        <v>2.8476856219431412</v>
      </c>
      <c r="R36" s="251">
        <f t="shared" si="4"/>
        <v>2.6779639614798598</v>
      </c>
      <c r="S36" s="251">
        <f t="shared" si="6"/>
        <v>2.6327651620313217</v>
      </c>
      <c r="T36" s="251">
        <f t="shared" si="5"/>
        <v>2.7021656209532998</v>
      </c>
      <c r="U36" s="251">
        <f t="shared" si="7"/>
        <v>2.9670641241272633</v>
      </c>
      <c r="V36" s="251" t="str">
        <f t="shared" si="2"/>
        <v>35_13_10_Local</v>
      </c>
      <c r="W36" s="318"/>
    </row>
    <row r="37" spans="1:23" x14ac:dyDescent="0.3">
      <c r="A37" s="5" t="str">
        <f t="shared" si="1"/>
        <v>10_14</v>
      </c>
      <c r="B37" s="5">
        <v>36</v>
      </c>
      <c r="C37" s="4">
        <v>14</v>
      </c>
      <c r="D37" s="5">
        <v>10</v>
      </c>
      <c r="E37" s="6" t="s">
        <v>0</v>
      </c>
      <c r="F37" s="280" t="str">
        <f>VLOOKUP(C37,abm2_mode!$A$2:$C$139,3,FALSE)</f>
        <v xml:space="preserve">Local Bus                                                                  </v>
      </c>
      <c r="G37" s="247">
        <v>3.7499999999999996</v>
      </c>
      <c r="H37" s="247">
        <v>62.508865248226954</v>
      </c>
      <c r="I37" s="247">
        <v>128.74113475177305</v>
      </c>
      <c r="J37" s="247">
        <v>60.82608695652182</v>
      </c>
      <c r="K37" s="247">
        <v>4.1739130434781773</v>
      </c>
      <c r="L37" s="319">
        <v>8.1579545454545439</v>
      </c>
      <c r="M37" s="319">
        <v>290.04764829142493</v>
      </c>
      <c r="N37" s="319">
        <v>277.79439716312055</v>
      </c>
      <c r="O37" s="319">
        <v>143.99695652173926</v>
      </c>
      <c r="P37" s="319">
        <v>5.4730434782607604</v>
      </c>
      <c r="Q37" s="251">
        <f t="shared" si="8"/>
        <v>2.1754545454545453</v>
      </c>
      <c r="R37" s="251">
        <f t="shared" si="4"/>
        <v>4.6401042018540251</v>
      </c>
      <c r="S37" s="251">
        <f t="shared" si="6"/>
        <v>2.1577749621264286</v>
      </c>
      <c r="T37" s="251">
        <f t="shared" si="5"/>
        <v>2.3673552537526796</v>
      </c>
      <c r="U37" s="251">
        <v>0</v>
      </c>
      <c r="V37" s="251" t="str">
        <f t="shared" si="2"/>
        <v>36_14_10_Local</v>
      </c>
      <c r="W37" s="318"/>
    </row>
    <row r="38" spans="1:23" x14ac:dyDescent="0.3">
      <c r="A38" s="5" t="str">
        <f t="shared" si="1"/>
        <v>10_18</v>
      </c>
      <c r="B38" s="5">
        <v>37</v>
      </c>
      <c r="C38" s="4">
        <v>18</v>
      </c>
      <c r="D38" s="5">
        <v>10</v>
      </c>
      <c r="E38" s="6" t="s">
        <v>0</v>
      </c>
      <c r="F38" s="280" t="str">
        <f>VLOOKUP(C38,abm2_mode!$A$2:$C$139,3,FALSE)</f>
        <v xml:space="preserve">Local Bus                                                                  </v>
      </c>
      <c r="G38" s="247">
        <v>0</v>
      </c>
      <c r="H38" s="247">
        <v>38</v>
      </c>
      <c r="I38" s="247">
        <v>70.999999999999929</v>
      </c>
      <c r="J38" s="247">
        <v>32.000000000000064</v>
      </c>
      <c r="K38" s="247">
        <v>0</v>
      </c>
      <c r="L38" s="319">
        <v>0</v>
      </c>
      <c r="M38" s="319">
        <v>102.78999999999999</v>
      </c>
      <c r="N38" s="319">
        <v>203.5299999999998</v>
      </c>
      <c r="O38" s="319">
        <v>85.940000000000182</v>
      </c>
      <c r="P38" s="319">
        <v>0</v>
      </c>
      <c r="Q38" s="251">
        <v>0</v>
      </c>
      <c r="R38" s="251">
        <f t="shared" si="4"/>
        <v>2.7049999999999996</v>
      </c>
      <c r="S38" s="251">
        <f t="shared" si="6"/>
        <v>2.8666197183098592</v>
      </c>
      <c r="T38" s="251">
        <f t="shared" si="5"/>
        <v>2.6856250000000004</v>
      </c>
      <c r="U38" s="251">
        <v>0</v>
      </c>
      <c r="V38" s="251" t="str">
        <f t="shared" si="2"/>
        <v>37_18_10_Local</v>
      </c>
      <c r="W38" s="318"/>
    </row>
    <row r="39" spans="1:23" x14ac:dyDescent="0.3">
      <c r="A39" s="5" t="str">
        <f t="shared" si="1"/>
        <v>10_25</v>
      </c>
      <c r="B39" s="5">
        <v>38</v>
      </c>
      <c r="C39" s="4">
        <v>25</v>
      </c>
      <c r="D39" s="5">
        <v>10</v>
      </c>
      <c r="E39" s="6" t="s">
        <v>0</v>
      </c>
      <c r="F39" s="280" t="str">
        <f>VLOOKUP(C39,abm2_mode!$A$2:$C$139,3,FALSE)</f>
        <v xml:space="preserve">Local Bus                                                                  </v>
      </c>
      <c r="G39" s="247">
        <v>0</v>
      </c>
      <c r="H39" s="247">
        <v>107.49056603773583</v>
      </c>
      <c r="I39" s="247">
        <v>193.56965805189972</v>
      </c>
      <c r="J39" s="247">
        <v>102.17507002801172</v>
      </c>
      <c r="K39" s="247">
        <v>3.7647058823527244</v>
      </c>
      <c r="L39" s="319">
        <v>0</v>
      </c>
      <c r="M39" s="319">
        <v>356.36849056603768</v>
      </c>
      <c r="N39" s="319">
        <v>731.70980075048794</v>
      </c>
      <c r="O39" s="319">
        <v>394.59994397759294</v>
      </c>
      <c r="P39" s="319">
        <v>15.341764705881477</v>
      </c>
      <c r="Q39" s="251">
        <v>0</v>
      </c>
      <c r="R39" s="251">
        <f t="shared" si="4"/>
        <v>3.3153466736879058</v>
      </c>
      <c r="S39" s="251">
        <f t="shared" si="6"/>
        <v>3.7800852060931089</v>
      </c>
      <c r="T39" s="251">
        <f t="shared" si="5"/>
        <v>3.8619982728606082</v>
      </c>
      <c r="U39" s="251">
        <f t="shared" ref="U39:U46" si="9">P39/K39</f>
        <v>4.0751562500000018</v>
      </c>
      <c r="V39" s="251" t="str">
        <f t="shared" si="2"/>
        <v>38_25_10_Local</v>
      </c>
      <c r="W39" s="318"/>
    </row>
    <row r="40" spans="1:23" x14ac:dyDescent="0.3">
      <c r="A40" s="5" t="str">
        <f t="shared" si="1"/>
        <v>10_27</v>
      </c>
      <c r="B40" s="5">
        <v>39</v>
      </c>
      <c r="C40" s="4">
        <v>27</v>
      </c>
      <c r="D40" s="5">
        <v>10</v>
      </c>
      <c r="E40" s="6" t="s">
        <v>0</v>
      </c>
      <c r="F40" s="280" t="str">
        <f>VLOOKUP(C40,abm2_mode!$A$2:$C$139,3,FALSE)</f>
        <v xml:space="preserve">Local Bus                                                                  </v>
      </c>
      <c r="G40" s="247">
        <v>7.7382697947214067</v>
      </c>
      <c r="H40" s="247">
        <v>247.80096097450939</v>
      </c>
      <c r="I40" s="247">
        <v>575.10696781232843</v>
      </c>
      <c r="J40" s="247">
        <v>342.6857415728814</v>
      </c>
      <c r="K40" s="247">
        <v>69.528059845559355</v>
      </c>
      <c r="L40" s="319">
        <v>24.37979472140762</v>
      </c>
      <c r="M40" s="319">
        <v>758.31738476577209</v>
      </c>
      <c r="N40" s="319">
        <v>1716.1802389525337</v>
      </c>
      <c r="O40" s="319">
        <v>1032.9897379309448</v>
      </c>
      <c r="P40" s="319">
        <v>240.63284362934175</v>
      </c>
      <c r="Q40" s="251">
        <f t="shared" ref="Q40:Q46" si="10">L40/G40</f>
        <v>3.1505485551871151</v>
      </c>
      <c r="R40" s="251">
        <f t="shared" si="4"/>
        <v>3.0601874253577979</v>
      </c>
      <c r="S40" s="251">
        <f t="shared" si="6"/>
        <v>2.9841061489496084</v>
      </c>
      <c r="T40" s="251">
        <f t="shared" si="5"/>
        <v>3.0143936925699362</v>
      </c>
      <c r="U40" s="251">
        <f t="shared" si="9"/>
        <v>3.4609457557690009</v>
      </c>
      <c r="V40" s="251" t="str">
        <f t="shared" si="2"/>
        <v>39_27_10_Local</v>
      </c>
      <c r="W40" s="318"/>
    </row>
    <row r="41" spans="1:23" x14ac:dyDescent="0.3">
      <c r="A41" s="5" t="str">
        <f t="shared" si="1"/>
        <v>10_28</v>
      </c>
      <c r="B41" s="5">
        <v>40</v>
      </c>
      <c r="C41" s="4">
        <v>28</v>
      </c>
      <c r="D41" s="5">
        <v>10</v>
      </c>
      <c r="E41" s="6" t="s">
        <v>0</v>
      </c>
      <c r="F41" s="280" t="str">
        <f>VLOOKUP(C41,abm2_mode!$A$2:$C$139,3,FALSE)</f>
        <v xml:space="preserve">Local Bus                                                                  </v>
      </c>
      <c r="G41" s="247">
        <v>15.854117647058827</v>
      </c>
      <c r="H41" s="247">
        <v>311.0011455108359</v>
      </c>
      <c r="I41" s="247">
        <v>479.49064988558217</v>
      </c>
      <c r="J41" s="247">
        <v>261.20585166240585</v>
      </c>
      <c r="K41" s="247">
        <v>94.128235294117246</v>
      </c>
      <c r="L41" s="319">
        <v>39.861764705882365</v>
      </c>
      <c r="M41" s="319">
        <v>644.06402476780181</v>
      </c>
      <c r="N41" s="319">
        <v>956.02534096109594</v>
      </c>
      <c r="O41" s="319">
        <v>520.45769309463253</v>
      </c>
      <c r="P41" s="319">
        <v>197.61117647058745</v>
      </c>
      <c r="Q41" s="251">
        <f t="shared" si="10"/>
        <v>2.5142846542000599</v>
      </c>
      <c r="R41" s="251">
        <f t="shared" si="4"/>
        <v>2.0709377893444492</v>
      </c>
      <c r="S41" s="251">
        <f t="shared" si="6"/>
        <v>1.9938352107371149</v>
      </c>
      <c r="T41" s="251">
        <f t="shared" si="5"/>
        <v>1.9925192708442665</v>
      </c>
      <c r="U41" s="251">
        <f t="shared" si="9"/>
        <v>2.099382569460936</v>
      </c>
      <c r="V41" s="251" t="str">
        <f t="shared" si="2"/>
        <v>40_28_10_Local</v>
      </c>
      <c r="W41" s="318"/>
    </row>
    <row r="42" spans="1:23" x14ac:dyDescent="0.3">
      <c r="A42" s="5" t="str">
        <f t="shared" si="1"/>
        <v>10_30</v>
      </c>
      <c r="B42" s="5">
        <v>41</v>
      </c>
      <c r="C42" s="4">
        <v>30</v>
      </c>
      <c r="D42" s="5">
        <v>10</v>
      </c>
      <c r="E42" s="6" t="s">
        <v>0</v>
      </c>
      <c r="F42" s="280" t="str">
        <f>VLOOKUP(C42,abm2_mode!$A$2:$C$139,3,FALSE)</f>
        <v xml:space="preserve">Local Bus                                                                  </v>
      </c>
      <c r="G42" s="247">
        <v>66.38755686236928</v>
      </c>
      <c r="H42" s="247">
        <v>1063.8964094587241</v>
      </c>
      <c r="I42" s="247">
        <v>2350.2455768672298</v>
      </c>
      <c r="J42" s="247">
        <v>1388.1544030542791</v>
      </c>
      <c r="K42" s="247">
        <v>659.40605375739756</v>
      </c>
      <c r="L42" s="319">
        <v>531.24587332073759</v>
      </c>
      <c r="M42" s="319">
        <v>7674.0970332948636</v>
      </c>
      <c r="N42" s="319">
        <v>14973.90811337553</v>
      </c>
      <c r="O42" s="319">
        <v>8765.8077286138268</v>
      </c>
      <c r="P42" s="319">
        <v>4090.1312513950452</v>
      </c>
      <c r="Q42" s="251">
        <f t="shared" si="10"/>
        <v>8.0021904469550638</v>
      </c>
      <c r="R42" s="251">
        <f t="shared" si="4"/>
        <v>7.2131994854641865</v>
      </c>
      <c r="S42" s="251">
        <f t="shared" si="6"/>
        <v>6.3712099964187852</v>
      </c>
      <c r="T42" s="251">
        <f t="shared" si="5"/>
        <v>6.3147209772392081</v>
      </c>
      <c r="U42" s="251">
        <f t="shared" si="9"/>
        <v>6.2027505329816819</v>
      </c>
      <c r="V42" s="251" t="str">
        <f t="shared" si="2"/>
        <v>41_30_10_Local</v>
      </c>
      <c r="W42" s="318"/>
    </row>
    <row r="43" spans="1:23" x14ac:dyDescent="0.3">
      <c r="A43" s="5" t="str">
        <f t="shared" si="1"/>
        <v>10_31</v>
      </c>
      <c r="B43" s="5">
        <v>42</v>
      </c>
      <c r="C43" s="4">
        <v>31</v>
      </c>
      <c r="D43" s="5">
        <v>10</v>
      </c>
      <c r="E43" s="6" t="s">
        <v>0</v>
      </c>
      <c r="F43" s="280" t="str">
        <f>VLOOKUP(C43,abm2_mode!$A$2:$C$139,3,FALSE)</f>
        <v xml:space="preserve">Local Bus                                                                  </v>
      </c>
      <c r="G43" s="247">
        <v>3.7737037037037044</v>
      </c>
      <c r="H43" s="247">
        <v>177.56887694145757</v>
      </c>
      <c r="I43" s="247">
        <v>62.29179435483826</v>
      </c>
      <c r="J43" s="247">
        <v>130.39368951612957</v>
      </c>
      <c r="K43" s="247">
        <v>0.18193548387088054</v>
      </c>
      <c r="L43" s="319">
        <v>13.552962962962967</v>
      </c>
      <c r="M43" s="319">
        <v>667.79864994026275</v>
      </c>
      <c r="N43" s="319">
        <v>242.91432459677253</v>
      </c>
      <c r="O43" s="319">
        <v>493.2427721774215</v>
      </c>
      <c r="P43" s="319">
        <v>0.84129032258024194</v>
      </c>
      <c r="Q43" s="251">
        <f t="shared" si="10"/>
        <v>3.5914221218961631</v>
      </c>
      <c r="R43" s="251">
        <f t="shared" si="4"/>
        <v>3.7607865828899079</v>
      </c>
      <c r="S43" s="251">
        <f t="shared" si="6"/>
        <v>3.8996199597821533</v>
      </c>
      <c r="T43" s="251">
        <f t="shared" si="5"/>
        <v>3.7827196546686248</v>
      </c>
      <c r="U43" s="251">
        <f t="shared" si="9"/>
        <v>4.624113475177305</v>
      </c>
      <c r="V43" s="251" t="str">
        <f t="shared" si="2"/>
        <v>42_31_10_Local</v>
      </c>
      <c r="W43" s="318"/>
    </row>
    <row r="44" spans="1:23" x14ac:dyDescent="0.3">
      <c r="A44" s="5" t="str">
        <f t="shared" si="1"/>
        <v>10_35</v>
      </c>
      <c r="B44" s="5">
        <v>43</v>
      </c>
      <c r="C44" s="4">
        <v>35</v>
      </c>
      <c r="D44" s="5">
        <v>10</v>
      </c>
      <c r="E44" s="6" t="s">
        <v>0</v>
      </c>
      <c r="F44" s="280" t="str">
        <f>VLOOKUP(C44,abm2_mode!$A$2:$C$139,3,FALSE)</f>
        <v xml:space="preserve">Local Bus                                                                  </v>
      </c>
      <c r="G44" s="247">
        <v>27.017391304347807</v>
      </c>
      <c r="H44" s="247">
        <v>265.11260869565217</v>
      </c>
      <c r="I44" s="247">
        <v>753.02414772727138</v>
      </c>
      <c r="J44" s="247">
        <v>521.54481778997081</v>
      </c>
      <c r="K44" s="247">
        <v>223.70103448275776</v>
      </c>
      <c r="L44" s="319">
        <v>62.581304347826048</v>
      </c>
      <c r="M44" s="319">
        <v>562.43869565217392</v>
      </c>
      <c r="N44" s="319">
        <v>1491.8747727272701</v>
      </c>
      <c r="O44" s="319">
        <v>1087.5355721003179</v>
      </c>
      <c r="P44" s="319">
        <v>520.28965517241193</v>
      </c>
      <c r="Q44" s="251">
        <f t="shared" si="10"/>
        <v>2.3163340843257161</v>
      </c>
      <c r="R44" s="251">
        <f t="shared" si="4"/>
        <v>2.1215086616187708</v>
      </c>
      <c r="S44" s="251">
        <f t="shared" si="6"/>
        <v>1.9811778642556812</v>
      </c>
      <c r="T44" s="251">
        <f t="shared" si="5"/>
        <v>2.0852197836203503</v>
      </c>
      <c r="U44" s="251">
        <f t="shared" si="9"/>
        <v>2.3258258790596447</v>
      </c>
      <c r="V44" s="251" t="str">
        <f t="shared" si="2"/>
        <v>43_35_10_Local</v>
      </c>
      <c r="W44" s="318"/>
    </row>
    <row r="45" spans="1:23" x14ac:dyDescent="0.3">
      <c r="A45" s="5" t="str">
        <f t="shared" si="1"/>
        <v>10_41</v>
      </c>
      <c r="B45" s="5">
        <v>44</v>
      </c>
      <c r="C45" s="4">
        <v>41</v>
      </c>
      <c r="D45" s="5">
        <v>10</v>
      </c>
      <c r="E45" s="6" t="s">
        <v>0</v>
      </c>
      <c r="F45" s="280" t="str">
        <f>VLOOKUP(C45,abm2_mode!$A$2:$C$139,3,FALSE)</f>
        <v xml:space="preserve">Local Bus                                                                  </v>
      </c>
      <c r="G45" s="247">
        <v>51.430065315315318</v>
      </c>
      <c r="H45" s="247">
        <v>1054.0207715376866</v>
      </c>
      <c r="I45" s="247">
        <v>2226.111046129437</v>
      </c>
      <c r="J45" s="247">
        <v>1220.6533030265884</v>
      </c>
      <c r="K45" s="247">
        <v>547.43481399097209</v>
      </c>
      <c r="L45" s="319">
        <v>278.3649324324324</v>
      </c>
      <c r="M45" s="319">
        <v>4325.2419787476929</v>
      </c>
      <c r="N45" s="319">
        <v>8754.0816331150527</v>
      </c>
      <c r="O45" s="319">
        <v>5186.0998695238713</v>
      </c>
      <c r="P45" s="319">
        <v>2761.1415861809519</v>
      </c>
      <c r="Q45" s="251">
        <f t="shared" si="10"/>
        <v>5.4124942429256127</v>
      </c>
      <c r="R45" s="251">
        <f t="shared" si="4"/>
        <v>4.1035642707853821</v>
      </c>
      <c r="S45" s="251">
        <f t="shared" si="6"/>
        <v>3.9324550535499418</v>
      </c>
      <c r="T45" s="251">
        <f t="shared" si="5"/>
        <v>4.2486264172349575</v>
      </c>
      <c r="U45" s="251">
        <f t="shared" si="9"/>
        <v>5.0437814980223141</v>
      </c>
      <c r="V45" s="251" t="str">
        <f t="shared" si="2"/>
        <v>44_41_10_Local</v>
      </c>
      <c r="W45" s="318"/>
    </row>
    <row r="46" spans="1:23" x14ac:dyDescent="0.3">
      <c r="A46" s="5" t="str">
        <f t="shared" si="1"/>
        <v>10_44</v>
      </c>
      <c r="B46" s="5">
        <v>45</v>
      </c>
      <c r="C46" s="4">
        <v>44</v>
      </c>
      <c r="D46" s="5">
        <v>10</v>
      </c>
      <c r="E46" s="6" t="s">
        <v>0</v>
      </c>
      <c r="F46" s="280" t="str">
        <f>VLOOKUP(C46,abm2_mode!$A$2:$C$139,3,FALSE)</f>
        <v xml:space="preserve">Local Bus                                                                  </v>
      </c>
      <c r="G46" s="247">
        <v>62.975499999999975</v>
      </c>
      <c r="H46" s="247">
        <v>925.81057405589411</v>
      </c>
      <c r="I46" s="247">
        <v>2017.2087906926113</v>
      </c>
      <c r="J46" s="247">
        <v>1116.0895362176796</v>
      </c>
      <c r="K46" s="247">
        <v>425.1655990338154</v>
      </c>
      <c r="L46" s="319">
        <v>246.69974999999994</v>
      </c>
      <c r="M46" s="319">
        <v>3456.9598193982956</v>
      </c>
      <c r="N46" s="319">
        <v>7593.4734652777379</v>
      </c>
      <c r="O46" s="319">
        <v>4112.0411295751783</v>
      </c>
      <c r="P46" s="319">
        <v>1850.9158357487877</v>
      </c>
      <c r="Q46" s="251">
        <f t="shared" si="10"/>
        <v>3.9173924780271698</v>
      </c>
      <c r="R46" s="251">
        <f t="shared" si="4"/>
        <v>3.7339817844741834</v>
      </c>
      <c r="S46" s="251">
        <f t="shared" si="6"/>
        <v>3.7643468045122432</v>
      </c>
      <c r="T46" s="251">
        <f t="shared" si="5"/>
        <v>3.6843290758826495</v>
      </c>
      <c r="U46" s="251">
        <f t="shared" si="9"/>
        <v>4.3533998045819686</v>
      </c>
      <c r="V46" s="251" t="str">
        <f t="shared" si="2"/>
        <v>45_44_10_Local</v>
      </c>
      <c r="W46" s="318"/>
    </row>
    <row r="47" spans="1:23" x14ac:dyDescent="0.3">
      <c r="A47" s="5" t="str">
        <f t="shared" si="1"/>
        <v>10_83</v>
      </c>
      <c r="B47" s="5">
        <v>46</v>
      </c>
      <c r="C47" s="4">
        <v>83</v>
      </c>
      <c r="D47" s="5">
        <v>10</v>
      </c>
      <c r="E47" s="6" t="s">
        <v>0</v>
      </c>
      <c r="F47" s="280" t="str">
        <f>VLOOKUP(C47,abm2_mode!$A$2:$C$139,3,FALSE)</f>
        <v xml:space="preserve">Local Bus                                                                  </v>
      </c>
      <c r="G47" s="247">
        <v>0</v>
      </c>
      <c r="H47" s="247">
        <v>34</v>
      </c>
      <c r="I47" s="247">
        <v>76.833333333333243</v>
      </c>
      <c r="J47" s="247">
        <v>29.166666666666757</v>
      </c>
      <c r="K47" s="247">
        <v>0</v>
      </c>
      <c r="L47" s="319">
        <v>0</v>
      </c>
      <c r="M47" s="319">
        <v>90.910000000000011</v>
      </c>
      <c r="N47" s="319">
        <v>174.83166666666648</v>
      </c>
      <c r="O47" s="319">
        <v>62.878333333333515</v>
      </c>
      <c r="P47" s="319">
        <v>0</v>
      </c>
      <c r="Q47" s="251">
        <v>0</v>
      </c>
      <c r="R47" s="251">
        <f t="shared" si="4"/>
        <v>2.6738235294117652</v>
      </c>
      <c r="S47" s="251">
        <f t="shared" si="6"/>
        <v>2.2754663774403472</v>
      </c>
      <c r="T47" s="251">
        <f t="shared" si="5"/>
        <v>2.1558285714285712</v>
      </c>
      <c r="U47" s="251">
        <v>0</v>
      </c>
      <c r="V47" s="251" t="str">
        <f t="shared" si="2"/>
        <v>46_83_10_Local</v>
      </c>
      <c r="W47" s="318"/>
    </row>
    <row r="48" spans="1:23" x14ac:dyDescent="0.3">
      <c r="A48" s="5" t="str">
        <f t="shared" si="1"/>
        <v>10_84</v>
      </c>
      <c r="B48" s="5">
        <v>47</v>
      </c>
      <c r="C48" s="4">
        <v>84</v>
      </c>
      <c r="D48" s="5">
        <v>10</v>
      </c>
      <c r="E48" s="6" t="s">
        <v>0</v>
      </c>
      <c r="F48" s="280" t="str">
        <f>VLOOKUP(C48,abm2_mode!$A$2:$C$139,3,FALSE)</f>
        <v xml:space="preserve">Local Bus                                                                  </v>
      </c>
      <c r="G48" s="247">
        <v>0</v>
      </c>
      <c r="H48" s="247">
        <v>42</v>
      </c>
      <c r="I48" s="247">
        <v>47.826086956521593</v>
      </c>
      <c r="J48" s="247">
        <v>31.173913043478407</v>
      </c>
      <c r="K48" s="247">
        <v>0</v>
      </c>
      <c r="L48" s="319">
        <v>0</v>
      </c>
      <c r="M48" s="319">
        <v>132.22</v>
      </c>
      <c r="N48" s="319">
        <v>137.21652173913</v>
      </c>
      <c r="O48" s="319">
        <v>102.20347826086999</v>
      </c>
      <c r="P48" s="319">
        <v>0</v>
      </c>
      <c r="Q48" s="251">
        <v>0</v>
      </c>
      <c r="R48" s="251">
        <f t="shared" si="4"/>
        <v>3.1480952380952383</v>
      </c>
      <c r="S48" s="251">
        <f t="shared" si="6"/>
        <v>2.869072727272727</v>
      </c>
      <c r="T48" s="251">
        <f t="shared" si="5"/>
        <v>3.2784937238493703</v>
      </c>
      <c r="U48" s="251">
        <v>0</v>
      </c>
      <c r="V48" s="251" t="str">
        <f t="shared" si="2"/>
        <v>47_84_10_Local</v>
      </c>
      <c r="W48" s="318"/>
    </row>
    <row r="49" spans="1:23" x14ac:dyDescent="0.3">
      <c r="A49" s="5" t="str">
        <f t="shared" si="1"/>
        <v>10_88</v>
      </c>
      <c r="B49" s="5">
        <v>48</v>
      </c>
      <c r="C49" s="4">
        <v>88</v>
      </c>
      <c r="D49" s="5">
        <v>10</v>
      </c>
      <c r="E49" s="6" t="s">
        <v>0</v>
      </c>
      <c r="F49" s="280" t="str">
        <f>VLOOKUP(C49,abm2_mode!$A$2:$C$139,3,FALSE)</f>
        <v xml:space="preserve">Local Bus                                                                  </v>
      </c>
      <c r="G49" s="247">
        <v>2.2222222222222223</v>
      </c>
      <c r="H49" s="247">
        <v>83.777777777777771</v>
      </c>
      <c r="I49" s="247">
        <v>117.9999999999996</v>
      </c>
      <c r="J49" s="247">
        <v>78.111111111111597</v>
      </c>
      <c r="K49" s="247">
        <v>35.8888888888888</v>
      </c>
      <c r="L49" s="319">
        <v>5.45</v>
      </c>
      <c r="M49" s="319">
        <v>165.93499999999997</v>
      </c>
      <c r="N49" s="319">
        <v>190.73409090909033</v>
      </c>
      <c r="O49" s="319">
        <v>109.1942424242431</v>
      </c>
      <c r="P49" s="319">
        <v>69.696666666666573</v>
      </c>
      <c r="Q49" s="251">
        <f t="shared" ref="Q49:Q75" si="11">L49/G49</f>
        <v>2.4525000000000001</v>
      </c>
      <c r="R49" s="251">
        <f t="shared" ref="R49:R81" si="12">M49/H49</f>
        <v>1.9806564986737398</v>
      </c>
      <c r="S49" s="251">
        <f t="shared" si="6"/>
        <v>1.6163906009244997</v>
      </c>
      <c r="T49" s="251">
        <f t="shared" ref="T49:T80" si="13">O49/J49</f>
        <v>1.3979348247769301</v>
      </c>
      <c r="U49" s="251">
        <f t="shared" ref="U49:U60" si="14">P49/K49</f>
        <v>1.9420123839009309</v>
      </c>
      <c r="V49" s="251" t="str">
        <f t="shared" si="2"/>
        <v>48_88_10_Local</v>
      </c>
      <c r="W49" s="318"/>
    </row>
    <row r="50" spans="1:23" x14ac:dyDescent="0.3">
      <c r="A50" s="5" t="str">
        <f t="shared" si="1"/>
        <v>10_105</v>
      </c>
      <c r="B50" s="5">
        <v>49</v>
      </c>
      <c r="C50" s="4">
        <v>105</v>
      </c>
      <c r="D50" s="5">
        <v>10</v>
      </c>
      <c r="E50" s="6" t="s">
        <v>0</v>
      </c>
      <c r="F50" s="280" t="str">
        <f>VLOOKUP(C50,abm2_mode!$A$2:$C$139,3,FALSE)</f>
        <v xml:space="preserve">Local Bus                                                                  </v>
      </c>
      <c r="G50" s="247">
        <v>29.080412517780935</v>
      </c>
      <c r="H50" s="247">
        <v>280.50295428983003</v>
      </c>
      <c r="I50" s="247">
        <v>559.90853336255282</v>
      </c>
      <c r="J50" s="247">
        <v>281.81955158422272</v>
      </c>
      <c r="K50" s="247">
        <v>101.85854824561351</v>
      </c>
      <c r="L50" s="319">
        <v>161.39750355618779</v>
      </c>
      <c r="M50" s="319">
        <v>1209.045842109774</v>
      </c>
      <c r="N50" s="319">
        <v>2163.0874314185508</v>
      </c>
      <c r="O50" s="319">
        <v>1176.4500756723824</v>
      </c>
      <c r="P50" s="319">
        <v>411.65914724310517</v>
      </c>
      <c r="Q50" s="251">
        <f t="shared" si="11"/>
        <v>5.5500417491499769</v>
      </c>
      <c r="R50" s="251">
        <f t="shared" si="12"/>
        <v>4.3102784609552662</v>
      </c>
      <c r="S50" s="251">
        <f t="shared" si="6"/>
        <v>3.863287130896262</v>
      </c>
      <c r="T50" s="251">
        <f t="shared" si="13"/>
        <v>4.174479978621342</v>
      </c>
      <c r="U50" s="251">
        <f t="shared" si="14"/>
        <v>4.0414786420327085</v>
      </c>
      <c r="V50" s="251" t="str">
        <f t="shared" si="2"/>
        <v>49_105_10_Local</v>
      </c>
      <c r="W50" s="318"/>
    </row>
    <row r="51" spans="1:23" x14ac:dyDescent="0.3">
      <c r="A51" s="5" t="str">
        <f t="shared" si="1"/>
        <v>10_115</v>
      </c>
      <c r="B51" s="5">
        <v>50</v>
      </c>
      <c r="C51" s="4">
        <v>115</v>
      </c>
      <c r="D51" s="5">
        <v>10</v>
      </c>
      <c r="E51" s="6" t="s">
        <v>0</v>
      </c>
      <c r="F51" s="280" t="str">
        <f>VLOOKUP(C51,abm2_mode!$A$2:$C$139,3,FALSE)</f>
        <v xml:space="preserve">Local Bus                                                                  </v>
      </c>
      <c r="G51" s="247">
        <v>1.1999999999999935</v>
      </c>
      <c r="H51" s="247">
        <v>284.71533259423512</v>
      </c>
      <c r="I51" s="247">
        <v>660.47032397142061</v>
      </c>
      <c r="J51" s="247">
        <v>302.69053391053524</v>
      </c>
      <c r="K51" s="247">
        <v>83.553809523809235</v>
      </c>
      <c r="L51" s="319">
        <v>3.6719999999999802</v>
      </c>
      <c r="M51" s="319">
        <v>1233.533975609756</v>
      </c>
      <c r="N51" s="319">
        <v>2946.3730056312211</v>
      </c>
      <c r="O51" s="319">
        <v>1398.2938759018816</v>
      </c>
      <c r="P51" s="319">
        <v>473.93714285714151</v>
      </c>
      <c r="Q51" s="251">
        <f t="shared" si="11"/>
        <v>3.06</v>
      </c>
      <c r="R51" s="251">
        <f t="shared" si="12"/>
        <v>4.3325168489177894</v>
      </c>
      <c r="S51" s="251">
        <f t="shared" si="6"/>
        <v>4.4610225451381735</v>
      </c>
      <c r="T51" s="251">
        <f t="shared" si="13"/>
        <v>4.6195494052521919</v>
      </c>
      <c r="U51" s="251">
        <f t="shared" si="14"/>
        <v>5.6722385916119098</v>
      </c>
      <c r="V51" s="251" t="str">
        <f t="shared" si="2"/>
        <v>50_115_10_Local</v>
      </c>
      <c r="W51" s="318"/>
    </row>
    <row r="52" spans="1:23" x14ac:dyDescent="0.3">
      <c r="A52" s="1" t="str">
        <f t="shared" si="1"/>
        <v>10_101</v>
      </c>
      <c r="B52" s="5">
        <v>51</v>
      </c>
      <c r="C52" s="262">
        <v>101</v>
      </c>
      <c r="D52" s="1">
        <v>10</v>
      </c>
      <c r="E52" s="276" t="s">
        <v>0</v>
      </c>
      <c r="F52" s="282" t="str">
        <f>VLOOKUP(C52,abm2_mode!$A$2:$C$139,3,FALSE)</f>
        <v xml:space="preserve">Local Bus                                                                  </v>
      </c>
      <c r="G52" s="247">
        <v>41.27486752136754</v>
      </c>
      <c r="H52" s="247">
        <v>510.21981081893097</v>
      </c>
      <c r="I52" s="247">
        <v>1177.753856550672</v>
      </c>
      <c r="J52" s="247">
        <v>654.05046732413268</v>
      </c>
      <c r="K52" s="247">
        <v>215.47099778489633</v>
      </c>
      <c r="L52" s="319">
        <v>309.39835958485963</v>
      </c>
      <c r="M52" s="319">
        <v>3516.1962036285568</v>
      </c>
      <c r="N52" s="319">
        <v>8029.9338178474591</v>
      </c>
      <c r="O52" s="319">
        <v>4544.3732963801549</v>
      </c>
      <c r="P52" s="319">
        <v>1641.2083225589715</v>
      </c>
      <c r="Q52" s="251">
        <f t="shared" si="11"/>
        <v>7.4960473083211605</v>
      </c>
      <c r="R52" s="251">
        <f t="shared" si="12"/>
        <v>6.891532098655416</v>
      </c>
      <c r="S52" s="251">
        <f t="shared" si="6"/>
        <v>6.8180068128709008</v>
      </c>
      <c r="T52" s="251">
        <f t="shared" si="13"/>
        <v>6.9480468609283417</v>
      </c>
      <c r="U52" s="251">
        <f t="shared" si="14"/>
        <v>7.6168409643574488</v>
      </c>
      <c r="V52" s="251" t="str">
        <f t="shared" si="2"/>
        <v>51_101_10_Local</v>
      </c>
      <c r="W52" s="318"/>
    </row>
    <row r="53" spans="1:23" s="271" customFormat="1" x14ac:dyDescent="0.3">
      <c r="A53" s="271" t="str">
        <f t="shared" si="1"/>
        <v>10_276</v>
      </c>
      <c r="B53" s="5">
        <v>52</v>
      </c>
      <c r="C53" s="270">
        <v>276</v>
      </c>
      <c r="D53" s="271">
        <v>10</v>
      </c>
      <c r="E53" s="275" t="s">
        <v>0</v>
      </c>
      <c r="F53" s="281" t="s">
        <v>96</v>
      </c>
      <c r="G53" s="272">
        <v>28.5</v>
      </c>
      <c r="H53" s="272">
        <v>261.94876599999998</v>
      </c>
      <c r="I53" s="272">
        <v>446.46074700000003</v>
      </c>
      <c r="J53" s="272">
        <v>307.99616500000002</v>
      </c>
      <c r="K53" s="272">
        <v>175.718772</v>
      </c>
      <c r="L53" s="324">
        <v>46.582175499999998</v>
      </c>
      <c r="M53" s="324">
        <v>327.11906359819102</v>
      </c>
      <c r="N53" s="324">
        <v>553.17682111127795</v>
      </c>
      <c r="O53" s="324">
        <v>384.84494601557998</v>
      </c>
      <c r="P53" s="324">
        <v>226.710238852472</v>
      </c>
      <c r="Q53" s="273">
        <f t="shared" ref="Q53" si="15">L53/G53</f>
        <v>1.6344622982456141</v>
      </c>
      <c r="R53" s="273">
        <f t="shared" ref="R53" si="16">M53/H53</f>
        <v>1.248790244723623</v>
      </c>
      <c r="S53" s="273">
        <f t="shared" ref="S53" si="17">N53/I53</f>
        <v>1.2390267785653235</v>
      </c>
      <c r="T53" s="273">
        <f t="shared" ref="T53" si="18">O53/J53</f>
        <v>1.2495121360214987</v>
      </c>
      <c r="U53" s="273">
        <f t="shared" ref="U53" si="19">P53/K53</f>
        <v>1.2901879308174997</v>
      </c>
      <c r="V53" s="273" t="str">
        <f t="shared" ref="V53" si="20">CONCATENATE(B53,"_",C53,"_",D53,"_",E53)</f>
        <v>52_276_10_Local</v>
      </c>
      <c r="W53" s="345"/>
    </row>
    <row r="54" spans="1:23" x14ac:dyDescent="0.3">
      <c r="A54" s="5" t="str">
        <f t="shared" si="1"/>
        <v>10_302</v>
      </c>
      <c r="B54" s="5">
        <v>53</v>
      </c>
      <c r="C54" s="4">
        <v>302</v>
      </c>
      <c r="D54" s="5">
        <v>10</v>
      </c>
      <c r="E54" s="6" t="s">
        <v>0</v>
      </c>
      <c r="F54" s="280" t="str">
        <f>VLOOKUP(C54,abm2_mode!$A$2:$C$139,3,FALSE)</f>
        <v xml:space="preserve">Local Bus                                                                  </v>
      </c>
      <c r="G54" s="247">
        <v>59.934355400696866</v>
      </c>
      <c r="H54" s="247">
        <v>417.56861818420884</v>
      </c>
      <c r="I54" s="247">
        <v>1210.1789158125807</v>
      </c>
      <c r="J54" s="247">
        <v>583.55349121409552</v>
      </c>
      <c r="K54" s="247">
        <v>271.34461938841844</v>
      </c>
      <c r="L54" s="319">
        <v>214.98023892483823</v>
      </c>
      <c r="M54" s="319">
        <v>1571.9555422072378</v>
      </c>
      <c r="N54" s="319">
        <v>4504.5534449578572</v>
      </c>
      <c r="O54" s="319">
        <v>2068.598516265306</v>
      </c>
      <c r="P54" s="319">
        <v>1127.4722576447605</v>
      </c>
      <c r="Q54" s="251">
        <f t="shared" si="11"/>
        <v>3.5869283566590027</v>
      </c>
      <c r="R54" s="251">
        <f t="shared" si="12"/>
        <v>3.7645442539309202</v>
      </c>
      <c r="S54" s="251">
        <f t="shared" si="6"/>
        <v>3.7222210584732029</v>
      </c>
      <c r="T54" s="251">
        <f t="shared" si="13"/>
        <v>3.544831017909845</v>
      </c>
      <c r="U54" s="251">
        <f t="shared" si="14"/>
        <v>4.1551303290478421</v>
      </c>
      <c r="V54" s="251" t="str">
        <f t="shared" si="2"/>
        <v>53_302_10_Local</v>
      </c>
      <c r="W54" s="318"/>
    </row>
    <row r="55" spans="1:23" x14ac:dyDescent="0.3">
      <c r="A55" s="5" t="str">
        <f t="shared" si="1"/>
        <v>10_303</v>
      </c>
      <c r="B55" s="5">
        <v>54</v>
      </c>
      <c r="C55" s="4">
        <v>303</v>
      </c>
      <c r="D55" s="5">
        <v>10</v>
      </c>
      <c r="E55" s="6" t="s">
        <v>0</v>
      </c>
      <c r="F55" s="280" t="str">
        <f>VLOOKUP(C55,abm2_mode!$A$2:$C$139,3,FALSE)</f>
        <v xml:space="preserve">Local Bus                                                                  </v>
      </c>
      <c r="G55" s="247">
        <v>198.48155273739565</v>
      </c>
      <c r="H55" s="247">
        <v>964.77575365428004</v>
      </c>
      <c r="I55" s="247">
        <v>2218.1185723350309</v>
      </c>
      <c r="J55" s="247">
        <v>1120.4839718336927</v>
      </c>
      <c r="K55" s="247">
        <v>460.81014943960025</v>
      </c>
      <c r="L55" s="319">
        <v>727.69140736158363</v>
      </c>
      <c r="M55" s="319">
        <v>2997.3643433816337</v>
      </c>
      <c r="N55" s="319">
        <v>6891.421494836789</v>
      </c>
      <c r="O55" s="319">
        <v>3636.9359300115284</v>
      </c>
      <c r="P55" s="319">
        <v>1759.696824408464</v>
      </c>
      <c r="Q55" s="251">
        <f t="shared" si="11"/>
        <v>3.6662923950638775</v>
      </c>
      <c r="R55" s="251">
        <f t="shared" si="12"/>
        <v>3.106798996583942</v>
      </c>
      <c r="S55" s="251">
        <f t="shared" si="6"/>
        <v>3.1068769635620224</v>
      </c>
      <c r="T55" s="251">
        <f t="shared" si="13"/>
        <v>3.245861628934875</v>
      </c>
      <c r="U55" s="251">
        <f t="shared" si="14"/>
        <v>3.8187024017341282</v>
      </c>
      <c r="V55" s="251" t="str">
        <f t="shared" si="2"/>
        <v>54_303_10_Local</v>
      </c>
      <c r="W55" s="318"/>
    </row>
    <row r="56" spans="1:23" x14ac:dyDescent="0.3">
      <c r="A56" s="5" t="str">
        <f t="shared" si="1"/>
        <v>10_304</v>
      </c>
      <c r="B56" s="5">
        <v>55</v>
      </c>
      <c r="C56" s="4">
        <v>304</v>
      </c>
      <c r="D56" s="5">
        <v>10</v>
      </c>
      <c r="E56" s="6" t="s">
        <v>0</v>
      </c>
      <c r="F56" s="280" t="str">
        <f>VLOOKUP(C56,abm2_mode!$A$2:$C$139,3,FALSE)</f>
        <v xml:space="preserve">Local Bus                                                                  </v>
      </c>
      <c r="G56" s="247">
        <v>37.133015643191946</v>
      </c>
      <c r="H56" s="247">
        <v>288.7640495741993</v>
      </c>
      <c r="I56" s="247">
        <v>375.82670177428599</v>
      </c>
      <c r="J56" s="247">
        <v>239.52407105863745</v>
      </c>
      <c r="K56" s="247">
        <v>44.662161949685341</v>
      </c>
      <c r="L56" s="319">
        <v>198.43461692091839</v>
      </c>
      <c r="M56" s="319">
        <v>1482.3419161363624</v>
      </c>
      <c r="N56" s="319">
        <v>1760.2289763609087</v>
      </c>
      <c r="O56" s="319">
        <v>1227.6376548899875</v>
      </c>
      <c r="P56" s="319">
        <v>234.14683569182282</v>
      </c>
      <c r="Q56" s="251">
        <f t="shared" si="11"/>
        <v>5.3438863901510203</v>
      </c>
      <c r="R56" s="251">
        <f t="shared" si="12"/>
        <v>5.1334018840716791</v>
      </c>
      <c r="S56" s="251">
        <f t="shared" ref="S56:S87" si="21">N56/I56</f>
        <v>4.6836187212106797</v>
      </c>
      <c r="T56" s="251">
        <f t="shared" si="13"/>
        <v>5.1253205970662208</v>
      </c>
      <c r="U56" s="251">
        <f t="shared" si="14"/>
        <v>5.2426220646372554</v>
      </c>
      <c r="V56" s="251" t="str">
        <f t="shared" si="2"/>
        <v>55_304_10_Local</v>
      </c>
      <c r="W56" s="318"/>
    </row>
    <row r="57" spans="1:23" x14ac:dyDescent="0.3">
      <c r="A57" s="5" t="str">
        <f t="shared" si="1"/>
        <v>10_305</v>
      </c>
      <c r="B57" s="5">
        <v>56</v>
      </c>
      <c r="C57" s="4">
        <v>305</v>
      </c>
      <c r="D57" s="5">
        <v>10</v>
      </c>
      <c r="E57" s="6" t="s">
        <v>0</v>
      </c>
      <c r="F57" s="280" t="str">
        <f>VLOOKUP(C57,abm2_mode!$A$2:$C$139,3,FALSE)</f>
        <v xml:space="preserve">Local Bus                                                                  </v>
      </c>
      <c r="G57" s="247">
        <v>78.964999999999989</v>
      </c>
      <c r="H57" s="247">
        <v>463.45296718687473</v>
      </c>
      <c r="I57" s="247">
        <v>935.10782640002458</v>
      </c>
      <c r="J57" s="247">
        <v>434.2642165243243</v>
      </c>
      <c r="K57" s="247">
        <v>215.25998988877618</v>
      </c>
      <c r="L57" s="319">
        <v>337.73050000000001</v>
      </c>
      <c r="M57" s="319">
        <v>1520.1883275310126</v>
      </c>
      <c r="N57" s="319">
        <v>3114.8235069393918</v>
      </c>
      <c r="O57" s="319">
        <v>1515.7249658329345</v>
      </c>
      <c r="P57" s="319">
        <v>1046.202699696662</v>
      </c>
      <c r="Q57" s="251">
        <f t="shared" si="11"/>
        <v>4.2769644779332623</v>
      </c>
      <c r="R57" s="251">
        <f t="shared" si="12"/>
        <v>3.2801350625899399</v>
      </c>
      <c r="S57" s="251">
        <f t="shared" si="21"/>
        <v>3.3309779032978799</v>
      </c>
      <c r="T57" s="251">
        <f t="shared" si="13"/>
        <v>3.4903289475798536</v>
      </c>
      <c r="U57" s="251">
        <f t="shared" si="14"/>
        <v>4.8601818676904607</v>
      </c>
      <c r="V57" s="251" t="str">
        <f t="shared" si="2"/>
        <v>56_305_10_Local</v>
      </c>
      <c r="W57" s="318"/>
    </row>
    <row r="58" spans="1:23" x14ac:dyDescent="0.3">
      <c r="A58" s="5" t="str">
        <f t="shared" si="1"/>
        <v>10_306</v>
      </c>
      <c r="B58" s="5">
        <v>57</v>
      </c>
      <c r="C58" s="4">
        <v>306</v>
      </c>
      <c r="D58" s="5">
        <v>10</v>
      </c>
      <c r="E58" s="6" t="s">
        <v>0</v>
      </c>
      <c r="F58" s="280" t="str">
        <f>VLOOKUP(C58,abm2_mode!$A$2:$C$139,3,FALSE)</f>
        <v xml:space="preserve">Local Bus                                                                  </v>
      </c>
      <c r="G58" s="247">
        <v>39.538989547038312</v>
      </c>
      <c r="H58" s="247">
        <v>248.15276447475719</v>
      </c>
      <c r="I58" s="247">
        <v>348.18824597820452</v>
      </c>
      <c r="J58" s="247">
        <v>213.99697674418658</v>
      </c>
      <c r="K58" s="247">
        <v>80.223023255813459</v>
      </c>
      <c r="L58" s="319">
        <v>247.1569686411149</v>
      </c>
      <c r="M58" s="319">
        <v>1581.4525746904885</v>
      </c>
      <c r="N58" s="319">
        <v>2257.3104566683965</v>
      </c>
      <c r="O58" s="319">
        <v>1607.8267441860503</v>
      </c>
      <c r="P58" s="319">
        <v>616.81325581394981</v>
      </c>
      <c r="Q58" s="251">
        <f t="shared" si="11"/>
        <v>6.2509682587381228</v>
      </c>
      <c r="R58" s="251">
        <f t="shared" si="12"/>
        <v>6.3728992825762312</v>
      </c>
      <c r="S58" s="251">
        <f t="shared" si="21"/>
        <v>6.4830173986105688</v>
      </c>
      <c r="T58" s="251">
        <f t="shared" si="13"/>
        <v>7.5133152283177216</v>
      </c>
      <c r="U58" s="251">
        <f t="shared" si="14"/>
        <v>7.6887311245684282</v>
      </c>
      <c r="V58" s="251" t="str">
        <f t="shared" si="2"/>
        <v>57_306_10_Local</v>
      </c>
      <c r="W58" s="318"/>
    </row>
    <row r="59" spans="1:23" x14ac:dyDescent="0.3">
      <c r="A59" s="5" t="str">
        <f t="shared" si="1"/>
        <v>10_308</v>
      </c>
      <c r="B59" s="5">
        <v>58</v>
      </c>
      <c r="C59" s="4">
        <v>308</v>
      </c>
      <c r="D59" s="5">
        <v>10</v>
      </c>
      <c r="E59" s="6" t="s">
        <v>0</v>
      </c>
      <c r="F59" s="280" t="str">
        <f>VLOOKUP(C59,abm2_mode!$A$2:$C$139,3,FALSE)</f>
        <v xml:space="preserve">Local Bus                                                                  </v>
      </c>
      <c r="G59" s="247">
        <v>6</v>
      </c>
      <c r="H59" s="247">
        <v>150.15999999999997</v>
      </c>
      <c r="I59" s="247">
        <v>173.46882415254211</v>
      </c>
      <c r="J59" s="247">
        <v>137.55117584745787</v>
      </c>
      <c r="K59" s="247">
        <v>20.79</v>
      </c>
      <c r="L59" s="319">
        <v>41.41</v>
      </c>
      <c r="M59" s="319">
        <v>742.25</v>
      </c>
      <c r="N59" s="319">
        <v>900.1841737288122</v>
      </c>
      <c r="O59" s="319">
        <v>674.2058262711879</v>
      </c>
      <c r="P59" s="319">
        <v>93.37</v>
      </c>
      <c r="Q59" s="251">
        <f t="shared" si="11"/>
        <v>6.9016666666666664</v>
      </c>
      <c r="R59" s="251">
        <f t="shared" si="12"/>
        <v>4.9430607352157709</v>
      </c>
      <c r="S59" s="251">
        <f t="shared" si="21"/>
        <v>5.1893138615917707</v>
      </c>
      <c r="T59" s="251">
        <f t="shared" si="13"/>
        <v>4.901490824177845</v>
      </c>
      <c r="U59" s="251">
        <f t="shared" si="14"/>
        <v>4.4911014911014915</v>
      </c>
      <c r="V59" s="251" t="str">
        <f t="shared" si="2"/>
        <v>58_308_10_Local</v>
      </c>
      <c r="W59" s="318"/>
    </row>
    <row r="60" spans="1:23" x14ac:dyDescent="0.3">
      <c r="A60" s="5" t="str">
        <f t="shared" si="1"/>
        <v>10_309</v>
      </c>
      <c r="B60" s="5">
        <v>59</v>
      </c>
      <c r="C60" s="4">
        <v>309</v>
      </c>
      <c r="D60" s="5">
        <v>10</v>
      </c>
      <c r="E60" s="6" t="s">
        <v>0</v>
      </c>
      <c r="F60" s="280" t="str">
        <f>VLOOKUP(C60,abm2_mode!$A$2:$C$139,3,FALSE)</f>
        <v xml:space="preserve">Local Bus                                                                  </v>
      </c>
      <c r="G60" s="247">
        <v>23.572328042328046</v>
      </c>
      <c r="H60" s="247">
        <v>286.23406107056695</v>
      </c>
      <c r="I60" s="247">
        <v>777.86192967316015</v>
      </c>
      <c r="J60" s="247">
        <v>453.69552910551153</v>
      </c>
      <c r="K60" s="247">
        <v>176.18615210843319</v>
      </c>
      <c r="L60" s="319">
        <v>122.9195802469136</v>
      </c>
      <c r="M60" s="319">
        <v>1520.8041794105072</v>
      </c>
      <c r="N60" s="319">
        <v>3669.4304493634772</v>
      </c>
      <c r="O60" s="319">
        <v>2470.4171840513941</v>
      </c>
      <c r="P60" s="319">
        <v>997.84860692770803</v>
      </c>
      <c r="Q60" s="251">
        <f t="shared" si="11"/>
        <v>5.2145710863259236</v>
      </c>
      <c r="R60" s="251">
        <f t="shared" si="12"/>
        <v>5.3131488744645754</v>
      </c>
      <c r="S60" s="251">
        <f t="shared" si="21"/>
        <v>4.7173287564096213</v>
      </c>
      <c r="T60" s="251">
        <f t="shared" si="13"/>
        <v>5.4450992473343796</v>
      </c>
      <c r="U60" s="251">
        <f t="shared" si="14"/>
        <v>5.6636040630116344</v>
      </c>
      <c r="V60" s="251" t="str">
        <f t="shared" si="2"/>
        <v>59_309_10_Local</v>
      </c>
      <c r="W60" s="318"/>
    </row>
    <row r="61" spans="1:23" x14ac:dyDescent="0.3">
      <c r="A61" s="5" t="str">
        <f t="shared" si="1"/>
        <v>10_311</v>
      </c>
      <c r="B61" s="5">
        <v>60</v>
      </c>
      <c r="C61" s="4">
        <v>311</v>
      </c>
      <c r="D61" s="5">
        <v>10</v>
      </c>
      <c r="E61" s="6" t="s">
        <v>0</v>
      </c>
      <c r="F61" s="280" t="str">
        <f>VLOOKUP(C61,abm2_mode!$A$2:$C$139,3,FALSE)</f>
        <v xml:space="preserve">Local Bus                                                                  </v>
      </c>
      <c r="G61" s="247">
        <v>4.7799743589743455</v>
      </c>
      <c r="H61" s="247">
        <v>161.84002564102565</v>
      </c>
      <c r="I61" s="247">
        <v>127.07999999999981</v>
      </c>
      <c r="J61" s="247">
        <v>40.420000000000179</v>
      </c>
      <c r="K61" s="247">
        <v>0</v>
      </c>
      <c r="L61" s="319">
        <v>19.291153846153787</v>
      </c>
      <c r="M61" s="319">
        <v>648.82884615384626</v>
      </c>
      <c r="N61" s="319">
        <v>445.83766666666588</v>
      </c>
      <c r="O61" s="319">
        <v>154.61233333333411</v>
      </c>
      <c r="P61" s="319">
        <v>0</v>
      </c>
      <c r="Q61" s="251">
        <f t="shared" si="11"/>
        <v>4.035827893079567</v>
      </c>
      <c r="R61" s="251">
        <f t="shared" si="12"/>
        <v>4.0090752802585525</v>
      </c>
      <c r="S61" s="251">
        <f t="shared" si="21"/>
        <v>3.5083228412548517</v>
      </c>
      <c r="T61" s="251">
        <f t="shared" si="13"/>
        <v>3.8251443179943942</v>
      </c>
      <c r="U61" s="251">
        <v>0</v>
      </c>
      <c r="V61" s="251" t="str">
        <f t="shared" si="2"/>
        <v>60_311_10_Local</v>
      </c>
      <c r="W61" s="318"/>
    </row>
    <row r="62" spans="1:23" x14ac:dyDescent="0.3">
      <c r="A62" s="5" t="str">
        <f t="shared" si="1"/>
        <v>10_313</v>
      </c>
      <c r="B62" s="5">
        <v>61</v>
      </c>
      <c r="C62" s="4">
        <v>313</v>
      </c>
      <c r="D62" s="5">
        <v>10</v>
      </c>
      <c r="E62" s="6" t="s">
        <v>0</v>
      </c>
      <c r="F62" s="280" t="str">
        <f>VLOOKUP(C62,abm2_mode!$A$2:$C$139,3,FALSE)</f>
        <v xml:space="preserve">Local Bus                                                                  </v>
      </c>
      <c r="G62" s="247">
        <v>5.6218604651162751</v>
      </c>
      <c r="H62" s="247">
        <v>94.30991731266154</v>
      </c>
      <c r="I62" s="247">
        <v>198.85822991452963</v>
      </c>
      <c r="J62" s="247">
        <v>87.659992307692576</v>
      </c>
      <c r="K62" s="247">
        <v>13.67</v>
      </c>
      <c r="L62" s="319">
        <v>16.518139534883712</v>
      </c>
      <c r="M62" s="319">
        <v>295.80074935400535</v>
      </c>
      <c r="N62" s="319">
        <v>633.83523418803316</v>
      </c>
      <c r="O62" s="319">
        <v>236.39587692307771</v>
      </c>
      <c r="P62" s="319">
        <v>30.93</v>
      </c>
      <c r="Q62" s="251">
        <f t="shared" si="11"/>
        <v>2.9381980640357415</v>
      </c>
      <c r="R62" s="251">
        <f t="shared" si="12"/>
        <v>3.1364755455499984</v>
      </c>
      <c r="S62" s="251">
        <f t="shared" si="21"/>
        <v>3.1873724032465693</v>
      </c>
      <c r="T62" s="251">
        <f t="shared" si="13"/>
        <v>2.6967362270956174</v>
      </c>
      <c r="U62" s="251">
        <f>P62/K62</f>
        <v>2.2626188734455011</v>
      </c>
      <c r="V62" s="251" t="str">
        <f t="shared" si="2"/>
        <v>61_313_10_Local</v>
      </c>
      <c r="W62" s="318"/>
    </row>
    <row r="63" spans="1:23" x14ac:dyDescent="0.3">
      <c r="A63" s="5" t="str">
        <f t="shared" si="1"/>
        <v>10_315</v>
      </c>
      <c r="B63" s="5">
        <v>62</v>
      </c>
      <c r="C63" s="4">
        <v>315</v>
      </c>
      <c r="D63" s="5">
        <v>10</v>
      </c>
      <c r="E63" s="6" t="s">
        <v>0</v>
      </c>
      <c r="F63" s="280" t="str">
        <f>VLOOKUP(C63,abm2_mode!$A$2:$C$139,3,FALSE)</f>
        <v xml:space="preserve">Local Bus                                                                  </v>
      </c>
      <c r="G63" s="247">
        <v>22.192781954887224</v>
      </c>
      <c r="H63" s="247">
        <v>92.544506180705994</v>
      </c>
      <c r="I63" s="247">
        <v>128.15036025332688</v>
      </c>
      <c r="J63" s="247">
        <v>85.235442520171006</v>
      </c>
      <c r="K63" s="247">
        <v>35.196909090908918</v>
      </c>
      <c r="L63" s="319">
        <v>86.896823308270683</v>
      </c>
      <c r="M63" s="319">
        <v>319.27860042054289</v>
      </c>
      <c r="N63" s="319">
        <v>426.13718226327165</v>
      </c>
      <c r="O63" s="319">
        <v>355.32521218973363</v>
      </c>
      <c r="P63" s="319">
        <v>122.60218181818126</v>
      </c>
      <c r="Q63" s="251">
        <f t="shared" si="11"/>
        <v>3.9155444092097946</v>
      </c>
      <c r="R63" s="251">
        <f t="shared" si="12"/>
        <v>3.4500005845523352</v>
      </c>
      <c r="S63" s="251">
        <f t="shared" si="21"/>
        <v>3.3252905526046606</v>
      </c>
      <c r="T63" s="251">
        <f t="shared" si="13"/>
        <v>4.1687495445998977</v>
      </c>
      <c r="U63" s="251">
        <f>P63/K63</f>
        <v>3.4833223991776152</v>
      </c>
      <c r="V63" s="251" t="str">
        <f t="shared" si="2"/>
        <v>62_315_10_Local</v>
      </c>
      <c r="W63" s="318"/>
    </row>
    <row r="64" spans="1:23" x14ac:dyDescent="0.3">
      <c r="A64" s="5" t="str">
        <f t="shared" si="1"/>
        <v>10_316</v>
      </c>
      <c r="B64" s="5">
        <v>63</v>
      </c>
      <c r="C64" s="4">
        <v>316</v>
      </c>
      <c r="D64" s="5">
        <v>10</v>
      </c>
      <c r="E64" s="6" t="s">
        <v>0</v>
      </c>
      <c r="F64" s="280" t="str">
        <f>VLOOKUP(C64,abm2_mode!$A$2:$C$139,3,FALSE)</f>
        <v xml:space="preserve">Local Bus                                                                  </v>
      </c>
      <c r="G64" s="247">
        <v>1.3750000000000016</v>
      </c>
      <c r="H64" s="247">
        <v>31.941111111111102</v>
      </c>
      <c r="I64" s="247">
        <v>71.480555555555426</v>
      </c>
      <c r="J64" s="247">
        <v>22.153333333333471</v>
      </c>
      <c r="K64" s="247">
        <v>0</v>
      </c>
      <c r="L64" s="319">
        <v>2.1381250000000023</v>
      </c>
      <c r="M64" s="319">
        <v>55.922986111111101</v>
      </c>
      <c r="N64" s="319">
        <v>101.65944444444432</v>
      </c>
      <c r="O64" s="319">
        <v>30.539444444444591</v>
      </c>
      <c r="P64" s="319">
        <v>0</v>
      </c>
      <c r="Q64" s="251">
        <f t="shared" si="11"/>
        <v>1.5549999999999999</v>
      </c>
      <c r="R64" s="251">
        <f t="shared" si="12"/>
        <v>1.7508153024663444</v>
      </c>
      <c r="S64" s="251">
        <f t="shared" si="21"/>
        <v>1.4221971787199323</v>
      </c>
      <c r="T64" s="251">
        <f t="shared" si="13"/>
        <v>1.3785485003510864</v>
      </c>
      <c r="U64" s="251">
        <v>0</v>
      </c>
      <c r="V64" s="251" t="str">
        <f t="shared" si="2"/>
        <v>63_316_10_Local</v>
      </c>
      <c r="W64" s="318"/>
    </row>
    <row r="65" spans="1:23" x14ac:dyDescent="0.3">
      <c r="A65" s="5" t="str">
        <f t="shared" si="1"/>
        <v>10_318</v>
      </c>
      <c r="B65" s="5">
        <v>64</v>
      </c>
      <c r="C65" s="4">
        <v>318</v>
      </c>
      <c r="D65" s="5">
        <v>10</v>
      </c>
      <c r="E65" s="6" t="s">
        <v>0</v>
      </c>
      <c r="F65" s="280" t="str">
        <f>VLOOKUP(C65,abm2_mode!$A$2:$C$139,3,FALSE)</f>
        <v xml:space="preserve">Local Bus                                                                  </v>
      </c>
      <c r="G65" s="247">
        <v>31.4</v>
      </c>
      <c r="H65" s="247">
        <v>163.48109427609427</v>
      </c>
      <c r="I65" s="247">
        <v>343.63890572390534</v>
      </c>
      <c r="J65" s="247">
        <v>194.29000000000042</v>
      </c>
      <c r="K65" s="247">
        <v>28.89</v>
      </c>
      <c r="L65" s="319">
        <v>116.77000000000001</v>
      </c>
      <c r="M65" s="319">
        <v>528.70596632996626</v>
      </c>
      <c r="N65" s="319">
        <v>1122.884033670033</v>
      </c>
      <c r="O65" s="319">
        <v>601.18000000000086</v>
      </c>
      <c r="P65" s="319">
        <v>100.52000000000001</v>
      </c>
      <c r="Q65" s="251">
        <f t="shared" si="11"/>
        <v>3.7187898089171978</v>
      </c>
      <c r="R65" s="251">
        <f t="shared" si="12"/>
        <v>3.234049592530031</v>
      </c>
      <c r="S65" s="251">
        <f t="shared" si="21"/>
        <v>3.2676277771999644</v>
      </c>
      <c r="T65" s="251">
        <f t="shared" si="13"/>
        <v>3.0942405682227574</v>
      </c>
      <c r="U65" s="251">
        <f>P65/K65</f>
        <v>3.4794046382831434</v>
      </c>
      <c r="V65" s="251" t="str">
        <f t="shared" si="2"/>
        <v>64_318_10_Local</v>
      </c>
      <c r="W65" s="318"/>
    </row>
    <row r="66" spans="1:23" x14ac:dyDescent="0.3">
      <c r="A66" s="5" t="str">
        <f t="shared" si="1"/>
        <v>10_323</v>
      </c>
      <c r="B66" s="5">
        <v>65</v>
      </c>
      <c r="C66" s="4">
        <v>323</v>
      </c>
      <c r="D66" s="5">
        <v>10</v>
      </c>
      <c r="E66" s="6" t="s">
        <v>0</v>
      </c>
      <c r="F66" s="280" t="str">
        <f>VLOOKUP(C66,abm2_mode!$A$2:$C$139,3,FALSE)</f>
        <v xml:space="preserve">Local Bus                                                                  </v>
      </c>
      <c r="G66" s="247">
        <v>5.2758823529411796</v>
      </c>
      <c r="H66" s="247">
        <v>71.574361549497823</v>
      </c>
      <c r="I66" s="247">
        <v>82.128400165357291</v>
      </c>
      <c r="J66" s="247">
        <v>24.971355932203679</v>
      </c>
      <c r="K66" s="247">
        <v>0</v>
      </c>
      <c r="L66" s="319">
        <v>7.4523529411764748</v>
      </c>
      <c r="M66" s="319">
        <v>221.53154949784789</v>
      </c>
      <c r="N66" s="319">
        <v>240.89200665188372</v>
      </c>
      <c r="O66" s="319">
        <v>58.544090909091892</v>
      </c>
      <c r="P66" s="319">
        <v>0</v>
      </c>
      <c r="Q66" s="251">
        <f t="shared" si="11"/>
        <v>1.4125320548556137</v>
      </c>
      <c r="R66" s="251">
        <f t="shared" si="12"/>
        <v>3.0951243532175412</v>
      </c>
      <c r="S66" s="251">
        <f t="shared" si="21"/>
        <v>2.9331145641078096</v>
      </c>
      <c r="T66" s="251">
        <f t="shared" si="13"/>
        <v>2.3444498195467225</v>
      </c>
      <c r="U66" s="251">
        <v>0</v>
      </c>
      <c r="V66" s="251" t="str">
        <f t="shared" si="2"/>
        <v>65_323_10_Local</v>
      </c>
      <c r="W66" s="318"/>
    </row>
    <row r="67" spans="1:23" x14ac:dyDescent="0.3">
      <c r="A67" s="5" t="str">
        <f t="shared" si="1"/>
        <v>10_325</v>
      </c>
      <c r="B67" s="5">
        <v>66</v>
      </c>
      <c r="C67" s="4">
        <v>325</v>
      </c>
      <c r="D67" s="5">
        <v>10</v>
      </c>
      <c r="E67" s="6" t="s">
        <v>0</v>
      </c>
      <c r="F67" s="280" t="str">
        <f>VLOOKUP(C67,abm2_mode!$A$2:$C$139,3,FALSE)</f>
        <v xml:space="preserve">Local Bus                                                                  </v>
      </c>
      <c r="G67" s="247">
        <v>12.029434782608696</v>
      </c>
      <c r="H67" s="247">
        <v>112.04171883972691</v>
      </c>
      <c r="I67" s="247">
        <v>393.27828241186256</v>
      </c>
      <c r="J67" s="247">
        <v>194.35054767418208</v>
      </c>
      <c r="K67" s="247">
        <v>36.990016291619739</v>
      </c>
      <c r="L67" s="319">
        <v>32.690599033816433</v>
      </c>
      <c r="M67" s="319">
        <v>330.9437597035585</v>
      </c>
      <c r="N67" s="319">
        <v>1071.7391379597216</v>
      </c>
      <c r="O67" s="319">
        <v>519.15803335754879</v>
      </c>
      <c r="P67" s="319">
        <v>104.81846994535454</v>
      </c>
      <c r="Q67" s="251">
        <f t="shared" si="11"/>
        <v>2.7175507099534038</v>
      </c>
      <c r="R67" s="251">
        <f t="shared" si="12"/>
        <v>2.9537547543068836</v>
      </c>
      <c r="S67" s="251">
        <f t="shared" si="21"/>
        <v>2.7251419310190581</v>
      </c>
      <c r="T67" s="251">
        <f t="shared" si="13"/>
        <v>2.6712455383860738</v>
      </c>
      <c r="U67" s="251">
        <f>P67/K67</f>
        <v>2.8336962362761016</v>
      </c>
      <c r="V67" s="251" t="str">
        <f t="shared" si="2"/>
        <v>66_325_10_Local</v>
      </c>
      <c r="W67" s="318"/>
    </row>
    <row r="68" spans="1:23" x14ac:dyDescent="0.3">
      <c r="A68" s="5" t="str">
        <f t="shared" ref="A68:A131" si="22">CONCATENATE(D68,"_",C68)</f>
        <v>10_332</v>
      </c>
      <c r="B68" s="5">
        <v>67</v>
      </c>
      <c r="C68" s="4">
        <v>332</v>
      </c>
      <c r="D68" s="5">
        <v>10</v>
      </c>
      <c r="E68" s="6" t="s">
        <v>0</v>
      </c>
      <c r="F68" s="280" t="str">
        <f>VLOOKUP(C68,abm2_mode!$A$2:$C$139,3,FALSE)</f>
        <v xml:space="preserve">Local Bus                                                                  </v>
      </c>
      <c r="G68" s="247">
        <v>54.51179301252472</v>
      </c>
      <c r="H68" s="247">
        <v>316.86725529665409</v>
      </c>
      <c r="I68" s="247">
        <v>556.84264122097227</v>
      </c>
      <c r="J68" s="247">
        <v>294.68270071375144</v>
      </c>
      <c r="K68" s="247">
        <v>47.665609756097503</v>
      </c>
      <c r="L68" s="319">
        <v>202.09263678312456</v>
      </c>
      <c r="M68" s="319">
        <v>1086.3304767434456</v>
      </c>
      <c r="N68" s="319">
        <v>1882.1285819969203</v>
      </c>
      <c r="O68" s="319">
        <v>1145.1412313057788</v>
      </c>
      <c r="P68" s="319">
        <v>155.08707317073143</v>
      </c>
      <c r="Q68" s="251">
        <f t="shared" si="11"/>
        <v>3.70731956545057</v>
      </c>
      <c r="R68" s="251">
        <f t="shared" si="12"/>
        <v>3.4283456513245993</v>
      </c>
      <c r="S68" s="251">
        <f t="shared" si="21"/>
        <v>3.3800008165143982</v>
      </c>
      <c r="T68" s="251">
        <f t="shared" si="13"/>
        <v>3.8860144437801418</v>
      </c>
      <c r="U68" s="251">
        <f>P68/K68</f>
        <v>3.253647104575061</v>
      </c>
      <c r="V68" s="251" t="str">
        <f t="shared" ref="V68:V131" si="23">CONCATENATE(B68,"_",C68,"_",D68,"_",E68)</f>
        <v>67_332_10_Local</v>
      </c>
      <c r="W68" s="318"/>
    </row>
    <row r="69" spans="1:23" x14ac:dyDescent="0.3">
      <c r="A69" s="5" t="str">
        <f t="shared" si="22"/>
        <v>10_334</v>
      </c>
      <c r="B69" s="5">
        <v>68</v>
      </c>
      <c r="C69" s="4">
        <v>334</v>
      </c>
      <c r="D69" s="5">
        <v>10</v>
      </c>
      <c r="E69" s="6" t="s">
        <v>0</v>
      </c>
      <c r="F69" s="280" t="str">
        <f>VLOOKUP(C69,abm2_mode!$A$2:$C$139,3,FALSE)</f>
        <v xml:space="preserve">Local Bus                                                                  </v>
      </c>
      <c r="G69" s="247">
        <v>6.58</v>
      </c>
      <c r="H69" s="247">
        <v>50.960769230769223</v>
      </c>
      <c r="I69" s="247">
        <v>89.95766826923068</v>
      </c>
      <c r="J69" s="247">
        <v>46.871562500000202</v>
      </c>
      <c r="K69" s="247">
        <v>6.7999999999999119</v>
      </c>
      <c r="L69" s="319">
        <v>12.25</v>
      </c>
      <c r="M69" s="319">
        <v>69.011153846153832</v>
      </c>
      <c r="N69" s="319">
        <v>155.76603365384599</v>
      </c>
      <c r="O69" s="319">
        <v>67.950590277778062</v>
      </c>
      <c r="P69" s="319">
        <v>10.082222222222086</v>
      </c>
      <c r="Q69" s="251">
        <f t="shared" si="11"/>
        <v>1.8617021276595744</v>
      </c>
      <c r="R69" s="251">
        <f t="shared" si="12"/>
        <v>1.3542015728539298</v>
      </c>
      <c r="S69" s="251">
        <f t="shared" si="21"/>
        <v>1.7315481453750015</v>
      </c>
      <c r="T69" s="251">
        <f t="shared" si="13"/>
        <v>1.4497189053123154</v>
      </c>
      <c r="U69" s="251">
        <f>P69/K69</f>
        <v>1.4826797385620907</v>
      </c>
      <c r="V69" s="251" t="str">
        <f t="shared" si="23"/>
        <v>68_334_10_Local</v>
      </c>
      <c r="W69" s="318"/>
    </row>
    <row r="70" spans="1:23" x14ac:dyDescent="0.3">
      <c r="A70" s="5" t="str">
        <f t="shared" si="22"/>
        <v>10_335</v>
      </c>
      <c r="B70" s="5">
        <v>69</v>
      </c>
      <c r="C70" s="4">
        <v>335</v>
      </c>
      <c r="D70" s="5">
        <v>10</v>
      </c>
      <c r="E70" s="6" t="s">
        <v>0</v>
      </c>
      <c r="F70" s="280" t="str">
        <f>VLOOKUP(C70,abm2_mode!$A$2:$C$139,3,FALSE)</f>
        <v xml:space="preserve">Local Bus                                                                  </v>
      </c>
      <c r="G70" s="247">
        <v>1.2794117647058811</v>
      </c>
      <c r="H70" s="247">
        <v>27.20058823529412</v>
      </c>
      <c r="I70" s="247">
        <v>5.2384615384614603</v>
      </c>
      <c r="J70" s="247">
        <v>26.831538461538539</v>
      </c>
      <c r="K70" s="247">
        <v>0</v>
      </c>
      <c r="L70" s="319">
        <v>2.7882352941176447</v>
      </c>
      <c r="M70" s="319">
        <v>60.22176470588235</v>
      </c>
      <c r="N70" s="319">
        <v>14.130769230769022</v>
      </c>
      <c r="O70" s="319">
        <v>66.169230769230978</v>
      </c>
      <c r="P70" s="319">
        <v>0</v>
      </c>
      <c r="Q70" s="251">
        <f t="shared" si="11"/>
        <v>2.1793103448275866</v>
      </c>
      <c r="R70" s="251">
        <f t="shared" si="12"/>
        <v>2.213987586773642</v>
      </c>
      <c r="S70" s="251">
        <f t="shared" si="21"/>
        <v>2.6975036710719533</v>
      </c>
      <c r="T70" s="251">
        <f t="shared" si="13"/>
        <v>2.4660990223904138</v>
      </c>
      <c r="U70" s="251">
        <v>0</v>
      </c>
      <c r="V70" s="251" t="str">
        <f t="shared" si="23"/>
        <v>69_335_10_Local</v>
      </c>
      <c r="W70" s="318"/>
    </row>
    <row r="71" spans="1:23" x14ac:dyDescent="0.3">
      <c r="A71" s="5" t="str">
        <f t="shared" si="22"/>
        <v>10_347</v>
      </c>
      <c r="B71" s="5">
        <v>70</v>
      </c>
      <c r="C71" s="4">
        <v>347</v>
      </c>
      <c r="D71" s="5">
        <v>10</v>
      </c>
      <c r="E71" s="6" t="s">
        <v>0</v>
      </c>
      <c r="F71" s="280" t="str">
        <f>VLOOKUP(C71,abm2_mode!$A$2:$C$139,3,FALSE)</f>
        <v xml:space="preserve">Local Bus                                                                  </v>
      </c>
      <c r="G71" s="247">
        <v>4.1818181818181843</v>
      </c>
      <c r="H71" s="247">
        <v>90.706442687747028</v>
      </c>
      <c r="I71" s="247">
        <v>245.3934057971012</v>
      </c>
      <c r="J71" s="247">
        <v>75.003315217391645</v>
      </c>
      <c r="K71" s="247">
        <v>5.385018115941957</v>
      </c>
      <c r="L71" s="319">
        <v>4.7613636363636385</v>
      </c>
      <c r="M71" s="319">
        <v>124.26689723320159</v>
      </c>
      <c r="N71" s="319">
        <v>395.91132246376765</v>
      </c>
      <c r="O71" s="319">
        <v>124.35146739130491</v>
      </c>
      <c r="P71" s="319">
        <v>7.1189492753622208</v>
      </c>
      <c r="Q71" s="251">
        <f t="shared" si="11"/>
        <v>1.138586956521739</v>
      </c>
      <c r="R71" s="251">
        <f t="shared" si="12"/>
        <v>1.3699897554243745</v>
      </c>
      <c r="S71" s="251">
        <f t="shared" si="21"/>
        <v>1.6133739257489228</v>
      </c>
      <c r="T71" s="251">
        <f t="shared" si="13"/>
        <v>1.6579462791862098</v>
      </c>
      <c r="U71" s="251">
        <f t="shared" ref="U71:U77" si="24">P71/K71</f>
        <v>1.3219917040366282</v>
      </c>
      <c r="V71" s="251" t="str">
        <f t="shared" si="23"/>
        <v>70_347_10_Local</v>
      </c>
      <c r="W71" s="318"/>
    </row>
    <row r="72" spans="1:23" x14ac:dyDescent="0.3">
      <c r="A72" s="5" t="str">
        <f t="shared" si="22"/>
        <v>10_351</v>
      </c>
      <c r="B72" s="5">
        <v>71</v>
      </c>
      <c r="C72" s="4">
        <v>351</v>
      </c>
      <c r="D72" s="5">
        <v>10</v>
      </c>
      <c r="E72" s="6" t="s">
        <v>0</v>
      </c>
      <c r="F72" s="280" t="str">
        <f>VLOOKUP(C72,abm2_mode!$A$2:$C$139,3,FALSE)</f>
        <v xml:space="preserve">Local Bus                                                                  </v>
      </c>
      <c r="G72" s="247">
        <v>32.249655172413796</v>
      </c>
      <c r="H72" s="247">
        <v>209.57246603970739</v>
      </c>
      <c r="I72" s="247">
        <v>438.2253073593069</v>
      </c>
      <c r="J72" s="247">
        <v>227.75620779220864</v>
      </c>
      <c r="K72" s="247">
        <v>98.706363636363349</v>
      </c>
      <c r="L72" s="319">
        <v>71.057241379310355</v>
      </c>
      <c r="M72" s="319">
        <v>422.49669801462903</v>
      </c>
      <c r="N72" s="319">
        <v>865.07063203463099</v>
      </c>
      <c r="O72" s="319">
        <v>441.9163376623394</v>
      </c>
      <c r="P72" s="319">
        <v>222.08909090909015</v>
      </c>
      <c r="Q72" s="251">
        <f t="shared" si="11"/>
        <v>2.203348873016552</v>
      </c>
      <c r="R72" s="251">
        <f t="shared" si="12"/>
        <v>2.01599335064645</v>
      </c>
      <c r="S72" s="251">
        <f t="shared" si="21"/>
        <v>1.9740316624967251</v>
      </c>
      <c r="T72" s="251">
        <f t="shared" si="13"/>
        <v>1.9403042487672515</v>
      </c>
      <c r="U72" s="251">
        <f t="shared" si="24"/>
        <v>2.2499976974865752</v>
      </c>
      <c r="V72" s="251" t="str">
        <f t="shared" si="23"/>
        <v>71_351_10_Local</v>
      </c>
      <c r="W72" s="318"/>
    </row>
    <row r="73" spans="1:23" x14ac:dyDescent="0.3">
      <c r="A73" s="5" t="str">
        <f t="shared" si="22"/>
        <v>10_352</v>
      </c>
      <c r="B73" s="5">
        <v>72</v>
      </c>
      <c r="C73" s="4">
        <v>352</v>
      </c>
      <c r="D73" s="5">
        <v>10</v>
      </c>
      <c r="E73" s="6" t="s">
        <v>0</v>
      </c>
      <c r="F73" s="280" t="str">
        <f>VLOOKUP(C73,abm2_mode!$A$2:$C$139,3,FALSE)</f>
        <v xml:space="preserve">Local Bus                                                                  </v>
      </c>
      <c r="G73" s="247">
        <v>36.803999999999995</v>
      </c>
      <c r="H73" s="247">
        <v>189.79835294117643</v>
      </c>
      <c r="I73" s="247">
        <v>456.49050420168044</v>
      </c>
      <c r="J73" s="247">
        <v>243.36067226890802</v>
      </c>
      <c r="K73" s="247">
        <v>59.046470588235053</v>
      </c>
      <c r="L73" s="319">
        <v>73.22799999999998</v>
      </c>
      <c r="M73" s="319">
        <v>403.11229411764708</v>
      </c>
      <c r="N73" s="319">
        <v>949.13856302520969</v>
      </c>
      <c r="O73" s="319">
        <v>497.40761344537918</v>
      </c>
      <c r="P73" s="319">
        <v>127.94352941176417</v>
      </c>
      <c r="Q73" s="251">
        <f t="shared" si="11"/>
        <v>1.9896750353222472</v>
      </c>
      <c r="R73" s="251">
        <f t="shared" si="12"/>
        <v>2.1238977465867808</v>
      </c>
      <c r="S73" s="251">
        <f t="shared" si="21"/>
        <v>2.0792076818445149</v>
      </c>
      <c r="T73" s="251">
        <f t="shared" si="13"/>
        <v>2.0439112400862989</v>
      </c>
      <c r="U73" s="251">
        <f t="shared" si="24"/>
        <v>2.166827722930095</v>
      </c>
      <c r="V73" s="251" t="str">
        <f t="shared" si="23"/>
        <v>72_352_10_Local</v>
      </c>
      <c r="W73" s="318"/>
    </row>
    <row r="74" spans="1:23" x14ac:dyDescent="0.3">
      <c r="A74" s="5" t="str">
        <f t="shared" si="22"/>
        <v>10_353</v>
      </c>
      <c r="B74" s="5">
        <v>73</v>
      </c>
      <c r="C74" s="4">
        <v>353</v>
      </c>
      <c r="D74" s="5">
        <v>10</v>
      </c>
      <c r="E74" s="6" t="s">
        <v>0</v>
      </c>
      <c r="F74" s="280" t="str">
        <f>VLOOKUP(C74,abm2_mode!$A$2:$C$139,3,FALSE)</f>
        <v xml:space="preserve">Local Bus                                                                  </v>
      </c>
      <c r="G74" s="247">
        <v>14.33</v>
      </c>
      <c r="H74" s="247">
        <v>96.603571428571428</v>
      </c>
      <c r="I74" s="247">
        <v>229.38918291385988</v>
      </c>
      <c r="J74" s="247">
        <v>100.53057899090207</v>
      </c>
      <c r="K74" s="247">
        <v>22.096666666666621</v>
      </c>
      <c r="L74" s="319">
        <v>18.09884615384615</v>
      </c>
      <c r="M74" s="319">
        <v>144.74722527472528</v>
      </c>
      <c r="N74" s="319">
        <v>360.60984668557188</v>
      </c>
      <c r="O74" s="319">
        <v>152.70741521919015</v>
      </c>
      <c r="P74" s="319">
        <v>38.046666666666567</v>
      </c>
      <c r="Q74" s="251">
        <f t="shared" si="11"/>
        <v>1.2630039186215039</v>
      </c>
      <c r="R74" s="251">
        <f t="shared" si="12"/>
        <v>1.4983630846583267</v>
      </c>
      <c r="S74" s="251">
        <f t="shared" si="21"/>
        <v>1.5720438169963225</v>
      </c>
      <c r="T74" s="251">
        <f t="shared" si="13"/>
        <v>1.5190145799618844</v>
      </c>
      <c r="U74" s="251">
        <f t="shared" si="24"/>
        <v>1.7218283300648656</v>
      </c>
      <c r="V74" s="251" t="str">
        <f t="shared" si="23"/>
        <v>73_353_10_Local</v>
      </c>
      <c r="W74" s="318"/>
    </row>
    <row r="75" spans="1:23" x14ac:dyDescent="0.3">
      <c r="A75" s="5" t="str">
        <f t="shared" si="22"/>
        <v>10_354</v>
      </c>
      <c r="B75" s="5">
        <v>74</v>
      </c>
      <c r="C75" s="4">
        <v>354</v>
      </c>
      <c r="D75" s="5">
        <v>10</v>
      </c>
      <c r="E75" s="6" t="s">
        <v>0</v>
      </c>
      <c r="F75" s="280" t="str">
        <f>VLOOKUP(C75,abm2_mode!$A$2:$C$139,3,FALSE)</f>
        <v xml:space="preserve">Local Bus                                                                  </v>
      </c>
      <c r="G75" s="247">
        <v>12.615199999999993</v>
      </c>
      <c r="H75" s="247">
        <v>201.84442962962964</v>
      </c>
      <c r="I75" s="247">
        <v>340.1878348734125</v>
      </c>
      <c r="J75" s="247">
        <v>196.55753549695794</v>
      </c>
      <c r="K75" s="247">
        <v>30.234999999999935</v>
      </c>
      <c r="L75" s="319">
        <v>27.125199999999985</v>
      </c>
      <c r="M75" s="319">
        <v>454.2288740740741</v>
      </c>
      <c r="N75" s="319">
        <v>739.55728495229403</v>
      </c>
      <c r="O75" s="319">
        <v>405.87479481978585</v>
      </c>
      <c r="P75" s="319">
        <v>64.613846153846055</v>
      </c>
      <c r="Q75" s="251">
        <f t="shared" si="11"/>
        <v>2.1501997590208637</v>
      </c>
      <c r="R75" s="251">
        <f t="shared" si="12"/>
        <v>2.250390931806006</v>
      </c>
      <c r="S75" s="251">
        <f t="shared" si="21"/>
        <v>2.1739674648492096</v>
      </c>
      <c r="T75" s="251">
        <f t="shared" si="13"/>
        <v>2.0649159738069032</v>
      </c>
      <c r="U75" s="251">
        <f t="shared" si="24"/>
        <v>2.1370546106778963</v>
      </c>
      <c r="V75" s="251" t="str">
        <f t="shared" si="23"/>
        <v>74_354_10_Local</v>
      </c>
      <c r="W75" s="318"/>
    </row>
    <row r="76" spans="1:23" x14ac:dyDescent="0.3">
      <c r="A76" s="5" t="str">
        <f t="shared" si="22"/>
        <v>10_355</v>
      </c>
      <c r="B76" s="5">
        <v>75</v>
      </c>
      <c r="C76" s="4">
        <v>355</v>
      </c>
      <c r="D76" s="5">
        <v>10</v>
      </c>
      <c r="E76" s="6" t="s">
        <v>0</v>
      </c>
      <c r="F76" s="280" t="str">
        <f>VLOOKUP(C76,abm2_mode!$A$2:$C$139,3,FALSE)</f>
        <v xml:space="preserve">Local Bus                                                                  </v>
      </c>
      <c r="G76" s="247">
        <v>0</v>
      </c>
      <c r="H76" s="247">
        <v>58.058444444444447</v>
      </c>
      <c r="I76" s="247">
        <v>112.88665759637166</v>
      </c>
      <c r="J76" s="247">
        <v>63.144897959183879</v>
      </c>
      <c r="K76" s="247">
        <v>19.41</v>
      </c>
      <c r="L76" s="319">
        <v>0</v>
      </c>
      <c r="M76" s="319">
        <v>168.73844444444444</v>
      </c>
      <c r="N76" s="319">
        <v>390.15114739228966</v>
      </c>
      <c r="O76" s="319">
        <v>192.04040816326585</v>
      </c>
      <c r="P76" s="319">
        <v>69.06</v>
      </c>
      <c r="Q76" s="251">
        <v>0</v>
      </c>
      <c r="R76" s="251">
        <f t="shared" si="12"/>
        <v>2.9063548990863612</v>
      </c>
      <c r="S76" s="251">
        <f t="shared" si="21"/>
        <v>3.456131625291647</v>
      </c>
      <c r="T76" s="251">
        <f t="shared" si="13"/>
        <v>3.0412656345948728</v>
      </c>
      <c r="U76" s="251">
        <f t="shared" si="24"/>
        <v>3.5579598145285938</v>
      </c>
      <c r="V76" s="251" t="str">
        <f t="shared" si="23"/>
        <v>75_355_10_Local</v>
      </c>
      <c r="W76" s="318"/>
    </row>
    <row r="77" spans="1:23" x14ac:dyDescent="0.3">
      <c r="A77" s="5" t="str">
        <f t="shared" si="22"/>
        <v>10_356</v>
      </c>
      <c r="B77" s="5">
        <v>76</v>
      </c>
      <c r="C77" s="4">
        <v>356</v>
      </c>
      <c r="D77" s="5">
        <v>10</v>
      </c>
      <c r="E77" s="6" t="s">
        <v>0</v>
      </c>
      <c r="F77" s="280" t="str">
        <f>VLOOKUP(C77,abm2_mode!$A$2:$C$139,3,FALSE)</f>
        <v xml:space="preserve">Local Bus                                                                  </v>
      </c>
      <c r="G77" s="247">
        <v>16.880000000000003</v>
      </c>
      <c r="H77" s="247">
        <v>91.47</v>
      </c>
      <c r="I77" s="247">
        <v>241.48</v>
      </c>
      <c r="J77" s="247">
        <v>119.34</v>
      </c>
      <c r="K77" s="247">
        <v>50.690000000000005</v>
      </c>
      <c r="L77" s="319">
        <v>27.060000000000002</v>
      </c>
      <c r="M77" s="319">
        <v>147.80999999999997</v>
      </c>
      <c r="N77" s="319">
        <v>428.91</v>
      </c>
      <c r="O77" s="319">
        <v>199.20000000000002</v>
      </c>
      <c r="P77" s="319">
        <v>89.28</v>
      </c>
      <c r="Q77" s="251">
        <f>L77/G77</f>
        <v>1.6030805687203791</v>
      </c>
      <c r="R77" s="251">
        <f t="shared" si="12"/>
        <v>1.6159396523450309</v>
      </c>
      <c r="S77" s="251">
        <f t="shared" si="21"/>
        <v>1.7761719397051516</v>
      </c>
      <c r="T77" s="251">
        <f t="shared" si="13"/>
        <v>1.6691804927099045</v>
      </c>
      <c r="U77" s="251">
        <f t="shared" si="24"/>
        <v>1.7612941408561844</v>
      </c>
      <c r="V77" s="251" t="str">
        <f t="shared" si="23"/>
        <v>76_356_10_Local</v>
      </c>
      <c r="W77" s="318"/>
    </row>
    <row r="78" spans="1:23" x14ac:dyDescent="0.3">
      <c r="A78" s="5" t="str">
        <f t="shared" si="22"/>
        <v>10_357</v>
      </c>
      <c r="B78" s="5">
        <v>77</v>
      </c>
      <c r="C78" s="4">
        <v>357</v>
      </c>
      <c r="D78" s="5">
        <v>10</v>
      </c>
      <c r="E78" s="6" t="s">
        <v>0</v>
      </c>
      <c r="F78" s="280" t="str">
        <f>VLOOKUP(C78,abm2_mode!$A$2:$C$139,3,FALSE)</f>
        <v xml:space="preserve">Local Bus                                                                  </v>
      </c>
      <c r="G78" s="247">
        <v>0</v>
      </c>
      <c r="H78" s="247">
        <v>43.071951219512187</v>
      </c>
      <c r="I78" s="247">
        <v>177.26804878048782</v>
      </c>
      <c r="J78" s="247">
        <v>60.879999999999995</v>
      </c>
      <c r="K78" s="247">
        <v>0</v>
      </c>
      <c r="L78" s="319">
        <v>0</v>
      </c>
      <c r="M78" s="319">
        <v>127.98048780487801</v>
      </c>
      <c r="N78" s="319">
        <v>605.86951219512196</v>
      </c>
      <c r="O78" s="319">
        <v>190.13</v>
      </c>
      <c r="P78" s="319">
        <v>0</v>
      </c>
      <c r="Q78" s="251">
        <v>0</v>
      </c>
      <c r="R78" s="251">
        <f t="shared" si="12"/>
        <v>2.9713185537529374</v>
      </c>
      <c r="S78" s="251">
        <f t="shared" si="21"/>
        <v>3.4178156546720619</v>
      </c>
      <c r="T78" s="251">
        <f t="shared" si="13"/>
        <v>3.1230289093298294</v>
      </c>
      <c r="U78" s="251">
        <v>0</v>
      </c>
      <c r="V78" s="251" t="str">
        <f t="shared" si="23"/>
        <v>77_357_10_Local</v>
      </c>
      <c r="W78" s="318"/>
    </row>
    <row r="79" spans="1:23" x14ac:dyDescent="0.3">
      <c r="A79" s="5" t="str">
        <f t="shared" si="22"/>
        <v>10_358</v>
      </c>
      <c r="B79" s="5">
        <v>78</v>
      </c>
      <c r="C79" s="4">
        <v>358</v>
      </c>
      <c r="D79" s="5">
        <v>10</v>
      </c>
      <c r="E79" s="6" t="s">
        <v>0</v>
      </c>
      <c r="F79" s="280" t="str">
        <f>VLOOKUP(C79,abm2_mode!$A$2:$C$139,3,FALSE)</f>
        <v xml:space="preserve">Local Bus                                                                  </v>
      </c>
      <c r="G79" s="247">
        <v>0</v>
      </c>
      <c r="H79" s="247">
        <v>34.11</v>
      </c>
      <c r="I79" s="247">
        <v>49.6</v>
      </c>
      <c r="J79" s="247">
        <v>29.47</v>
      </c>
      <c r="K79" s="247">
        <v>3.6</v>
      </c>
      <c r="L79" s="319">
        <v>0</v>
      </c>
      <c r="M79" s="319">
        <v>114.41</v>
      </c>
      <c r="N79" s="319">
        <v>163.60000000000002</v>
      </c>
      <c r="O79" s="319">
        <v>103.53999999999999</v>
      </c>
      <c r="P79" s="319">
        <v>16.43</v>
      </c>
      <c r="Q79" s="251">
        <v>0</v>
      </c>
      <c r="R79" s="251">
        <f t="shared" si="12"/>
        <v>3.3541483435942538</v>
      </c>
      <c r="S79" s="251">
        <f t="shared" si="21"/>
        <v>3.2983870967741939</v>
      </c>
      <c r="T79" s="251">
        <f t="shared" si="13"/>
        <v>3.5134034611469289</v>
      </c>
      <c r="U79" s="251">
        <f>P79/K79</f>
        <v>4.5638888888888891</v>
      </c>
      <c r="V79" s="251" t="str">
        <f t="shared" si="23"/>
        <v>78_358_10_Local</v>
      </c>
      <c r="W79" s="318"/>
    </row>
    <row r="80" spans="1:23" x14ac:dyDescent="0.3">
      <c r="A80" s="5" t="str">
        <f t="shared" si="22"/>
        <v>10_359</v>
      </c>
      <c r="B80" s="5">
        <v>79</v>
      </c>
      <c r="C80" s="4">
        <v>359</v>
      </c>
      <c r="D80" s="5">
        <v>10</v>
      </c>
      <c r="E80" s="6" t="s">
        <v>0</v>
      </c>
      <c r="F80" s="280" t="str">
        <f>VLOOKUP(C80,abm2_mode!$A$2:$C$139,3,FALSE)</f>
        <v xml:space="preserve">Local Bus                                                                  </v>
      </c>
      <c r="G80" s="247">
        <v>6.8</v>
      </c>
      <c r="H80" s="247">
        <v>33.799999999999997</v>
      </c>
      <c r="I80" s="247">
        <v>62.453902439024148</v>
      </c>
      <c r="J80" s="247">
        <v>24.736097560975857</v>
      </c>
      <c r="K80" s="247">
        <v>7.43</v>
      </c>
      <c r="L80" s="319">
        <v>30.11</v>
      </c>
      <c r="M80" s="319">
        <v>119.19</v>
      </c>
      <c r="N80" s="319">
        <v>227.6924390243895</v>
      </c>
      <c r="O80" s="319">
        <v>78.657560975610494</v>
      </c>
      <c r="P80" s="319">
        <v>23.33</v>
      </c>
      <c r="Q80" s="251">
        <f>L80/G80</f>
        <v>4.427941176470588</v>
      </c>
      <c r="R80" s="251">
        <f t="shared" si="12"/>
        <v>3.5263313609467457</v>
      </c>
      <c r="S80" s="251">
        <f t="shared" si="21"/>
        <v>3.6457680005936108</v>
      </c>
      <c r="T80" s="251">
        <f t="shared" si="13"/>
        <v>3.1798694511822339</v>
      </c>
      <c r="U80" s="251">
        <f>P80/K80</f>
        <v>3.1399730820995959</v>
      </c>
      <c r="V80" s="251" t="str">
        <f t="shared" si="23"/>
        <v>79_359_10_Local</v>
      </c>
      <c r="W80" s="318"/>
    </row>
    <row r="81" spans="1:23" x14ac:dyDescent="0.3">
      <c r="A81" s="1" t="str">
        <f t="shared" si="22"/>
        <v>10_371</v>
      </c>
      <c r="B81" s="5">
        <v>80</v>
      </c>
      <c r="C81" s="262">
        <v>371</v>
      </c>
      <c r="D81" s="1">
        <v>10</v>
      </c>
      <c r="E81" s="276" t="s">
        <v>0</v>
      </c>
      <c r="F81" s="282" t="str">
        <f>VLOOKUP(C81,abm2_mode!$A$2:$C$139,3,FALSE)</f>
        <v xml:space="preserve">Local Bus                                                                  </v>
      </c>
      <c r="G81" s="263">
        <v>6.8378378378378359</v>
      </c>
      <c r="H81" s="263">
        <v>18.138906348208671</v>
      </c>
      <c r="I81" s="263">
        <v>3.023255813953496</v>
      </c>
      <c r="J81" s="263">
        <v>0</v>
      </c>
      <c r="K81" s="263">
        <v>0</v>
      </c>
      <c r="L81" s="323">
        <v>43.198648648648643</v>
      </c>
      <c r="M81" s="323">
        <v>82.343909490886219</v>
      </c>
      <c r="N81" s="323">
        <v>7.9874418604651369</v>
      </c>
      <c r="O81" s="323">
        <v>0</v>
      </c>
      <c r="P81" s="323">
        <v>0</v>
      </c>
      <c r="Q81" s="264">
        <f>L81/G81</f>
        <v>6.3175889328063253</v>
      </c>
      <c r="R81" s="264">
        <f t="shared" si="12"/>
        <v>4.5396292317821132</v>
      </c>
      <c r="S81" s="264">
        <f t="shared" si="21"/>
        <v>2.6420000000000003</v>
      </c>
      <c r="T81" s="264">
        <v>0</v>
      </c>
      <c r="U81" s="264">
        <v>0</v>
      </c>
      <c r="V81" s="251" t="str">
        <f t="shared" si="23"/>
        <v>80_371_10_Local</v>
      </c>
      <c r="W81" s="318"/>
    </row>
    <row r="82" spans="1:23" x14ac:dyDescent="0.3">
      <c r="A82" s="5" t="str">
        <f t="shared" si="22"/>
        <v>10_388</v>
      </c>
      <c r="B82" s="5">
        <v>81</v>
      </c>
      <c r="C82" s="4">
        <v>388</v>
      </c>
      <c r="D82" s="5">
        <v>10</v>
      </c>
      <c r="E82" s="6" t="s">
        <v>0</v>
      </c>
      <c r="F82" s="280" t="str">
        <f>VLOOKUP(C82,abm2_mode!$A$2:$C$139,3,FALSE)</f>
        <v xml:space="preserve">Local Bus                                                                  </v>
      </c>
      <c r="G82" s="247">
        <v>14.696744186046516</v>
      </c>
      <c r="H82" s="247">
        <v>78.503255813953487</v>
      </c>
      <c r="I82" s="247">
        <v>321.28816774193501</v>
      </c>
      <c r="J82" s="247">
        <v>176.12183225806496</v>
      </c>
      <c r="K82" s="247">
        <v>99.18</v>
      </c>
      <c r="L82" s="319">
        <v>174.14697674418608</v>
      </c>
      <c r="M82" s="319">
        <v>896.81302325581396</v>
      </c>
      <c r="N82" s="319">
        <v>3427.3462258064465</v>
      </c>
      <c r="O82" s="319">
        <v>1972.7337741935535</v>
      </c>
      <c r="P82" s="319">
        <v>1190.4100000000001</v>
      </c>
      <c r="Q82" s="251">
        <f>L82/G82</f>
        <v>11.849357554275585</v>
      </c>
      <c r="R82" s="251">
        <f t="shared" ref="R82:R110" si="25">M82/H82</f>
        <v>11.423895913071298</v>
      </c>
      <c r="S82" s="251">
        <f t="shared" si="21"/>
        <v>10.667514617467514</v>
      </c>
      <c r="T82" s="251">
        <f>O82/J82</f>
        <v>11.200960998991755</v>
      </c>
      <c r="U82" s="251">
        <f>P82/K82</f>
        <v>12.002520669489817</v>
      </c>
      <c r="V82" s="251" t="str">
        <f t="shared" si="23"/>
        <v>81_388_10_Local</v>
      </c>
      <c r="W82" s="318"/>
    </row>
    <row r="83" spans="1:23" x14ac:dyDescent="0.3">
      <c r="A83" s="5" t="str">
        <f t="shared" si="22"/>
        <v>10_389</v>
      </c>
      <c r="B83" s="5">
        <v>82</v>
      </c>
      <c r="C83" s="4">
        <v>389</v>
      </c>
      <c r="D83" s="5">
        <v>10</v>
      </c>
      <c r="E83" s="6" t="s">
        <v>0</v>
      </c>
      <c r="F83" s="280" t="str">
        <f>VLOOKUP(C83,abm2_mode!$A$2:$C$139,3,FALSE)</f>
        <v xml:space="preserve">Local Bus                                                                  </v>
      </c>
      <c r="G83" s="247">
        <v>0</v>
      </c>
      <c r="H83" s="247">
        <v>25</v>
      </c>
      <c r="I83" s="247">
        <v>82.299999999999869</v>
      </c>
      <c r="J83" s="247">
        <v>33.950000000000131</v>
      </c>
      <c r="K83" s="247">
        <v>14</v>
      </c>
      <c r="L83" s="319">
        <v>0</v>
      </c>
      <c r="M83" s="319">
        <v>414.1</v>
      </c>
      <c r="N83" s="319">
        <v>1335.3499999999974</v>
      </c>
      <c r="O83" s="319">
        <v>623.33000000000266</v>
      </c>
      <c r="P83" s="319">
        <v>259.39</v>
      </c>
      <c r="Q83" s="251">
        <v>0</v>
      </c>
      <c r="R83" s="251">
        <f t="shared" si="25"/>
        <v>16.564</v>
      </c>
      <c r="S83" s="251">
        <f t="shared" si="21"/>
        <v>16.225394896719315</v>
      </c>
      <c r="T83" s="251">
        <f>O83/J83</f>
        <v>18.360235640648018</v>
      </c>
      <c r="U83" s="251">
        <f>P83/K83</f>
        <v>18.52785714285714</v>
      </c>
      <c r="V83" s="251" t="str">
        <f t="shared" si="23"/>
        <v>82_389_10_Local</v>
      </c>
      <c r="W83" s="318"/>
    </row>
    <row r="84" spans="1:23" x14ac:dyDescent="0.3">
      <c r="A84" s="5" t="str">
        <f t="shared" si="22"/>
        <v>10_392</v>
      </c>
      <c r="B84" s="5">
        <v>83</v>
      </c>
      <c r="C84" s="4">
        <v>392</v>
      </c>
      <c r="D84" s="5">
        <v>10</v>
      </c>
      <c r="E84" s="6" t="s">
        <v>0</v>
      </c>
      <c r="F84" s="280" t="str">
        <f>VLOOKUP(C84,abm2_mode!$A$2:$C$139,3,FALSE)</f>
        <v xml:space="preserve">Local Bus                                                                  </v>
      </c>
      <c r="G84" s="247">
        <v>0.86599999999999733</v>
      </c>
      <c r="H84" s="247">
        <v>64.164000000000001</v>
      </c>
      <c r="I84" s="247">
        <v>75.983157894736721</v>
      </c>
      <c r="J84" s="247">
        <v>29.916842105263278</v>
      </c>
      <c r="K84" s="247">
        <v>0</v>
      </c>
      <c r="L84" s="319">
        <v>1.9399999999999937</v>
      </c>
      <c r="M84" s="319">
        <v>102.35</v>
      </c>
      <c r="N84" s="319">
        <v>97.565789473684092</v>
      </c>
      <c r="O84" s="319">
        <v>39.024210526315912</v>
      </c>
      <c r="P84" s="319">
        <v>0</v>
      </c>
      <c r="Q84" s="251">
        <f>L84/G84</f>
        <v>2.2401847575057734</v>
      </c>
      <c r="R84" s="251">
        <f t="shared" si="25"/>
        <v>1.5951312262327784</v>
      </c>
      <c r="S84" s="251">
        <f t="shared" si="21"/>
        <v>1.2840449407070824</v>
      </c>
      <c r="T84" s="251">
        <f t="shared" ref="T84:T115" si="26">O84/J84</f>
        <v>1.304422785968121</v>
      </c>
      <c r="U84" s="251">
        <v>0</v>
      </c>
      <c r="V84" s="251" t="str">
        <f t="shared" si="23"/>
        <v>83_392_10_Local</v>
      </c>
      <c r="W84" s="318"/>
    </row>
    <row r="85" spans="1:23" x14ac:dyDescent="0.3">
      <c r="A85" s="5" t="str">
        <f t="shared" si="22"/>
        <v>10_395</v>
      </c>
      <c r="B85" s="5">
        <v>84</v>
      </c>
      <c r="C85" s="4">
        <v>395</v>
      </c>
      <c r="D85" s="5">
        <v>10</v>
      </c>
      <c r="E85" s="6" t="s">
        <v>0</v>
      </c>
      <c r="F85" s="280" t="str">
        <f>VLOOKUP(C85,abm2_mode!$A$2:$C$139,3,FALSE)</f>
        <v xml:space="preserve">Local Bus                                                                  </v>
      </c>
      <c r="G85" s="247">
        <v>0</v>
      </c>
      <c r="H85" s="247">
        <v>13.521038961038961</v>
      </c>
      <c r="I85" s="247">
        <v>56.334545454545385</v>
      </c>
      <c r="J85" s="247">
        <v>70.013257948947796</v>
      </c>
      <c r="K85" s="247">
        <v>51.311157635467843</v>
      </c>
      <c r="L85" s="319">
        <v>0</v>
      </c>
      <c r="M85" s="319">
        <v>167.48415584415585</v>
      </c>
      <c r="N85" s="319">
        <v>723.6696103896096</v>
      </c>
      <c r="O85" s="319">
        <v>729.10547021943728</v>
      </c>
      <c r="P85" s="319">
        <v>457.70076354679702</v>
      </c>
      <c r="Q85" s="251">
        <v>0</v>
      </c>
      <c r="R85" s="251">
        <f t="shared" si="25"/>
        <v>12.386929460580912</v>
      </c>
      <c r="S85" s="251">
        <f t="shared" si="21"/>
        <v>12.845929696433185</v>
      </c>
      <c r="T85" s="251">
        <f t="shared" si="26"/>
        <v>10.413820061781523</v>
      </c>
      <c r="U85" s="251">
        <f>P85/K85</f>
        <v>8.9201020721157978</v>
      </c>
      <c r="V85" s="251" t="str">
        <f t="shared" si="23"/>
        <v>84_395_10_Local</v>
      </c>
      <c r="W85" s="318"/>
    </row>
    <row r="86" spans="1:23" x14ac:dyDescent="0.3">
      <c r="A86" s="5" t="str">
        <f t="shared" si="22"/>
        <v>10_444</v>
      </c>
      <c r="B86" s="5">
        <v>85</v>
      </c>
      <c r="C86" s="4">
        <v>444</v>
      </c>
      <c r="D86" s="5">
        <v>10</v>
      </c>
      <c r="E86" s="6" t="s">
        <v>0</v>
      </c>
      <c r="F86" s="280" t="str">
        <f>VLOOKUP(C86,abm2_mode!$A$2:$C$139,3,FALSE)</f>
        <v xml:space="preserve">Local Bus                                                                  </v>
      </c>
      <c r="G86" s="247">
        <v>0</v>
      </c>
      <c r="H86" s="247">
        <v>33.165384615384589</v>
      </c>
      <c r="I86" s="247">
        <v>2.6346153846154099</v>
      </c>
      <c r="J86" s="247">
        <v>39.6</v>
      </c>
      <c r="K86" s="247">
        <v>0</v>
      </c>
      <c r="L86" s="319">
        <v>0</v>
      </c>
      <c r="M86" s="319">
        <v>120.11115384615374</v>
      </c>
      <c r="N86" s="319">
        <v>10.178846153846253</v>
      </c>
      <c r="O86" s="319">
        <v>157.08999999999997</v>
      </c>
      <c r="P86" s="319">
        <v>0</v>
      </c>
      <c r="Q86" s="251">
        <v>0</v>
      </c>
      <c r="R86" s="251">
        <f t="shared" si="25"/>
        <v>3.621581816073292</v>
      </c>
      <c r="S86" s="251">
        <f t="shared" si="21"/>
        <v>3.863503649635037</v>
      </c>
      <c r="T86" s="251">
        <f t="shared" si="26"/>
        <v>3.9669191919191911</v>
      </c>
      <c r="U86" s="251">
        <v>0</v>
      </c>
      <c r="V86" s="251" t="str">
        <f t="shared" si="23"/>
        <v>85_444_10_Local</v>
      </c>
      <c r="W86" s="318"/>
    </row>
    <row r="87" spans="1:23" x14ac:dyDescent="0.3">
      <c r="A87" s="5" t="str">
        <f t="shared" si="22"/>
        <v>10_445</v>
      </c>
      <c r="B87" s="5">
        <v>86</v>
      </c>
      <c r="C87" s="4">
        <v>445</v>
      </c>
      <c r="D87" s="5">
        <v>10</v>
      </c>
      <c r="E87" s="6" t="s">
        <v>0</v>
      </c>
      <c r="F87" s="280" t="str">
        <f>VLOOKUP(C87,abm2_mode!$A$2:$C$139,3,FALSE)</f>
        <v xml:space="preserve">Local Bus                                                                  </v>
      </c>
      <c r="G87" s="247">
        <v>0</v>
      </c>
      <c r="H87" s="247">
        <v>61.569200000000009</v>
      </c>
      <c r="I87" s="247">
        <v>1.300799999999996</v>
      </c>
      <c r="J87" s="247">
        <v>47.980000000000004</v>
      </c>
      <c r="K87" s="247">
        <v>0</v>
      </c>
      <c r="L87" s="319">
        <v>0</v>
      </c>
      <c r="M87" s="319">
        <v>303.25240000000002</v>
      </c>
      <c r="N87" s="319">
        <v>5.4975999999999816</v>
      </c>
      <c r="O87" s="319">
        <v>189.41</v>
      </c>
      <c r="P87" s="319">
        <v>0</v>
      </c>
      <c r="Q87" s="251">
        <v>0</v>
      </c>
      <c r="R87" s="251">
        <f t="shared" si="25"/>
        <v>4.9253912670621025</v>
      </c>
      <c r="S87" s="251">
        <f t="shared" si="21"/>
        <v>4.2263222632226309</v>
      </c>
      <c r="T87" s="251">
        <f t="shared" si="26"/>
        <v>3.9476865360566897</v>
      </c>
      <c r="U87" s="251">
        <v>0</v>
      </c>
      <c r="V87" s="251" t="str">
        <f t="shared" si="23"/>
        <v>86_445_10_Local</v>
      </c>
      <c r="W87" s="318"/>
    </row>
    <row r="88" spans="1:23" x14ac:dyDescent="0.3">
      <c r="A88" s="5" t="str">
        <f t="shared" si="22"/>
        <v>10_446</v>
      </c>
      <c r="B88" s="5">
        <v>87</v>
      </c>
      <c r="C88" s="4">
        <v>446</v>
      </c>
      <c r="D88" s="5">
        <v>10</v>
      </c>
      <c r="E88" s="6" t="s">
        <v>0</v>
      </c>
      <c r="F88" s="280" t="str">
        <f>VLOOKUP(C88,abm2_mode!$A$2:$C$139,3,FALSE)</f>
        <v xml:space="preserve">Local Bus                                                                  </v>
      </c>
      <c r="G88" s="247">
        <v>0</v>
      </c>
      <c r="H88" s="247">
        <v>7.2</v>
      </c>
      <c r="I88" s="247">
        <v>0</v>
      </c>
      <c r="J88" s="247">
        <v>8.33</v>
      </c>
      <c r="K88" s="247">
        <v>0</v>
      </c>
      <c r="L88" s="319">
        <v>0</v>
      </c>
      <c r="M88" s="319">
        <v>16.940000000000001</v>
      </c>
      <c r="N88" s="319">
        <v>0</v>
      </c>
      <c r="O88" s="319">
        <v>20.27</v>
      </c>
      <c r="P88" s="319">
        <v>0</v>
      </c>
      <c r="Q88" s="251">
        <v>0</v>
      </c>
      <c r="R88" s="251">
        <f t="shared" si="25"/>
        <v>2.3527777777777779</v>
      </c>
      <c r="S88" s="251">
        <v>0</v>
      </c>
      <c r="T88" s="251">
        <f t="shared" si="26"/>
        <v>2.4333733493397358</v>
      </c>
      <c r="U88" s="251">
        <v>0</v>
      </c>
      <c r="V88" s="251" t="str">
        <f t="shared" si="23"/>
        <v>87_446_10_Local</v>
      </c>
      <c r="W88" s="318"/>
    </row>
    <row r="89" spans="1:23" x14ac:dyDescent="0.3">
      <c r="A89" s="5" t="str">
        <f t="shared" si="22"/>
        <v>10_701</v>
      </c>
      <c r="B89" s="5">
        <v>88</v>
      </c>
      <c r="C89" s="4">
        <v>701</v>
      </c>
      <c r="D89" s="5">
        <v>10</v>
      </c>
      <c r="E89" s="6" t="s">
        <v>0</v>
      </c>
      <c r="F89" s="280" t="str">
        <f>VLOOKUP(C89,abm2_mode!$A$2:$C$139,3,FALSE)</f>
        <v xml:space="preserve">Local Bus                                                                  </v>
      </c>
      <c r="G89" s="247">
        <v>21.358571428571409</v>
      </c>
      <c r="H89" s="247">
        <v>492.26638211382124</v>
      </c>
      <c r="I89" s="247">
        <v>1173.9583234132083</v>
      </c>
      <c r="J89" s="247">
        <v>434.02201716204644</v>
      </c>
      <c r="K89" s="247">
        <v>102.59470588235263</v>
      </c>
      <c r="L89" s="319">
        <v>53.887428571428529</v>
      </c>
      <c r="M89" s="319">
        <v>1266.1681927990705</v>
      </c>
      <c r="N89" s="319">
        <v>2719.8845477626892</v>
      </c>
      <c r="O89" s="319">
        <v>1104.0057132197535</v>
      </c>
      <c r="P89" s="319">
        <v>284.47411764705788</v>
      </c>
      <c r="Q89" s="251">
        <f>L89/G89</f>
        <v>2.5229884288676345</v>
      </c>
      <c r="R89" s="251">
        <f t="shared" si="25"/>
        <v>2.5721199716341969</v>
      </c>
      <c r="S89" s="251">
        <f t="shared" ref="S89:S135" si="27">N89/I89</f>
        <v>2.3168493237943917</v>
      </c>
      <c r="T89" s="251">
        <f t="shared" si="26"/>
        <v>2.5436629239192765</v>
      </c>
      <c r="U89" s="251">
        <f t="shared" ref="U89:U96" si="28">P89/K89</f>
        <v>2.7727952938748124</v>
      </c>
      <c r="V89" s="251" t="str">
        <f t="shared" si="23"/>
        <v>88_701_10_Local</v>
      </c>
      <c r="W89" s="318"/>
    </row>
    <row r="90" spans="1:23" x14ac:dyDescent="0.3">
      <c r="A90" s="5" t="str">
        <f t="shared" si="22"/>
        <v>10_704</v>
      </c>
      <c r="B90" s="5">
        <v>89</v>
      </c>
      <c r="C90" s="4">
        <v>704</v>
      </c>
      <c r="D90" s="5">
        <v>10</v>
      </c>
      <c r="E90" s="6" t="s">
        <v>0</v>
      </c>
      <c r="F90" s="280" t="str">
        <f>VLOOKUP(C90,abm2_mode!$A$2:$C$139,3,FALSE)</f>
        <v xml:space="preserve">Local Bus                                                                  </v>
      </c>
      <c r="G90" s="247">
        <v>52.40588235294117</v>
      </c>
      <c r="H90" s="247">
        <v>389.49519662369954</v>
      </c>
      <c r="I90" s="247">
        <v>845.81859135302807</v>
      </c>
      <c r="J90" s="247">
        <v>406.38578601953799</v>
      </c>
      <c r="K90" s="247">
        <v>100.77454365079331</v>
      </c>
      <c r="L90" s="319">
        <v>157.25294117647056</v>
      </c>
      <c r="M90" s="319">
        <v>1334.8429526738391</v>
      </c>
      <c r="N90" s="319">
        <v>3036.6601700233114</v>
      </c>
      <c r="O90" s="319">
        <v>1439.4961318935759</v>
      </c>
      <c r="P90" s="319">
        <v>440.03780423280278</v>
      </c>
      <c r="Q90" s="251">
        <f>L90/G90</f>
        <v>3.0006734762599616</v>
      </c>
      <c r="R90" s="251">
        <f t="shared" si="25"/>
        <v>3.4271101781094937</v>
      </c>
      <c r="S90" s="251">
        <f t="shared" si="27"/>
        <v>3.5902026759256573</v>
      </c>
      <c r="T90" s="251">
        <f t="shared" si="26"/>
        <v>3.5421911430346351</v>
      </c>
      <c r="U90" s="251">
        <f t="shared" si="28"/>
        <v>4.3665571511554919</v>
      </c>
      <c r="V90" s="251" t="str">
        <f t="shared" si="23"/>
        <v>89_704_10_Local</v>
      </c>
      <c r="W90" s="318"/>
    </row>
    <row r="91" spans="1:23" x14ac:dyDescent="0.3">
      <c r="A91" s="5" t="str">
        <f t="shared" si="22"/>
        <v>10_705</v>
      </c>
      <c r="B91" s="5">
        <v>90</v>
      </c>
      <c r="C91" s="4">
        <v>705</v>
      </c>
      <c r="D91" s="5">
        <v>10</v>
      </c>
      <c r="E91" s="6" t="s">
        <v>0</v>
      </c>
      <c r="F91" s="280" t="str">
        <f>VLOOKUP(C91,abm2_mode!$A$2:$C$139,3,FALSE)</f>
        <v xml:space="preserve">Local Bus                                                                  </v>
      </c>
      <c r="G91" s="247">
        <v>0</v>
      </c>
      <c r="H91" s="247">
        <v>202.73999999999998</v>
      </c>
      <c r="I91" s="247">
        <v>561.22448717948635</v>
      </c>
      <c r="J91" s="247">
        <v>263.97551282051364</v>
      </c>
      <c r="K91" s="247">
        <v>57.230000000000004</v>
      </c>
      <c r="L91" s="319">
        <v>0</v>
      </c>
      <c r="M91" s="319">
        <v>794.5200000000001</v>
      </c>
      <c r="N91" s="319">
        <v>1937.3594230769195</v>
      </c>
      <c r="O91" s="319">
        <v>884.20057692308046</v>
      </c>
      <c r="P91" s="319">
        <v>129.22999999999999</v>
      </c>
      <c r="Q91" s="251">
        <v>0</v>
      </c>
      <c r="R91" s="251">
        <f t="shared" si="25"/>
        <v>3.9189109203906489</v>
      </c>
      <c r="S91" s="251">
        <f t="shared" si="27"/>
        <v>3.4520222608485875</v>
      </c>
      <c r="T91" s="251">
        <f t="shared" si="26"/>
        <v>3.3495552957757866</v>
      </c>
      <c r="U91" s="251">
        <f t="shared" si="28"/>
        <v>2.2580814258256154</v>
      </c>
      <c r="V91" s="251" t="str">
        <f t="shared" si="23"/>
        <v>90_705_10_Local</v>
      </c>
      <c r="W91" s="318"/>
    </row>
    <row r="92" spans="1:23" x14ac:dyDescent="0.3">
      <c r="A92" s="5" t="str">
        <f t="shared" si="22"/>
        <v>10_707</v>
      </c>
      <c r="B92" s="5">
        <v>91</v>
      </c>
      <c r="C92" s="4">
        <v>707</v>
      </c>
      <c r="D92" s="5">
        <v>10</v>
      </c>
      <c r="E92" s="6" t="s">
        <v>0</v>
      </c>
      <c r="F92" s="280" t="str">
        <f>VLOOKUP(C92,abm2_mode!$A$2:$C$139,3,FALSE)</f>
        <v xml:space="preserve">Local Bus                                                                  </v>
      </c>
      <c r="G92" s="247">
        <v>0</v>
      </c>
      <c r="H92" s="247">
        <v>8</v>
      </c>
      <c r="I92" s="247">
        <v>221.3</v>
      </c>
      <c r="J92" s="247">
        <v>51.720000000000006</v>
      </c>
      <c r="K92" s="247">
        <v>6.06</v>
      </c>
      <c r="L92" s="319">
        <v>0</v>
      </c>
      <c r="M92" s="319">
        <v>22.58</v>
      </c>
      <c r="N92" s="319">
        <v>727.41</v>
      </c>
      <c r="O92" s="319">
        <v>167.37</v>
      </c>
      <c r="P92" s="319">
        <v>19.27</v>
      </c>
      <c r="Q92" s="251">
        <v>0</v>
      </c>
      <c r="R92" s="251">
        <f t="shared" si="25"/>
        <v>2.8224999999999998</v>
      </c>
      <c r="S92" s="251">
        <f t="shared" si="27"/>
        <v>3.2869859918662447</v>
      </c>
      <c r="T92" s="251">
        <f t="shared" si="26"/>
        <v>3.2360788863109047</v>
      </c>
      <c r="U92" s="251">
        <f t="shared" si="28"/>
        <v>3.1798679867986799</v>
      </c>
      <c r="V92" s="251" t="str">
        <f t="shared" si="23"/>
        <v>91_707_10_Local</v>
      </c>
      <c r="W92" s="318"/>
    </row>
    <row r="93" spans="1:23" s="47" customFormat="1" x14ac:dyDescent="0.3">
      <c r="A93" s="337" t="str">
        <f t="shared" si="22"/>
        <v>10_709</v>
      </c>
      <c r="B93" s="5">
        <v>92</v>
      </c>
      <c r="C93" s="338">
        <v>709</v>
      </c>
      <c r="D93" s="337">
        <v>10</v>
      </c>
      <c r="E93" s="339" t="s">
        <v>0</v>
      </c>
      <c r="F93" s="340" t="str">
        <f>VLOOKUP(C93,abm2_mode!$A$2:$C$139,3,FALSE)</f>
        <v xml:space="preserve">Local Bus                                                                  </v>
      </c>
      <c r="G93" s="341">
        <v>57.806094202898507</v>
      </c>
      <c r="H93" s="341">
        <v>783.85600730086105</v>
      </c>
      <c r="I93" s="341">
        <v>1686.8470291677447</v>
      </c>
      <c r="J93" s="341">
        <v>810.06140351653153</v>
      </c>
      <c r="K93" s="341">
        <v>212.76946581196455</v>
      </c>
      <c r="L93" s="349">
        <v>268.63489855072447</v>
      </c>
      <c r="M93" s="349">
        <v>4139.6959022011542</v>
      </c>
      <c r="N93" s="349">
        <v>6781.8068562354065</v>
      </c>
      <c r="O93" s="349">
        <v>3726.6008686537471</v>
      </c>
      <c r="P93" s="349">
        <v>1136.0114743589675</v>
      </c>
      <c r="Q93" s="342">
        <f>L93/G93</f>
        <v>4.6471726252221792</v>
      </c>
      <c r="R93" s="342">
        <f t="shared" si="25"/>
        <v>5.2811943311576215</v>
      </c>
      <c r="S93" s="342">
        <f t="shared" si="27"/>
        <v>4.0204041854236241</v>
      </c>
      <c r="T93" s="342">
        <f t="shared" si="26"/>
        <v>4.6003930720267867</v>
      </c>
      <c r="U93" s="342">
        <f t="shared" si="28"/>
        <v>5.3391658902923593</v>
      </c>
      <c r="V93" s="342" t="str">
        <f t="shared" si="23"/>
        <v>92_709_10_Local</v>
      </c>
      <c r="W93" s="318"/>
    </row>
    <row r="94" spans="1:23" x14ac:dyDescent="0.3">
      <c r="A94" s="5" t="str">
        <f t="shared" si="22"/>
        <v>10_712</v>
      </c>
      <c r="B94" s="5">
        <v>93</v>
      </c>
      <c r="C94" s="4">
        <v>712</v>
      </c>
      <c r="D94" s="5">
        <v>10</v>
      </c>
      <c r="E94" s="6" t="s">
        <v>0</v>
      </c>
      <c r="F94" s="280" t="str">
        <f>VLOOKUP(C94,abm2_mode!$A$2:$C$139,3,FALSE)</f>
        <v xml:space="preserve">Local Bus                                                                  </v>
      </c>
      <c r="G94" s="247">
        <v>35.05733455882352</v>
      </c>
      <c r="H94" s="247">
        <v>549.15376769258341</v>
      </c>
      <c r="I94" s="247">
        <v>1385.9538977485906</v>
      </c>
      <c r="J94" s="247">
        <v>571.27763157895072</v>
      </c>
      <c r="K94" s="247">
        <v>169.82736842105169</v>
      </c>
      <c r="L94" s="319">
        <v>123.94558823529405</v>
      </c>
      <c r="M94" s="319">
        <v>2282.1022494757754</v>
      </c>
      <c r="N94" s="319">
        <v>5290.8705956847953</v>
      </c>
      <c r="O94" s="319">
        <v>2209.4515666041398</v>
      </c>
      <c r="P94" s="319">
        <v>755.99999999999625</v>
      </c>
      <c r="Q94" s="251">
        <f>L94/G94</f>
        <v>3.5355108936568711</v>
      </c>
      <c r="R94" s="251">
        <f t="shared" si="25"/>
        <v>4.1556707496784355</v>
      </c>
      <c r="S94" s="251">
        <f t="shared" si="27"/>
        <v>3.8174939327199389</v>
      </c>
      <c r="T94" s="251">
        <f t="shared" si="26"/>
        <v>3.8675618376610514</v>
      </c>
      <c r="U94" s="251">
        <f t="shared" si="28"/>
        <v>4.4515793127386347</v>
      </c>
      <c r="V94" s="251" t="str">
        <f t="shared" si="23"/>
        <v>93_712_10_Local</v>
      </c>
      <c r="W94" s="318"/>
    </row>
    <row r="95" spans="1:23" x14ac:dyDescent="0.3">
      <c r="A95" s="5" t="str">
        <f t="shared" si="22"/>
        <v>10_815</v>
      </c>
      <c r="B95" s="5">
        <v>94</v>
      </c>
      <c r="C95" s="4">
        <v>815</v>
      </c>
      <c r="D95" s="5">
        <v>10</v>
      </c>
      <c r="E95" s="6" t="s">
        <v>0</v>
      </c>
      <c r="F95" s="280" t="str">
        <f>VLOOKUP(C95,abm2_mode!$A$2:$C$139,3,FALSE)</f>
        <v xml:space="preserve">Local Bus                                                                  </v>
      </c>
      <c r="G95" s="247">
        <v>29.979199999999977</v>
      </c>
      <c r="H95" s="247">
        <v>170.4208000000001</v>
      </c>
      <c r="I95" s="247">
        <v>540.62219780219698</v>
      </c>
      <c r="J95" s="247">
        <v>208.15780219780302</v>
      </c>
      <c r="K95" s="247">
        <v>82.4</v>
      </c>
      <c r="L95" s="319">
        <v>66.947799999999958</v>
      </c>
      <c r="M95" s="319">
        <v>320.44791428571438</v>
      </c>
      <c r="N95" s="319">
        <v>870.65406593406453</v>
      </c>
      <c r="O95" s="319">
        <v>366.30021978022108</v>
      </c>
      <c r="P95" s="319">
        <v>168.97</v>
      </c>
      <c r="Q95" s="251">
        <f>L95/G95</f>
        <v>2.2331416448737795</v>
      </c>
      <c r="R95" s="251">
        <f t="shared" si="25"/>
        <v>1.8803333530045288</v>
      </c>
      <c r="S95" s="251">
        <f t="shared" si="27"/>
        <v>1.6104667353163691</v>
      </c>
      <c r="T95" s="251">
        <f t="shared" si="26"/>
        <v>1.7597237091893505</v>
      </c>
      <c r="U95" s="251">
        <f t="shared" si="28"/>
        <v>2.0506067961165049</v>
      </c>
      <c r="V95" s="251" t="str">
        <f t="shared" si="23"/>
        <v>94_815_10_Local</v>
      </c>
      <c r="W95" s="318"/>
    </row>
    <row r="96" spans="1:23" x14ac:dyDescent="0.3">
      <c r="A96" s="5" t="str">
        <f t="shared" si="22"/>
        <v>10_816</v>
      </c>
      <c r="B96" s="5">
        <v>95</v>
      </c>
      <c r="C96" s="4">
        <v>816</v>
      </c>
      <c r="D96" s="5">
        <v>10</v>
      </c>
      <c r="E96" s="6" t="s">
        <v>0</v>
      </c>
      <c r="F96" s="280" t="str">
        <f>VLOOKUP(C96,abm2_mode!$A$2:$C$139,3,FALSE)</f>
        <v xml:space="preserve">Local Bus                                                                  </v>
      </c>
      <c r="G96" s="247">
        <v>38.570937499999999</v>
      </c>
      <c r="H96" s="247">
        <v>225.57801971925133</v>
      </c>
      <c r="I96" s="247">
        <v>671.1741176470581</v>
      </c>
      <c r="J96" s="247">
        <v>286.6678626336909</v>
      </c>
      <c r="K96" s="247">
        <v>12.609062499999705</v>
      </c>
      <c r="L96" s="319">
        <v>103.71462500000003</v>
      </c>
      <c r="M96" s="319">
        <v>669.93853008021381</v>
      </c>
      <c r="N96" s="319">
        <v>2004.4569786096238</v>
      </c>
      <c r="O96" s="319">
        <v>824.31617881016314</v>
      </c>
      <c r="P96" s="319">
        <v>31.223687499999301</v>
      </c>
      <c r="Q96" s="251">
        <f>L96/G96</f>
        <v>2.6889319192721213</v>
      </c>
      <c r="R96" s="251">
        <f t="shared" si="25"/>
        <v>2.9698750388623956</v>
      </c>
      <c r="S96" s="251">
        <f t="shared" si="27"/>
        <v>2.9864932599556564</v>
      </c>
      <c r="T96" s="251">
        <f t="shared" si="26"/>
        <v>2.8755095574263532</v>
      </c>
      <c r="U96" s="251">
        <f t="shared" si="28"/>
        <v>2.4762893752013704</v>
      </c>
      <c r="V96" s="251" t="str">
        <f t="shared" si="23"/>
        <v>95_816_10_Local</v>
      </c>
      <c r="W96" s="318"/>
    </row>
    <row r="97" spans="1:23" x14ac:dyDescent="0.3">
      <c r="A97" s="5" t="str">
        <f t="shared" si="22"/>
        <v>10_832</v>
      </c>
      <c r="B97" s="5">
        <v>96</v>
      </c>
      <c r="C97" s="4">
        <v>832</v>
      </c>
      <c r="D97" s="5">
        <v>10</v>
      </c>
      <c r="E97" s="6" t="s">
        <v>0</v>
      </c>
      <c r="F97" s="280" t="str">
        <f>VLOOKUP(C97,abm2_mode!$A$2:$C$139,3,FALSE)</f>
        <v xml:space="preserve">Local Bus                                                                  </v>
      </c>
      <c r="G97" s="247">
        <v>0</v>
      </c>
      <c r="H97" s="247">
        <v>75.849999999999994</v>
      </c>
      <c r="I97" s="247">
        <v>132.05000000000001</v>
      </c>
      <c r="J97" s="247">
        <v>58.31</v>
      </c>
      <c r="K97" s="247">
        <v>0</v>
      </c>
      <c r="L97" s="319">
        <v>0</v>
      </c>
      <c r="M97" s="319">
        <v>224.04000000000002</v>
      </c>
      <c r="N97" s="319">
        <v>472.23</v>
      </c>
      <c r="O97" s="319">
        <v>226.13</v>
      </c>
      <c r="P97" s="319">
        <v>0</v>
      </c>
      <c r="Q97" s="251">
        <v>0</v>
      </c>
      <c r="R97" s="251">
        <f t="shared" si="25"/>
        <v>2.953724456163481</v>
      </c>
      <c r="S97" s="251">
        <f t="shared" si="27"/>
        <v>3.5761453994698975</v>
      </c>
      <c r="T97" s="251">
        <f t="shared" si="26"/>
        <v>3.8780655119190532</v>
      </c>
      <c r="U97" s="251">
        <v>0</v>
      </c>
      <c r="V97" s="251" t="str">
        <f t="shared" si="23"/>
        <v>96_832_10_Local</v>
      </c>
      <c r="W97" s="318"/>
    </row>
    <row r="98" spans="1:23" x14ac:dyDescent="0.3">
      <c r="A98" s="1" t="str">
        <f t="shared" si="22"/>
        <v>10_833</v>
      </c>
      <c r="B98" s="5">
        <v>97</v>
      </c>
      <c r="C98" s="262">
        <v>833</v>
      </c>
      <c r="D98" s="1">
        <v>10</v>
      </c>
      <c r="E98" s="276" t="s">
        <v>0</v>
      </c>
      <c r="F98" s="280" t="str">
        <f>VLOOKUP(C98,abm2_mode!$A$2:$C$139,3,FALSE)</f>
        <v xml:space="preserve">Local Bus                                                                  </v>
      </c>
      <c r="G98" s="247">
        <v>13.333333333333311</v>
      </c>
      <c r="H98" s="247">
        <v>113.9569892473118</v>
      </c>
      <c r="I98" s="247">
        <v>258.86432637571119</v>
      </c>
      <c r="J98" s="247">
        <v>129.84535104364372</v>
      </c>
      <c r="K98" s="247">
        <v>0</v>
      </c>
      <c r="L98" s="319">
        <v>39.177777777777706</v>
      </c>
      <c r="M98" s="319">
        <v>393.10200716845867</v>
      </c>
      <c r="N98" s="319">
        <v>772.47798545224464</v>
      </c>
      <c r="O98" s="319">
        <v>378.29222960151913</v>
      </c>
      <c r="P98" s="319">
        <v>0</v>
      </c>
      <c r="Q98" s="251">
        <f>L98/G98</f>
        <v>2.938333333333333</v>
      </c>
      <c r="R98" s="251">
        <f t="shared" si="25"/>
        <v>3.449564697741712</v>
      </c>
      <c r="S98" s="251">
        <f t="shared" si="27"/>
        <v>2.9841036664553133</v>
      </c>
      <c r="T98" s="251">
        <f t="shared" si="26"/>
        <v>2.9134060369582833</v>
      </c>
      <c r="U98" s="251">
        <v>0</v>
      </c>
      <c r="V98" s="251" t="str">
        <f t="shared" si="23"/>
        <v>97_833_10_Local</v>
      </c>
      <c r="W98" s="318"/>
    </row>
    <row r="99" spans="1:23" x14ac:dyDescent="0.3">
      <c r="A99" s="5" t="str">
        <f t="shared" si="22"/>
        <v>10_834</v>
      </c>
      <c r="B99" s="5">
        <v>98</v>
      </c>
      <c r="C99" s="4">
        <v>834</v>
      </c>
      <c r="D99" s="5">
        <v>10</v>
      </c>
      <c r="E99" s="6" t="s">
        <v>0</v>
      </c>
      <c r="F99" s="280" t="str">
        <f>VLOOKUP(C99,abm2_mode!$A$2:$C$139,3,FALSE)</f>
        <v xml:space="preserve">Local Bus                                                                  </v>
      </c>
      <c r="G99" s="247">
        <v>0</v>
      </c>
      <c r="H99" s="247">
        <v>39.549999999999997</v>
      </c>
      <c r="I99" s="247">
        <v>54.499999999999837</v>
      </c>
      <c r="J99" s="247">
        <v>1.6059265028900427E-13</v>
      </c>
      <c r="K99" s="247">
        <v>0</v>
      </c>
      <c r="L99" s="319">
        <v>0</v>
      </c>
      <c r="M99" s="319">
        <v>177.4</v>
      </c>
      <c r="N99" s="319">
        <v>303.10999999999899</v>
      </c>
      <c r="O99" s="319">
        <v>1.0017964235942144E-12</v>
      </c>
      <c r="P99" s="319">
        <v>0</v>
      </c>
      <c r="Q99" s="251">
        <v>0</v>
      </c>
      <c r="R99" s="251">
        <f t="shared" si="25"/>
        <v>4.485461441213654</v>
      </c>
      <c r="S99" s="251">
        <f t="shared" si="27"/>
        <v>5.561651376146787</v>
      </c>
      <c r="T99" s="251">
        <f t="shared" si="26"/>
        <v>6.2381212452211896</v>
      </c>
      <c r="U99" s="251">
        <v>0</v>
      </c>
      <c r="V99" s="251" t="str">
        <f t="shared" si="23"/>
        <v>98_834_10_Local</v>
      </c>
      <c r="W99" s="318"/>
    </row>
    <row r="100" spans="1:23" x14ac:dyDescent="0.3">
      <c r="A100" s="5" t="str">
        <f t="shared" si="22"/>
        <v>10_848</v>
      </c>
      <c r="B100" s="5">
        <v>99</v>
      </c>
      <c r="C100" s="4">
        <v>848</v>
      </c>
      <c r="D100" s="5">
        <v>10</v>
      </c>
      <c r="E100" s="6" t="s">
        <v>0</v>
      </c>
      <c r="F100" s="280" t="str">
        <f>VLOOKUP(C100,abm2_mode!$A$2:$C$139,3,FALSE)</f>
        <v xml:space="preserve">Local Bus                                                                  </v>
      </c>
      <c r="G100" s="247">
        <v>54.963003337041137</v>
      </c>
      <c r="H100" s="247">
        <v>271.60200102215674</v>
      </c>
      <c r="I100" s="247">
        <v>612.6350982049039</v>
      </c>
      <c r="J100" s="247">
        <v>304.89725576196662</v>
      </c>
      <c r="K100" s="247">
        <v>123.87264167393148</v>
      </c>
      <c r="L100" s="319">
        <v>189.47032258064507</v>
      </c>
      <c r="M100" s="319">
        <v>1094.6906625980816</v>
      </c>
      <c r="N100" s="319">
        <v>2176.081923246179</v>
      </c>
      <c r="O100" s="319">
        <v>1191.559524007529</v>
      </c>
      <c r="P100" s="319">
        <v>516.27756756756537</v>
      </c>
      <c r="Q100" s="251">
        <f t="shared" ref="Q100:Q106" si="29">L100/G100</f>
        <v>3.4472337950454688</v>
      </c>
      <c r="R100" s="251">
        <f t="shared" si="25"/>
        <v>4.0304955724857825</v>
      </c>
      <c r="S100" s="251">
        <f t="shared" si="27"/>
        <v>3.552003353419297</v>
      </c>
      <c r="T100" s="251">
        <f t="shared" si="26"/>
        <v>3.9080690346973141</v>
      </c>
      <c r="U100" s="251">
        <f>P100/K100</f>
        <v>4.1678094580929086</v>
      </c>
      <c r="V100" s="251" t="str">
        <f t="shared" si="23"/>
        <v>99_848_10_Local</v>
      </c>
      <c r="W100" s="318"/>
    </row>
    <row r="101" spans="1:23" x14ac:dyDescent="0.3">
      <c r="A101" s="5" t="str">
        <f t="shared" si="22"/>
        <v>10_851</v>
      </c>
      <c r="B101" s="5">
        <v>100</v>
      </c>
      <c r="C101" s="4">
        <v>851</v>
      </c>
      <c r="D101" s="5">
        <v>10</v>
      </c>
      <c r="E101" s="6" t="s">
        <v>0</v>
      </c>
      <c r="F101" s="280" t="str">
        <f>VLOOKUP(C101,abm2_mode!$A$2:$C$139,3,FALSE)</f>
        <v xml:space="preserve">Local Bus                                                                  </v>
      </c>
      <c r="G101" s="247">
        <v>7.3333333333333393</v>
      </c>
      <c r="H101" s="247">
        <v>80.851851851851862</v>
      </c>
      <c r="I101" s="247">
        <v>132.81481481481481</v>
      </c>
      <c r="J101" s="247">
        <v>158</v>
      </c>
      <c r="K101" s="247">
        <v>0</v>
      </c>
      <c r="L101" s="319">
        <v>27.29000000000002</v>
      </c>
      <c r="M101" s="319">
        <v>345.36111111111114</v>
      </c>
      <c r="N101" s="319">
        <v>453.18888888888875</v>
      </c>
      <c r="O101" s="319">
        <v>557.62</v>
      </c>
      <c r="P101" s="319">
        <v>0</v>
      </c>
      <c r="Q101" s="251">
        <f t="shared" si="29"/>
        <v>3.7213636363636362</v>
      </c>
      <c r="R101" s="251">
        <f t="shared" si="25"/>
        <v>4.2715300045808515</v>
      </c>
      <c r="S101" s="251">
        <f t="shared" si="27"/>
        <v>3.4121862799776901</v>
      </c>
      <c r="T101" s="251">
        <f t="shared" si="26"/>
        <v>3.5292405063291139</v>
      </c>
      <c r="U101" s="251">
        <v>0</v>
      </c>
      <c r="V101" s="251" t="str">
        <f t="shared" si="23"/>
        <v>100_851_10_Local</v>
      </c>
      <c r="W101" s="318"/>
    </row>
    <row r="102" spans="1:23" x14ac:dyDescent="0.3">
      <c r="A102" s="5" t="str">
        <f t="shared" si="22"/>
        <v>10_854</v>
      </c>
      <c r="B102" s="5">
        <v>101</v>
      </c>
      <c r="C102" s="4">
        <v>854</v>
      </c>
      <c r="D102" s="5">
        <v>10</v>
      </c>
      <c r="E102" s="6" t="s">
        <v>0</v>
      </c>
      <c r="F102" s="280" t="str">
        <f>VLOOKUP(C102,abm2_mode!$A$2:$C$139,3,FALSE)</f>
        <v xml:space="preserve">Local Bus                                                                  </v>
      </c>
      <c r="G102" s="247">
        <v>9.8610000000000007</v>
      </c>
      <c r="H102" s="247">
        <v>149.34672727272726</v>
      </c>
      <c r="I102" s="247">
        <v>486.42909090909069</v>
      </c>
      <c r="J102" s="247">
        <v>185.16318181818232</v>
      </c>
      <c r="K102" s="247">
        <v>56.959999999999745</v>
      </c>
      <c r="L102" s="319">
        <v>23.693000000000001</v>
      </c>
      <c r="M102" s="319">
        <v>477.26927272727272</v>
      </c>
      <c r="N102" s="319">
        <v>1467.6531818181811</v>
      </c>
      <c r="O102" s="319">
        <v>562.492045454547</v>
      </c>
      <c r="P102" s="319">
        <v>201.93249999999918</v>
      </c>
      <c r="Q102" s="251">
        <f t="shared" si="29"/>
        <v>2.4026974951830442</v>
      </c>
      <c r="R102" s="251">
        <f t="shared" si="25"/>
        <v>3.1957129656796206</v>
      </c>
      <c r="S102" s="251">
        <f t="shared" si="27"/>
        <v>3.0171986199988039</v>
      </c>
      <c r="T102" s="251">
        <f t="shared" si="26"/>
        <v>3.0378179934652234</v>
      </c>
      <c r="U102" s="251">
        <f t="shared" ref="U102:U110" si="30">P102/K102</f>
        <v>3.5451632724719118</v>
      </c>
      <c r="V102" s="251" t="str">
        <f t="shared" si="23"/>
        <v>101_854_10_Local</v>
      </c>
      <c r="W102" s="318"/>
    </row>
    <row r="103" spans="1:23" x14ac:dyDescent="0.3">
      <c r="A103" s="5" t="str">
        <f t="shared" si="22"/>
        <v>10_855</v>
      </c>
      <c r="B103" s="5">
        <v>102</v>
      </c>
      <c r="C103" s="4">
        <v>855</v>
      </c>
      <c r="D103" s="5">
        <v>10</v>
      </c>
      <c r="E103" s="6" t="s">
        <v>0</v>
      </c>
      <c r="F103" s="280" t="str">
        <f>VLOOKUP(C103,abm2_mode!$A$2:$C$139,3,FALSE)</f>
        <v xml:space="preserve">Local Bus                                                                  </v>
      </c>
      <c r="G103" s="247">
        <v>22.990000000000002</v>
      </c>
      <c r="H103" s="247">
        <v>242.21999999999997</v>
      </c>
      <c r="I103" s="247">
        <v>431.09000000000003</v>
      </c>
      <c r="J103" s="247">
        <v>229.45</v>
      </c>
      <c r="K103" s="247">
        <v>95.99</v>
      </c>
      <c r="L103" s="319">
        <v>55.21</v>
      </c>
      <c r="M103" s="319">
        <v>553.68000000000006</v>
      </c>
      <c r="N103" s="319">
        <v>992.93999999999994</v>
      </c>
      <c r="O103" s="319">
        <v>545.46</v>
      </c>
      <c r="P103" s="319">
        <v>227.58</v>
      </c>
      <c r="Q103" s="251">
        <f t="shared" si="29"/>
        <v>2.4014789038712481</v>
      </c>
      <c r="R103" s="251">
        <f t="shared" si="25"/>
        <v>2.2858558335397579</v>
      </c>
      <c r="S103" s="251">
        <f t="shared" si="27"/>
        <v>2.3033241318518174</v>
      </c>
      <c r="T103" s="251">
        <f t="shared" si="26"/>
        <v>2.3772499455219003</v>
      </c>
      <c r="U103" s="251">
        <f t="shared" si="30"/>
        <v>2.3708719658297741</v>
      </c>
      <c r="V103" s="251" t="str">
        <f t="shared" si="23"/>
        <v>102_855_10_Local</v>
      </c>
      <c r="W103" s="318"/>
    </row>
    <row r="104" spans="1:23" x14ac:dyDescent="0.3">
      <c r="A104" s="5" t="str">
        <f t="shared" si="22"/>
        <v>10_856</v>
      </c>
      <c r="B104" s="5">
        <v>103</v>
      </c>
      <c r="C104" s="4">
        <v>856</v>
      </c>
      <c r="D104" s="5">
        <v>10</v>
      </c>
      <c r="E104" s="6" t="s">
        <v>0</v>
      </c>
      <c r="F104" s="280" t="str">
        <f>VLOOKUP(C104,abm2_mode!$A$2:$C$139,3,FALSE)</f>
        <v xml:space="preserve">Local Bus                                                                  </v>
      </c>
      <c r="G104" s="247">
        <v>83.765500210172362</v>
      </c>
      <c r="H104" s="247">
        <v>539.19695383394514</v>
      </c>
      <c r="I104" s="247">
        <v>1160.870617160889</v>
      </c>
      <c r="J104" s="247">
        <v>642.12644755580322</v>
      </c>
      <c r="K104" s="247">
        <v>228.80048123919028</v>
      </c>
      <c r="L104" s="319">
        <v>362.20335813366978</v>
      </c>
      <c r="M104" s="319">
        <v>2265.2100885575064</v>
      </c>
      <c r="N104" s="319">
        <v>4503.8260564387083</v>
      </c>
      <c r="O104" s="319">
        <v>2241.043330541821</v>
      </c>
      <c r="P104" s="319">
        <v>914.9271663282932</v>
      </c>
      <c r="Q104" s="251">
        <f t="shared" si="29"/>
        <v>4.3240159400335596</v>
      </c>
      <c r="R104" s="251">
        <f t="shared" si="25"/>
        <v>4.2010810195621326</v>
      </c>
      <c r="S104" s="251">
        <f t="shared" si="27"/>
        <v>3.8796968325838055</v>
      </c>
      <c r="T104" s="251">
        <f t="shared" si="26"/>
        <v>3.4900343056607488</v>
      </c>
      <c r="U104" s="251">
        <f t="shared" si="30"/>
        <v>3.9987991343943867</v>
      </c>
      <c r="V104" s="251" t="str">
        <f t="shared" si="23"/>
        <v>103_856_10_Local</v>
      </c>
      <c r="W104" s="318"/>
    </row>
    <row r="105" spans="1:23" x14ac:dyDescent="0.3">
      <c r="A105" s="5" t="str">
        <f t="shared" si="22"/>
        <v>10_864</v>
      </c>
      <c r="B105" s="5">
        <v>104</v>
      </c>
      <c r="C105" s="4">
        <v>864</v>
      </c>
      <c r="D105" s="5">
        <v>10</v>
      </c>
      <c r="E105" s="6" t="s">
        <v>0</v>
      </c>
      <c r="F105" s="280" t="str">
        <f>VLOOKUP(C105,abm2_mode!$A$2:$C$139,3,FALSE)</f>
        <v xml:space="preserve">Local Bus                                                                  </v>
      </c>
      <c r="G105" s="247">
        <v>35.943157894736856</v>
      </c>
      <c r="H105" s="247">
        <v>292.85465162907269</v>
      </c>
      <c r="I105" s="247">
        <v>620.00697026813532</v>
      </c>
      <c r="J105" s="247">
        <v>318.38400982073165</v>
      </c>
      <c r="K105" s="247">
        <v>189.87121038732352</v>
      </c>
      <c r="L105" s="319">
        <v>326.23894736842118</v>
      </c>
      <c r="M105" s="319">
        <v>2066.3781002506262</v>
      </c>
      <c r="N105" s="319">
        <v>3236.9802077625523</v>
      </c>
      <c r="O105" s="319">
        <v>1893.9034708507972</v>
      </c>
      <c r="P105" s="319">
        <v>1456.4392737676021</v>
      </c>
      <c r="Q105" s="251">
        <f t="shared" si="29"/>
        <v>9.0765243366719375</v>
      </c>
      <c r="R105" s="251">
        <f t="shared" si="25"/>
        <v>7.0559852430409196</v>
      </c>
      <c r="S105" s="251">
        <f t="shared" si="27"/>
        <v>5.2208771239501557</v>
      </c>
      <c r="T105" s="251">
        <f t="shared" si="26"/>
        <v>5.9484880283943058</v>
      </c>
      <c r="U105" s="251">
        <f t="shared" si="30"/>
        <v>7.67066934895802</v>
      </c>
      <c r="V105" s="251" t="str">
        <f t="shared" si="23"/>
        <v>104_864_10_Local</v>
      </c>
      <c r="W105" s="318"/>
    </row>
    <row r="106" spans="1:23" x14ac:dyDescent="0.3">
      <c r="A106" s="5" t="str">
        <f t="shared" si="22"/>
        <v>10_871</v>
      </c>
      <c r="B106" s="5">
        <v>105</v>
      </c>
      <c r="C106" s="4">
        <v>871</v>
      </c>
      <c r="D106" s="5">
        <v>10</v>
      </c>
      <c r="E106" s="6" t="s">
        <v>0</v>
      </c>
      <c r="F106" s="280" t="str">
        <f>VLOOKUP(C106,abm2_mode!$A$2:$C$139,3,FALSE)</f>
        <v xml:space="preserve">Local Bus                                                                  </v>
      </c>
      <c r="G106" s="247">
        <v>5.75</v>
      </c>
      <c r="H106" s="247">
        <v>35.549999999999997</v>
      </c>
      <c r="I106" s="247">
        <v>111.53666666666641</v>
      </c>
      <c r="J106" s="247">
        <v>53.91333333333359</v>
      </c>
      <c r="K106" s="247">
        <v>31.64</v>
      </c>
      <c r="L106" s="319">
        <v>9.98</v>
      </c>
      <c r="M106" s="319">
        <v>82.75</v>
      </c>
      <c r="N106" s="319">
        <v>279.53999999999928</v>
      </c>
      <c r="O106" s="319">
        <v>153.06000000000071</v>
      </c>
      <c r="P106" s="319">
        <v>93.41</v>
      </c>
      <c r="Q106" s="251">
        <f t="shared" si="29"/>
        <v>1.7356521739130435</v>
      </c>
      <c r="R106" s="251">
        <f t="shared" si="25"/>
        <v>2.3277074542897331</v>
      </c>
      <c r="S106" s="251">
        <f t="shared" si="27"/>
        <v>2.5062610202922802</v>
      </c>
      <c r="T106" s="251">
        <f t="shared" si="26"/>
        <v>2.839000865586744</v>
      </c>
      <c r="U106" s="251">
        <f t="shared" si="30"/>
        <v>2.9522756005056889</v>
      </c>
      <c r="V106" s="251" t="str">
        <f t="shared" si="23"/>
        <v>105_871_10_Local</v>
      </c>
      <c r="W106" s="318"/>
    </row>
    <row r="107" spans="1:23" x14ac:dyDescent="0.3">
      <c r="A107" s="5" t="str">
        <f t="shared" si="22"/>
        <v>10_872</v>
      </c>
      <c r="B107" s="5">
        <v>106</v>
      </c>
      <c r="C107" s="4">
        <v>872</v>
      </c>
      <c r="D107" s="5">
        <v>10</v>
      </c>
      <c r="E107" s="6" t="s">
        <v>0</v>
      </c>
      <c r="F107" s="280" t="str">
        <f>VLOOKUP(C107,abm2_mode!$A$2:$C$139,3,FALSE)</f>
        <v xml:space="preserve">Local Bus                                                                  </v>
      </c>
      <c r="G107" s="247">
        <v>0</v>
      </c>
      <c r="H107" s="247">
        <v>23.40666666666668</v>
      </c>
      <c r="I107" s="247">
        <v>87.453333333333319</v>
      </c>
      <c r="J107" s="247">
        <v>41.735217391304502</v>
      </c>
      <c r="K107" s="247">
        <v>37.304782608695504</v>
      </c>
      <c r="L107" s="319">
        <v>0</v>
      </c>
      <c r="M107" s="319">
        <v>47.723333333333358</v>
      </c>
      <c r="N107" s="319">
        <v>191.45666666666665</v>
      </c>
      <c r="O107" s="319">
        <v>80.759565217391625</v>
      </c>
      <c r="P107" s="319">
        <v>83.990434782608375</v>
      </c>
      <c r="Q107" s="251">
        <v>0</v>
      </c>
      <c r="R107" s="251">
        <f t="shared" si="25"/>
        <v>2.0388778125890057</v>
      </c>
      <c r="S107" s="251">
        <f t="shared" si="27"/>
        <v>2.1892437871626775</v>
      </c>
      <c r="T107" s="251">
        <f t="shared" si="26"/>
        <v>1.9350459938952616</v>
      </c>
      <c r="U107" s="251">
        <f t="shared" si="30"/>
        <v>2.2514656006340257</v>
      </c>
      <c r="V107" s="251" t="str">
        <f t="shared" si="23"/>
        <v>106_872_10_Local</v>
      </c>
      <c r="W107" s="318"/>
    </row>
    <row r="108" spans="1:23" x14ac:dyDescent="0.3">
      <c r="A108" s="5" t="str">
        <f t="shared" si="22"/>
        <v>10_874</v>
      </c>
      <c r="B108" s="5">
        <v>107</v>
      </c>
      <c r="C108" s="4">
        <v>874</v>
      </c>
      <c r="D108" s="5">
        <v>10</v>
      </c>
      <c r="E108" s="6" t="s">
        <v>0</v>
      </c>
      <c r="F108" s="280" t="str">
        <f>VLOOKUP(C108,abm2_mode!$A$2:$C$139,3,FALSE)</f>
        <v xml:space="preserve">Local Bus                                                                  </v>
      </c>
      <c r="G108" s="247">
        <v>23.102727272727257</v>
      </c>
      <c r="H108" s="247">
        <v>171.64786096256688</v>
      </c>
      <c r="I108" s="247">
        <v>449.29700435729785</v>
      </c>
      <c r="J108" s="247">
        <v>201.84090740740828</v>
      </c>
      <c r="K108" s="247">
        <v>73.821499999999787</v>
      </c>
      <c r="L108" s="319">
        <v>40.169999999999973</v>
      </c>
      <c r="M108" s="319">
        <v>408.52803921568636</v>
      </c>
      <c r="N108" s="319">
        <v>1310.6465904139416</v>
      </c>
      <c r="O108" s="319">
        <v>532.94162037037256</v>
      </c>
      <c r="P108" s="319">
        <v>262.71374999999938</v>
      </c>
      <c r="Q108" s="251">
        <f>L108/G108</f>
        <v>1.7387557549285799</v>
      </c>
      <c r="R108" s="251">
        <f t="shared" si="25"/>
        <v>2.3800357133770431</v>
      </c>
      <c r="S108" s="251">
        <f t="shared" si="27"/>
        <v>2.9171051168898208</v>
      </c>
      <c r="T108" s="251">
        <f t="shared" si="26"/>
        <v>2.64040440174325</v>
      </c>
      <c r="U108" s="251">
        <f t="shared" si="30"/>
        <v>3.5587701414899473</v>
      </c>
      <c r="V108" s="251" t="str">
        <f t="shared" si="23"/>
        <v>107_874_10_Local</v>
      </c>
      <c r="W108" s="318"/>
    </row>
    <row r="109" spans="1:23" x14ac:dyDescent="0.3">
      <c r="A109" s="5" t="str">
        <f t="shared" si="22"/>
        <v>10_875</v>
      </c>
      <c r="B109" s="5">
        <v>108</v>
      </c>
      <c r="C109" s="4">
        <v>875</v>
      </c>
      <c r="D109" s="5">
        <v>10</v>
      </c>
      <c r="E109" s="6" t="s">
        <v>0</v>
      </c>
      <c r="F109" s="280" t="str">
        <f>VLOOKUP(C109,abm2_mode!$A$2:$C$139,3,FALSE)</f>
        <v xml:space="preserve">Local Bus                                                                  </v>
      </c>
      <c r="G109" s="247">
        <v>0</v>
      </c>
      <c r="H109" s="247">
        <v>128.2258823529412</v>
      </c>
      <c r="I109" s="247">
        <v>395.70306501547941</v>
      </c>
      <c r="J109" s="247">
        <v>216.68533834586566</v>
      </c>
      <c r="K109" s="247">
        <v>73.5457142857137</v>
      </c>
      <c r="L109" s="319">
        <v>0</v>
      </c>
      <c r="M109" s="319">
        <v>415.31470588235311</v>
      </c>
      <c r="N109" s="319">
        <v>1192.0916099071194</v>
      </c>
      <c r="O109" s="319">
        <v>625.00796992481469</v>
      </c>
      <c r="P109" s="319">
        <v>208.29571428571279</v>
      </c>
      <c r="Q109" s="251">
        <v>0</v>
      </c>
      <c r="R109" s="251">
        <f t="shared" si="25"/>
        <v>3.2389303802113925</v>
      </c>
      <c r="S109" s="251">
        <f t="shared" si="27"/>
        <v>3.0125912971143811</v>
      </c>
      <c r="T109" s="251">
        <f t="shared" si="26"/>
        <v>2.8844035996897888</v>
      </c>
      <c r="U109" s="251">
        <f t="shared" si="30"/>
        <v>2.8321937764655631</v>
      </c>
      <c r="V109" s="251" t="str">
        <f t="shared" si="23"/>
        <v>108_875_10_Local</v>
      </c>
      <c r="W109" s="318"/>
    </row>
    <row r="110" spans="1:23" x14ac:dyDescent="0.3">
      <c r="A110" s="5" t="str">
        <f t="shared" si="22"/>
        <v>10_901</v>
      </c>
      <c r="B110" s="5">
        <v>109</v>
      </c>
      <c r="C110" s="4">
        <v>901</v>
      </c>
      <c r="D110" s="5">
        <v>10</v>
      </c>
      <c r="E110" s="6" t="s">
        <v>0</v>
      </c>
      <c r="F110" s="280" t="str">
        <f>VLOOKUP(C110,abm2_mode!$A$2:$C$139,3,FALSE)</f>
        <v xml:space="preserve">Local Bus                                                                  </v>
      </c>
      <c r="G110" s="247">
        <v>124.60270773243533</v>
      </c>
      <c r="H110" s="247">
        <v>583.26600034209878</v>
      </c>
      <c r="I110" s="247">
        <v>1209.4413941649964</v>
      </c>
      <c r="J110" s="247">
        <v>732.54333978945567</v>
      </c>
      <c r="K110" s="247">
        <v>306.31655797101394</v>
      </c>
      <c r="L110" s="319">
        <v>1074.0684927806526</v>
      </c>
      <c r="M110" s="319">
        <v>3638.8422939688298</v>
      </c>
      <c r="N110" s="319">
        <v>6702.8460697905903</v>
      </c>
      <c r="O110" s="319">
        <v>4189.659677276356</v>
      </c>
      <c r="P110" s="319">
        <v>2432.1534661835703</v>
      </c>
      <c r="Q110" s="251">
        <f>L110/G110</f>
        <v>8.6199450423424615</v>
      </c>
      <c r="R110" s="251">
        <f t="shared" si="25"/>
        <v>6.2387354857553259</v>
      </c>
      <c r="S110" s="251">
        <f t="shared" si="27"/>
        <v>5.5421007600110004</v>
      </c>
      <c r="T110" s="251">
        <f t="shared" si="26"/>
        <v>5.7193335188611902</v>
      </c>
      <c r="U110" s="251">
        <f t="shared" si="30"/>
        <v>7.9399999865946516</v>
      </c>
      <c r="V110" s="251" t="str">
        <f t="shared" si="23"/>
        <v>109_901_10_Local</v>
      </c>
      <c r="W110" s="318"/>
    </row>
    <row r="111" spans="1:23" x14ac:dyDescent="0.3">
      <c r="A111" s="5" t="str">
        <f t="shared" si="22"/>
        <v>10_904</v>
      </c>
      <c r="B111" s="5">
        <v>110</v>
      </c>
      <c r="C111" s="4">
        <v>904</v>
      </c>
      <c r="D111" s="5">
        <v>10</v>
      </c>
      <c r="E111" s="6" t="s">
        <v>0</v>
      </c>
      <c r="F111" s="280" t="str">
        <f>VLOOKUP(C111,abm2_mode!$A$2:$C$139,3,FALSE)</f>
        <v xml:space="preserve">Local Bus                                                                  </v>
      </c>
      <c r="G111" s="247">
        <v>0</v>
      </c>
      <c r="H111" s="247">
        <v>0</v>
      </c>
      <c r="I111" s="247">
        <v>75.957272727272581</v>
      </c>
      <c r="J111" s="247">
        <v>32.062727272727408</v>
      </c>
      <c r="K111" s="247">
        <v>0</v>
      </c>
      <c r="L111" s="319">
        <v>0</v>
      </c>
      <c r="M111" s="319">
        <v>0</v>
      </c>
      <c r="N111" s="319">
        <v>71.639999999999844</v>
      </c>
      <c r="O111" s="319">
        <v>28.650000000000158</v>
      </c>
      <c r="P111" s="319">
        <v>0</v>
      </c>
      <c r="Q111" s="251">
        <v>0</v>
      </c>
      <c r="R111" s="251">
        <v>0</v>
      </c>
      <c r="S111" s="251">
        <f t="shared" si="27"/>
        <v>0.94316182542817106</v>
      </c>
      <c r="T111" s="251">
        <f t="shared" si="26"/>
        <v>0.89356091751963596</v>
      </c>
      <c r="U111" s="251">
        <v>0</v>
      </c>
      <c r="V111" s="251" t="str">
        <f t="shared" si="23"/>
        <v>110_904_10_Local</v>
      </c>
      <c r="W111" s="318"/>
    </row>
    <row r="112" spans="1:23" x14ac:dyDescent="0.3">
      <c r="A112" s="5" t="str">
        <f t="shared" si="22"/>
        <v>10_905</v>
      </c>
      <c r="B112" s="5">
        <v>111</v>
      </c>
      <c r="C112" s="4">
        <v>905</v>
      </c>
      <c r="D112" s="5">
        <v>10</v>
      </c>
      <c r="E112" s="6" t="s">
        <v>0</v>
      </c>
      <c r="F112" s="280" t="str">
        <f>VLOOKUP(C112,abm2_mode!$A$2:$C$139,3,FALSE)</f>
        <v xml:space="preserve">Local Bus                                                                  </v>
      </c>
      <c r="G112" s="247">
        <v>172.98142857142852</v>
      </c>
      <c r="H112" s="247">
        <v>553.08999999999992</v>
      </c>
      <c r="I112" s="247">
        <v>852.71264550264414</v>
      </c>
      <c r="J112" s="247">
        <v>549.08111111111339</v>
      </c>
      <c r="K112" s="247">
        <v>123.65481481481392</v>
      </c>
      <c r="L112" s="319">
        <v>951.63857142857125</v>
      </c>
      <c r="M112" s="319">
        <v>2998.1485714285718</v>
      </c>
      <c r="N112" s="319">
        <v>4891.8106349206282</v>
      </c>
      <c r="O112" s="319">
        <v>2935.7759259259387</v>
      </c>
      <c r="P112" s="319">
        <v>917.1662962962904</v>
      </c>
      <c r="Q112" s="251">
        <f t="shared" ref="Q112:Q134" si="31">L112/G112</f>
        <v>5.5013915614392959</v>
      </c>
      <c r="R112" s="251">
        <f t="shared" ref="R112:R134" si="32">M112/H112</f>
        <v>5.4207246043656045</v>
      </c>
      <c r="S112" s="251">
        <f t="shared" si="27"/>
        <v>5.7367633290310565</v>
      </c>
      <c r="T112" s="251">
        <f t="shared" si="26"/>
        <v>5.3467071922855638</v>
      </c>
      <c r="U112" s="251">
        <f t="shared" ref="U112:U134" si="33">P112/K112</f>
        <v>7.4171498915739216</v>
      </c>
      <c r="V112" s="251" t="str">
        <f t="shared" si="23"/>
        <v>111_905_10_Local</v>
      </c>
      <c r="W112" s="318"/>
    </row>
    <row r="113" spans="1:23" x14ac:dyDescent="0.3">
      <c r="A113" s="5" t="str">
        <f t="shared" si="22"/>
        <v>10_906</v>
      </c>
      <c r="B113" s="5">
        <v>112</v>
      </c>
      <c r="C113" s="4">
        <v>906</v>
      </c>
      <c r="D113" s="5">
        <v>10</v>
      </c>
      <c r="E113" s="6" t="s">
        <v>0</v>
      </c>
      <c r="F113" s="280" t="str">
        <f>VLOOKUP(C113,abm2_mode!$A$2:$C$139,3,FALSE)</f>
        <v xml:space="preserve">Local Bus                                                                  </v>
      </c>
      <c r="G113" s="247">
        <v>135.85357142857143</v>
      </c>
      <c r="H113" s="247">
        <v>319.94229813664589</v>
      </c>
      <c r="I113" s="247">
        <v>1289.8882329988837</v>
      </c>
      <c r="J113" s="247">
        <v>652.93839743589956</v>
      </c>
      <c r="K113" s="247">
        <v>246.86749999999944</v>
      </c>
      <c r="L113" s="319">
        <v>356.99714285714288</v>
      </c>
      <c r="M113" s="319">
        <v>470.60046583850936</v>
      </c>
      <c r="N113" s="319">
        <v>1767.7223546743096</v>
      </c>
      <c r="O113" s="319">
        <v>919.48864774115054</v>
      </c>
      <c r="P113" s="319">
        <v>427.88138888888813</v>
      </c>
      <c r="Q113" s="251">
        <f t="shared" si="31"/>
        <v>2.6278083020058363</v>
      </c>
      <c r="R113" s="251">
        <f t="shared" si="32"/>
        <v>1.4708916844671724</v>
      </c>
      <c r="S113" s="251">
        <f t="shared" si="27"/>
        <v>1.37044614366665</v>
      </c>
      <c r="T113" s="251">
        <f t="shared" si="26"/>
        <v>1.4082318505880469</v>
      </c>
      <c r="U113" s="251">
        <f t="shared" si="33"/>
        <v>1.7332430914919505</v>
      </c>
      <c r="V113" s="251" t="str">
        <f t="shared" si="23"/>
        <v>112_906_10_Local</v>
      </c>
      <c r="W113" s="318"/>
    </row>
    <row r="114" spans="1:23" x14ac:dyDescent="0.3">
      <c r="A114" s="5" t="str">
        <f t="shared" si="22"/>
        <v>10_907</v>
      </c>
      <c r="B114" s="5">
        <v>113</v>
      </c>
      <c r="C114" s="4">
        <v>907</v>
      </c>
      <c r="D114" s="5">
        <v>10</v>
      </c>
      <c r="E114" s="6" t="s">
        <v>0</v>
      </c>
      <c r="F114" s="280" t="str">
        <f>VLOOKUP(C114,abm2_mode!$A$2:$C$139,3,FALSE)</f>
        <v xml:space="preserve">Local Bus                                                                  </v>
      </c>
      <c r="G114" s="247">
        <v>118.1875</v>
      </c>
      <c r="H114" s="247">
        <v>291.71659090909088</v>
      </c>
      <c r="I114" s="247">
        <v>1303.7515440115424</v>
      </c>
      <c r="J114" s="247">
        <v>733.2224808688419</v>
      </c>
      <c r="K114" s="247">
        <v>237.21188421052517</v>
      </c>
      <c r="L114" s="319">
        <v>260.01013888888889</v>
      </c>
      <c r="M114" s="319">
        <v>477.50314393939396</v>
      </c>
      <c r="N114" s="319">
        <v>1895.4177224627197</v>
      </c>
      <c r="O114" s="319">
        <v>1060.5022835978882</v>
      </c>
      <c r="P114" s="319">
        <v>387.65671111110947</v>
      </c>
      <c r="Q114" s="251">
        <f t="shared" si="31"/>
        <v>2.1999800223279862</v>
      </c>
      <c r="R114" s="251">
        <f t="shared" si="32"/>
        <v>1.6368734546476333</v>
      </c>
      <c r="S114" s="251">
        <f t="shared" si="27"/>
        <v>1.453818199616981</v>
      </c>
      <c r="T114" s="251">
        <f t="shared" si="26"/>
        <v>1.4463581126716569</v>
      </c>
      <c r="U114" s="251">
        <f t="shared" si="33"/>
        <v>1.6342212887068708</v>
      </c>
      <c r="V114" s="251" t="str">
        <f t="shared" si="23"/>
        <v>113_907_10_Local</v>
      </c>
      <c r="W114" s="318"/>
    </row>
    <row r="115" spans="1:23" x14ac:dyDescent="0.3">
      <c r="A115" s="5" t="str">
        <f t="shared" si="22"/>
        <v>10_916</v>
      </c>
      <c r="B115" s="5">
        <v>114</v>
      </c>
      <c r="C115" s="4">
        <v>916</v>
      </c>
      <c r="D115" s="5">
        <v>10</v>
      </c>
      <c r="E115" s="6" t="s">
        <v>0</v>
      </c>
      <c r="F115" s="280" t="str">
        <f>VLOOKUP(C115,abm2_mode!$A$2:$C$139,3,FALSE)</f>
        <v xml:space="preserve">Local Bus                                                                  </v>
      </c>
      <c r="G115" s="247">
        <v>5.52</v>
      </c>
      <c r="H115" s="247">
        <v>84.260217391304366</v>
      </c>
      <c r="I115" s="247">
        <v>179.54930641821883</v>
      </c>
      <c r="J115" s="247">
        <v>130.50086080586155</v>
      </c>
      <c r="K115" s="247">
        <v>41.389615384615219</v>
      </c>
      <c r="L115" s="319">
        <v>6.76</v>
      </c>
      <c r="M115" s="319">
        <v>252.58478260869572</v>
      </c>
      <c r="N115" s="319">
        <v>605.36939321547834</v>
      </c>
      <c r="O115" s="319">
        <v>430.25274725274949</v>
      </c>
      <c r="P115" s="319">
        <v>136.72307692307635</v>
      </c>
      <c r="Q115" s="251">
        <f t="shared" si="31"/>
        <v>1.2246376811594204</v>
      </c>
      <c r="R115" s="251">
        <f t="shared" si="32"/>
        <v>2.997675420604391</v>
      </c>
      <c r="S115" s="251">
        <f t="shared" si="27"/>
        <v>3.3716053004705544</v>
      </c>
      <c r="T115" s="251">
        <f t="shared" si="26"/>
        <v>3.2969341703639117</v>
      </c>
      <c r="U115" s="251">
        <f t="shared" si="33"/>
        <v>3.3033183723156117</v>
      </c>
      <c r="V115" s="251" t="str">
        <f t="shared" si="23"/>
        <v>114_916_10_Local</v>
      </c>
      <c r="W115" s="318"/>
    </row>
    <row r="116" spans="1:23" x14ac:dyDescent="0.3">
      <c r="A116" s="5" t="str">
        <f t="shared" si="22"/>
        <v>10_917</v>
      </c>
      <c r="B116" s="5">
        <v>115</v>
      </c>
      <c r="C116" s="4">
        <v>917</v>
      </c>
      <c r="D116" s="5">
        <v>10</v>
      </c>
      <c r="E116" s="6" t="s">
        <v>0</v>
      </c>
      <c r="F116" s="280" t="str">
        <f>VLOOKUP(C116,abm2_mode!$A$2:$C$139,3,FALSE)</f>
        <v xml:space="preserve">Local Bus                                                                  </v>
      </c>
      <c r="G116" s="247">
        <v>6.25</v>
      </c>
      <c r="H116" s="247">
        <v>98.339999999999989</v>
      </c>
      <c r="I116" s="247">
        <v>155.01509433962244</v>
      </c>
      <c r="J116" s="247">
        <v>114.51641509434</v>
      </c>
      <c r="K116" s="247">
        <v>52.738490566037576</v>
      </c>
      <c r="L116" s="319">
        <v>17.7</v>
      </c>
      <c r="M116" s="319">
        <v>342.8</v>
      </c>
      <c r="N116" s="319">
        <v>498.63849056603704</v>
      </c>
      <c r="O116" s="319">
        <v>368.54056603773722</v>
      </c>
      <c r="P116" s="319">
        <v>196.43094339622587</v>
      </c>
      <c r="Q116" s="251">
        <f t="shared" si="31"/>
        <v>2.8319999999999999</v>
      </c>
      <c r="R116" s="251">
        <f t="shared" si="32"/>
        <v>3.4858653650599964</v>
      </c>
      <c r="S116" s="251">
        <f t="shared" si="27"/>
        <v>3.2167092675089459</v>
      </c>
      <c r="T116" s="251">
        <f t="shared" ref="T116:T139" si="34">O116/J116</f>
        <v>3.2182335234134691</v>
      </c>
      <c r="U116" s="251">
        <f t="shared" si="33"/>
        <v>3.7246220225105011</v>
      </c>
      <c r="V116" s="251" t="str">
        <f t="shared" si="23"/>
        <v>115_917_10_Local</v>
      </c>
      <c r="W116" s="318"/>
    </row>
    <row r="117" spans="1:23" x14ac:dyDescent="0.3">
      <c r="A117" s="5" t="str">
        <f t="shared" si="22"/>
        <v>10_921</v>
      </c>
      <c r="B117" s="5">
        <v>116</v>
      </c>
      <c r="C117" s="4">
        <v>921</v>
      </c>
      <c r="D117" s="5">
        <v>10</v>
      </c>
      <c r="E117" s="6" t="s">
        <v>0</v>
      </c>
      <c r="F117" s="280" t="str">
        <f>VLOOKUP(C117,abm2_mode!$A$2:$C$139,3,FALSE)</f>
        <v xml:space="preserve">Local Bus                                                                  </v>
      </c>
      <c r="G117" s="247">
        <v>3.8374999999999981</v>
      </c>
      <c r="H117" s="247">
        <v>199.52796213476444</v>
      </c>
      <c r="I117" s="247">
        <v>513.23032733891944</v>
      </c>
      <c r="J117" s="247">
        <v>270.38541963015717</v>
      </c>
      <c r="K117" s="247">
        <v>31.648790896158939</v>
      </c>
      <c r="L117" s="319">
        <v>18.720833333333321</v>
      </c>
      <c r="M117" s="319">
        <v>748.45970930232568</v>
      </c>
      <c r="N117" s="319">
        <v>1931.0407731538135</v>
      </c>
      <c r="O117" s="319">
        <v>950.99737553343073</v>
      </c>
      <c r="P117" s="319">
        <v>116.45130867709689</v>
      </c>
      <c r="Q117" s="251">
        <f t="shared" si="31"/>
        <v>4.8783930510314866</v>
      </c>
      <c r="R117" s="251">
        <f t="shared" si="32"/>
        <v>3.7511519753647553</v>
      </c>
      <c r="S117" s="251">
        <f t="shared" si="27"/>
        <v>3.7625227315895176</v>
      </c>
      <c r="T117" s="251">
        <f t="shared" si="34"/>
        <v>3.5171917806597666</v>
      </c>
      <c r="U117" s="251">
        <f t="shared" si="33"/>
        <v>3.6794868107024596</v>
      </c>
      <c r="V117" s="251" t="str">
        <f t="shared" si="23"/>
        <v>116_921_10_Local</v>
      </c>
      <c r="W117" s="318"/>
    </row>
    <row r="118" spans="1:23" x14ac:dyDescent="0.3">
      <c r="A118" s="5" t="str">
        <f t="shared" si="22"/>
        <v>10_923</v>
      </c>
      <c r="B118" s="5">
        <v>117</v>
      </c>
      <c r="C118" s="4">
        <v>923</v>
      </c>
      <c r="D118" s="5">
        <v>10</v>
      </c>
      <c r="E118" s="6" t="s">
        <v>0</v>
      </c>
      <c r="F118" s="280" t="str">
        <f>VLOOKUP(C118,abm2_mode!$A$2:$C$139,3,FALSE)</f>
        <v xml:space="preserve">Local Bus                                                                  </v>
      </c>
      <c r="G118" s="247">
        <v>17.015555555555544</v>
      </c>
      <c r="H118" s="247">
        <v>259.16683343756517</v>
      </c>
      <c r="I118" s="247">
        <v>438.64302767354548</v>
      </c>
      <c r="J118" s="247">
        <v>290.30051670856972</v>
      </c>
      <c r="K118" s="247">
        <v>10.274066624764018</v>
      </c>
      <c r="L118" s="319">
        <v>67.297614379084919</v>
      </c>
      <c r="M118" s="319">
        <v>1155.3405219561246</v>
      </c>
      <c r="N118" s="319">
        <v>1867.494155331455</v>
      </c>
      <c r="O118" s="319">
        <v>1278.3343770951217</v>
      </c>
      <c r="P118" s="319">
        <v>51.563331238213593</v>
      </c>
      <c r="Q118" s="251">
        <f t="shared" si="31"/>
        <v>3.9550641857892432</v>
      </c>
      <c r="R118" s="251">
        <f t="shared" si="32"/>
        <v>4.4579026823447796</v>
      </c>
      <c r="S118" s="251">
        <f t="shared" si="27"/>
        <v>4.2574349471281554</v>
      </c>
      <c r="T118" s="251">
        <f t="shared" si="34"/>
        <v>4.4034863995038318</v>
      </c>
      <c r="U118" s="251">
        <f t="shared" si="33"/>
        <v>5.0187849778906743</v>
      </c>
      <c r="V118" s="251" t="str">
        <f t="shared" si="23"/>
        <v>117_923_10_Local</v>
      </c>
      <c r="W118" s="318"/>
    </row>
    <row r="119" spans="1:23" x14ac:dyDescent="0.3">
      <c r="A119" s="5" t="str">
        <f t="shared" si="22"/>
        <v>10_928</v>
      </c>
      <c r="B119" s="5">
        <v>118</v>
      </c>
      <c r="C119" s="4">
        <v>928</v>
      </c>
      <c r="D119" s="5">
        <v>10</v>
      </c>
      <c r="E119" s="6" t="s">
        <v>0</v>
      </c>
      <c r="F119" s="280" t="str">
        <f>VLOOKUP(C119,abm2_mode!$A$2:$C$139,3,FALSE)</f>
        <v xml:space="preserve">Local Bus                                                                  </v>
      </c>
      <c r="G119" s="247">
        <v>19.214166666666657</v>
      </c>
      <c r="H119" s="247">
        <v>251.0036111111111</v>
      </c>
      <c r="I119" s="247">
        <v>575.21358850129116</v>
      </c>
      <c r="J119" s="247">
        <v>271.64817319461577</v>
      </c>
      <c r="K119" s="247">
        <v>72.150460526315385</v>
      </c>
      <c r="L119" s="319">
        <v>79.660694444444417</v>
      </c>
      <c r="M119" s="319">
        <v>1081.275972222222</v>
      </c>
      <c r="N119" s="319">
        <v>2622.4925484496084</v>
      </c>
      <c r="O119" s="319">
        <v>1278.1623857609202</v>
      </c>
      <c r="P119" s="319">
        <v>371.85839912280517</v>
      </c>
      <c r="Q119" s="251">
        <f t="shared" si="31"/>
        <v>4.1459354353703146</v>
      </c>
      <c r="R119" s="251">
        <f t="shared" si="32"/>
        <v>4.3078104232674823</v>
      </c>
      <c r="S119" s="251">
        <f t="shared" si="27"/>
        <v>4.5591630672051169</v>
      </c>
      <c r="T119" s="251">
        <f t="shared" si="34"/>
        <v>4.7052125207748468</v>
      </c>
      <c r="U119" s="251">
        <f t="shared" si="33"/>
        <v>5.1539296687812204</v>
      </c>
      <c r="V119" s="251" t="str">
        <f t="shared" si="23"/>
        <v>118_928_10_Local</v>
      </c>
      <c r="W119" s="318"/>
    </row>
    <row r="120" spans="1:23" x14ac:dyDescent="0.3">
      <c r="A120" s="5" t="str">
        <f t="shared" si="22"/>
        <v>10_929</v>
      </c>
      <c r="B120" s="5">
        <v>119</v>
      </c>
      <c r="C120" s="4">
        <v>929</v>
      </c>
      <c r="D120" s="5">
        <v>10</v>
      </c>
      <c r="E120" s="6" t="s">
        <v>0</v>
      </c>
      <c r="F120" s="280" t="str">
        <f>VLOOKUP(C120,abm2_mode!$A$2:$C$139,3,FALSE)</f>
        <v xml:space="preserve">Local Bus                                                                  </v>
      </c>
      <c r="G120" s="247">
        <v>163.07693719452595</v>
      </c>
      <c r="H120" s="247">
        <v>1337.0327861523022</v>
      </c>
      <c r="I120" s="247">
        <v>4074.6663070583108</v>
      </c>
      <c r="J120" s="247">
        <v>1804.1678124656928</v>
      </c>
      <c r="K120" s="247">
        <v>820.98615712916705</v>
      </c>
      <c r="L120" s="319">
        <v>685.62497849462375</v>
      </c>
      <c r="M120" s="319">
        <v>4449.6953622611118</v>
      </c>
      <c r="N120" s="319">
        <v>12601.10785478503</v>
      </c>
      <c r="O120" s="319">
        <v>6155.0643481020306</v>
      </c>
      <c r="P120" s="319">
        <v>3809.3674563572013</v>
      </c>
      <c r="Q120" s="251">
        <f t="shared" si="31"/>
        <v>4.2043037494429853</v>
      </c>
      <c r="R120" s="251">
        <f t="shared" si="32"/>
        <v>3.3280375831817817</v>
      </c>
      <c r="S120" s="251">
        <f t="shared" si="27"/>
        <v>3.0925496482882178</v>
      </c>
      <c r="T120" s="251">
        <f t="shared" si="34"/>
        <v>3.4115808438518367</v>
      </c>
      <c r="U120" s="251">
        <f t="shared" si="33"/>
        <v>4.6399898747109658</v>
      </c>
      <c r="V120" s="251" t="str">
        <f t="shared" si="23"/>
        <v>119_929_10_Local</v>
      </c>
      <c r="W120" s="318"/>
    </row>
    <row r="121" spans="1:23" x14ac:dyDescent="0.3">
      <c r="A121" s="5" t="str">
        <f t="shared" si="22"/>
        <v>10_932</v>
      </c>
      <c r="B121" s="5">
        <v>120</v>
      </c>
      <c r="C121" s="4">
        <v>932</v>
      </c>
      <c r="D121" s="5">
        <v>10</v>
      </c>
      <c r="E121" s="6" t="s">
        <v>0</v>
      </c>
      <c r="F121" s="280" t="str">
        <f>VLOOKUP(C121,abm2_mode!$A$2:$C$139,3,FALSE)</f>
        <v xml:space="preserve">Local Bus                                                                  </v>
      </c>
      <c r="G121" s="247">
        <v>100.83612836438922</v>
      </c>
      <c r="H121" s="247">
        <v>636.06439204377421</v>
      </c>
      <c r="I121" s="247">
        <v>2357.2320923737893</v>
      </c>
      <c r="J121" s="247">
        <v>1038.2602836470787</v>
      </c>
      <c r="K121" s="247">
        <v>316.27710357096919</v>
      </c>
      <c r="L121" s="319">
        <v>244.42875776397514</v>
      </c>
      <c r="M121" s="319">
        <v>1511.6809657839058</v>
      </c>
      <c r="N121" s="319">
        <v>5557.7294587829401</v>
      </c>
      <c r="O121" s="319">
        <v>2440.6646411183642</v>
      </c>
      <c r="P121" s="319">
        <v>887.16617655081438</v>
      </c>
      <c r="Q121" s="251">
        <f t="shared" si="31"/>
        <v>2.4240196616899898</v>
      </c>
      <c r="R121" s="251">
        <f t="shared" si="32"/>
        <v>2.3766162430923679</v>
      </c>
      <c r="S121" s="251">
        <f t="shared" si="27"/>
        <v>2.3577353612160326</v>
      </c>
      <c r="T121" s="251">
        <f t="shared" si="34"/>
        <v>2.3507252271512153</v>
      </c>
      <c r="U121" s="251">
        <f t="shared" si="33"/>
        <v>2.8050281431508806</v>
      </c>
      <c r="V121" s="251" t="str">
        <f t="shared" si="23"/>
        <v>120_932_10_Local</v>
      </c>
      <c r="W121" s="318"/>
    </row>
    <row r="122" spans="1:23" x14ac:dyDescent="0.3">
      <c r="A122" s="5" t="str">
        <f t="shared" si="22"/>
        <v>10_933</v>
      </c>
      <c r="B122" s="5">
        <v>121</v>
      </c>
      <c r="C122" s="4">
        <v>933</v>
      </c>
      <c r="D122" s="5">
        <v>10</v>
      </c>
      <c r="E122" s="6" t="s">
        <v>0</v>
      </c>
      <c r="F122" s="280" t="str">
        <f>VLOOKUP(C122,abm2_mode!$A$2:$C$139,3,FALSE)</f>
        <v xml:space="preserve">Local Bus                                                                  </v>
      </c>
      <c r="G122" s="247">
        <v>97.112319131161229</v>
      </c>
      <c r="H122" s="247">
        <v>562.31904450520233</v>
      </c>
      <c r="I122" s="247">
        <v>1531.177814445826</v>
      </c>
      <c r="J122" s="247">
        <v>790.37616803005938</v>
      </c>
      <c r="K122" s="247">
        <v>289.77465388775107</v>
      </c>
      <c r="L122" s="319">
        <v>275.49613366750202</v>
      </c>
      <c r="M122" s="319">
        <v>1804.7667451203765</v>
      </c>
      <c r="N122" s="319">
        <v>4859.8926006641714</v>
      </c>
      <c r="O122" s="319">
        <v>2306.3760147491885</v>
      </c>
      <c r="P122" s="319">
        <v>857.62850579876306</v>
      </c>
      <c r="Q122" s="251">
        <f t="shared" si="31"/>
        <v>2.8368814186737028</v>
      </c>
      <c r="R122" s="251">
        <f t="shared" si="32"/>
        <v>3.2095067075461281</v>
      </c>
      <c r="S122" s="251">
        <f t="shared" si="27"/>
        <v>3.1739570380485795</v>
      </c>
      <c r="T122" s="251">
        <f t="shared" si="34"/>
        <v>2.918073833751365</v>
      </c>
      <c r="U122" s="251">
        <f t="shared" si="33"/>
        <v>2.959639479479732</v>
      </c>
      <c r="V122" s="251" t="str">
        <f t="shared" si="23"/>
        <v>121_933_10_Local</v>
      </c>
      <c r="W122" s="318"/>
    </row>
    <row r="123" spans="1:23" x14ac:dyDescent="0.3">
      <c r="A123" s="5" t="str">
        <f t="shared" si="22"/>
        <v>10_934</v>
      </c>
      <c r="B123" s="5">
        <v>122</v>
      </c>
      <c r="C123" s="4">
        <v>934</v>
      </c>
      <c r="D123" s="5">
        <v>10</v>
      </c>
      <c r="E123" s="6" t="s">
        <v>0</v>
      </c>
      <c r="F123" s="280" t="str">
        <f>VLOOKUP(C123,abm2_mode!$A$2:$C$139,3,FALSE)</f>
        <v xml:space="preserve">Local Bus                                                                  </v>
      </c>
      <c r="G123" s="247">
        <v>92.524642857142823</v>
      </c>
      <c r="H123" s="247">
        <v>681.81604048840961</v>
      </c>
      <c r="I123" s="247">
        <v>1337.4654171110667</v>
      </c>
      <c r="J123" s="247">
        <v>716.56762414300806</v>
      </c>
      <c r="K123" s="247">
        <v>274.07627540037271</v>
      </c>
      <c r="L123" s="319">
        <v>253.22214285714276</v>
      </c>
      <c r="M123" s="319">
        <v>2039.1608257401201</v>
      </c>
      <c r="N123" s="319">
        <v>4018.1511884803576</v>
      </c>
      <c r="O123" s="319">
        <v>2404.5909978676204</v>
      </c>
      <c r="P123" s="319">
        <v>928.75484505475981</v>
      </c>
      <c r="Q123" s="251">
        <f t="shared" si="31"/>
        <v>2.7368075686400148</v>
      </c>
      <c r="R123" s="251">
        <f t="shared" si="32"/>
        <v>2.9907786039756341</v>
      </c>
      <c r="S123" s="251">
        <f t="shared" si="27"/>
        <v>3.0043028680020663</v>
      </c>
      <c r="T123" s="251">
        <f t="shared" si="34"/>
        <v>3.3557070077558055</v>
      </c>
      <c r="U123" s="251">
        <f t="shared" si="33"/>
        <v>3.3886728929675787</v>
      </c>
      <c r="V123" s="251" t="str">
        <f t="shared" si="23"/>
        <v>122_934_10_Local</v>
      </c>
      <c r="W123" s="318"/>
    </row>
    <row r="124" spans="1:23" x14ac:dyDescent="0.3">
      <c r="A124" s="5" t="str">
        <f t="shared" si="22"/>
        <v>10_936</v>
      </c>
      <c r="B124" s="5">
        <v>123</v>
      </c>
      <c r="C124" s="4">
        <v>936</v>
      </c>
      <c r="D124" s="5">
        <v>10</v>
      </c>
      <c r="E124" s="6" t="s">
        <v>0</v>
      </c>
      <c r="F124" s="280" t="str">
        <f>VLOOKUP(C124,abm2_mode!$A$2:$C$139,3,FALSE)</f>
        <v xml:space="preserve">Local Bus                                                                  </v>
      </c>
      <c r="G124" s="247">
        <v>27.005961538461548</v>
      </c>
      <c r="H124" s="247">
        <v>333.17114042933798</v>
      </c>
      <c r="I124" s="247">
        <v>931.20615384615223</v>
      </c>
      <c r="J124" s="247">
        <v>498.15470930232829</v>
      </c>
      <c r="K124" s="247">
        <v>190.9220348837201</v>
      </c>
      <c r="L124" s="319">
        <v>85.893782051282074</v>
      </c>
      <c r="M124" s="319">
        <v>914.47909809183045</v>
      </c>
      <c r="N124" s="319">
        <v>2225.8540966010696</v>
      </c>
      <c r="O124" s="319">
        <v>1227.1537209302396</v>
      </c>
      <c r="P124" s="319">
        <v>556.76930232557891</v>
      </c>
      <c r="Q124" s="251">
        <f t="shared" si="31"/>
        <v>3.1805489291300826</v>
      </c>
      <c r="R124" s="251">
        <f t="shared" si="32"/>
        <v>2.7447728423097968</v>
      </c>
      <c r="S124" s="251">
        <f t="shared" si="27"/>
        <v>2.3902914380533731</v>
      </c>
      <c r="T124" s="251">
        <f t="shared" si="34"/>
        <v>2.463398815699009</v>
      </c>
      <c r="U124" s="251">
        <f t="shared" si="33"/>
        <v>2.9162129068269982</v>
      </c>
      <c r="V124" s="251" t="str">
        <f t="shared" si="23"/>
        <v>123_936_10_Local</v>
      </c>
      <c r="W124" s="318"/>
    </row>
    <row r="125" spans="1:23" x14ac:dyDescent="0.3">
      <c r="A125" s="5" t="str">
        <f t="shared" si="22"/>
        <v>10_944</v>
      </c>
      <c r="B125" s="5">
        <v>124</v>
      </c>
      <c r="C125" s="4">
        <v>944</v>
      </c>
      <c r="D125" s="5">
        <v>10</v>
      </c>
      <c r="E125" s="6" t="s">
        <v>0</v>
      </c>
      <c r="F125" s="280" t="str">
        <f>VLOOKUP(C125,abm2_mode!$A$2:$C$139,3,FALSE)</f>
        <v xml:space="preserve">Local Bus                                                                  </v>
      </c>
      <c r="G125" s="247">
        <v>9</v>
      </c>
      <c r="H125" s="247">
        <v>74</v>
      </c>
      <c r="I125" s="247">
        <v>131.70833333333309</v>
      </c>
      <c r="J125" s="247">
        <v>83.291666666666998</v>
      </c>
      <c r="K125" s="247">
        <v>4.9999999999999085</v>
      </c>
      <c r="L125" s="319">
        <v>28.71</v>
      </c>
      <c r="M125" s="319">
        <v>258.33</v>
      </c>
      <c r="N125" s="319">
        <v>394.04666666666594</v>
      </c>
      <c r="O125" s="319">
        <v>268.74333333333436</v>
      </c>
      <c r="P125" s="319">
        <v>15.239999999999688</v>
      </c>
      <c r="Q125" s="251">
        <f t="shared" si="31"/>
        <v>3.19</v>
      </c>
      <c r="R125" s="251">
        <f t="shared" si="32"/>
        <v>3.4909459459459455</v>
      </c>
      <c r="S125" s="251">
        <f t="shared" si="27"/>
        <v>2.9918127174944638</v>
      </c>
      <c r="T125" s="251">
        <f t="shared" si="34"/>
        <v>3.2265332666333162</v>
      </c>
      <c r="U125" s="251">
        <f t="shared" si="33"/>
        <v>3.0479999999999934</v>
      </c>
      <c r="V125" s="251" t="str">
        <f t="shared" si="23"/>
        <v>124_944_10_Local</v>
      </c>
      <c r="W125" s="318"/>
    </row>
    <row r="126" spans="1:23" x14ac:dyDescent="0.3">
      <c r="A126" s="5" t="str">
        <f t="shared" si="22"/>
        <v>10_945</v>
      </c>
      <c r="B126" s="5">
        <v>125</v>
      </c>
      <c r="C126" s="4">
        <v>945</v>
      </c>
      <c r="D126" s="5">
        <v>10</v>
      </c>
      <c r="E126" s="6" t="s">
        <v>0</v>
      </c>
      <c r="F126" s="280" t="str">
        <f>VLOOKUP(C126,abm2_mode!$A$2:$C$139,3,FALSE)</f>
        <v xml:space="preserve">Local Bus                                                                  </v>
      </c>
      <c r="G126" s="247">
        <v>4.7792207792207764</v>
      </c>
      <c r="H126" s="247">
        <v>229.70198222829799</v>
      </c>
      <c r="I126" s="247">
        <v>337.05435887014806</v>
      </c>
      <c r="J126" s="247">
        <v>137.65199793094575</v>
      </c>
      <c r="K126" s="247">
        <v>4.8124401913874166</v>
      </c>
      <c r="L126" s="319">
        <v>11.250779220779217</v>
      </c>
      <c r="M126" s="319">
        <v>963.38147641831847</v>
      </c>
      <c r="N126" s="319">
        <v>1302.7891312741303</v>
      </c>
      <c r="O126" s="319">
        <v>622.03523988103075</v>
      </c>
      <c r="P126" s="319">
        <v>17.323373205741071</v>
      </c>
      <c r="Q126" s="251">
        <f t="shared" si="31"/>
        <v>2.3541032608695658</v>
      </c>
      <c r="R126" s="251">
        <f t="shared" si="32"/>
        <v>4.1940494682402232</v>
      </c>
      <c r="S126" s="251">
        <f t="shared" si="27"/>
        <v>3.865219650744931</v>
      </c>
      <c r="T126" s="251">
        <f t="shared" si="34"/>
        <v>4.5188972861336874</v>
      </c>
      <c r="U126" s="251">
        <f t="shared" si="33"/>
        <v>3.5997067011334178</v>
      </c>
      <c r="V126" s="251" t="str">
        <f t="shared" si="23"/>
        <v>125_945_10_Local</v>
      </c>
      <c r="W126" s="318"/>
    </row>
    <row r="127" spans="1:23" x14ac:dyDescent="0.3">
      <c r="A127" s="5" t="str">
        <f t="shared" si="22"/>
        <v>10_955</v>
      </c>
      <c r="B127" s="5">
        <v>126</v>
      </c>
      <c r="C127" s="4">
        <v>955</v>
      </c>
      <c r="D127" s="5">
        <v>10</v>
      </c>
      <c r="E127" s="6" t="s">
        <v>0</v>
      </c>
      <c r="F127" s="280" t="str">
        <f>VLOOKUP(C127,abm2_mode!$A$2:$C$139,3,FALSE)</f>
        <v xml:space="preserve">Local Bus                                                                  </v>
      </c>
      <c r="G127" s="247">
        <v>104.25992451342692</v>
      </c>
      <c r="H127" s="247">
        <v>976.64186978919975</v>
      </c>
      <c r="I127" s="247">
        <v>2423.325514535502</v>
      </c>
      <c r="J127" s="247">
        <v>1234.8721966563776</v>
      </c>
      <c r="K127" s="247">
        <v>516.35049450549286</v>
      </c>
      <c r="L127" s="319">
        <v>240.71318137472281</v>
      </c>
      <c r="M127" s="319">
        <v>2519.573988436598</v>
      </c>
      <c r="N127" s="319">
        <v>5705.9367957629847</v>
      </c>
      <c r="O127" s="319">
        <v>3129.3504692765632</v>
      </c>
      <c r="P127" s="319">
        <v>1403.8755651491324</v>
      </c>
      <c r="Q127" s="251">
        <f t="shared" si="31"/>
        <v>2.3087795478283031</v>
      </c>
      <c r="R127" s="251">
        <f t="shared" si="32"/>
        <v>2.5798340890099536</v>
      </c>
      <c r="S127" s="251">
        <f t="shared" si="27"/>
        <v>2.35458949346171</v>
      </c>
      <c r="T127" s="251">
        <f t="shared" si="34"/>
        <v>2.5341492647982533</v>
      </c>
      <c r="U127" s="251">
        <f t="shared" si="33"/>
        <v>2.7188422981827864</v>
      </c>
      <c r="V127" s="251" t="str">
        <f t="shared" si="23"/>
        <v>126_955_10_Local</v>
      </c>
      <c r="W127" s="318"/>
    </row>
    <row r="128" spans="1:23" x14ac:dyDescent="0.3">
      <c r="A128" s="5" t="str">
        <f t="shared" si="22"/>
        <v>10_961</v>
      </c>
      <c r="B128" s="5">
        <v>127</v>
      </c>
      <c r="C128" s="4">
        <v>961</v>
      </c>
      <c r="D128" s="5">
        <v>10</v>
      </c>
      <c r="E128" s="6" t="s">
        <v>0</v>
      </c>
      <c r="F128" s="280" t="str">
        <f>VLOOKUP(C128,abm2_mode!$A$2:$C$139,3,FALSE)</f>
        <v xml:space="preserve">Local Bus                                                                  </v>
      </c>
      <c r="G128" s="247">
        <v>64.318432900432882</v>
      </c>
      <c r="H128" s="247">
        <v>453.84737754564077</v>
      </c>
      <c r="I128" s="247">
        <v>1026.4367685012933</v>
      </c>
      <c r="J128" s="247">
        <v>579.25581487502825</v>
      </c>
      <c r="K128" s="247">
        <v>164.42160617760536</v>
      </c>
      <c r="L128" s="319">
        <v>197.02090043290042</v>
      </c>
      <c r="M128" s="319">
        <v>1226.8574861520649</v>
      </c>
      <c r="N128" s="319">
        <v>2940.6404028887127</v>
      </c>
      <c r="O128" s="319">
        <v>1720.5619518390654</v>
      </c>
      <c r="P128" s="319">
        <v>577.97925868725611</v>
      </c>
      <c r="Q128" s="251">
        <f t="shared" si="31"/>
        <v>3.0632105222136778</v>
      </c>
      <c r="R128" s="251">
        <f t="shared" si="32"/>
        <v>2.7032380197651071</v>
      </c>
      <c r="S128" s="251">
        <f t="shared" si="27"/>
        <v>2.8649016609005153</v>
      </c>
      <c r="T128" s="251">
        <f t="shared" si="34"/>
        <v>2.9702972463215906</v>
      </c>
      <c r="U128" s="251">
        <f t="shared" si="33"/>
        <v>3.5152269347310292</v>
      </c>
      <c r="V128" s="251" t="str">
        <f t="shared" si="23"/>
        <v>127_961_10_Local</v>
      </c>
      <c r="W128" s="318"/>
    </row>
    <row r="129" spans="1:23" x14ac:dyDescent="0.3">
      <c r="A129" s="5" t="str">
        <f t="shared" si="22"/>
        <v>10_962</v>
      </c>
      <c r="B129" s="5">
        <v>128</v>
      </c>
      <c r="C129" s="4">
        <v>962</v>
      </c>
      <c r="D129" s="5">
        <v>10</v>
      </c>
      <c r="E129" s="6" t="s">
        <v>0</v>
      </c>
      <c r="F129" s="280" t="str">
        <f>VLOOKUP(C129,abm2_mode!$A$2:$C$139,3,FALSE)</f>
        <v xml:space="preserve">Local Bus                                                                  </v>
      </c>
      <c r="G129" s="247">
        <v>36.767499999999984</v>
      </c>
      <c r="H129" s="247">
        <v>344.60806703762603</v>
      </c>
      <c r="I129" s="247">
        <v>823.15127506763554</v>
      </c>
      <c r="J129" s="247">
        <v>396.9837552973363</v>
      </c>
      <c r="K129" s="247">
        <v>116.15940259740226</v>
      </c>
      <c r="L129" s="319">
        <v>110.77468749999993</v>
      </c>
      <c r="M129" s="319">
        <v>1088.4695957538422</v>
      </c>
      <c r="N129" s="319">
        <v>2275.9860676233452</v>
      </c>
      <c r="O129" s="319">
        <v>1190.3902811574451</v>
      </c>
      <c r="P129" s="319">
        <v>421.43936796536678</v>
      </c>
      <c r="Q129" s="251">
        <f t="shared" si="31"/>
        <v>3.0128425239681778</v>
      </c>
      <c r="R129" s="251">
        <f t="shared" si="32"/>
        <v>3.1585725926578432</v>
      </c>
      <c r="S129" s="251">
        <f t="shared" si="27"/>
        <v>2.7649669466117697</v>
      </c>
      <c r="T129" s="251">
        <f t="shared" si="34"/>
        <v>2.9985868823923445</v>
      </c>
      <c r="U129" s="251">
        <f t="shared" si="33"/>
        <v>3.6281123916075622</v>
      </c>
      <c r="V129" s="251" t="str">
        <f t="shared" si="23"/>
        <v>128_962_10_Local</v>
      </c>
      <c r="W129" s="318"/>
    </row>
    <row r="130" spans="1:23" x14ac:dyDescent="0.3">
      <c r="A130" s="5" t="str">
        <f t="shared" si="22"/>
        <v>10_963</v>
      </c>
      <c r="B130" s="5">
        <v>129</v>
      </c>
      <c r="C130" s="4">
        <v>963</v>
      </c>
      <c r="D130" s="5">
        <v>10</v>
      </c>
      <c r="E130" s="6" t="s">
        <v>0</v>
      </c>
      <c r="F130" s="280" t="str">
        <f>VLOOKUP(C130,abm2_mode!$A$2:$C$139,3,FALSE)</f>
        <v xml:space="preserve">Local Bus                                                                  </v>
      </c>
      <c r="G130" s="247">
        <v>12.467066666666661</v>
      </c>
      <c r="H130" s="247">
        <v>154.05290227743276</v>
      </c>
      <c r="I130" s="247">
        <v>436.25203105589986</v>
      </c>
      <c r="J130" s="247">
        <v>230.00241077441189</v>
      </c>
      <c r="K130" s="247">
        <v>68.815589225588852</v>
      </c>
      <c r="L130" s="319">
        <v>23.765288888888879</v>
      </c>
      <c r="M130" s="319">
        <v>342.30735086266395</v>
      </c>
      <c r="N130" s="319">
        <v>932.66936024844586</v>
      </c>
      <c r="O130" s="319">
        <v>542.33185521885753</v>
      </c>
      <c r="P130" s="319">
        <v>192.68614478114387</v>
      </c>
      <c r="Q130" s="251">
        <f t="shared" si="31"/>
        <v>1.9062454324103684</v>
      </c>
      <c r="R130" s="251">
        <f t="shared" si="32"/>
        <v>2.2220116972947714</v>
      </c>
      <c r="S130" s="251">
        <f t="shared" si="27"/>
        <v>2.1379140814336672</v>
      </c>
      <c r="T130" s="251">
        <f t="shared" si="34"/>
        <v>2.3579398728597707</v>
      </c>
      <c r="U130" s="251">
        <f t="shared" si="33"/>
        <v>2.8000362555857352</v>
      </c>
      <c r="V130" s="251" t="str">
        <f t="shared" si="23"/>
        <v>129_963_10_Local</v>
      </c>
      <c r="W130" s="318"/>
    </row>
    <row r="131" spans="1:23" x14ac:dyDescent="0.3">
      <c r="A131" s="5" t="str">
        <f t="shared" si="22"/>
        <v>10_964</v>
      </c>
      <c r="B131" s="5">
        <v>130</v>
      </c>
      <c r="C131" s="4">
        <v>964</v>
      </c>
      <c r="D131" s="5">
        <v>10</v>
      </c>
      <c r="E131" s="6" t="s">
        <v>0</v>
      </c>
      <c r="F131" s="280" t="str">
        <f>VLOOKUP(C131,abm2_mode!$A$2:$C$139,3,FALSE)</f>
        <v xml:space="preserve">Local Bus                                                                  </v>
      </c>
      <c r="G131" s="247">
        <v>8.6896551724137758</v>
      </c>
      <c r="H131" s="247">
        <v>198.24137931034483</v>
      </c>
      <c r="I131" s="247">
        <v>379.86896551724112</v>
      </c>
      <c r="J131" s="247">
        <v>194.86666666666719</v>
      </c>
      <c r="K131" s="247">
        <v>37.333333333333101</v>
      </c>
      <c r="L131" s="319">
        <v>13.909655172413766</v>
      </c>
      <c r="M131" s="319">
        <v>344.54586206896556</v>
      </c>
      <c r="N131" s="319">
        <v>639.63714942528691</v>
      </c>
      <c r="O131" s="319">
        <v>315.0499259259268</v>
      </c>
      <c r="P131" s="319">
        <v>67.467407407406967</v>
      </c>
      <c r="Q131" s="251">
        <f t="shared" si="31"/>
        <v>1.6007142857142858</v>
      </c>
      <c r="R131" s="251">
        <f t="shared" si="32"/>
        <v>1.7380118281440253</v>
      </c>
      <c r="S131" s="251">
        <f t="shared" si="27"/>
        <v>1.6838362895856405</v>
      </c>
      <c r="T131" s="251">
        <f t="shared" si="34"/>
        <v>1.6167461132018095</v>
      </c>
      <c r="U131" s="251">
        <f t="shared" si="33"/>
        <v>1.8071626984126978</v>
      </c>
      <c r="V131" s="251" t="str">
        <f t="shared" si="23"/>
        <v>130_964_10_Local</v>
      </c>
      <c r="W131" s="318"/>
    </row>
    <row r="132" spans="1:23" x14ac:dyDescent="0.3">
      <c r="A132" s="5" t="str">
        <f t="shared" ref="A132:A139" si="35">CONCATENATE(D132,"_",C132)</f>
        <v>10_965</v>
      </c>
      <c r="B132" s="5">
        <v>131</v>
      </c>
      <c r="C132" s="4">
        <v>965</v>
      </c>
      <c r="D132" s="5">
        <v>10</v>
      </c>
      <c r="E132" s="6" t="s">
        <v>0</v>
      </c>
      <c r="F132" s="280" t="str">
        <f>VLOOKUP(C132,abm2_mode!$A$2:$C$139,3,FALSE)</f>
        <v xml:space="preserve">Local Bus                                                                  </v>
      </c>
      <c r="G132" s="247">
        <v>18</v>
      </c>
      <c r="H132" s="247">
        <v>49.291666666666686</v>
      </c>
      <c r="I132" s="247">
        <v>82.922619047618809</v>
      </c>
      <c r="J132" s="247">
        <v>68.131868131868515</v>
      </c>
      <c r="K132" s="247">
        <v>24.65384615384599</v>
      </c>
      <c r="L132" s="319">
        <v>46.19</v>
      </c>
      <c r="M132" s="319">
        <v>99.48458333333339</v>
      </c>
      <c r="N132" s="319">
        <v>157.12755952380911</v>
      </c>
      <c r="O132" s="319">
        <v>137.44516483516551</v>
      </c>
      <c r="P132" s="319">
        <v>43.192692307691985</v>
      </c>
      <c r="Q132" s="251">
        <f t="shared" si="31"/>
        <v>2.5661111111111108</v>
      </c>
      <c r="R132" s="251">
        <f t="shared" si="32"/>
        <v>2.0182840236686395</v>
      </c>
      <c r="S132" s="251">
        <f t="shared" si="27"/>
        <v>1.8948697150240477</v>
      </c>
      <c r="T132" s="251">
        <f t="shared" si="34"/>
        <v>2.0173403225806439</v>
      </c>
      <c r="U132" s="251">
        <f t="shared" si="33"/>
        <v>1.7519656786271436</v>
      </c>
      <c r="V132" s="251" t="str">
        <f t="shared" ref="V132:V139" si="36">CONCATENATE(B132,"_",C132,"_",D132,"_",E132)</f>
        <v>131_965_10_Local</v>
      </c>
      <c r="W132" s="318"/>
    </row>
    <row r="133" spans="1:23" x14ac:dyDescent="0.3">
      <c r="A133" s="5" t="str">
        <f t="shared" si="35"/>
        <v>10_967</v>
      </c>
      <c r="B133" s="5">
        <v>132</v>
      </c>
      <c r="C133" s="4">
        <v>967</v>
      </c>
      <c r="D133" s="5">
        <v>10</v>
      </c>
      <c r="E133" s="6" t="s">
        <v>0</v>
      </c>
      <c r="F133" s="280" t="str">
        <f>VLOOKUP(C133,abm2_mode!$A$2:$C$139,3,FALSE)</f>
        <v xml:space="preserve">Local Bus                                                                  </v>
      </c>
      <c r="G133" s="247">
        <v>4.4400000000000004</v>
      </c>
      <c r="H133" s="247">
        <v>44.83</v>
      </c>
      <c r="I133" s="247">
        <v>105.94860465116261</v>
      </c>
      <c r="J133" s="247">
        <v>50.821395348837385</v>
      </c>
      <c r="K133" s="247">
        <v>15.66</v>
      </c>
      <c r="L133" s="319">
        <v>12.17</v>
      </c>
      <c r="M133" s="319">
        <v>141.66999999999999</v>
      </c>
      <c r="N133" s="319">
        <v>304.10139534883672</v>
      </c>
      <c r="O133" s="319">
        <v>164.1586046511633</v>
      </c>
      <c r="P133" s="319">
        <v>55.53</v>
      </c>
      <c r="Q133" s="251">
        <f t="shared" si="31"/>
        <v>2.7409909909909906</v>
      </c>
      <c r="R133" s="251">
        <f t="shared" si="32"/>
        <v>3.16016060673656</v>
      </c>
      <c r="S133" s="251">
        <f t="shared" si="27"/>
        <v>2.8702727737670086</v>
      </c>
      <c r="T133" s="251">
        <f t="shared" si="34"/>
        <v>3.2301081763769139</v>
      </c>
      <c r="U133" s="251">
        <f t="shared" si="33"/>
        <v>3.5459770114942528</v>
      </c>
      <c r="V133" s="251" t="str">
        <f t="shared" si="36"/>
        <v>132_967_10_Local</v>
      </c>
      <c r="W133" s="318"/>
    </row>
    <row r="134" spans="1:23" x14ac:dyDescent="0.3">
      <c r="A134" s="5" t="str">
        <f t="shared" si="35"/>
        <v>10_968</v>
      </c>
      <c r="B134" s="5">
        <v>133</v>
      </c>
      <c r="C134" s="4">
        <v>968</v>
      </c>
      <c r="D134" s="5">
        <v>10</v>
      </c>
      <c r="E134" s="6" t="s">
        <v>0</v>
      </c>
      <c r="F134" s="280" t="str">
        <f>VLOOKUP(C134,abm2_mode!$A$2:$C$139,3,FALSE)</f>
        <v xml:space="preserve">Local Bus                                                                  </v>
      </c>
      <c r="G134" s="247">
        <v>16.040232558139532</v>
      </c>
      <c r="H134" s="247">
        <v>56.421256803562585</v>
      </c>
      <c r="I134" s="247">
        <v>93.948510638297876</v>
      </c>
      <c r="J134" s="247">
        <v>48.974090909090989</v>
      </c>
      <c r="K134" s="247">
        <v>18.685909090909014</v>
      </c>
      <c r="L134" s="319">
        <v>45.631162790697665</v>
      </c>
      <c r="M134" s="319">
        <v>163.27458189015337</v>
      </c>
      <c r="N134" s="319">
        <v>271.83425531914895</v>
      </c>
      <c r="O134" s="319">
        <v>162.14409090909118</v>
      </c>
      <c r="P134" s="319">
        <v>73.435909090908808</v>
      </c>
      <c r="Q134" s="251">
        <f t="shared" si="31"/>
        <v>2.84479433981413</v>
      </c>
      <c r="R134" s="251">
        <f t="shared" si="32"/>
        <v>2.893848721920774</v>
      </c>
      <c r="S134" s="251">
        <f t="shared" si="27"/>
        <v>2.8934386875563347</v>
      </c>
      <c r="T134" s="251">
        <f t="shared" si="34"/>
        <v>3.3108136955533074</v>
      </c>
      <c r="U134" s="251">
        <f t="shared" si="33"/>
        <v>3.9300153251112904</v>
      </c>
      <c r="V134" s="251" t="str">
        <f t="shared" si="36"/>
        <v>133_968_10_Local</v>
      </c>
      <c r="W134" s="318"/>
    </row>
    <row r="135" spans="1:23" x14ac:dyDescent="0.3">
      <c r="A135" s="5" t="str">
        <f t="shared" si="35"/>
        <v>10_972</v>
      </c>
      <c r="B135" s="5">
        <v>134</v>
      </c>
      <c r="C135" s="4">
        <v>972</v>
      </c>
      <c r="D135" s="5">
        <v>10</v>
      </c>
      <c r="E135" s="6" t="s">
        <v>0</v>
      </c>
      <c r="F135" s="280" t="str">
        <f>VLOOKUP(C135,abm2_mode!$A$2:$C$139,3,FALSE)</f>
        <v xml:space="preserve">Local Bus                                                                  </v>
      </c>
      <c r="G135" s="247">
        <v>0</v>
      </c>
      <c r="H135" s="247">
        <v>77.428571428571416</v>
      </c>
      <c r="I135" s="247">
        <v>3.5714285714285765</v>
      </c>
      <c r="J135" s="247">
        <v>52</v>
      </c>
      <c r="K135" s="247">
        <v>0</v>
      </c>
      <c r="L135" s="319">
        <v>0</v>
      </c>
      <c r="M135" s="319">
        <v>150.89857142857142</v>
      </c>
      <c r="N135" s="319">
        <v>4.2714285714285776</v>
      </c>
      <c r="O135" s="319">
        <v>107.95</v>
      </c>
      <c r="P135" s="319">
        <v>0</v>
      </c>
      <c r="Q135" s="251">
        <v>0</v>
      </c>
      <c r="R135" s="251">
        <f>M135/H135</f>
        <v>1.9488745387453876</v>
      </c>
      <c r="S135" s="251">
        <f t="shared" si="27"/>
        <v>1.196</v>
      </c>
      <c r="T135" s="251">
        <f t="shared" si="34"/>
        <v>2.0759615384615384</v>
      </c>
      <c r="U135" s="251">
        <v>0</v>
      </c>
      <c r="V135" s="251" t="str">
        <f t="shared" si="36"/>
        <v>134_972_10_Local</v>
      </c>
      <c r="W135" s="318"/>
    </row>
    <row r="136" spans="1:23" x14ac:dyDescent="0.3">
      <c r="A136" s="5" t="str">
        <f t="shared" si="35"/>
        <v>10_973</v>
      </c>
      <c r="B136" s="5">
        <v>135</v>
      </c>
      <c r="C136" s="4">
        <v>973</v>
      </c>
      <c r="D136" s="5">
        <v>10</v>
      </c>
      <c r="E136" s="6" t="s">
        <v>0</v>
      </c>
      <c r="F136" s="280" t="str">
        <f>VLOOKUP(C136,abm2_mode!$A$2:$C$139,3,FALSE)</f>
        <v xml:space="preserve">Local Bus                                                                  </v>
      </c>
      <c r="G136" s="247">
        <v>0</v>
      </c>
      <c r="H136" s="247">
        <v>58</v>
      </c>
      <c r="I136" s="247">
        <v>0</v>
      </c>
      <c r="J136" s="247">
        <v>55</v>
      </c>
      <c r="K136" s="247">
        <v>0</v>
      </c>
      <c r="L136" s="319">
        <v>0</v>
      </c>
      <c r="M136" s="319">
        <v>143.69999999999999</v>
      </c>
      <c r="N136" s="319">
        <v>0</v>
      </c>
      <c r="O136" s="319">
        <v>175.36000000000004</v>
      </c>
      <c r="P136" s="319">
        <v>0</v>
      </c>
      <c r="Q136" s="251">
        <v>0</v>
      </c>
      <c r="R136" s="251">
        <f>M136/H136</f>
        <v>2.4775862068965515</v>
      </c>
      <c r="S136" s="251">
        <v>0</v>
      </c>
      <c r="T136" s="251">
        <f t="shared" si="34"/>
        <v>3.1883636363636372</v>
      </c>
      <c r="U136" s="251">
        <v>0</v>
      </c>
      <c r="V136" s="251" t="str">
        <f t="shared" si="36"/>
        <v>135_973_10_Local</v>
      </c>
      <c r="W136" s="318"/>
    </row>
    <row r="137" spans="1:23" x14ac:dyDescent="0.3">
      <c r="A137" s="5" t="str">
        <f t="shared" si="35"/>
        <v>10_978</v>
      </c>
      <c r="B137" s="5">
        <v>136</v>
      </c>
      <c r="C137" s="4">
        <v>978</v>
      </c>
      <c r="D137" s="5">
        <v>10</v>
      </c>
      <c r="E137" s="6" t="s">
        <v>0</v>
      </c>
      <c r="F137" s="280" t="str">
        <f>VLOOKUP(C137,abm2_mode!$A$2:$C$139,3,FALSE)</f>
        <v xml:space="preserve">Local Bus                                                                  </v>
      </c>
      <c r="G137" s="247">
        <v>0</v>
      </c>
      <c r="H137" s="247">
        <v>54</v>
      </c>
      <c r="I137" s="247">
        <v>0</v>
      </c>
      <c r="J137" s="247">
        <v>38</v>
      </c>
      <c r="K137" s="247">
        <v>0</v>
      </c>
      <c r="L137" s="319">
        <v>0</v>
      </c>
      <c r="M137" s="319">
        <v>95.45999999999998</v>
      </c>
      <c r="N137" s="319">
        <v>0</v>
      </c>
      <c r="O137" s="319">
        <v>64.83</v>
      </c>
      <c r="P137" s="319">
        <v>0</v>
      </c>
      <c r="Q137" s="251">
        <v>0</v>
      </c>
      <c r="R137" s="251">
        <f>M137/H137</f>
        <v>1.7677777777777774</v>
      </c>
      <c r="S137" s="251">
        <v>0</v>
      </c>
      <c r="T137" s="251">
        <f t="shared" si="34"/>
        <v>1.7060526315789473</v>
      </c>
      <c r="U137" s="251">
        <v>0</v>
      </c>
      <c r="V137" s="251" t="str">
        <f t="shared" si="36"/>
        <v>136_978_10_Local</v>
      </c>
      <c r="W137" s="318"/>
    </row>
    <row r="138" spans="1:23" x14ac:dyDescent="0.3">
      <c r="A138" s="5" t="str">
        <f t="shared" si="35"/>
        <v>10_979</v>
      </c>
      <c r="B138" s="5">
        <v>137</v>
      </c>
      <c r="C138" s="4">
        <v>979</v>
      </c>
      <c r="D138" s="5">
        <v>10</v>
      </c>
      <c r="E138" s="6" t="s">
        <v>0</v>
      </c>
      <c r="F138" s="280" t="str">
        <f>VLOOKUP(C138,abm2_mode!$A$2:$C$139,3,FALSE)</f>
        <v xml:space="preserve">Local Bus                                                                  </v>
      </c>
      <c r="G138" s="247">
        <v>0</v>
      </c>
      <c r="H138" s="247">
        <v>47</v>
      </c>
      <c r="I138" s="247">
        <v>0</v>
      </c>
      <c r="J138" s="247">
        <v>57</v>
      </c>
      <c r="K138" s="247">
        <v>0</v>
      </c>
      <c r="L138" s="319">
        <v>0</v>
      </c>
      <c r="M138" s="319">
        <v>88.820000000000007</v>
      </c>
      <c r="N138" s="319">
        <v>0</v>
      </c>
      <c r="O138" s="319">
        <v>133.02000000000001</v>
      </c>
      <c r="P138" s="319">
        <v>0</v>
      </c>
      <c r="Q138" s="251">
        <v>0</v>
      </c>
      <c r="R138" s="251">
        <f>M138/H138</f>
        <v>1.8897872340425534</v>
      </c>
      <c r="S138" s="251">
        <v>0</v>
      </c>
      <c r="T138" s="251">
        <f t="shared" si="34"/>
        <v>2.3336842105263158</v>
      </c>
      <c r="U138" s="251">
        <v>0</v>
      </c>
      <c r="V138" s="251" t="str">
        <f t="shared" si="36"/>
        <v>137_979_10_Local</v>
      </c>
      <c r="W138" s="318"/>
    </row>
    <row r="139" spans="1:23" x14ac:dyDescent="0.3">
      <c r="A139" s="5" t="str">
        <f t="shared" si="35"/>
        <v>10_992</v>
      </c>
      <c r="B139" s="5">
        <v>138</v>
      </c>
      <c r="C139" s="244">
        <v>992</v>
      </c>
      <c r="D139" s="245">
        <v>10</v>
      </c>
      <c r="E139" s="277" t="s">
        <v>0</v>
      </c>
      <c r="F139" s="283" t="str">
        <f>VLOOKUP(C139,abm2_mode!$A$2:$C$139,3,FALSE)</f>
        <v xml:space="preserve">Local Bus                                                                  </v>
      </c>
      <c r="G139" s="248">
        <v>41.745000000000005</v>
      </c>
      <c r="H139" s="248">
        <v>115.21840425531917</v>
      </c>
      <c r="I139" s="248">
        <v>399.80659574468041</v>
      </c>
      <c r="J139" s="248">
        <v>164.05200000000059</v>
      </c>
      <c r="K139" s="248">
        <v>164.83799999999988</v>
      </c>
      <c r="L139" s="350">
        <v>99.041750000000008</v>
      </c>
      <c r="M139" s="350">
        <v>303.87122872340427</v>
      </c>
      <c r="N139" s="350">
        <v>933.82302127659455</v>
      </c>
      <c r="O139" s="350">
        <v>348.74200000000138</v>
      </c>
      <c r="P139" s="350">
        <v>449.92199999999968</v>
      </c>
      <c r="Q139" s="252">
        <f>L139/G139</f>
        <v>2.3725416217511079</v>
      </c>
      <c r="R139" s="252">
        <f>M139/H139</f>
        <v>2.637349741887054</v>
      </c>
      <c r="S139" s="252">
        <f>N139/I139</f>
        <v>2.3356868826469817</v>
      </c>
      <c r="T139" s="252">
        <f t="shared" si="34"/>
        <v>2.1258015751103319</v>
      </c>
      <c r="U139" s="252">
        <f>P139/K139</f>
        <v>2.7294798529465294</v>
      </c>
      <c r="V139" s="251" t="str">
        <f t="shared" si="36"/>
        <v>138_992_10_Local</v>
      </c>
      <c r="W139" s="318"/>
    </row>
    <row r="140" spans="1:23" x14ac:dyDescent="0.3">
      <c r="D140" s="4"/>
      <c r="E140" s="278"/>
      <c r="F140" s="284"/>
      <c r="G140" s="249"/>
      <c r="H140" s="249"/>
      <c r="I140" s="249"/>
      <c r="J140" s="249"/>
      <c r="K140" s="249"/>
    </row>
    <row r="141" spans="1:23" s="2" customFormat="1" x14ac:dyDescent="0.3">
      <c r="D141" s="265"/>
      <c r="E141" s="279"/>
      <c r="F141" s="285"/>
      <c r="G141" s="10"/>
      <c r="H141" s="10"/>
      <c r="I141" s="10"/>
      <c r="J141" s="10"/>
      <c r="K141" s="10"/>
      <c r="L141" s="316"/>
      <c r="M141" s="316"/>
      <c r="N141" s="316"/>
      <c r="O141" s="316"/>
      <c r="P141" s="316"/>
      <c r="Q141" s="266"/>
      <c r="R141" s="266"/>
      <c r="S141" s="266"/>
      <c r="T141" s="266"/>
      <c r="U141" s="266"/>
      <c r="V141" s="266"/>
      <c r="W141" s="57"/>
    </row>
    <row r="142" spans="1:23" x14ac:dyDescent="0.3">
      <c r="G142" s="267"/>
      <c r="H142" s="267"/>
      <c r="I142" s="267"/>
      <c r="J142" s="267"/>
      <c r="K142" s="267"/>
      <c r="L142" s="351"/>
      <c r="M142" s="351"/>
      <c r="N142" s="351"/>
      <c r="O142" s="351"/>
      <c r="P142" s="351"/>
    </row>
    <row r="143" spans="1:23" x14ac:dyDescent="0.3">
      <c r="G143" s="269"/>
      <c r="H143" s="269"/>
      <c r="I143" s="269"/>
      <c r="J143" s="269"/>
      <c r="K143" s="269"/>
      <c r="L143" s="352"/>
      <c r="M143" s="352"/>
      <c r="N143" s="352"/>
      <c r="O143" s="352"/>
      <c r="P143" s="352"/>
    </row>
    <row r="148" spans="1:5" x14ac:dyDescent="0.3">
      <c r="A148" s="343"/>
      <c r="B148" s="343"/>
      <c r="C148" s="343"/>
      <c r="D148" s="343"/>
      <c r="E148" s="34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AI141"/>
  <sheetViews>
    <sheetView workbookViewId="0">
      <pane ySplit="1" topLeftCell="A107" activePane="bottomLeft" state="frozen"/>
      <selection pane="bottomLeft" activeCell="D149" sqref="D149"/>
    </sheetView>
  </sheetViews>
  <sheetFormatPr defaultColWidth="9.109375" defaultRowHeight="14.4" x14ac:dyDescent="0.3"/>
  <cols>
    <col min="1" max="1" width="16.5546875" style="5" customWidth="1"/>
    <col min="2" max="2" width="9.109375" style="5"/>
    <col min="3" max="3" width="15.109375" style="5" customWidth="1"/>
    <col min="4" max="4" width="6.109375" style="5" bestFit="1" customWidth="1"/>
    <col min="5" max="5" width="15" style="5" bestFit="1" customWidth="1"/>
    <col min="6" max="7" width="12.5546875" style="319" bestFit="1" customWidth="1"/>
    <col min="8" max="8" width="11.44140625" style="319" bestFit="1" customWidth="1"/>
    <col min="9" max="9" width="12.44140625" style="319" bestFit="1" customWidth="1"/>
    <col min="10" max="10" width="11.88671875" style="319" bestFit="1" customWidth="1"/>
    <col min="11" max="12" width="12.88671875" style="326" bestFit="1" customWidth="1"/>
    <col min="13" max="13" width="11.6640625" style="326" bestFit="1" customWidth="1"/>
    <col min="14" max="14" width="12.6640625" style="326" bestFit="1" customWidth="1"/>
    <col min="15" max="15" width="12.109375" style="326" bestFit="1" customWidth="1"/>
    <col min="16" max="17" width="12.33203125" style="251" bestFit="1" customWidth="1"/>
    <col min="18" max="18" width="12" style="251" bestFit="1" customWidth="1"/>
    <col min="19" max="19" width="12.109375" style="251" bestFit="1" customWidth="1"/>
    <col min="20" max="20" width="12" style="251" bestFit="1" customWidth="1"/>
    <col min="21" max="21" width="24" style="315" bestFit="1" customWidth="1"/>
    <col min="22" max="23" width="12" style="296" customWidth="1"/>
    <col min="24" max="24" width="9.109375" style="5"/>
    <col min="25" max="25" width="13.109375" style="5" bestFit="1" customWidth="1"/>
    <col min="26" max="27" width="19.5546875" style="5" bestFit="1" customWidth="1"/>
    <col min="28" max="28" width="18.44140625" style="5" bestFit="1" customWidth="1"/>
    <col min="29" max="29" width="19.44140625" style="5" bestFit="1" customWidth="1"/>
    <col min="30" max="30" width="18.6640625" style="5" bestFit="1" customWidth="1"/>
    <col min="31" max="32" width="20" style="5" bestFit="1" customWidth="1"/>
    <col min="33" max="33" width="18.88671875" style="5" bestFit="1" customWidth="1"/>
    <col min="34" max="34" width="19.88671875" style="5" bestFit="1" customWidth="1"/>
    <col min="35" max="35" width="19.109375" style="5" bestFit="1" customWidth="1"/>
    <col min="36" max="16384" width="9.109375" style="5"/>
  </cols>
  <sheetData>
    <row r="1" spans="1:35" x14ac:dyDescent="0.3">
      <c r="A1" s="5" t="s">
        <v>134</v>
      </c>
      <c r="B1" s="5" t="s">
        <v>135</v>
      </c>
      <c r="C1" s="5" t="s">
        <v>105</v>
      </c>
      <c r="D1" s="5" t="s">
        <v>2</v>
      </c>
      <c r="E1" s="5" t="s">
        <v>3</v>
      </c>
      <c r="F1" s="314" t="s">
        <v>106</v>
      </c>
      <c r="G1" s="314" t="s">
        <v>107</v>
      </c>
      <c r="H1" s="314" t="s">
        <v>108</v>
      </c>
      <c r="I1" s="314" t="s">
        <v>109</v>
      </c>
      <c r="J1" s="314" t="s">
        <v>110</v>
      </c>
      <c r="K1" s="64" t="s">
        <v>111</v>
      </c>
      <c r="L1" s="64" t="s">
        <v>112</v>
      </c>
      <c r="M1" s="64" t="s">
        <v>113</v>
      </c>
      <c r="N1" s="64" t="s">
        <v>114</v>
      </c>
      <c r="O1" s="64" t="s">
        <v>115</v>
      </c>
      <c r="P1" s="251" t="s">
        <v>116</v>
      </c>
      <c r="Q1" s="251" t="s">
        <v>117</v>
      </c>
      <c r="R1" s="251" t="s">
        <v>118</v>
      </c>
      <c r="S1" s="251" t="s">
        <v>119</v>
      </c>
      <c r="T1" s="251" t="s">
        <v>120</v>
      </c>
      <c r="U1" s="315" t="s">
        <v>137</v>
      </c>
      <c r="V1" s="296" t="s">
        <v>138</v>
      </c>
      <c r="Y1" s="5" t="s">
        <v>105</v>
      </c>
      <c r="Z1" s="5" t="s">
        <v>121</v>
      </c>
      <c r="AA1" s="5" t="s">
        <v>122</v>
      </c>
      <c r="AB1" s="5" t="s">
        <v>123</v>
      </c>
      <c r="AC1" s="5" t="s">
        <v>124</v>
      </c>
      <c r="AD1" s="5" t="s">
        <v>125</v>
      </c>
      <c r="AE1" s="5" t="s">
        <v>126</v>
      </c>
      <c r="AF1" s="5" t="s">
        <v>127</v>
      </c>
      <c r="AG1" s="5" t="s">
        <v>128</v>
      </c>
      <c r="AH1" s="5" t="s">
        <v>129</v>
      </c>
      <c r="AI1" s="5" t="s">
        <v>130</v>
      </c>
    </row>
    <row r="2" spans="1:35" x14ac:dyDescent="0.3">
      <c r="A2" s="5">
        <f>VLOOKUP($B2,observed!$A$2:$B$139,2,FALSE)</f>
        <v>1</v>
      </c>
      <c r="B2" s="5" t="str">
        <f t="shared" ref="B2:B33" si="0">CONCATENATE(D2,"_",C2)</f>
        <v>4_398</v>
      </c>
      <c r="C2" s="5">
        <v>398</v>
      </c>
      <c r="D2" s="5">
        <v>4</v>
      </c>
      <c r="E2" s="5" t="s">
        <v>12</v>
      </c>
      <c r="F2" s="319">
        <v>133.1666666666666</v>
      </c>
      <c r="G2" s="319">
        <v>1734.8333333333335</v>
      </c>
      <c r="H2" s="319">
        <v>803.6874999999992</v>
      </c>
      <c r="I2" s="319">
        <v>2212.6961754643235</v>
      </c>
      <c r="J2" s="319">
        <v>311.61632453567751</v>
      </c>
      <c r="K2" s="326">
        <v>3523.3236666666644</v>
      </c>
      <c r="L2" s="326">
        <v>40504.156333333332</v>
      </c>
      <c r="M2" s="326">
        <v>20830.683437499982</v>
      </c>
      <c r="N2" s="326">
        <v>50134.506117729783</v>
      </c>
      <c r="O2" s="326">
        <v>7720.1904447702391</v>
      </c>
      <c r="P2" s="251">
        <f t="shared" ref="P2:P33" si="1">K2/F2</f>
        <v>26.457999999999995</v>
      </c>
      <c r="Q2" s="251">
        <f t="shared" ref="Q2:Q33" si="2">L2/G2</f>
        <v>23.347577865308864</v>
      </c>
      <c r="R2" s="251">
        <f t="shared" ref="R2:R33" si="3">M2/H2</f>
        <v>25.918884438914382</v>
      </c>
      <c r="S2" s="251">
        <f t="shared" ref="S2:S33" si="4">N2/I2</f>
        <v>22.657654798544272</v>
      </c>
      <c r="T2" s="251">
        <f t="shared" ref="T2:T33" si="5">O2/J2</f>
        <v>24.774666270368453</v>
      </c>
      <c r="U2" s="315" t="str">
        <f>CONCATENATE(A2,"_",C2,"_",D2,"_",E2)</f>
        <v>1_398_4_Commuter Rail</v>
      </c>
      <c r="V2" s="317">
        <f>IF(U2=observed!V2,0,1)</f>
        <v>0</v>
      </c>
      <c r="Y2" s="297">
        <v>4</v>
      </c>
      <c r="Z2" s="298">
        <v>133.1666666666666</v>
      </c>
      <c r="AA2" s="298">
        <v>1734.8333333333335</v>
      </c>
      <c r="AB2" s="298">
        <v>803.6874999999992</v>
      </c>
      <c r="AC2" s="298">
        <v>2212.6961754643235</v>
      </c>
      <c r="AD2" s="298">
        <v>311.61632453567751</v>
      </c>
      <c r="AE2" s="298">
        <v>3523.3236666666644</v>
      </c>
      <c r="AF2" s="298">
        <v>40504.156333333332</v>
      </c>
      <c r="AG2" s="298">
        <v>20830.683437499982</v>
      </c>
      <c r="AH2" s="298">
        <v>50134.506117729783</v>
      </c>
      <c r="AI2" s="298">
        <v>7720.1904447702391</v>
      </c>
    </row>
    <row r="3" spans="1:35" x14ac:dyDescent="0.3">
      <c r="A3" s="5">
        <f>VLOOKUP($B3,observed!$A$2:$B$139,2,FALSE)</f>
        <v>2</v>
      </c>
      <c r="B3" s="5" t="str">
        <f t="shared" si="0"/>
        <v>5_399</v>
      </c>
      <c r="C3" s="5">
        <v>399</v>
      </c>
      <c r="D3" s="5">
        <v>5</v>
      </c>
      <c r="E3" s="5" t="s">
        <v>13</v>
      </c>
      <c r="F3" s="319">
        <v>322.4905660377359</v>
      </c>
      <c r="G3" s="319">
        <v>2161.4528301886789</v>
      </c>
      <c r="H3" s="319">
        <v>4419.0377358490532</v>
      </c>
      <c r="I3" s="319">
        <v>2723.8962264150991</v>
      </c>
      <c r="J3" s="319">
        <v>654.62264150943224</v>
      </c>
      <c r="K3" s="326">
        <v>2717.5439622641516</v>
      </c>
      <c r="L3" s="326">
        <v>16440.69886792453</v>
      </c>
      <c r="M3" s="326">
        <v>31460.081320754685</v>
      </c>
      <c r="N3" s="326">
        <v>20861.415849056644</v>
      </c>
      <c r="O3" s="326">
        <v>4975.1599999999862</v>
      </c>
      <c r="P3" s="251">
        <f t="shared" si="1"/>
        <v>8.4267394102504092</v>
      </c>
      <c r="Q3" s="251">
        <f t="shared" si="2"/>
        <v>7.6063186012203552</v>
      </c>
      <c r="R3" s="251">
        <f t="shared" si="3"/>
        <v>7.1192153589315508</v>
      </c>
      <c r="S3" s="251">
        <f t="shared" si="4"/>
        <v>7.6586676271849781</v>
      </c>
      <c r="T3" s="251">
        <f t="shared" si="5"/>
        <v>7.600042657443435</v>
      </c>
      <c r="U3" s="315" t="str">
        <f t="shared" ref="U3:U66" si="6">CONCATENATE(A3,"_",C3,"_",D3,"_",E3)</f>
        <v>2_399_5_LRT</v>
      </c>
      <c r="V3" s="317">
        <f>IF(U3=observed!V3,0,1)</f>
        <v>0</v>
      </c>
      <c r="Y3" s="297">
        <v>5</v>
      </c>
      <c r="Z3" s="298">
        <v>5067.8720832074168</v>
      </c>
      <c r="AA3" s="298">
        <v>24848.821296810729</v>
      </c>
      <c r="AB3" s="298">
        <v>51785.389629400102</v>
      </c>
      <c r="AC3" s="298">
        <v>34233.453351481694</v>
      </c>
      <c r="AD3" s="298">
        <v>14975.813639100059</v>
      </c>
      <c r="AE3" s="298">
        <v>36166.621744640557</v>
      </c>
      <c r="AF3" s="298">
        <v>151716.88712334656</v>
      </c>
      <c r="AG3" s="298">
        <v>279395.6764747015</v>
      </c>
      <c r="AH3" s="298">
        <v>195127.33473910388</v>
      </c>
      <c r="AI3" s="298">
        <v>86464.779918207467</v>
      </c>
    </row>
    <row r="4" spans="1:35" x14ac:dyDescent="0.3">
      <c r="A4" s="5">
        <f>VLOOKUP($B4,observed!$A$2:$B$139,2,FALSE)</f>
        <v>3</v>
      </c>
      <c r="B4" s="5" t="str">
        <f t="shared" si="0"/>
        <v>5_510</v>
      </c>
      <c r="C4" s="5">
        <v>510</v>
      </c>
      <c r="D4" s="5">
        <v>5</v>
      </c>
      <c r="E4" s="5" t="s">
        <v>13</v>
      </c>
      <c r="F4" s="319">
        <v>3016.4121648745522</v>
      </c>
      <c r="G4" s="319">
        <v>11172.674724014336</v>
      </c>
      <c r="H4" s="319">
        <v>20995.503999999968</v>
      </c>
      <c r="I4" s="319">
        <v>14643.362222222277</v>
      </c>
      <c r="J4" s="319">
        <v>6402.5268888888713</v>
      </c>
      <c r="K4" s="326">
        <v>22943.627405017916</v>
      </c>
      <c r="L4" s="326">
        <v>70803.065039426525</v>
      </c>
      <c r="M4" s="326">
        <v>117702.22833333307</v>
      </c>
      <c r="N4" s="326">
        <v>87062.974111111471</v>
      </c>
      <c r="O4" s="326">
        <v>40477.005111110993</v>
      </c>
      <c r="P4" s="251">
        <f t="shared" si="1"/>
        <v>7.6062640484584128</v>
      </c>
      <c r="Q4" s="251">
        <f t="shared" si="2"/>
        <v>6.337163372996419</v>
      </c>
      <c r="R4" s="251">
        <f t="shared" si="3"/>
        <v>5.6060682483894286</v>
      </c>
      <c r="S4" s="251">
        <f t="shared" si="4"/>
        <v>5.9455590041327815</v>
      </c>
      <c r="T4" s="251">
        <f t="shared" si="5"/>
        <v>6.3220359419897081</v>
      </c>
      <c r="U4" s="315" t="str">
        <f t="shared" si="6"/>
        <v>3_510_5_LRT</v>
      </c>
      <c r="V4" s="317">
        <f>IF(U4=observed!V4,0,1)</f>
        <v>0</v>
      </c>
      <c r="Y4" s="297">
        <v>6</v>
      </c>
      <c r="Z4" s="298">
        <v>295.05438379488487</v>
      </c>
      <c r="AA4" s="298">
        <v>2403.5412690620706</v>
      </c>
      <c r="AB4" s="298">
        <v>2161.5104563162736</v>
      </c>
      <c r="AC4" s="298">
        <v>2549.2122790035928</v>
      </c>
      <c r="AD4" s="298">
        <v>647.85161182317802</v>
      </c>
      <c r="AE4" s="298">
        <v>5335.4309032796018</v>
      </c>
      <c r="AF4" s="298">
        <v>38492.716803673131</v>
      </c>
      <c r="AG4" s="298">
        <v>35542.644313189005</v>
      </c>
      <c r="AH4" s="298">
        <v>41116.85969163054</v>
      </c>
      <c r="AI4" s="298">
        <v>11012.418288227715</v>
      </c>
    </row>
    <row r="5" spans="1:35" x14ac:dyDescent="0.3">
      <c r="A5" s="5">
        <f>VLOOKUP($B5,observed!$A$2:$B$139,2,FALSE)</f>
        <v>4</v>
      </c>
      <c r="B5" s="5" t="str">
        <f t="shared" si="0"/>
        <v>5_520</v>
      </c>
      <c r="C5" s="5">
        <v>520</v>
      </c>
      <c r="D5" s="5">
        <v>5</v>
      </c>
      <c r="E5" s="5" t="s">
        <v>13</v>
      </c>
      <c r="F5" s="319">
        <v>938.71547169811311</v>
      </c>
      <c r="G5" s="319">
        <v>5509.3343396226419</v>
      </c>
      <c r="H5" s="319">
        <v>12183.698490566025</v>
      </c>
      <c r="I5" s="319">
        <v>7424.5313207547415</v>
      </c>
      <c r="J5" s="319">
        <v>3505.7703773584822</v>
      </c>
      <c r="K5" s="326">
        <v>5506.5503773584906</v>
      </c>
      <c r="L5" s="326">
        <v>28414.933962264153</v>
      </c>
      <c r="M5" s="326">
        <v>53738.262641509362</v>
      </c>
      <c r="N5" s="326">
        <v>36274.153584905776</v>
      </c>
      <c r="O5" s="326">
        <v>17461.889433962224</v>
      </c>
      <c r="P5" s="251">
        <f t="shared" si="1"/>
        <v>5.8660483856703429</v>
      </c>
      <c r="Q5" s="251">
        <f t="shared" si="2"/>
        <v>5.1575983976696564</v>
      </c>
      <c r="R5" s="251">
        <f t="shared" si="3"/>
        <v>4.4106691152214168</v>
      </c>
      <c r="S5" s="251">
        <f t="shared" si="4"/>
        <v>4.8857162853504299</v>
      </c>
      <c r="T5" s="251">
        <f t="shared" si="5"/>
        <v>4.9808993614463013</v>
      </c>
      <c r="U5" s="315" t="str">
        <f t="shared" si="6"/>
        <v>4_520_5_LRT</v>
      </c>
      <c r="V5" s="317">
        <f>IF(U5=observed!V5,0,1)</f>
        <v>0</v>
      </c>
      <c r="Y5" s="297">
        <v>7</v>
      </c>
      <c r="Z5" s="298">
        <v>247.19383479117528</v>
      </c>
      <c r="AA5" s="298">
        <v>2830.3726001440896</v>
      </c>
      <c r="AB5" s="298">
        <v>7715.0390380111257</v>
      </c>
      <c r="AC5" s="298">
        <v>4812.283119447904</v>
      </c>
      <c r="AD5" s="298">
        <v>2179.7714076057077</v>
      </c>
      <c r="AE5" s="298">
        <v>852.13304164437204</v>
      </c>
      <c r="AF5" s="298">
        <v>7773.2029594528412</v>
      </c>
      <c r="AG5" s="298">
        <v>19950.954592956274</v>
      </c>
      <c r="AH5" s="298">
        <v>12013.998138272067</v>
      </c>
      <c r="AI5" s="298">
        <v>6077.3912676744358</v>
      </c>
    </row>
    <row r="6" spans="1:35" x14ac:dyDescent="0.3">
      <c r="A6" s="5">
        <f>VLOOKUP($B6,observed!$A$2:$B$139,2,FALSE)</f>
        <v>5</v>
      </c>
      <c r="B6" s="5" t="str">
        <f t="shared" si="0"/>
        <v>5_530</v>
      </c>
      <c r="C6" s="5">
        <v>530</v>
      </c>
      <c r="D6" s="5">
        <v>5</v>
      </c>
      <c r="E6" s="5" t="s">
        <v>13</v>
      </c>
      <c r="F6" s="319">
        <v>790.25388059701504</v>
      </c>
      <c r="G6" s="319">
        <v>6005.3594029850728</v>
      </c>
      <c r="H6" s="319">
        <v>14187.149402985058</v>
      </c>
      <c r="I6" s="319">
        <v>9441.663582089579</v>
      </c>
      <c r="J6" s="319">
        <v>4412.8937313432725</v>
      </c>
      <c r="K6" s="326">
        <v>4998.9000000000005</v>
      </c>
      <c r="L6" s="326">
        <v>36058.18925373134</v>
      </c>
      <c r="M6" s="326">
        <v>76495.104179104412</v>
      </c>
      <c r="N6" s="326">
        <v>50928.791194030004</v>
      </c>
      <c r="O6" s="326">
        <v>23550.725373134264</v>
      </c>
      <c r="P6" s="251">
        <f t="shared" si="1"/>
        <v>6.3256886460632993</v>
      </c>
      <c r="Q6" s="251">
        <f t="shared" si="2"/>
        <v>6.004334933860572</v>
      </c>
      <c r="R6" s="251">
        <f t="shared" si="3"/>
        <v>5.3918586466009444</v>
      </c>
      <c r="S6" s="251">
        <f t="shared" si="4"/>
        <v>5.3940484906324855</v>
      </c>
      <c r="T6" s="251">
        <f t="shared" si="5"/>
        <v>5.3367986647540429</v>
      </c>
      <c r="U6" s="315" t="str">
        <f t="shared" si="6"/>
        <v>5_530_5_LRT</v>
      </c>
      <c r="V6" s="317">
        <f>IF(U6=observed!V6,0,1)</f>
        <v>0</v>
      </c>
      <c r="Y6" s="297">
        <v>8</v>
      </c>
      <c r="Z6" s="298">
        <v>0</v>
      </c>
      <c r="AA6" s="298">
        <v>31</v>
      </c>
      <c r="AB6" s="298">
        <v>0</v>
      </c>
      <c r="AC6" s="298">
        <v>25</v>
      </c>
      <c r="AD6" s="298">
        <v>0</v>
      </c>
      <c r="AE6" s="298">
        <v>0</v>
      </c>
      <c r="AF6" s="298">
        <v>352.63</v>
      </c>
      <c r="AG6" s="298">
        <v>0</v>
      </c>
      <c r="AH6" s="298">
        <v>339.14</v>
      </c>
      <c r="AI6" s="298">
        <v>0</v>
      </c>
    </row>
    <row r="7" spans="1:35" x14ac:dyDescent="0.3">
      <c r="A7" s="5">
        <f>VLOOKUP($B7,observed!$A$2:$B$139,2,FALSE)</f>
        <v>6</v>
      </c>
      <c r="B7" s="5" t="str">
        <f t="shared" si="0"/>
        <v>6_235</v>
      </c>
      <c r="C7" s="5">
        <v>235</v>
      </c>
      <c r="D7" s="5">
        <v>6</v>
      </c>
      <c r="E7" s="5" t="s">
        <v>11</v>
      </c>
      <c r="F7" s="319">
        <v>214.20927767052768</v>
      </c>
      <c r="G7" s="319">
        <v>1395.099766197251</v>
      </c>
      <c r="H7" s="319">
        <v>1942.7578164360123</v>
      </c>
      <c r="I7" s="319">
        <v>1547.2442239514619</v>
      </c>
      <c r="J7" s="319">
        <v>573.31891574474719</v>
      </c>
      <c r="K7" s="326">
        <v>3454.1738104013098</v>
      </c>
      <c r="L7" s="326">
        <v>21468.882731861118</v>
      </c>
      <c r="M7" s="326">
        <v>33406.01247128642</v>
      </c>
      <c r="N7" s="326">
        <v>24729.847665543686</v>
      </c>
      <c r="O7" s="326">
        <v>10586.253320907457</v>
      </c>
      <c r="P7" s="251">
        <f t="shared" si="1"/>
        <v>16.125229719107342</v>
      </c>
      <c r="Q7" s="251">
        <f t="shared" si="2"/>
        <v>15.388779535373864</v>
      </c>
      <c r="R7" s="251">
        <f t="shared" si="3"/>
        <v>17.195150207950121</v>
      </c>
      <c r="S7" s="251">
        <f t="shared" si="4"/>
        <v>15.983157204740987</v>
      </c>
      <c r="T7" s="251">
        <f t="shared" si="5"/>
        <v>18.464859662193081</v>
      </c>
      <c r="U7" s="315" t="str">
        <f t="shared" si="6"/>
        <v>6_235_6_Freeway Rapid</v>
      </c>
      <c r="V7" s="317">
        <f>IF(U7=observed!V7,0,1)</f>
        <v>0</v>
      </c>
      <c r="Y7" s="297">
        <v>9</v>
      </c>
      <c r="Z7" s="298">
        <v>511.13157870990722</v>
      </c>
      <c r="AA7" s="298">
        <v>4048.4595956927419</v>
      </c>
      <c r="AB7" s="298">
        <v>6792.4451852043612</v>
      </c>
      <c r="AC7" s="298">
        <v>4323.6320816951993</v>
      </c>
      <c r="AD7" s="298">
        <v>1368.4115586977896</v>
      </c>
      <c r="AE7" s="298">
        <v>3998.4147455010552</v>
      </c>
      <c r="AF7" s="298">
        <v>28039.070020740743</v>
      </c>
      <c r="AG7" s="298">
        <v>35530.89826625734</v>
      </c>
      <c r="AH7" s="298">
        <v>26775.45568761128</v>
      </c>
      <c r="AI7" s="298">
        <v>7380.4812798895846</v>
      </c>
    </row>
    <row r="8" spans="1:35" x14ac:dyDescent="0.3">
      <c r="A8" s="5">
        <f>VLOOKUP($B8,observed!$A$2:$B$139,2,FALSE)</f>
        <v>7</v>
      </c>
      <c r="B8" s="5" t="str">
        <f t="shared" si="0"/>
        <v>6_237</v>
      </c>
      <c r="C8" s="5">
        <v>237</v>
      </c>
      <c r="D8" s="5">
        <v>6</v>
      </c>
      <c r="E8" s="5" t="s">
        <v>11</v>
      </c>
      <c r="F8" s="319">
        <v>9.8065553997194748</v>
      </c>
      <c r="G8" s="319">
        <v>412.37030569029747</v>
      </c>
      <c r="H8" s="319">
        <v>178.4489324018474</v>
      </c>
      <c r="I8" s="319">
        <v>433.01151042970469</v>
      </c>
      <c r="J8" s="319">
        <v>74.532696078430831</v>
      </c>
      <c r="K8" s="326">
        <v>60.760112201963395</v>
      </c>
      <c r="L8" s="326">
        <v>2847.7047779785375</v>
      </c>
      <c r="M8" s="326">
        <v>1147.6562399821987</v>
      </c>
      <c r="N8" s="326">
        <v>2914.5439025170417</v>
      </c>
      <c r="O8" s="326">
        <v>426.16496732025769</v>
      </c>
      <c r="P8" s="251">
        <f t="shared" si="1"/>
        <v>6.1958669201727545</v>
      </c>
      <c r="Q8" s="251">
        <f t="shared" si="2"/>
        <v>6.9056979580805455</v>
      </c>
      <c r="R8" s="251">
        <f t="shared" si="3"/>
        <v>6.4312866686016532</v>
      </c>
      <c r="S8" s="251">
        <f t="shared" si="4"/>
        <v>6.7308693471560508</v>
      </c>
      <c r="T8" s="251">
        <f t="shared" si="5"/>
        <v>5.7178257294195269</v>
      </c>
      <c r="U8" s="315" t="str">
        <f t="shared" si="6"/>
        <v>7_237_6_Freeway Rapid</v>
      </c>
      <c r="V8" s="317">
        <f>IF(U8=observed!V8,0,1)</f>
        <v>0</v>
      </c>
      <c r="Y8" s="297">
        <v>10</v>
      </c>
      <c r="Z8" s="298">
        <v>3870.3330934985488</v>
      </c>
      <c r="AA8" s="298">
        <v>33809.980288806677</v>
      </c>
      <c r="AB8" s="298">
        <v>79897.615101838135</v>
      </c>
      <c r="AC8" s="298">
        <v>42005.347177056225</v>
      </c>
      <c r="AD8" s="298">
        <v>14809.194338800435</v>
      </c>
      <c r="AE8" s="298">
        <v>14360.439238347819</v>
      </c>
      <c r="AF8" s="298">
        <v>117404.97647884536</v>
      </c>
      <c r="AG8" s="298">
        <v>252948.55158706551</v>
      </c>
      <c r="AH8" s="298">
        <v>140166.71571680863</v>
      </c>
      <c r="AI8" s="298">
        <v>57767.836978932595</v>
      </c>
    </row>
    <row r="9" spans="1:35" x14ac:dyDescent="0.3">
      <c r="A9" s="356">
        <v>8</v>
      </c>
      <c r="B9" s="356" t="str">
        <f t="shared" si="0"/>
        <v>6_280</v>
      </c>
      <c r="C9" s="356">
        <v>280</v>
      </c>
      <c r="D9" s="5">
        <v>6</v>
      </c>
      <c r="E9" s="5" t="s">
        <v>11</v>
      </c>
      <c r="F9" s="319">
        <v>36.323333333333338</v>
      </c>
      <c r="G9" s="319">
        <v>237.10523809523806</v>
      </c>
      <c r="H9" s="319">
        <v>17.098796992480942</v>
      </c>
      <c r="I9" s="319">
        <v>246.11263157894763</v>
      </c>
      <c r="J9" s="319">
        <v>0</v>
      </c>
      <c r="K9" s="326">
        <v>1095.3611111111113</v>
      </c>
      <c r="L9" s="326">
        <v>7113.1488888888871</v>
      </c>
      <c r="M9" s="326">
        <v>514.2057894736763</v>
      </c>
      <c r="N9" s="326">
        <v>7129.9942105263253</v>
      </c>
      <c r="O9" s="326">
        <v>0</v>
      </c>
      <c r="P9" s="251">
        <f t="shared" si="1"/>
        <v>30.15585329295525</v>
      </c>
      <c r="Q9" s="251">
        <f t="shared" si="2"/>
        <v>29.999965188587478</v>
      </c>
      <c r="R9" s="251">
        <f t="shared" si="3"/>
        <v>30.072629653407439</v>
      </c>
      <c r="S9" s="251">
        <f t="shared" si="4"/>
        <v>28.970452125043312</v>
      </c>
      <c r="T9" s="251" t="e">
        <f t="shared" si="5"/>
        <v>#DIV/0!</v>
      </c>
      <c r="U9" s="315" t="str">
        <f t="shared" si="6"/>
        <v>8_280_6_Freeway Rapid</v>
      </c>
      <c r="V9" s="317">
        <f>IF(U9=observed!V9,0,1)</f>
        <v>1</v>
      </c>
      <c r="Y9" s="297" t="s">
        <v>131</v>
      </c>
      <c r="Z9" s="298"/>
      <c r="AA9" s="298"/>
      <c r="AB9" s="298"/>
      <c r="AC9" s="298"/>
      <c r="AD9" s="298"/>
      <c r="AE9" s="298"/>
      <c r="AF9" s="298"/>
      <c r="AG9" s="298"/>
      <c r="AH9" s="298"/>
      <c r="AI9" s="298"/>
    </row>
    <row r="10" spans="1:35" x14ac:dyDescent="0.3">
      <c r="A10" s="5">
        <f>VLOOKUP($B10,observed!$A$2:$B$139,2,FALSE)</f>
        <v>9</v>
      </c>
      <c r="B10" s="5" t="str">
        <f t="shared" si="0"/>
        <v>6_290</v>
      </c>
      <c r="C10" s="5">
        <v>290</v>
      </c>
      <c r="D10" s="5">
        <v>6</v>
      </c>
      <c r="E10" s="5" t="s">
        <v>11</v>
      </c>
      <c r="F10" s="319">
        <v>34.71521739130435</v>
      </c>
      <c r="G10" s="319">
        <v>358.96595907928389</v>
      </c>
      <c r="H10" s="319">
        <v>23.204910485933066</v>
      </c>
      <c r="I10" s="319">
        <v>322.84391304347878</v>
      </c>
      <c r="J10" s="319">
        <v>0</v>
      </c>
      <c r="K10" s="326">
        <v>725.13586956521738</v>
      </c>
      <c r="L10" s="326">
        <v>7062.9804049445847</v>
      </c>
      <c r="M10" s="326">
        <v>474.76981244670895</v>
      </c>
      <c r="N10" s="326">
        <v>6342.4739130434873</v>
      </c>
      <c r="O10" s="326">
        <v>0</v>
      </c>
      <c r="P10" s="251">
        <f t="shared" si="1"/>
        <v>20.888126996054854</v>
      </c>
      <c r="Q10" s="251">
        <f t="shared" si="2"/>
        <v>19.675905824219399</v>
      </c>
      <c r="R10" s="251">
        <f t="shared" si="3"/>
        <v>20.459885537352829</v>
      </c>
      <c r="S10" s="251">
        <f t="shared" si="4"/>
        <v>19.645635729205523</v>
      </c>
      <c r="T10" s="251" t="e">
        <f t="shared" si="5"/>
        <v>#DIV/0!</v>
      </c>
      <c r="U10" s="315" t="str">
        <f t="shared" si="6"/>
        <v>9_290_6_Freeway Rapid</v>
      </c>
      <c r="V10" s="317">
        <f>IF(U10=observed!V10,0,1)</f>
        <v>0</v>
      </c>
      <c r="Y10" s="297" t="s">
        <v>132</v>
      </c>
      <c r="Z10" s="298">
        <v>10124.751640668601</v>
      </c>
      <c r="AA10" s="298">
        <v>69707.008383849636</v>
      </c>
      <c r="AB10" s="298">
        <v>149155.68691077002</v>
      </c>
      <c r="AC10" s="298">
        <v>90161.624184148939</v>
      </c>
      <c r="AD10" s="298">
        <v>34292.658880562849</v>
      </c>
      <c r="AE10" s="298">
        <v>64236.363340080068</v>
      </c>
      <c r="AF10" s="298">
        <v>384283.639719392</v>
      </c>
      <c r="AG10" s="298">
        <v>644199.40867166966</v>
      </c>
      <c r="AH10" s="298">
        <v>465674.01009115623</v>
      </c>
      <c r="AI10" s="298">
        <v>176423.09817770205</v>
      </c>
    </row>
    <row r="11" spans="1:35" x14ac:dyDescent="0.3">
      <c r="A11" s="5">
        <f>VLOOKUP($B11,observed!$A$2:$B$139,2,FALSE)</f>
        <v>10</v>
      </c>
      <c r="B11" s="5" t="str">
        <f t="shared" si="0"/>
        <v>7_201</v>
      </c>
      <c r="C11" s="5">
        <v>201</v>
      </c>
      <c r="D11" s="5">
        <v>7</v>
      </c>
      <c r="E11" s="5" t="s">
        <v>10</v>
      </c>
      <c r="F11" s="319">
        <v>3.2559999999999976</v>
      </c>
      <c r="G11" s="319">
        <v>115.44399999999993</v>
      </c>
      <c r="H11" s="319">
        <v>1033.1249431818158</v>
      </c>
      <c r="I11" s="319">
        <v>1463.5786247556257</v>
      </c>
      <c r="J11" s="319">
        <v>665.87643206255939</v>
      </c>
      <c r="K11" s="326">
        <v>8.7879999999999932</v>
      </c>
      <c r="L11" s="326">
        <v>277.42699999999979</v>
      </c>
      <c r="M11" s="326">
        <v>2048.1667424242382</v>
      </c>
      <c r="N11" s="326">
        <v>2781.4944648093924</v>
      </c>
      <c r="O11" s="326">
        <v>1320.5537927663697</v>
      </c>
      <c r="P11" s="251">
        <f t="shared" si="1"/>
        <v>2.6990171990171987</v>
      </c>
      <c r="Q11" s="251">
        <f t="shared" si="2"/>
        <v>2.4031305221579289</v>
      </c>
      <c r="R11" s="251">
        <f t="shared" si="3"/>
        <v>1.9824966534215107</v>
      </c>
      <c r="S11" s="251">
        <f t="shared" si="4"/>
        <v>1.9004749165927588</v>
      </c>
      <c r="T11" s="251">
        <f t="shared" si="5"/>
        <v>1.9831814570699555</v>
      </c>
      <c r="U11" s="315" t="str">
        <f t="shared" si="6"/>
        <v>10_201_7_Arterial Rapid</v>
      </c>
      <c r="V11" s="317">
        <f>IF(U11=observed!V11,0,1)</f>
        <v>0</v>
      </c>
    </row>
    <row r="12" spans="1:35" x14ac:dyDescent="0.3">
      <c r="A12" s="5">
        <f>VLOOKUP($B12,observed!$A$2:$B$139,2,FALSE)</f>
        <v>11</v>
      </c>
      <c r="B12" s="5" t="str">
        <f t="shared" si="0"/>
        <v>7_202</v>
      </c>
      <c r="C12" s="5">
        <v>202</v>
      </c>
      <c r="D12" s="5">
        <v>7</v>
      </c>
      <c r="E12" s="5" t="s">
        <v>10</v>
      </c>
      <c r="F12" s="319">
        <v>3.2538461538461472</v>
      </c>
      <c r="G12" s="319">
        <v>818.46841191067006</v>
      </c>
      <c r="H12" s="319">
        <v>2347.5344086021487</v>
      </c>
      <c r="I12" s="319">
        <v>769.07559139785246</v>
      </c>
      <c r="J12" s="319">
        <v>302.21774193548288</v>
      </c>
      <c r="K12" s="326">
        <v>6.3749999999999876</v>
      </c>
      <c r="L12" s="326">
        <v>1789.1376881720428</v>
      </c>
      <c r="M12" s="326">
        <v>5103.1185239491633</v>
      </c>
      <c r="N12" s="326">
        <v>1628.8091104594396</v>
      </c>
      <c r="O12" s="326">
        <v>699.76967741935255</v>
      </c>
      <c r="P12" s="251">
        <f t="shared" si="1"/>
        <v>1.9592198581560285</v>
      </c>
      <c r="Q12" s="251">
        <f t="shared" si="2"/>
        <v>2.1859581410055862</v>
      </c>
      <c r="R12" s="251">
        <f t="shared" si="3"/>
        <v>2.1738205434815505</v>
      </c>
      <c r="S12" s="251">
        <f t="shared" si="4"/>
        <v>2.1178790858502698</v>
      </c>
      <c r="T12" s="251">
        <f t="shared" si="5"/>
        <v>2.3154486991327552</v>
      </c>
      <c r="U12" s="315" t="str">
        <f t="shared" si="6"/>
        <v>11_202_7_Arterial Rapid</v>
      </c>
      <c r="V12" s="317">
        <f>IF(U12=observed!V12,0,1)</f>
        <v>0</v>
      </c>
    </row>
    <row r="13" spans="1:35" x14ac:dyDescent="0.3">
      <c r="A13" s="5">
        <f>VLOOKUP($B13,observed!$A$2:$B$139,2,FALSE)</f>
        <v>12</v>
      </c>
      <c r="B13" s="5" t="str">
        <f t="shared" si="0"/>
        <v>7_204</v>
      </c>
      <c r="C13" s="5">
        <v>204</v>
      </c>
      <c r="D13" s="5">
        <v>7</v>
      </c>
      <c r="E13" s="5" t="s">
        <v>10</v>
      </c>
      <c r="F13" s="319">
        <v>2.67</v>
      </c>
      <c r="G13" s="319">
        <v>90.59666666666665</v>
      </c>
      <c r="H13" s="319">
        <v>240.10866666666629</v>
      </c>
      <c r="I13" s="319">
        <v>146.63082051282129</v>
      </c>
      <c r="J13" s="319">
        <v>77.933846153845749</v>
      </c>
      <c r="K13" s="326">
        <v>3.3</v>
      </c>
      <c r="L13" s="326">
        <v>139.42399999999998</v>
      </c>
      <c r="M13" s="326">
        <v>373.51866666666604</v>
      </c>
      <c r="N13" s="326">
        <v>219.67579487179606</v>
      </c>
      <c r="O13" s="326">
        <v>114.71153846153783</v>
      </c>
      <c r="P13" s="251">
        <f t="shared" si="1"/>
        <v>1.2359550561797752</v>
      </c>
      <c r="Q13" s="251">
        <f t="shared" si="2"/>
        <v>1.5389528680231062</v>
      </c>
      <c r="R13" s="251">
        <f t="shared" si="3"/>
        <v>1.5556234260598671</v>
      </c>
      <c r="S13" s="251">
        <f t="shared" si="4"/>
        <v>1.4981556681160886</v>
      </c>
      <c r="T13" s="251">
        <f t="shared" si="5"/>
        <v>1.4719091142389003</v>
      </c>
      <c r="U13" s="315" t="str">
        <f t="shared" si="6"/>
        <v>12_204_7_Arterial Rapid</v>
      </c>
      <c r="V13" s="317">
        <f>IF(U13=observed!V13,0,1)</f>
        <v>0</v>
      </c>
    </row>
    <row r="14" spans="1:35" x14ac:dyDescent="0.3">
      <c r="A14" s="5">
        <f>VLOOKUP($B14,observed!$A$2:$B$139,2,FALSE)</f>
        <v>13</v>
      </c>
      <c r="B14" s="5" t="str">
        <f t="shared" si="0"/>
        <v>7_215</v>
      </c>
      <c r="C14" s="5">
        <v>215</v>
      </c>
      <c r="D14" s="5">
        <v>7</v>
      </c>
      <c r="E14" s="5" t="s">
        <v>10</v>
      </c>
      <c r="F14" s="319">
        <v>195.83398863732913</v>
      </c>
      <c r="G14" s="319">
        <v>1367.1615215667528</v>
      </c>
      <c r="H14" s="319">
        <v>3090.310914297339</v>
      </c>
      <c r="I14" s="319">
        <v>1986.7446880447606</v>
      </c>
      <c r="J14" s="319">
        <v>1017.5788874538199</v>
      </c>
      <c r="K14" s="326">
        <v>749.13004164437211</v>
      </c>
      <c r="L14" s="326">
        <v>4600.0289379474652</v>
      </c>
      <c r="M14" s="326">
        <v>10053.891583086208</v>
      </c>
      <c r="N14" s="326">
        <v>6354.7671782947727</v>
      </c>
      <c r="O14" s="326">
        <v>3671.6022590271768</v>
      </c>
      <c r="P14" s="251">
        <f t="shared" si="1"/>
        <v>3.8253320930500405</v>
      </c>
      <c r="Q14" s="251">
        <f t="shared" si="2"/>
        <v>3.3646565276909493</v>
      </c>
      <c r="R14" s="251">
        <f t="shared" si="3"/>
        <v>3.2533592450428945</v>
      </c>
      <c r="S14" s="251">
        <f t="shared" si="4"/>
        <v>3.198582694864919</v>
      </c>
      <c r="T14" s="251">
        <f t="shared" si="5"/>
        <v>3.6081745644450613</v>
      </c>
      <c r="U14" s="315" t="str">
        <f t="shared" si="6"/>
        <v>13_215_7_Arterial Rapid</v>
      </c>
      <c r="V14" s="317">
        <f>IF(U14=observed!V14,0,1)</f>
        <v>0</v>
      </c>
    </row>
    <row r="15" spans="1:35" x14ac:dyDescent="0.3">
      <c r="A15" s="5">
        <f>VLOOKUP($B15,observed!$A$2:$B$139,2,FALSE)</f>
        <v>14</v>
      </c>
      <c r="B15" s="5" t="str">
        <f t="shared" si="0"/>
        <v>7_350</v>
      </c>
      <c r="C15" s="5">
        <v>350</v>
      </c>
      <c r="D15" s="5">
        <v>7</v>
      </c>
      <c r="E15" s="5" t="s">
        <v>10</v>
      </c>
      <c r="F15" s="319">
        <v>42.18</v>
      </c>
      <c r="G15" s="319">
        <v>438.70200000000011</v>
      </c>
      <c r="H15" s="319">
        <v>1003.9601052631556</v>
      </c>
      <c r="I15" s="319">
        <v>446.25339473684465</v>
      </c>
      <c r="J15" s="319">
        <v>116.16449999999966</v>
      </c>
      <c r="K15" s="326">
        <v>84.54</v>
      </c>
      <c r="L15" s="326">
        <v>967.18533333333323</v>
      </c>
      <c r="M15" s="326">
        <v>2372.2590768300006</v>
      </c>
      <c r="N15" s="326">
        <v>1029.2515898366669</v>
      </c>
      <c r="O15" s="326">
        <v>270.75399999999917</v>
      </c>
      <c r="P15" s="251">
        <f t="shared" si="1"/>
        <v>2.004267425320057</v>
      </c>
      <c r="Q15" s="251">
        <f t="shared" si="2"/>
        <v>2.2046522088646348</v>
      </c>
      <c r="R15" s="251">
        <f t="shared" si="3"/>
        <v>2.3629017372240999</v>
      </c>
      <c r="S15" s="251">
        <f t="shared" si="4"/>
        <v>2.3064285941031684</v>
      </c>
      <c r="T15" s="251">
        <f t="shared" si="5"/>
        <v>2.3307809184389376</v>
      </c>
      <c r="U15" s="315" t="str">
        <f t="shared" si="6"/>
        <v>14_350_7_Arterial Rapid</v>
      </c>
      <c r="V15" s="317">
        <f>IF(U15=observed!V15,0,1)</f>
        <v>0</v>
      </c>
    </row>
    <row r="16" spans="1:35" x14ac:dyDescent="0.3">
      <c r="A16" s="5">
        <f>VLOOKUP($B16,observed!$A$2:$B$139,2,FALSE)</f>
        <v>15</v>
      </c>
      <c r="B16" s="5" t="str">
        <f t="shared" si="0"/>
        <v>8_870</v>
      </c>
      <c r="C16" s="5">
        <v>870</v>
      </c>
      <c r="D16" s="5">
        <v>8</v>
      </c>
      <c r="E16" s="5" t="s">
        <v>14</v>
      </c>
      <c r="F16" s="319">
        <v>0</v>
      </c>
      <c r="G16" s="319">
        <v>31</v>
      </c>
      <c r="H16" s="319">
        <v>0</v>
      </c>
      <c r="I16" s="319">
        <v>25</v>
      </c>
      <c r="J16" s="319">
        <v>0</v>
      </c>
      <c r="K16" s="326">
        <v>0</v>
      </c>
      <c r="L16" s="326">
        <v>352.63</v>
      </c>
      <c r="M16" s="326">
        <v>0</v>
      </c>
      <c r="N16" s="326">
        <v>339.14</v>
      </c>
      <c r="O16" s="326">
        <v>0</v>
      </c>
      <c r="P16" s="251" t="e">
        <f t="shared" si="1"/>
        <v>#DIV/0!</v>
      </c>
      <c r="Q16" s="251">
        <f t="shared" si="2"/>
        <v>11.37516129032258</v>
      </c>
      <c r="R16" s="251" t="e">
        <f t="shared" si="3"/>
        <v>#DIV/0!</v>
      </c>
      <c r="S16" s="251">
        <f t="shared" si="4"/>
        <v>13.5656</v>
      </c>
      <c r="T16" s="251" t="e">
        <f t="shared" si="5"/>
        <v>#DIV/0!</v>
      </c>
      <c r="U16" s="315" t="str">
        <f t="shared" si="6"/>
        <v>15_870_8_Limited Express</v>
      </c>
      <c r="V16" s="317">
        <f>IF(U16=observed!V16,0,1)</f>
        <v>0</v>
      </c>
    </row>
    <row r="17" spans="1:23" x14ac:dyDescent="0.3">
      <c r="A17" s="5">
        <f>VLOOKUP($B17,observed!$A$2:$B$139,2,FALSE)</f>
        <v>16</v>
      </c>
      <c r="B17" s="5" t="str">
        <f t="shared" si="0"/>
        <v>9_10</v>
      </c>
      <c r="C17" s="5">
        <v>10</v>
      </c>
      <c r="D17" s="5">
        <v>9</v>
      </c>
      <c r="E17" s="5" t="s">
        <v>9</v>
      </c>
      <c r="F17" s="319">
        <v>81.067751879699216</v>
      </c>
      <c r="G17" s="319">
        <v>913.83335266575523</v>
      </c>
      <c r="H17" s="319">
        <v>2333.9452799086625</v>
      </c>
      <c r="I17" s="319">
        <v>1229.4405180281537</v>
      </c>
      <c r="J17" s="319">
        <v>566.67309751772859</v>
      </c>
      <c r="K17" s="326">
        <v>323.45302819548863</v>
      </c>
      <c r="L17" s="326">
        <v>3017.3862581681474</v>
      </c>
      <c r="M17" s="326">
        <v>6365.7810208448718</v>
      </c>
      <c r="N17" s="326">
        <v>3768.7908922595843</v>
      </c>
      <c r="O17" s="326">
        <v>2000.6688005319081</v>
      </c>
      <c r="P17" s="251">
        <f t="shared" si="1"/>
        <v>3.9899099296040417</v>
      </c>
      <c r="Q17" s="251">
        <f t="shared" si="2"/>
        <v>3.3018999026092564</v>
      </c>
      <c r="R17" s="251">
        <f t="shared" si="3"/>
        <v>2.7274765503902443</v>
      </c>
      <c r="S17" s="251">
        <f t="shared" si="4"/>
        <v>3.0654519978763872</v>
      </c>
      <c r="T17" s="251">
        <f t="shared" si="5"/>
        <v>3.5305519342557399</v>
      </c>
      <c r="U17" s="315" t="str">
        <f t="shared" si="6"/>
        <v>16_10_9_Express</v>
      </c>
      <c r="V17" s="317">
        <f>IF(U17=observed!V17,0,1)</f>
        <v>0</v>
      </c>
    </row>
    <row r="18" spans="1:23" x14ac:dyDescent="0.3">
      <c r="A18" s="5">
        <f>VLOOKUP($B18,observed!$A$2:$B$139,2,FALSE)</f>
        <v>17</v>
      </c>
      <c r="B18" s="5" t="str">
        <f t="shared" si="0"/>
        <v>9_20</v>
      </c>
      <c r="C18" s="5">
        <v>20</v>
      </c>
      <c r="D18" s="5">
        <v>9</v>
      </c>
      <c r="E18" s="5" t="s">
        <v>9</v>
      </c>
      <c r="F18" s="319">
        <v>74.738496990244172</v>
      </c>
      <c r="G18" s="319">
        <v>714.07283493092586</v>
      </c>
      <c r="H18" s="319">
        <v>1085.0324881148758</v>
      </c>
      <c r="I18" s="319">
        <v>679.71644196868385</v>
      </c>
      <c r="J18" s="319">
        <v>188.5197379952705</v>
      </c>
      <c r="K18" s="326">
        <v>697.63632917229597</v>
      </c>
      <c r="L18" s="326">
        <v>5953.5926544615168</v>
      </c>
      <c r="M18" s="326">
        <v>9244.1247061094582</v>
      </c>
      <c r="N18" s="326">
        <v>5660.3278943724199</v>
      </c>
      <c r="O18" s="326">
        <v>1938.3284158843103</v>
      </c>
      <c r="P18" s="251">
        <f t="shared" si="1"/>
        <v>9.3343639123939095</v>
      </c>
      <c r="Q18" s="251">
        <f t="shared" si="2"/>
        <v>8.3375145548526906</v>
      </c>
      <c r="R18" s="251">
        <f t="shared" si="3"/>
        <v>8.5196755003807354</v>
      </c>
      <c r="S18" s="251">
        <f t="shared" si="4"/>
        <v>8.3274841461510576</v>
      </c>
      <c r="T18" s="251">
        <f t="shared" si="5"/>
        <v>10.281832748637378</v>
      </c>
      <c r="U18" s="315" t="str">
        <f t="shared" si="6"/>
        <v>17_20_9_Express</v>
      </c>
      <c r="V18" s="317">
        <f>IF(U18=observed!V18,0,1)</f>
        <v>0</v>
      </c>
    </row>
    <row r="19" spans="1:23" x14ac:dyDescent="0.3">
      <c r="A19" s="5">
        <f>VLOOKUP($B19,observed!$A$2:$B$139,2,FALSE)</f>
        <v>18</v>
      </c>
      <c r="B19" s="5" t="str">
        <f t="shared" si="0"/>
        <v>9_50</v>
      </c>
      <c r="C19" s="5">
        <v>50</v>
      </c>
      <c r="D19" s="5">
        <v>9</v>
      </c>
      <c r="E19" s="5" t="s">
        <v>9</v>
      </c>
      <c r="F19" s="319">
        <v>45.437770530479128</v>
      </c>
      <c r="G19" s="319">
        <v>318.17407818323551</v>
      </c>
      <c r="H19" s="319">
        <v>322.76417135317428</v>
      </c>
      <c r="I19" s="319">
        <v>305.26211946799503</v>
      </c>
      <c r="J19" s="319">
        <v>7.421860465116092</v>
      </c>
      <c r="K19" s="326">
        <v>450.0916396627693</v>
      </c>
      <c r="L19" s="326">
        <v>2616.071880725598</v>
      </c>
      <c r="M19" s="326">
        <v>2290.1544394778498</v>
      </c>
      <c r="N19" s="326">
        <v>2323.0536680407622</v>
      </c>
      <c r="O19" s="326">
        <v>63.368372093021655</v>
      </c>
      <c r="P19" s="251">
        <f t="shared" si="1"/>
        <v>9.9056717441902897</v>
      </c>
      <c r="Q19" s="251">
        <f t="shared" si="2"/>
        <v>8.222140205963008</v>
      </c>
      <c r="R19" s="251">
        <f t="shared" si="3"/>
        <v>7.0954419441181473</v>
      </c>
      <c r="S19" s="251">
        <f t="shared" si="4"/>
        <v>7.6100292826680738</v>
      </c>
      <c r="T19" s="251">
        <f t="shared" si="5"/>
        <v>8.5380710659898469</v>
      </c>
      <c r="U19" s="315" t="str">
        <f t="shared" si="6"/>
        <v>18_50_9_Express</v>
      </c>
      <c r="V19" s="317">
        <f>IF(U19=observed!V19,0,1)</f>
        <v>0</v>
      </c>
    </row>
    <row r="20" spans="1:23" x14ac:dyDescent="0.3">
      <c r="A20" s="5">
        <f>VLOOKUP($B20,observed!$A$2:$B$139,2,FALSE)</f>
        <v>19</v>
      </c>
      <c r="B20" s="5" t="str">
        <f t="shared" si="0"/>
        <v>9_60</v>
      </c>
      <c r="C20" s="5">
        <v>60</v>
      </c>
      <c r="D20" s="5">
        <v>9</v>
      </c>
      <c r="E20" s="5" t="s">
        <v>9</v>
      </c>
      <c r="F20" s="319">
        <v>48.311000000000014</v>
      </c>
      <c r="G20" s="319">
        <v>148.86899999999997</v>
      </c>
      <c r="H20" s="319">
        <v>2.4953846153843084</v>
      </c>
      <c r="I20" s="319">
        <v>140.22461538461567</v>
      </c>
      <c r="J20" s="319">
        <v>0</v>
      </c>
      <c r="K20" s="326">
        <v>552.69100000000003</v>
      </c>
      <c r="L20" s="326">
        <v>1426.7089999999998</v>
      </c>
      <c r="M20" s="326">
        <v>22.555384615381843</v>
      </c>
      <c r="N20" s="326">
        <v>1288.2846153846181</v>
      </c>
      <c r="O20" s="326">
        <v>0</v>
      </c>
      <c r="P20" s="251">
        <f t="shared" si="1"/>
        <v>11.440272401730452</v>
      </c>
      <c r="Q20" s="251">
        <f t="shared" si="2"/>
        <v>9.5836540851352545</v>
      </c>
      <c r="R20" s="251">
        <f t="shared" si="3"/>
        <v>9.0388409371146743</v>
      </c>
      <c r="S20" s="251">
        <f t="shared" si="4"/>
        <v>9.1872929146643845</v>
      </c>
      <c r="T20" s="251" t="e">
        <f t="shared" si="5"/>
        <v>#DIV/0!</v>
      </c>
      <c r="U20" s="315" t="str">
        <f t="shared" si="6"/>
        <v>19_60_9_Express</v>
      </c>
      <c r="V20" s="317">
        <f>IF(U20=observed!V20,0,1)</f>
        <v>0</v>
      </c>
    </row>
    <row r="21" spans="1:23" x14ac:dyDescent="0.3">
      <c r="A21" s="5">
        <f>VLOOKUP($B21,observed!$A$2:$B$139,2,FALSE)</f>
        <v>20</v>
      </c>
      <c r="B21" s="5" t="str">
        <f t="shared" si="0"/>
        <v>9_110</v>
      </c>
      <c r="C21" s="5">
        <v>110</v>
      </c>
      <c r="D21" s="5">
        <v>9</v>
      </c>
      <c r="E21" s="5" t="s">
        <v>9</v>
      </c>
      <c r="F21" s="319">
        <v>0</v>
      </c>
      <c r="G21" s="319">
        <v>110.49000000000001</v>
      </c>
      <c r="H21" s="319">
        <v>0</v>
      </c>
      <c r="I21" s="319">
        <v>113.47</v>
      </c>
      <c r="J21" s="319">
        <v>0</v>
      </c>
      <c r="K21" s="326">
        <v>0</v>
      </c>
      <c r="L21" s="326">
        <v>1572.6799999999998</v>
      </c>
      <c r="M21" s="326">
        <v>0</v>
      </c>
      <c r="N21" s="326">
        <v>1663.27</v>
      </c>
      <c r="O21" s="326">
        <v>0</v>
      </c>
      <c r="P21" s="251" t="e">
        <f t="shared" si="1"/>
        <v>#DIV/0!</v>
      </c>
      <c r="Q21" s="251">
        <f t="shared" si="2"/>
        <v>14.23368630645307</v>
      </c>
      <c r="R21" s="251" t="e">
        <f t="shared" si="3"/>
        <v>#DIV/0!</v>
      </c>
      <c r="S21" s="251">
        <f t="shared" si="4"/>
        <v>14.658235657001851</v>
      </c>
      <c r="T21" s="251" t="e">
        <f t="shared" si="5"/>
        <v>#DIV/0!</v>
      </c>
      <c r="U21" s="315" t="str">
        <f t="shared" si="6"/>
        <v>20_110_9_Express</v>
      </c>
      <c r="V21" s="317">
        <f>IF(U21=observed!V21,0,1)</f>
        <v>0</v>
      </c>
    </row>
    <row r="22" spans="1:23" x14ac:dyDescent="0.3">
      <c r="A22" s="5">
        <f>VLOOKUP($B22,observed!$A$2:$B$139,2,FALSE)</f>
        <v>21</v>
      </c>
      <c r="B22" s="5" t="str">
        <f t="shared" si="0"/>
        <v>9_120</v>
      </c>
      <c r="C22" s="5">
        <v>120</v>
      </c>
      <c r="D22" s="5">
        <v>9</v>
      </c>
      <c r="E22" s="5" t="s">
        <v>9</v>
      </c>
      <c r="F22" s="319">
        <v>38.992273595199116</v>
      </c>
      <c r="G22" s="319">
        <v>541.35095280084795</v>
      </c>
      <c r="H22" s="319">
        <v>1379.353312065489</v>
      </c>
      <c r="I22" s="319">
        <v>693.108147557037</v>
      </c>
      <c r="J22" s="319">
        <v>295.18531398142665</v>
      </c>
      <c r="K22" s="326">
        <v>149.63631989907253</v>
      </c>
      <c r="L22" s="326">
        <v>1958.3441748674122</v>
      </c>
      <c r="M22" s="326">
        <v>4677.6988001053023</v>
      </c>
      <c r="N22" s="326">
        <v>2250.4470078102063</v>
      </c>
      <c r="O22" s="326">
        <v>1039.8636973180051</v>
      </c>
      <c r="P22" s="251">
        <f t="shared" si="1"/>
        <v>3.8375889914122974</v>
      </c>
      <c r="Q22" s="251">
        <f t="shared" si="2"/>
        <v>3.6175131210821889</v>
      </c>
      <c r="R22" s="251">
        <f t="shared" si="3"/>
        <v>3.3912259891562968</v>
      </c>
      <c r="S22" s="251">
        <f t="shared" si="4"/>
        <v>3.2468915792466766</v>
      </c>
      <c r="T22" s="251">
        <f t="shared" si="5"/>
        <v>3.5227487549852645</v>
      </c>
      <c r="U22" s="315" t="str">
        <f t="shared" si="6"/>
        <v>21_120_9_Express</v>
      </c>
      <c r="V22" s="317">
        <f>IF(U22=observed!V22,0,1)</f>
        <v>0</v>
      </c>
    </row>
    <row r="23" spans="1:23" x14ac:dyDescent="0.3">
      <c r="A23" s="5">
        <f>VLOOKUP($B23,observed!$A$2:$B$139,2,FALSE)</f>
        <v>22</v>
      </c>
      <c r="B23" s="5" t="str">
        <f t="shared" si="0"/>
        <v>9_150</v>
      </c>
      <c r="C23" s="5">
        <v>150</v>
      </c>
      <c r="D23" s="5">
        <v>9</v>
      </c>
      <c r="E23" s="5" t="s">
        <v>9</v>
      </c>
      <c r="F23" s="319">
        <v>0</v>
      </c>
      <c r="G23" s="319">
        <v>853.23509139769192</v>
      </c>
      <c r="H23" s="319">
        <v>1342.0124062896327</v>
      </c>
      <c r="I23" s="319">
        <v>911.29095357442793</v>
      </c>
      <c r="J23" s="319">
        <v>286.36154873824779</v>
      </c>
      <c r="K23" s="326">
        <v>0</v>
      </c>
      <c r="L23" s="326">
        <v>7757.0281953752128</v>
      </c>
      <c r="M23" s="326">
        <v>10208.65177224734</v>
      </c>
      <c r="N23" s="326">
        <v>7731.3480383151054</v>
      </c>
      <c r="O23" s="326">
        <v>2141.6419940623405</v>
      </c>
      <c r="P23" s="251" t="e">
        <f t="shared" si="1"/>
        <v>#DIV/0!</v>
      </c>
      <c r="Q23" s="251">
        <f t="shared" si="2"/>
        <v>9.0913140746102652</v>
      </c>
      <c r="R23" s="251">
        <f t="shared" si="3"/>
        <v>7.6069727257380597</v>
      </c>
      <c r="S23" s="251">
        <f t="shared" si="4"/>
        <v>8.4839512649498303</v>
      </c>
      <c r="T23" s="251">
        <f t="shared" si="5"/>
        <v>7.4788043419192922</v>
      </c>
      <c r="U23" s="315" t="str">
        <f t="shared" si="6"/>
        <v>22_150_9_Express</v>
      </c>
      <c r="V23" s="317">
        <f>IF(U23=observed!V23,0,1)</f>
        <v>0</v>
      </c>
    </row>
    <row r="24" spans="1:23" x14ac:dyDescent="0.3">
      <c r="A24" s="5">
        <f>VLOOKUP($B24,observed!$A$2:$B$139,2,FALSE)</f>
        <v>23</v>
      </c>
      <c r="B24" s="5" t="str">
        <f t="shared" si="0"/>
        <v>9_950</v>
      </c>
      <c r="C24" s="5">
        <v>950</v>
      </c>
      <c r="D24" s="5">
        <v>9</v>
      </c>
      <c r="E24" s="5" t="s">
        <v>9</v>
      </c>
      <c r="F24" s="319">
        <v>222.58428571428564</v>
      </c>
      <c r="G24" s="319">
        <v>448.43428571428575</v>
      </c>
      <c r="H24" s="319">
        <v>326.84214285714188</v>
      </c>
      <c r="I24" s="319">
        <v>251.11928571428672</v>
      </c>
      <c r="J24" s="319">
        <v>24.25</v>
      </c>
      <c r="K24" s="326">
        <v>1824.9064285714283</v>
      </c>
      <c r="L24" s="326">
        <v>3737.2578571428571</v>
      </c>
      <c r="M24" s="326">
        <v>2721.9321428571347</v>
      </c>
      <c r="N24" s="326">
        <v>2089.9335714285799</v>
      </c>
      <c r="O24" s="326">
        <v>196.61</v>
      </c>
      <c r="P24" s="251">
        <f t="shared" si="1"/>
        <v>8.1987208697828766</v>
      </c>
      <c r="Q24" s="251">
        <f t="shared" si="2"/>
        <v>8.3340145394770371</v>
      </c>
      <c r="R24" s="251">
        <f t="shared" si="3"/>
        <v>8.3279717819218106</v>
      </c>
      <c r="S24" s="251">
        <f t="shared" si="4"/>
        <v>8.3224733834518023</v>
      </c>
      <c r="T24" s="251">
        <f t="shared" si="5"/>
        <v>8.1076288659793825</v>
      </c>
      <c r="U24" s="315" t="str">
        <f t="shared" si="6"/>
        <v>23_950_9_Express</v>
      </c>
      <c r="V24" s="317">
        <f>IF(U24=observed!V24,0,1)</f>
        <v>0</v>
      </c>
    </row>
    <row r="25" spans="1:23" s="300" customFormat="1" x14ac:dyDescent="0.3">
      <c r="A25" s="311">
        <v>24</v>
      </c>
      <c r="B25" s="310" t="str">
        <f t="shared" si="0"/>
        <v>9_709E</v>
      </c>
      <c r="C25" s="311" t="s">
        <v>104</v>
      </c>
      <c r="D25" s="311">
        <v>9</v>
      </c>
      <c r="E25" s="311" t="s">
        <v>9</v>
      </c>
      <c r="F25" s="320">
        <v>0</v>
      </c>
      <c r="G25" s="320">
        <v>221.13</v>
      </c>
      <c r="H25" s="320">
        <v>121.81000000000003</v>
      </c>
      <c r="I25" s="320">
        <v>123.11</v>
      </c>
      <c r="J25" s="320">
        <v>0</v>
      </c>
      <c r="K25" s="327">
        <v>0</v>
      </c>
      <c r="L25" s="327">
        <v>1189.0685714285712</v>
      </c>
      <c r="M25" s="327">
        <v>627.1614285714287</v>
      </c>
      <c r="N25" s="327">
        <v>680.41</v>
      </c>
      <c r="O25" s="327">
        <v>0</v>
      </c>
      <c r="P25" s="333" t="e">
        <f t="shared" si="1"/>
        <v>#DIV/0!</v>
      </c>
      <c r="Q25" s="333">
        <f t="shared" si="2"/>
        <v>5.3772376946980112</v>
      </c>
      <c r="R25" s="333">
        <f t="shared" si="3"/>
        <v>5.1486858925492864</v>
      </c>
      <c r="S25" s="333">
        <f t="shared" si="4"/>
        <v>5.5268459101616436</v>
      </c>
      <c r="T25" s="333" t="e">
        <f t="shared" si="5"/>
        <v>#DIV/0!</v>
      </c>
      <c r="U25" s="315" t="str">
        <f t="shared" si="6"/>
        <v>24_709E_9_Express</v>
      </c>
      <c r="V25" s="317">
        <f>IF(U25=observed!V25,0,1)</f>
        <v>0</v>
      </c>
      <c r="W25" s="312"/>
    </row>
    <row r="26" spans="1:23" x14ac:dyDescent="0.3">
      <c r="A26" s="5">
        <f>VLOOKUP($B26,observed!$A$2:$B$139,2,FALSE)</f>
        <v>25</v>
      </c>
      <c r="B26" s="5" t="str">
        <f t="shared" si="0"/>
        <v>10_1</v>
      </c>
      <c r="C26" s="5">
        <v>1</v>
      </c>
      <c r="D26" s="5">
        <v>10</v>
      </c>
      <c r="E26" s="5" t="s">
        <v>0</v>
      </c>
      <c r="F26" s="319">
        <v>79.084685156651219</v>
      </c>
      <c r="G26" s="319">
        <v>674.38103289960497</v>
      </c>
      <c r="H26" s="319">
        <v>2410.8810218071703</v>
      </c>
      <c r="I26" s="319">
        <v>1141.0123323892522</v>
      </c>
      <c r="J26" s="319">
        <v>480.51092774732143</v>
      </c>
      <c r="K26" s="326">
        <v>190.69981684643034</v>
      </c>
      <c r="L26" s="326">
        <v>1613.818825206441</v>
      </c>
      <c r="M26" s="326">
        <v>5265.7598450829046</v>
      </c>
      <c r="N26" s="326">
        <v>2507.325380377667</v>
      </c>
      <c r="O26" s="326">
        <v>1430.5361324865578</v>
      </c>
      <c r="P26" s="251">
        <f t="shared" si="1"/>
        <v>2.411336865901299</v>
      </c>
      <c r="Q26" s="251">
        <f t="shared" si="2"/>
        <v>2.3930370910160073</v>
      </c>
      <c r="R26" s="251">
        <f t="shared" si="3"/>
        <v>2.1841641281558339</v>
      </c>
      <c r="S26" s="251">
        <f t="shared" si="4"/>
        <v>2.197456862825828</v>
      </c>
      <c r="T26" s="251">
        <f t="shared" si="5"/>
        <v>2.9771146708214111</v>
      </c>
      <c r="U26" s="315" t="str">
        <f t="shared" si="6"/>
        <v>25_1_10_Local</v>
      </c>
      <c r="V26" s="317">
        <f>IF(U26=observed!V26,0,1)</f>
        <v>0</v>
      </c>
    </row>
    <row r="27" spans="1:23" x14ac:dyDescent="0.3">
      <c r="A27" s="5">
        <f>VLOOKUP($B27,observed!$A$2:$B$139,2,FALSE)</f>
        <v>26</v>
      </c>
      <c r="B27" s="5" t="str">
        <f t="shared" si="0"/>
        <v>10_2</v>
      </c>
      <c r="C27" s="5">
        <v>2</v>
      </c>
      <c r="D27" s="5">
        <v>10</v>
      </c>
      <c r="E27" s="5" t="s">
        <v>0</v>
      </c>
      <c r="F27" s="319">
        <v>67.694236453201952</v>
      </c>
      <c r="G27" s="319">
        <v>724.98387165490612</v>
      </c>
      <c r="H27" s="319">
        <v>1566.4937430488624</v>
      </c>
      <c r="I27" s="319">
        <v>964.42564334852523</v>
      </c>
      <c r="J27" s="319">
        <v>388.33250549450395</v>
      </c>
      <c r="K27" s="326">
        <v>125.27300492610831</v>
      </c>
      <c r="L27" s="326">
        <v>1349.5715896684862</v>
      </c>
      <c r="M27" s="326">
        <v>2896.6355930226605</v>
      </c>
      <c r="N27" s="326">
        <v>1813.4309576818916</v>
      </c>
      <c r="O27" s="326">
        <v>780.05885470085173</v>
      </c>
      <c r="P27" s="251">
        <f t="shared" si="1"/>
        <v>1.8505712079744252</v>
      </c>
      <c r="Q27" s="251">
        <f t="shared" si="2"/>
        <v>1.8615194660645984</v>
      </c>
      <c r="R27" s="251">
        <f t="shared" si="3"/>
        <v>1.8491204359265085</v>
      </c>
      <c r="S27" s="251">
        <f t="shared" si="4"/>
        <v>1.8803222106222572</v>
      </c>
      <c r="T27" s="251">
        <f t="shared" si="5"/>
        <v>2.0087395303350206</v>
      </c>
      <c r="U27" s="315" t="str">
        <f t="shared" si="6"/>
        <v>26_2_10_Local</v>
      </c>
      <c r="V27" s="317">
        <f>IF(U27=observed!V27,0,1)</f>
        <v>0</v>
      </c>
    </row>
    <row r="28" spans="1:23" x14ac:dyDescent="0.3">
      <c r="A28" s="5">
        <f>VLOOKUP($B28,observed!$A$2:$B$139,2,FALSE)</f>
        <v>27</v>
      </c>
      <c r="B28" s="5" t="str">
        <f t="shared" si="0"/>
        <v>10_3</v>
      </c>
      <c r="C28" s="5">
        <v>3</v>
      </c>
      <c r="D28" s="5">
        <v>10</v>
      </c>
      <c r="E28" s="5" t="s">
        <v>0</v>
      </c>
      <c r="F28" s="319">
        <v>97.604630844954869</v>
      </c>
      <c r="G28" s="319">
        <v>1070.2351672912118</v>
      </c>
      <c r="H28" s="319">
        <v>2887.5392578078863</v>
      </c>
      <c r="I28" s="319">
        <v>1396.9119571937842</v>
      </c>
      <c r="J28" s="319">
        <v>509.25898686216311</v>
      </c>
      <c r="K28" s="326">
        <v>224.85074856439701</v>
      </c>
      <c r="L28" s="326">
        <v>2134.2037523845725</v>
      </c>
      <c r="M28" s="326">
        <v>5495.9742473027709</v>
      </c>
      <c r="N28" s="326">
        <v>2849.6725274186047</v>
      </c>
      <c r="O28" s="326">
        <v>1274.3087243296529</v>
      </c>
      <c r="P28" s="251">
        <f t="shared" si="1"/>
        <v>2.3036893497560871</v>
      </c>
      <c r="Q28" s="251">
        <f t="shared" si="2"/>
        <v>1.9941446680230925</v>
      </c>
      <c r="R28" s="251">
        <f t="shared" si="3"/>
        <v>1.903341827281376</v>
      </c>
      <c r="S28" s="251">
        <f t="shared" si="4"/>
        <v>2.0399800522455465</v>
      </c>
      <c r="T28" s="251">
        <f t="shared" si="5"/>
        <v>2.5022802880345818</v>
      </c>
      <c r="U28" s="315" t="str">
        <f t="shared" si="6"/>
        <v>27_3_10_Local</v>
      </c>
      <c r="V28" s="317">
        <f>IF(U28=observed!V28,0,1)</f>
        <v>0</v>
      </c>
    </row>
    <row r="29" spans="1:23" x14ac:dyDescent="0.3">
      <c r="A29" s="5">
        <f>VLOOKUP($B29,observed!$A$2:$B$139,2,FALSE)</f>
        <v>28</v>
      </c>
      <c r="B29" s="5" t="str">
        <f t="shared" si="0"/>
        <v>10_4</v>
      </c>
      <c r="C29" s="5">
        <v>4</v>
      </c>
      <c r="D29" s="5">
        <v>10</v>
      </c>
      <c r="E29" s="5" t="s">
        <v>0</v>
      </c>
      <c r="F29" s="319">
        <v>60.585499999999996</v>
      </c>
      <c r="G29" s="319">
        <v>450.0163</v>
      </c>
      <c r="H29" s="319">
        <v>1128.6425678799651</v>
      </c>
      <c r="I29" s="319">
        <v>736.59914729640946</v>
      </c>
      <c r="J29" s="319">
        <v>323.35648482362535</v>
      </c>
      <c r="K29" s="326">
        <v>197.1575</v>
      </c>
      <c r="L29" s="326">
        <v>1219.1794999999997</v>
      </c>
      <c r="M29" s="326">
        <v>3013.828879410944</v>
      </c>
      <c r="N29" s="326">
        <v>1995.1607202609207</v>
      </c>
      <c r="O29" s="326">
        <v>1078.953400328136</v>
      </c>
      <c r="P29" s="251">
        <f t="shared" si="1"/>
        <v>3.2542027382789613</v>
      </c>
      <c r="Q29" s="251">
        <f t="shared" si="2"/>
        <v>2.7091896449084172</v>
      </c>
      <c r="R29" s="251">
        <f t="shared" si="3"/>
        <v>2.6703129628294109</v>
      </c>
      <c r="S29" s="251">
        <f t="shared" si="4"/>
        <v>2.7086112271292961</v>
      </c>
      <c r="T29" s="251">
        <f t="shared" si="5"/>
        <v>3.3367303609718872</v>
      </c>
      <c r="U29" s="315" t="str">
        <f t="shared" si="6"/>
        <v>28_4_10_Local</v>
      </c>
      <c r="V29" s="317">
        <f>IF(U29=observed!V29,0,1)</f>
        <v>0</v>
      </c>
    </row>
    <row r="30" spans="1:23" x14ac:dyDescent="0.3">
      <c r="A30" s="5">
        <f>VLOOKUP($B30,observed!$A$2:$B$139,2,FALSE)</f>
        <v>29</v>
      </c>
      <c r="B30" s="5" t="str">
        <f t="shared" si="0"/>
        <v>10_5</v>
      </c>
      <c r="C30" s="5">
        <v>5</v>
      </c>
      <c r="D30" s="5">
        <v>10</v>
      </c>
      <c r="E30" s="5" t="s">
        <v>0</v>
      </c>
      <c r="F30" s="319">
        <v>61.532026315789423</v>
      </c>
      <c r="G30" s="319">
        <v>628.2115570175439</v>
      </c>
      <c r="H30" s="319">
        <v>1420.6413999442561</v>
      </c>
      <c r="I30" s="319">
        <v>791.8716833890777</v>
      </c>
      <c r="J30" s="319">
        <v>247.0433333333325</v>
      </c>
      <c r="K30" s="326">
        <v>134.32081578947358</v>
      </c>
      <c r="L30" s="326">
        <v>1183.3251008771933</v>
      </c>
      <c r="M30" s="326">
        <v>2469.8199863433629</v>
      </c>
      <c r="N30" s="326">
        <v>1462.2698112756862</v>
      </c>
      <c r="O30" s="326">
        <v>476.36428571428439</v>
      </c>
      <c r="P30" s="251">
        <f t="shared" si="1"/>
        <v>2.1829415319450676</v>
      </c>
      <c r="Q30" s="251">
        <f t="shared" si="2"/>
        <v>1.8836410881949868</v>
      </c>
      <c r="R30" s="251">
        <f t="shared" si="3"/>
        <v>1.7385245751955947</v>
      </c>
      <c r="S30" s="251">
        <f t="shared" si="4"/>
        <v>1.8465994452755492</v>
      </c>
      <c r="T30" s="251">
        <f t="shared" si="5"/>
        <v>1.9282620554327283</v>
      </c>
      <c r="U30" s="315" t="str">
        <f t="shared" si="6"/>
        <v>29_5_10_Local</v>
      </c>
      <c r="V30" s="317">
        <f>IF(U30=observed!V30,0,1)</f>
        <v>0</v>
      </c>
    </row>
    <row r="31" spans="1:23" x14ac:dyDescent="0.3">
      <c r="A31" s="5">
        <f>VLOOKUP($B31,observed!$A$2:$B$139,2,FALSE)</f>
        <v>30</v>
      </c>
      <c r="B31" s="5" t="str">
        <f t="shared" si="0"/>
        <v>10_6</v>
      </c>
      <c r="C31" s="5">
        <v>6</v>
      </c>
      <c r="D31" s="5">
        <v>10</v>
      </c>
      <c r="E31" s="5" t="s">
        <v>0</v>
      </c>
      <c r="F31" s="319">
        <v>18.227894736842096</v>
      </c>
      <c r="G31" s="319">
        <v>280.32008945288118</v>
      </c>
      <c r="H31" s="319">
        <v>841.50509052291966</v>
      </c>
      <c r="I31" s="319">
        <v>416.73692528735728</v>
      </c>
      <c r="J31" s="319">
        <v>170.26000000000002</v>
      </c>
      <c r="K31" s="326">
        <v>49.474736842105237</v>
      </c>
      <c r="L31" s="326">
        <v>668.89613272311215</v>
      </c>
      <c r="M31" s="326">
        <v>1806.1806821589189</v>
      </c>
      <c r="N31" s="326">
        <v>942.59844827586403</v>
      </c>
      <c r="O31" s="326">
        <v>447.21999999999997</v>
      </c>
      <c r="P31" s="251">
        <f t="shared" si="1"/>
        <v>2.7142320907804693</v>
      </c>
      <c r="Q31" s="251">
        <f t="shared" si="2"/>
        <v>2.386186926626058</v>
      </c>
      <c r="R31" s="251">
        <f t="shared" si="3"/>
        <v>2.146369288195916</v>
      </c>
      <c r="S31" s="251">
        <f t="shared" si="4"/>
        <v>2.2618548803322471</v>
      </c>
      <c r="T31" s="251">
        <f t="shared" si="5"/>
        <v>2.6266885939151883</v>
      </c>
      <c r="U31" s="315" t="str">
        <f t="shared" si="6"/>
        <v>30_6_10_Local</v>
      </c>
      <c r="V31" s="317">
        <f>IF(U31=observed!V31,0,1)</f>
        <v>0</v>
      </c>
    </row>
    <row r="32" spans="1:23" x14ac:dyDescent="0.3">
      <c r="A32" s="5">
        <f>VLOOKUP($B32,observed!$A$2:$B$139,2,FALSE)</f>
        <v>31</v>
      </c>
      <c r="B32" s="5" t="str">
        <f t="shared" si="0"/>
        <v>10_7</v>
      </c>
      <c r="C32" s="5">
        <v>7</v>
      </c>
      <c r="D32" s="5">
        <v>10</v>
      </c>
      <c r="E32" s="5" t="s">
        <v>0</v>
      </c>
      <c r="F32" s="319">
        <v>187.50530816512364</v>
      </c>
      <c r="G32" s="319">
        <v>1579.4288393467234</v>
      </c>
      <c r="H32" s="319">
        <v>4250.5428358381314</v>
      </c>
      <c r="I32" s="319">
        <v>2176.9602055165738</v>
      </c>
      <c r="J32" s="319">
        <v>1026.0528111334481</v>
      </c>
      <c r="K32" s="326">
        <v>628.5845749529658</v>
      </c>
      <c r="L32" s="326">
        <v>4278.5286947190007</v>
      </c>
      <c r="M32" s="326">
        <v>10141.731913811203</v>
      </c>
      <c r="N32" s="326">
        <v>5403.2718684387373</v>
      </c>
      <c r="O32" s="326">
        <v>3187.6629480780912</v>
      </c>
      <c r="P32" s="251">
        <f t="shared" si="1"/>
        <v>3.3523561604955341</v>
      </c>
      <c r="Q32" s="251">
        <f t="shared" si="2"/>
        <v>2.7089088081288089</v>
      </c>
      <c r="R32" s="251">
        <f t="shared" si="3"/>
        <v>2.3859851095492921</v>
      </c>
      <c r="S32" s="251">
        <f t="shared" si="4"/>
        <v>2.4820260171713096</v>
      </c>
      <c r="T32" s="251">
        <f t="shared" si="5"/>
        <v>3.1067240530794713</v>
      </c>
      <c r="U32" s="315" t="str">
        <f t="shared" si="6"/>
        <v>31_7_10_Local</v>
      </c>
      <c r="V32" s="317">
        <f>IF(U32=observed!V32,0,1)</f>
        <v>0</v>
      </c>
    </row>
    <row r="33" spans="1:22" x14ac:dyDescent="0.3">
      <c r="A33" s="5">
        <f>VLOOKUP($B33,observed!$A$2:$B$139,2,FALSE)</f>
        <v>32</v>
      </c>
      <c r="B33" s="5" t="str">
        <f t="shared" si="0"/>
        <v>10_8</v>
      </c>
      <c r="C33" s="5">
        <v>8</v>
      </c>
      <c r="D33" s="5">
        <v>10</v>
      </c>
      <c r="E33" s="5" t="s">
        <v>0</v>
      </c>
      <c r="F33" s="319">
        <v>26.605263157894747</v>
      </c>
      <c r="G33" s="319">
        <v>188.22598684210519</v>
      </c>
      <c r="H33" s="319">
        <v>681.28066111111002</v>
      </c>
      <c r="I33" s="319">
        <v>381.10308888889034</v>
      </c>
      <c r="J33" s="319">
        <v>172.45499999999964</v>
      </c>
      <c r="K33" s="326">
        <v>75.312631578947389</v>
      </c>
      <c r="L33" s="326">
        <v>584.45820175438598</v>
      </c>
      <c r="M33" s="326">
        <v>1806.7043666666632</v>
      </c>
      <c r="N33" s="326">
        <v>1077.859800000004</v>
      </c>
      <c r="O33" s="326">
        <v>508.77499999999895</v>
      </c>
      <c r="P33" s="251">
        <f t="shared" si="1"/>
        <v>2.8307418397626112</v>
      </c>
      <c r="Q33" s="251">
        <f t="shared" si="2"/>
        <v>3.1050877275764437</v>
      </c>
      <c r="R33" s="251">
        <f t="shared" si="3"/>
        <v>2.6519237515418155</v>
      </c>
      <c r="S33" s="251">
        <f t="shared" si="4"/>
        <v>2.8282630905525181</v>
      </c>
      <c r="T33" s="251">
        <f t="shared" si="5"/>
        <v>2.9501899046127975</v>
      </c>
      <c r="U33" s="315" t="str">
        <f t="shared" si="6"/>
        <v>32_8_10_Local</v>
      </c>
      <c r="V33" s="317">
        <f>IF(U33=observed!V33,0,1)</f>
        <v>0</v>
      </c>
    </row>
    <row r="34" spans="1:22" x14ac:dyDescent="0.3">
      <c r="A34" s="5">
        <f>VLOOKUP($B34,observed!$A$2:$B$139,2,FALSE)</f>
        <v>33</v>
      </c>
      <c r="B34" s="5" t="str">
        <f t="shared" ref="B34:B65" si="7">CONCATENATE(D34,"_",C34)</f>
        <v>10_9</v>
      </c>
      <c r="C34" s="5">
        <v>9</v>
      </c>
      <c r="D34" s="5">
        <v>10</v>
      </c>
      <c r="E34" s="5" t="s">
        <v>0</v>
      </c>
      <c r="F34" s="319">
        <v>4.463529411764708</v>
      </c>
      <c r="G34" s="319">
        <v>201.95393140328235</v>
      </c>
      <c r="H34" s="319">
        <v>640.91005269846562</v>
      </c>
      <c r="I34" s="319">
        <v>353.40538971229387</v>
      </c>
      <c r="J34" s="319">
        <v>98.137096774193381</v>
      </c>
      <c r="K34" s="326">
        <v>11.2164705882353</v>
      </c>
      <c r="L34" s="326">
        <v>530.29948552461747</v>
      </c>
      <c r="M34" s="326">
        <v>1773.420352767454</v>
      </c>
      <c r="N34" s="326">
        <v>970.98143305517749</v>
      </c>
      <c r="O34" s="326">
        <v>249.07225806451575</v>
      </c>
      <c r="P34" s="251">
        <f t="shared" ref="P34:P65" si="8">K34/F34</f>
        <v>2.5129151291512914</v>
      </c>
      <c r="Q34" s="251">
        <f t="shared" ref="Q34:Q65" si="9">L34/G34</f>
        <v>2.6258438339863805</v>
      </c>
      <c r="R34" s="251">
        <f t="shared" ref="R34:R65" si="10">M34/H34</f>
        <v>2.7670346958995355</v>
      </c>
      <c r="S34" s="251">
        <f t="shared" ref="S34:S65" si="11">N34/I34</f>
        <v>2.747500353193963</v>
      </c>
      <c r="T34" s="251">
        <f t="shared" ref="T34:T65" si="12">O34/J34</f>
        <v>2.5380031226887998</v>
      </c>
      <c r="U34" s="315" t="str">
        <f t="shared" si="6"/>
        <v>33_9_10_Local</v>
      </c>
      <c r="V34" s="317">
        <f>IF(U34=observed!V34,0,1)</f>
        <v>0</v>
      </c>
    </row>
    <row r="35" spans="1:22" x14ac:dyDescent="0.3">
      <c r="A35" s="5">
        <f>VLOOKUP($B35,observed!$A$2:$B$139,2,FALSE)</f>
        <v>34</v>
      </c>
      <c r="B35" s="5" t="str">
        <f t="shared" si="7"/>
        <v>10_11</v>
      </c>
      <c r="C35" s="5">
        <v>11</v>
      </c>
      <c r="D35" s="5">
        <v>10</v>
      </c>
      <c r="E35" s="5" t="s">
        <v>0</v>
      </c>
      <c r="F35" s="319">
        <v>169.20255369843977</v>
      </c>
      <c r="G35" s="319">
        <v>1648.8545165431465</v>
      </c>
      <c r="H35" s="319">
        <v>3591.9043751812587</v>
      </c>
      <c r="I35" s="319">
        <v>2096.3592853196274</v>
      </c>
      <c r="J35" s="319">
        <v>649.49926925752891</v>
      </c>
      <c r="K35" s="326">
        <v>712.30730136635998</v>
      </c>
      <c r="L35" s="326">
        <v>5675.8485749079045</v>
      </c>
      <c r="M35" s="326">
        <v>11061.171580431415</v>
      </c>
      <c r="N35" s="326">
        <v>6650.0390362831995</v>
      </c>
      <c r="O35" s="326">
        <v>2622.3735070111188</v>
      </c>
      <c r="P35" s="251">
        <f t="shared" si="8"/>
        <v>4.2097904895446518</v>
      </c>
      <c r="Q35" s="251">
        <f t="shared" si="9"/>
        <v>3.4422979819999067</v>
      </c>
      <c r="R35" s="251">
        <f t="shared" si="10"/>
        <v>3.0794727323088145</v>
      </c>
      <c r="S35" s="251">
        <f t="shared" si="11"/>
        <v>3.1721847885770602</v>
      </c>
      <c r="T35" s="251">
        <f t="shared" si="12"/>
        <v>4.037531112250317</v>
      </c>
      <c r="U35" s="315" t="str">
        <f t="shared" si="6"/>
        <v>34_11_10_Local</v>
      </c>
      <c r="V35" s="317">
        <f>IF(U35=observed!V35,0,1)</f>
        <v>0</v>
      </c>
    </row>
    <row r="36" spans="1:22" x14ac:dyDescent="0.3">
      <c r="A36" s="5">
        <f>VLOOKUP($B36,observed!$A$2:$B$139,2,FALSE)</f>
        <v>35</v>
      </c>
      <c r="B36" s="5" t="str">
        <f t="shared" si="7"/>
        <v>10_13</v>
      </c>
      <c r="C36" s="5">
        <v>13</v>
      </c>
      <c r="D36" s="5">
        <v>10</v>
      </c>
      <c r="E36" s="5" t="s">
        <v>0</v>
      </c>
      <c r="F36" s="319">
        <v>173.6163673444276</v>
      </c>
      <c r="G36" s="319">
        <v>1383.9710793477545</v>
      </c>
      <c r="H36" s="319">
        <v>3098.831014846276</v>
      </c>
      <c r="I36" s="319">
        <v>1623.0986658273853</v>
      </c>
      <c r="J36" s="319">
        <v>555.74287263415658</v>
      </c>
      <c r="K36" s="326">
        <v>494.40483302072516</v>
      </c>
      <c r="L36" s="326">
        <v>3706.2246742236703</v>
      </c>
      <c r="M36" s="326">
        <v>8158.4943389094415</v>
      </c>
      <c r="N36" s="326">
        <v>4385.881414213929</v>
      </c>
      <c r="O36" s="326">
        <v>1648.924739632233</v>
      </c>
      <c r="P36" s="251">
        <f t="shared" si="8"/>
        <v>2.8476856219431412</v>
      </c>
      <c r="Q36" s="251">
        <f t="shared" si="9"/>
        <v>2.6779639614798598</v>
      </c>
      <c r="R36" s="251">
        <f t="shared" si="10"/>
        <v>2.6327651620313217</v>
      </c>
      <c r="S36" s="251">
        <f t="shared" si="11"/>
        <v>2.7021656209532998</v>
      </c>
      <c r="T36" s="251">
        <f t="shared" si="12"/>
        <v>2.9670641241272633</v>
      </c>
      <c r="U36" s="315" t="str">
        <f t="shared" si="6"/>
        <v>35_13_10_Local</v>
      </c>
      <c r="V36" s="317">
        <f>IF(U36=observed!V36,0,1)</f>
        <v>0</v>
      </c>
    </row>
    <row r="37" spans="1:22" x14ac:dyDescent="0.3">
      <c r="A37" s="5">
        <f>VLOOKUP($B37,observed!$A$2:$B$139,2,FALSE)</f>
        <v>36</v>
      </c>
      <c r="B37" s="5" t="str">
        <f t="shared" si="7"/>
        <v>10_14</v>
      </c>
      <c r="C37" s="5">
        <v>14</v>
      </c>
      <c r="D37" s="5">
        <v>10</v>
      </c>
      <c r="E37" s="5" t="s">
        <v>0</v>
      </c>
      <c r="F37" s="319">
        <v>3.7499999999999996</v>
      </c>
      <c r="G37" s="319">
        <v>62.508865248226954</v>
      </c>
      <c r="H37" s="319">
        <v>128.74113475177305</v>
      </c>
      <c r="I37" s="319">
        <v>60.82608695652182</v>
      </c>
      <c r="J37" s="319">
        <v>4.1739130434781773</v>
      </c>
      <c r="K37" s="326">
        <v>8.1579545454545439</v>
      </c>
      <c r="L37" s="326">
        <v>290.04764829142493</v>
      </c>
      <c r="M37" s="326">
        <v>277.79439716312055</v>
      </c>
      <c r="N37" s="326">
        <v>143.99695652173926</v>
      </c>
      <c r="O37" s="326">
        <v>5.4730434782607604</v>
      </c>
      <c r="P37" s="251">
        <f t="shared" si="8"/>
        <v>2.1754545454545453</v>
      </c>
      <c r="Q37" s="251">
        <f t="shared" si="9"/>
        <v>4.6401042018540251</v>
      </c>
      <c r="R37" s="251">
        <f t="shared" si="10"/>
        <v>2.1577749621264286</v>
      </c>
      <c r="S37" s="251">
        <f t="shared" si="11"/>
        <v>2.3673552537526796</v>
      </c>
      <c r="T37" s="251">
        <f t="shared" si="12"/>
        <v>1.31125</v>
      </c>
      <c r="U37" s="315" t="str">
        <f t="shared" si="6"/>
        <v>36_14_10_Local</v>
      </c>
      <c r="V37" s="317">
        <f>IF(U37=observed!V37,0,1)</f>
        <v>0</v>
      </c>
    </row>
    <row r="38" spans="1:22" x14ac:dyDescent="0.3">
      <c r="A38" s="5">
        <f>VLOOKUP($B38,observed!$A$2:$B$139,2,FALSE)</f>
        <v>37</v>
      </c>
      <c r="B38" s="5" t="str">
        <f t="shared" si="7"/>
        <v>10_18</v>
      </c>
      <c r="C38" s="5">
        <v>18</v>
      </c>
      <c r="D38" s="5">
        <v>10</v>
      </c>
      <c r="E38" s="5" t="s">
        <v>0</v>
      </c>
      <c r="F38" s="319">
        <v>0</v>
      </c>
      <c r="G38" s="319">
        <v>38</v>
      </c>
      <c r="H38" s="319">
        <v>70.999999999999929</v>
      </c>
      <c r="I38" s="319">
        <v>32.000000000000064</v>
      </c>
      <c r="J38" s="319">
        <v>0</v>
      </c>
      <c r="K38" s="326">
        <v>0</v>
      </c>
      <c r="L38" s="326">
        <v>102.78999999999999</v>
      </c>
      <c r="M38" s="326">
        <v>203.5299999999998</v>
      </c>
      <c r="N38" s="326">
        <v>85.940000000000182</v>
      </c>
      <c r="O38" s="326">
        <v>0</v>
      </c>
      <c r="P38" s="251" t="e">
        <f t="shared" si="8"/>
        <v>#DIV/0!</v>
      </c>
      <c r="Q38" s="251">
        <f t="shared" si="9"/>
        <v>2.7049999999999996</v>
      </c>
      <c r="R38" s="251">
        <f t="shared" si="10"/>
        <v>2.8666197183098592</v>
      </c>
      <c r="S38" s="251">
        <f t="shared" si="11"/>
        <v>2.6856250000000004</v>
      </c>
      <c r="T38" s="251" t="e">
        <f t="shared" si="12"/>
        <v>#DIV/0!</v>
      </c>
      <c r="U38" s="315" t="str">
        <f t="shared" si="6"/>
        <v>37_18_10_Local</v>
      </c>
      <c r="V38" s="317">
        <f>IF(U38=observed!V38,0,1)</f>
        <v>0</v>
      </c>
    </row>
    <row r="39" spans="1:22" x14ac:dyDescent="0.3">
      <c r="A39" s="5">
        <f>VLOOKUP($B39,observed!$A$2:$B$139,2,FALSE)</f>
        <v>38</v>
      </c>
      <c r="B39" s="5" t="str">
        <f t="shared" si="7"/>
        <v>10_25</v>
      </c>
      <c r="C39" s="5">
        <v>25</v>
      </c>
      <c r="D39" s="5">
        <v>10</v>
      </c>
      <c r="E39" s="5" t="s">
        <v>0</v>
      </c>
      <c r="F39" s="319">
        <v>0</v>
      </c>
      <c r="G39" s="319">
        <v>107.49056603773583</v>
      </c>
      <c r="H39" s="319">
        <v>193.56965805189972</v>
      </c>
      <c r="I39" s="319">
        <v>102.17507002801172</v>
      </c>
      <c r="J39" s="319">
        <v>3.7647058823527244</v>
      </c>
      <c r="K39" s="326">
        <v>0</v>
      </c>
      <c r="L39" s="326">
        <v>356.36849056603768</v>
      </c>
      <c r="M39" s="326">
        <v>731.70980075048794</v>
      </c>
      <c r="N39" s="326">
        <v>394.59994397759294</v>
      </c>
      <c r="O39" s="326">
        <v>15.341764705881477</v>
      </c>
      <c r="P39" s="251" t="e">
        <f t="shared" si="8"/>
        <v>#DIV/0!</v>
      </c>
      <c r="Q39" s="251">
        <f t="shared" si="9"/>
        <v>3.3153466736879058</v>
      </c>
      <c r="R39" s="251">
        <f t="shared" si="10"/>
        <v>3.7800852060931089</v>
      </c>
      <c r="S39" s="251">
        <f t="shared" si="11"/>
        <v>3.8619982728606082</v>
      </c>
      <c r="T39" s="251">
        <f t="shared" si="12"/>
        <v>4.0751562500000018</v>
      </c>
      <c r="U39" s="315" t="str">
        <f t="shared" si="6"/>
        <v>38_25_10_Local</v>
      </c>
      <c r="V39" s="317">
        <f>IF(U39=observed!V39,0,1)</f>
        <v>0</v>
      </c>
    </row>
    <row r="40" spans="1:22" x14ac:dyDescent="0.3">
      <c r="A40" s="5">
        <f>VLOOKUP($B40,observed!$A$2:$B$139,2,FALSE)</f>
        <v>39</v>
      </c>
      <c r="B40" s="5" t="str">
        <f t="shared" si="7"/>
        <v>10_27</v>
      </c>
      <c r="C40" s="5">
        <v>27</v>
      </c>
      <c r="D40" s="5">
        <v>10</v>
      </c>
      <c r="E40" s="5" t="s">
        <v>0</v>
      </c>
      <c r="F40" s="319">
        <v>7.7382697947214067</v>
      </c>
      <c r="G40" s="319">
        <v>247.80096097450939</v>
      </c>
      <c r="H40" s="319">
        <v>575.10696781232843</v>
      </c>
      <c r="I40" s="319">
        <v>342.6857415728814</v>
      </c>
      <c r="J40" s="319">
        <v>69.528059845559355</v>
      </c>
      <c r="K40" s="326">
        <v>24.37979472140762</v>
      </c>
      <c r="L40" s="326">
        <v>758.31738476577209</v>
      </c>
      <c r="M40" s="326">
        <v>1716.1802389525337</v>
      </c>
      <c r="N40" s="326">
        <v>1032.9897379309448</v>
      </c>
      <c r="O40" s="326">
        <v>240.63284362934175</v>
      </c>
      <c r="P40" s="251">
        <f t="shared" si="8"/>
        <v>3.1505485551871151</v>
      </c>
      <c r="Q40" s="251">
        <f t="shared" si="9"/>
        <v>3.0601874253577979</v>
      </c>
      <c r="R40" s="251">
        <f t="shared" si="10"/>
        <v>2.9841061489496084</v>
      </c>
      <c r="S40" s="251">
        <f t="shared" si="11"/>
        <v>3.0143936925699362</v>
      </c>
      <c r="T40" s="251">
        <f t="shared" si="12"/>
        <v>3.4609457557690009</v>
      </c>
      <c r="U40" s="315" t="str">
        <f t="shared" si="6"/>
        <v>39_27_10_Local</v>
      </c>
      <c r="V40" s="317">
        <f>IF(U40=observed!V40,0,1)</f>
        <v>0</v>
      </c>
    </row>
    <row r="41" spans="1:22" x14ac:dyDescent="0.3">
      <c r="A41" s="5">
        <f>VLOOKUP($B41,observed!$A$2:$B$139,2,FALSE)</f>
        <v>40</v>
      </c>
      <c r="B41" s="5" t="str">
        <f t="shared" si="7"/>
        <v>10_28</v>
      </c>
      <c r="C41" s="5">
        <v>28</v>
      </c>
      <c r="D41" s="5">
        <v>10</v>
      </c>
      <c r="E41" s="5" t="s">
        <v>0</v>
      </c>
      <c r="F41" s="319">
        <v>15.854117647058827</v>
      </c>
      <c r="G41" s="319">
        <v>311.0011455108359</v>
      </c>
      <c r="H41" s="319">
        <v>479.49064988558217</v>
      </c>
      <c r="I41" s="319">
        <v>261.20585166240585</v>
      </c>
      <c r="J41" s="319">
        <v>94.128235294117246</v>
      </c>
      <c r="K41" s="326">
        <v>39.861764705882365</v>
      </c>
      <c r="L41" s="326">
        <v>644.06402476780181</v>
      </c>
      <c r="M41" s="326">
        <v>956.02534096109594</v>
      </c>
      <c r="N41" s="326">
        <v>520.45769309463253</v>
      </c>
      <c r="O41" s="326">
        <v>197.61117647058745</v>
      </c>
      <c r="P41" s="251">
        <f t="shared" si="8"/>
        <v>2.5142846542000599</v>
      </c>
      <c r="Q41" s="251">
        <f t="shared" si="9"/>
        <v>2.0709377893444492</v>
      </c>
      <c r="R41" s="251">
        <f t="shared" si="10"/>
        <v>1.9938352107371149</v>
      </c>
      <c r="S41" s="251">
        <f t="shared" si="11"/>
        <v>1.9925192708442665</v>
      </c>
      <c r="T41" s="251">
        <f t="shared" si="12"/>
        <v>2.099382569460936</v>
      </c>
      <c r="U41" s="315" t="str">
        <f t="shared" si="6"/>
        <v>40_28_10_Local</v>
      </c>
      <c r="V41" s="317">
        <f>IF(U41=observed!V41,0,1)</f>
        <v>0</v>
      </c>
    </row>
    <row r="42" spans="1:22" x14ac:dyDescent="0.3">
      <c r="A42" s="5">
        <f>VLOOKUP($B42,observed!$A$2:$B$139,2,FALSE)</f>
        <v>41</v>
      </c>
      <c r="B42" s="5" t="str">
        <f t="shared" si="7"/>
        <v>10_30</v>
      </c>
      <c r="C42" s="5">
        <v>30</v>
      </c>
      <c r="D42" s="5">
        <v>10</v>
      </c>
      <c r="E42" s="5" t="s">
        <v>0</v>
      </c>
      <c r="F42" s="319">
        <v>66.38755686236928</v>
      </c>
      <c r="G42" s="319">
        <v>1063.8964094587241</v>
      </c>
      <c r="H42" s="319">
        <v>2350.2455768672298</v>
      </c>
      <c r="I42" s="319">
        <v>1388.1544030542791</v>
      </c>
      <c r="J42" s="319">
        <v>659.40605375739756</v>
      </c>
      <c r="K42" s="326">
        <v>531.24587332073759</v>
      </c>
      <c r="L42" s="326">
        <v>7674.0970332948636</v>
      </c>
      <c r="M42" s="326">
        <v>14973.90811337553</v>
      </c>
      <c r="N42" s="326">
        <v>8765.8077286138268</v>
      </c>
      <c r="O42" s="326">
        <v>4090.1312513950452</v>
      </c>
      <c r="P42" s="251">
        <f t="shared" si="8"/>
        <v>8.0021904469550638</v>
      </c>
      <c r="Q42" s="251">
        <f t="shared" si="9"/>
        <v>7.2131994854641865</v>
      </c>
      <c r="R42" s="251">
        <f t="shared" si="10"/>
        <v>6.3712099964187852</v>
      </c>
      <c r="S42" s="251">
        <f t="shared" si="11"/>
        <v>6.3147209772392081</v>
      </c>
      <c r="T42" s="251">
        <f t="shared" si="12"/>
        <v>6.2027505329816819</v>
      </c>
      <c r="U42" s="315" t="str">
        <f t="shared" si="6"/>
        <v>41_30_10_Local</v>
      </c>
      <c r="V42" s="317">
        <f>IF(U42=observed!V42,0,1)</f>
        <v>0</v>
      </c>
    </row>
    <row r="43" spans="1:22" x14ac:dyDescent="0.3">
      <c r="A43" s="5">
        <f>VLOOKUP($B43,observed!$A$2:$B$139,2,FALSE)</f>
        <v>42</v>
      </c>
      <c r="B43" s="5" t="str">
        <f t="shared" si="7"/>
        <v>10_31</v>
      </c>
      <c r="C43" s="5">
        <v>31</v>
      </c>
      <c r="D43" s="5">
        <v>10</v>
      </c>
      <c r="E43" s="5" t="s">
        <v>0</v>
      </c>
      <c r="F43" s="319">
        <v>3.7737037037037044</v>
      </c>
      <c r="G43" s="319">
        <v>177.56887694145757</v>
      </c>
      <c r="H43" s="319">
        <v>62.29179435483826</v>
      </c>
      <c r="I43" s="319">
        <v>130.39368951612957</v>
      </c>
      <c r="J43" s="319">
        <v>0.18193548387088054</v>
      </c>
      <c r="K43" s="326">
        <v>13.552962962962967</v>
      </c>
      <c r="L43" s="326">
        <v>667.79864994026275</v>
      </c>
      <c r="M43" s="326">
        <v>242.91432459677253</v>
      </c>
      <c r="N43" s="326">
        <v>493.2427721774215</v>
      </c>
      <c r="O43" s="326">
        <v>0.84129032258024194</v>
      </c>
      <c r="P43" s="251">
        <f t="shared" si="8"/>
        <v>3.5914221218961631</v>
      </c>
      <c r="Q43" s="251">
        <f t="shared" si="9"/>
        <v>3.7607865828899079</v>
      </c>
      <c r="R43" s="251">
        <f t="shared" si="10"/>
        <v>3.8996199597821533</v>
      </c>
      <c r="S43" s="251">
        <f t="shared" si="11"/>
        <v>3.7827196546686248</v>
      </c>
      <c r="T43" s="251">
        <f t="shared" si="12"/>
        <v>4.624113475177305</v>
      </c>
      <c r="U43" s="315" t="str">
        <f t="shared" si="6"/>
        <v>42_31_10_Local</v>
      </c>
      <c r="V43" s="317">
        <f>IF(U43=observed!V43,0,1)</f>
        <v>0</v>
      </c>
    </row>
    <row r="44" spans="1:22" x14ac:dyDescent="0.3">
      <c r="A44" s="5">
        <f>VLOOKUP($B44,observed!$A$2:$B$139,2,FALSE)</f>
        <v>43</v>
      </c>
      <c r="B44" s="5" t="str">
        <f t="shared" si="7"/>
        <v>10_35</v>
      </c>
      <c r="C44" s="5">
        <v>35</v>
      </c>
      <c r="D44" s="5">
        <v>10</v>
      </c>
      <c r="E44" s="5" t="s">
        <v>0</v>
      </c>
      <c r="F44" s="319">
        <v>27.017391304347807</v>
      </c>
      <c r="G44" s="319">
        <v>265.11260869565217</v>
      </c>
      <c r="H44" s="319">
        <v>753.02414772727138</v>
      </c>
      <c r="I44" s="319">
        <v>521.54481778997081</v>
      </c>
      <c r="J44" s="319">
        <v>223.70103448275776</v>
      </c>
      <c r="K44" s="326">
        <v>62.581304347826048</v>
      </c>
      <c r="L44" s="326">
        <v>562.43869565217392</v>
      </c>
      <c r="M44" s="326">
        <v>1491.8747727272701</v>
      </c>
      <c r="N44" s="326">
        <v>1087.5355721003179</v>
      </c>
      <c r="O44" s="326">
        <v>520.28965517241193</v>
      </c>
      <c r="P44" s="251">
        <f t="shared" si="8"/>
        <v>2.3163340843257161</v>
      </c>
      <c r="Q44" s="251">
        <f t="shared" si="9"/>
        <v>2.1215086616187708</v>
      </c>
      <c r="R44" s="251">
        <f t="shared" si="10"/>
        <v>1.9811778642556812</v>
      </c>
      <c r="S44" s="251">
        <f t="shared" si="11"/>
        <v>2.0852197836203503</v>
      </c>
      <c r="T44" s="251">
        <f t="shared" si="12"/>
        <v>2.3258258790596447</v>
      </c>
      <c r="U44" s="315" t="str">
        <f t="shared" si="6"/>
        <v>43_35_10_Local</v>
      </c>
      <c r="V44" s="317">
        <f>IF(U44=observed!V44,0,1)</f>
        <v>0</v>
      </c>
    </row>
    <row r="45" spans="1:22" x14ac:dyDescent="0.3">
      <c r="A45" s="5">
        <f>VLOOKUP($B45,observed!$A$2:$B$139,2,FALSE)</f>
        <v>44</v>
      </c>
      <c r="B45" s="5" t="str">
        <f t="shared" si="7"/>
        <v>10_41</v>
      </c>
      <c r="C45" s="5">
        <v>41</v>
      </c>
      <c r="D45" s="5">
        <v>10</v>
      </c>
      <c r="E45" s="5" t="s">
        <v>0</v>
      </c>
      <c r="F45" s="319">
        <v>51.430065315315318</v>
      </c>
      <c r="G45" s="319">
        <v>1054.0207715376866</v>
      </c>
      <c r="H45" s="319">
        <v>2226.111046129437</v>
      </c>
      <c r="I45" s="319">
        <v>1220.6533030265884</v>
      </c>
      <c r="J45" s="319">
        <v>547.43481399097209</v>
      </c>
      <c r="K45" s="326">
        <v>278.3649324324324</v>
      </c>
      <c r="L45" s="326">
        <v>4325.2419787476929</v>
      </c>
      <c r="M45" s="326">
        <v>8754.0816331150527</v>
      </c>
      <c r="N45" s="326">
        <v>5186.0998695238713</v>
      </c>
      <c r="O45" s="326">
        <v>2761.1415861809519</v>
      </c>
      <c r="P45" s="251">
        <f t="shared" si="8"/>
        <v>5.4124942429256127</v>
      </c>
      <c r="Q45" s="251">
        <f t="shared" si="9"/>
        <v>4.1035642707853821</v>
      </c>
      <c r="R45" s="251">
        <f t="shared" si="10"/>
        <v>3.9324550535499418</v>
      </c>
      <c r="S45" s="251">
        <f t="shared" si="11"/>
        <v>4.2486264172349575</v>
      </c>
      <c r="T45" s="251">
        <f t="shared" si="12"/>
        <v>5.0437814980223141</v>
      </c>
      <c r="U45" s="315" t="str">
        <f t="shared" si="6"/>
        <v>44_41_10_Local</v>
      </c>
      <c r="V45" s="317">
        <f>IF(U45=observed!V45,0,1)</f>
        <v>0</v>
      </c>
    </row>
    <row r="46" spans="1:22" x14ac:dyDescent="0.3">
      <c r="A46" s="5">
        <f>VLOOKUP($B46,observed!$A$2:$B$139,2,FALSE)</f>
        <v>45</v>
      </c>
      <c r="B46" s="5" t="str">
        <f t="shared" si="7"/>
        <v>10_44</v>
      </c>
      <c r="C46" s="5">
        <v>44</v>
      </c>
      <c r="D46" s="5">
        <v>10</v>
      </c>
      <c r="E46" s="5" t="s">
        <v>0</v>
      </c>
      <c r="F46" s="319">
        <v>62.975499999999975</v>
      </c>
      <c r="G46" s="319">
        <v>925.81057405589411</v>
      </c>
      <c r="H46" s="319">
        <v>2017.2087906926113</v>
      </c>
      <c r="I46" s="319">
        <v>1116.0895362176796</v>
      </c>
      <c r="J46" s="319">
        <v>425.1655990338154</v>
      </c>
      <c r="K46" s="326">
        <v>246.69974999999994</v>
      </c>
      <c r="L46" s="326">
        <v>3456.9598193982956</v>
      </c>
      <c r="M46" s="326">
        <v>7593.4734652777379</v>
      </c>
      <c r="N46" s="326">
        <v>4112.0411295751783</v>
      </c>
      <c r="O46" s="326">
        <v>1850.9158357487877</v>
      </c>
      <c r="P46" s="251">
        <f t="shared" si="8"/>
        <v>3.9173924780271698</v>
      </c>
      <c r="Q46" s="251">
        <f t="shared" si="9"/>
        <v>3.7339817844741834</v>
      </c>
      <c r="R46" s="251">
        <f t="shared" si="10"/>
        <v>3.7643468045122432</v>
      </c>
      <c r="S46" s="251">
        <f t="shared" si="11"/>
        <v>3.6843290758826495</v>
      </c>
      <c r="T46" s="251">
        <f t="shared" si="12"/>
        <v>4.3533998045819686</v>
      </c>
      <c r="U46" s="315" t="str">
        <f t="shared" si="6"/>
        <v>45_44_10_Local</v>
      </c>
      <c r="V46" s="317">
        <f>IF(U46=observed!V46,0,1)</f>
        <v>0</v>
      </c>
    </row>
    <row r="47" spans="1:22" x14ac:dyDescent="0.3">
      <c r="A47" s="5">
        <f>VLOOKUP($B47,observed!$A$2:$B$139,2,FALSE)</f>
        <v>46</v>
      </c>
      <c r="B47" s="5" t="str">
        <f t="shared" si="7"/>
        <v>10_83</v>
      </c>
      <c r="C47" s="5">
        <v>83</v>
      </c>
      <c r="D47" s="5">
        <v>10</v>
      </c>
      <c r="E47" s="5" t="s">
        <v>0</v>
      </c>
      <c r="F47" s="319">
        <v>0</v>
      </c>
      <c r="G47" s="319">
        <v>34</v>
      </c>
      <c r="H47" s="319">
        <v>76.833333333333243</v>
      </c>
      <c r="I47" s="319">
        <v>29.166666666666757</v>
      </c>
      <c r="J47" s="319">
        <v>0</v>
      </c>
      <c r="K47" s="326">
        <v>0</v>
      </c>
      <c r="L47" s="326">
        <v>90.910000000000011</v>
      </c>
      <c r="M47" s="326">
        <v>174.83166666666648</v>
      </c>
      <c r="N47" s="326">
        <v>62.878333333333515</v>
      </c>
      <c r="O47" s="326">
        <v>0</v>
      </c>
      <c r="P47" s="251" t="e">
        <f t="shared" si="8"/>
        <v>#DIV/0!</v>
      </c>
      <c r="Q47" s="251">
        <f t="shared" si="9"/>
        <v>2.6738235294117652</v>
      </c>
      <c r="R47" s="251">
        <f t="shared" si="10"/>
        <v>2.2754663774403472</v>
      </c>
      <c r="S47" s="251">
        <f t="shared" si="11"/>
        <v>2.1558285714285712</v>
      </c>
      <c r="T47" s="251" t="e">
        <f t="shared" si="12"/>
        <v>#DIV/0!</v>
      </c>
      <c r="U47" s="315" t="str">
        <f t="shared" si="6"/>
        <v>46_83_10_Local</v>
      </c>
      <c r="V47" s="317">
        <f>IF(U47=observed!V47,0,1)</f>
        <v>0</v>
      </c>
    </row>
    <row r="48" spans="1:22" x14ac:dyDescent="0.3">
      <c r="A48" s="5">
        <f>VLOOKUP($B48,observed!$A$2:$B$139,2,FALSE)</f>
        <v>47</v>
      </c>
      <c r="B48" s="5" t="str">
        <f t="shared" si="7"/>
        <v>10_84</v>
      </c>
      <c r="C48" s="5">
        <v>84</v>
      </c>
      <c r="D48" s="5">
        <v>10</v>
      </c>
      <c r="E48" s="5" t="s">
        <v>0</v>
      </c>
      <c r="F48" s="319">
        <v>0</v>
      </c>
      <c r="G48" s="319">
        <v>42</v>
      </c>
      <c r="H48" s="319">
        <v>47.826086956521593</v>
      </c>
      <c r="I48" s="319">
        <v>31.173913043478407</v>
      </c>
      <c r="J48" s="319">
        <v>0</v>
      </c>
      <c r="K48" s="326">
        <v>0</v>
      </c>
      <c r="L48" s="326">
        <v>132.22</v>
      </c>
      <c r="M48" s="326">
        <v>137.21652173913</v>
      </c>
      <c r="N48" s="326">
        <v>102.20347826086999</v>
      </c>
      <c r="O48" s="326">
        <v>0</v>
      </c>
      <c r="P48" s="251" t="e">
        <f t="shared" si="8"/>
        <v>#DIV/0!</v>
      </c>
      <c r="Q48" s="251">
        <f t="shared" si="9"/>
        <v>3.1480952380952383</v>
      </c>
      <c r="R48" s="251">
        <f t="shared" si="10"/>
        <v>2.869072727272727</v>
      </c>
      <c r="S48" s="251">
        <f t="shared" si="11"/>
        <v>3.2784937238493703</v>
      </c>
      <c r="T48" s="251" t="e">
        <f t="shared" si="12"/>
        <v>#DIV/0!</v>
      </c>
      <c r="U48" s="315" t="str">
        <f t="shared" si="6"/>
        <v>47_84_10_Local</v>
      </c>
      <c r="V48" s="317">
        <f>IF(U48=observed!V48,0,1)</f>
        <v>0</v>
      </c>
    </row>
    <row r="49" spans="1:23" x14ac:dyDescent="0.3">
      <c r="A49" s="5">
        <f>VLOOKUP($B49,observed!$A$2:$B$139,2,FALSE)</f>
        <v>48</v>
      </c>
      <c r="B49" s="5" t="str">
        <f t="shared" si="7"/>
        <v>10_88</v>
      </c>
      <c r="C49" s="5">
        <v>88</v>
      </c>
      <c r="D49" s="5">
        <v>10</v>
      </c>
      <c r="E49" s="5" t="s">
        <v>0</v>
      </c>
      <c r="F49" s="319">
        <v>2.2222222222222223</v>
      </c>
      <c r="G49" s="319">
        <v>83.777777777777771</v>
      </c>
      <c r="H49" s="319">
        <v>117.9999999999996</v>
      </c>
      <c r="I49" s="319">
        <v>78.111111111111597</v>
      </c>
      <c r="J49" s="319">
        <v>35.8888888888888</v>
      </c>
      <c r="K49" s="326">
        <v>5.45</v>
      </c>
      <c r="L49" s="326">
        <v>165.93499999999997</v>
      </c>
      <c r="M49" s="326">
        <v>190.73409090909033</v>
      </c>
      <c r="N49" s="326">
        <v>109.1942424242431</v>
      </c>
      <c r="O49" s="326">
        <v>69.696666666666573</v>
      </c>
      <c r="P49" s="251">
        <f t="shared" si="8"/>
        <v>2.4525000000000001</v>
      </c>
      <c r="Q49" s="251">
        <f t="shared" si="9"/>
        <v>1.9806564986737398</v>
      </c>
      <c r="R49" s="251">
        <f t="shared" si="10"/>
        <v>1.6163906009244997</v>
      </c>
      <c r="S49" s="251">
        <f t="shared" si="11"/>
        <v>1.3979348247769301</v>
      </c>
      <c r="T49" s="251">
        <f t="shared" si="12"/>
        <v>1.9420123839009309</v>
      </c>
      <c r="U49" s="315" t="str">
        <f t="shared" si="6"/>
        <v>48_88_10_Local</v>
      </c>
      <c r="V49" s="317">
        <f>IF(U49=observed!V49,0,1)</f>
        <v>0</v>
      </c>
    </row>
    <row r="50" spans="1:23" x14ac:dyDescent="0.3">
      <c r="A50" s="5">
        <f>VLOOKUP($B50,observed!$A$2:$B$139,2,FALSE)</f>
        <v>49</v>
      </c>
      <c r="B50" s="5" t="str">
        <f t="shared" si="7"/>
        <v>10_105</v>
      </c>
      <c r="C50" s="5">
        <v>105</v>
      </c>
      <c r="D50" s="5">
        <v>10</v>
      </c>
      <c r="E50" s="5" t="s">
        <v>0</v>
      </c>
      <c r="F50" s="319">
        <v>29.080412517780935</v>
      </c>
      <c r="G50" s="319">
        <v>280.50295428983003</v>
      </c>
      <c r="H50" s="319">
        <v>559.90853336255282</v>
      </c>
      <c r="I50" s="319">
        <v>281.81955158422272</v>
      </c>
      <c r="J50" s="319">
        <v>101.85854824561351</v>
      </c>
      <c r="K50" s="326">
        <v>161.39750355618779</v>
      </c>
      <c r="L50" s="326">
        <v>1209.045842109774</v>
      </c>
      <c r="M50" s="326">
        <v>2163.0874314185508</v>
      </c>
      <c r="N50" s="326">
        <v>1176.4500756723824</v>
      </c>
      <c r="O50" s="326">
        <v>411.65914724310517</v>
      </c>
      <c r="P50" s="251">
        <f t="shared" si="8"/>
        <v>5.5500417491499769</v>
      </c>
      <c r="Q50" s="251">
        <f t="shared" si="9"/>
        <v>4.3102784609552662</v>
      </c>
      <c r="R50" s="251">
        <f t="shared" si="10"/>
        <v>3.863287130896262</v>
      </c>
      <c r="S50" s="251">
        <f t="shared" si="11"/>
        <v>4.174479978621342</v>
      </c>
      <c r="T50" s="251">
        <f t="shared" si="12"/>
        <v>4.0414786420327085</v>
      </c>
      <c r="U50" s="315" t="str">
        <f t="shared" si="6"/>
        <v>49_105_10_Local</v>
      </c>
      <c r="V50" s="317">
        <f>IF(U50=observed!V50,0,1)</f>
        <v>0</v>
      </c>
    </row>
    <row r="51" spans="1:23" x14ac:dyDescent="0.3">
      <c r="A51" s="5">
        <f>VLOOKUP($B51,observed!$A$2:$B$139,2,FALSE)</f>
        <v>50</v>
      </c>
      <c r="B51" s="5" t="str">
        <f t="shared" si="7"/>
        <v>10_115</v>
      </c>
      <c r="C51" s="5">
        <v>115</v>
      </c>
      <c r="D51" s="5">
        <v>10</v>
      </c>
      <c r="E51" s="5" t="s">
        <v>0</v>
      </c>
      <c r="F51" s="319">
        <v>1.1999999999999935</v>
      </c>
      <c r="G51" s="319">
        <v>284.71533259423512</v>
      </c>
      <c r="H51" s="319">
        <v>660.47032397142061</v>
      </c>
      <c r="I51" s="319">
        <v>302.69053391053524</v>
      </c>
      <c r="J51" s="319">
        <v>83.553809523809235</v>
      </c>
      <c r="K51" s="326">
        <v>3.6719999999999802</v>
      </c>
      <c r="L51" s="326">
        <v>1233.533975609756</v>
      </c>
      <c r="M51" s="326">
        <v>2946.3730056312211</v>
      </c>
      <c r="N51" s="326">
        <v>1398.2938759018816</v>
      </c>
      <c r="O51" s="326">
        <v>473.93714285714151</v>
      </c>
      <c r="P51" s="251">
        <f t="shared" si="8"/>
        <v>3.06</v>
      </c>
      <c r="Q51" s="251">
        <f t="shared" si="9"/>
        <v>4.3325168489177894</v>
      </c>
      <c r="R51" s="251">
        <f t="shared" si="10"/>
        <v>4.4610225451381735</v>
      </c>
      <c r="S51" s="251">
        <f t="shared" si="11"/>
        <v>4.6195494052521919</v>
      </c>
      <c r="T51" s="251">
        <f t="shared" si="12"/>
        <v>5.6722385916119098</v>
      </c>
      <c r="U51" s="315" t="str">
        <f t="shared" si="6"/>
        <v>50_115_10_Local</v>
      </c>
      <c r="V51" s="317">
        <f>IF(U51=observed!V51,0,1)</f>
        <v>0</v>
      </c>
    </row>
    <row r="52" spans="1:23" x14ac:dyDescent="0.3">
      <c r="A52" s="308">
        <f>VLOOKUP($B52,observed!$A$2:$B$139,2,FALSE)</f>
        <v>51</v>
      </c>
      <c r="B52" s="308" t="str">
        <f t="shared" si="7"/>
        <v>10_101</v>
      </c>
      <c r="C52" s="308">
        <v>101</v>
      </c>
      <c r="D52" s="308">
        <v>10</v>
      </c>
      <c r="E52" s="308" t="s">
        <v>0</v>
      </c>
      <c r="F52" s="321">
        <v>41.27486752136754</v>
      </c>
      <c r="G52" s="321">
        <v>510.21981081893097</v>
      </c>
      <c r="H52" s="321">
        <v>1177.753856550672</v>
      </c>
      <c r="I52" s="321">
        <v>654.05046732413268</v>
      </c>
      <c r="J52" s="321">
        <v>215.47099778489633</v>
      </c>
      <c r="K52" s="328">
        <v>309.39835958485963</v>
      </c>
      <c r="L52" s="328">
        <v>3516.1962036285568</v>
      </c>
      <c r="M52" s="328">
        <v>8029.9338178474591</v>
      </c>
      <c r="N52" s="328">
        <v>4544.3732963801549</v>
      </c>
      <c r="O52" s="328">
        <v>1641.2083225589715</v>
      </c>
      <c r="P52" s="334">
        <f t="shared" si="8"/>
        <v>7.4960473083211605</v>
      </c>
      <c r="Q52" s="334">
        <f t="shared" si="9"/>
        <v>6.891532098655416</v>
      </c>
      <c r="R52" s="334">
        <f t="shared" si="10"/>
        <v>6.8180068128709008</v>
      </c>
      <c r="S52" s="334">
        <f t="shared" si="11"/>
        <v>6.9480468609283417</v>
      </c>
      <c r="T52" s="334">
        <f t="shared" si="12"/>
        <v>7.6168409643574488</v>
      </c>
      <c r="U52" s="315" t="str">
        <f t="shared" si="6"/>
        <v>51_101_10_Local</v>
      </c>
      <c r="V52" s="317">
        <f>IF(U52=observed!V52,0,1)</f>
        <v>0</v>
      </c>
      <c r="W52" s="309"/>
    </row>
    <row r="53" spans="1:23" x14ac:dyDescent="0.3">
      <c r="A53" s="5">
        <f>VLOOKUP($B53,observed!$A$2:$B$139,2,FALSE)</f>
        <v>53</v>
      </c>
      <c r="B53" s="5" t="str">
        <f t="shared" si="7"/>
        <v>10_302</v>
      </c>
      <c r="C53" s="5">
        <v>302</v>
      </c>
      <c r="D53" s="5">
        <v>10</v>
      </c>
      <c r="E53" s="5" t="s">
        <v>0</v>
      </c>
      <c r="F53" s="319">
        <v>59.934355400696866</v>
      </c>
      <c r="G53" s="319">
        <v>417.56861818420884</v>
      </c>
      <c r="H53" s="319">
        <v>1210.1789158125807</v>
      </c>
      <c r="I53" s="319">
        <v>583.55349121409552</v>
      </c>
      <c r="J53" s="319">
        <v>271.34461938841844</v>
      </c>
      <c r="K53" s="326">
        <v>214.98023892483823</v>
      </c>
      <c r="L53" s="326">
        <v>1571.9555422072378</v>
      </c>
      <c r="M53" s="326">
        <v>4504.5534449578572</v>
      </c>
      <c r="N53" s="326">
        <v>2068.598516265306</v>
      </c>
      <c r="O53" s="326">
        <v>1127.4722576447605</v>
      </c>
      <c r="P53" s="251">
        <f t="shared" si="8"/>
        <v>3.5869283566590027</v>
      </c>
      <c r="Q53" s="251">
        <f t="shared" si="9"/>
        <v>3.7645442539309202</v>
      </c>
      <c r="R53" s="251">
        <f t="shared" si="10"/>
        <v>3.7222210584732029</v>
      </c>
      <c r="S53" s="251">
        <f t="shared" si="11"/>
        <v>3.544831017909845</v>
      </c>
      <c r="T53" s="251">
        <f t="shared" si="12"/>
        <v>4.1551303290478421</v>
      </c>
      <c r="U53" s="315" t="str">
        <f t="shared" si="6"/>
        <v>53_302_10_Local</v>
      </c>
      <c r="V53" s="317">
        <f>IF(U53=observed!V54,0,1)</f>
        <v>0</v>
      </c>
    </row>
    <row r="54" spans="1:23" x14ac:dyDescent="0.3">
      <c r="A54" s="5">
        <f>VLOOKUP($B54,observed!$A$2:$B$139,2,FALSE)</f>
        <v>54</v>
      </c>
      <c r="B54" s="5" t="str">
        <f t="shared" si="7"/>
        <v>10_303</v>
      </c>
      <c r="C54" s="5">
        <v>303</v>
      </c>
      <c r="D54" s="5">
        <v>10</v>
      </c>
      <c r="E54" s="5" t="s">
        <v>0</v>
      </c>
      <c r="F54" s="319">
        <v>198.48155273739565</v>
      </c>
      <c r="G54" s="319">
        <v>964.77575365428004</v>
      </c>
      <c r="H54" s="319">
        <v>2218.1185723350309</v>
      </c>
      <c r="I54" s="319">
        <v>1120.4839718336927</v>
      </c>
      <c r="J54" s="319">
        <v>460.81014943960025</v>
      </c>
      <c r="K54" s="326">
        <v>727.69140736158363</v>
      </c>
      <c r="L54" s="326">
        <v>2997.3643433816337</v>
      </c>
      <c r="M54" s="326">
        <v>6891.421494836789</v>
      </c>
      <c r="N54" s="326">
        <v>3636.9359300115284</v>
      </c>
      <c r="O54" s="326">
        <v>1759.696824408464</v>
      </c>
      <c r="P54" s="251">
        <f t="shared" si="8"/>
        <v>3.6662923950638775</v>
      </c>
      <c r="Q54" s="251">
        <f t="shared" si="9"/>
        <v>3.106798996583942</v>
      </c>
      <c r="R54" s="251">
        <f t="shared" si="10"/>
        <v>3.1068769635620224</v>
      </c>
      <c r="S54" s="251">
        <f t="shared" si="11"/>
        <v>3.245861628934875</v>
      </c>
      <c r="T54" s="251">
        <f t="shared" si="12"/>
        <v>3.8187024017341282</v>
      </c>
      <c r="U54" s="315" t="str">
        <f t="shared" si="6"/>
        <v>54_303_10_Local</v>
      </c>
      <c r="V54" s="317">
        <f>IF(U54=observed!V55,0,1)</f>
        <v>0</v>
      </c>
    </row>
    <row r="55" spans="1:23" x14ac:dyDescent="0.3">
      <c r="A55" s="5">
        <f>VLOOKUP($B55,observed!$A$2:$B$139,2,FALSE)</f>
        <v>55</v>
      </c>
      <c r="B55" s="5" t="str">
        <f t="shared" si="7"/>
        <v>10_304</v>
      </c>
      <c r="C55" s="5">
        <v>304</v>
      </c>
      <c r="D55" s="5">
        <v>10</v>
      </c>
      <c r="E55" s="5" t="s">
        <v>0</v>
      </c>
      <c r="F55" s="319">
        <v>37.133015643191946</v>
      </c>
      <c r="G55" s="319">
        <v>288.7640495741993</v>
      </c>
      <c r="H55" s="319">
        <v>375.82670177428599</v>
      </c>
      <c r="I55" s="319">
        <v>239.52407105863745</v>
      </c>
      <c r="J55" s="319">
        <v>44.662161949685341</v>
      </c>
      <c r="K55" s="326">
        <v>198.43461692091839</v>
      </c>
      <c r="L55" s="326">
        <v>1482.3419161363624</v>
      </c>
      <c r="M55" s="326">
        <v>1760.2289763609087</v>
      </c>
      <c r="N55" s="326">
        <v>1227.6376548899875</v>
      </c>
      <c r="O55" s="326">
        <v>234.14683569182282</v>
      </c>
      <c r="P55" s="251">
        <f t="shared" si="8"/>
        <v>5.3438863901510203</v>
      </c>
      <c r="Q55" s="251">
        <f t="shared" si="9"/>
        <v>5.1334018840716791</v>
      </c>
      <c r="R55" s="251">
        <f t="shared" si="10"/>
        <v>4.6836187212106797</v>
      </c>
      <c r="S55" s="251">
        <f t="shared" si="11"/>
        <v>5.1253205970662208</v>
      </c>
      <c r="T55" s="251">
        <f t="shared" si="12"/>
        <v>5.2426220646372554</v>
      </c>
      <c r="U55" s="315" t="str">
        <f t="shared" si="6"/>
        <v>55_304_10_Local</v>
      </c>
      <c r="V55" s="317">
        <f>IF(U55=observed!V56,0,1)</f>
        <v>0</v>
      </c>
    </row>
    <row r="56" spans="1:23" x14ac:dyDescent="0.3">
      <c r="A56" s="5">
        <f>VLOOKUP($B56,observed!$A$2:$B$139,2,FALSE)</f>
        <v>56</v>
      </c>
      <c r="B56" s="5" t="str">
        <f t="shared" si="7"/>
        <v>10_305</v>
      </c>
      <c r="C56" s="5">
        <v>305</v>
      </c>
      <c r="D56" s="5">
        <v>10</v>
      </c>
      <c r="E56" s="5" t="s">
        <v>0</v>
      </c>
      <c r="F56" s="319">
        <v>78.964999999999989</v>
      </c>
      <c r="G56" s="319">
        <v>463.45296718687473</v>
      </c>
      <c r="H56" s="319">
        <v>935.10782640002458</v>
      </c>
      <c r="I56" s="319">
        <v>434.2642165243243</v>
      </c>
      <c r="J56" s="319">
        <v>215.25998988877618</v>
      </c>
      <c r="K56" s="326">
        <v>337.73050000000001</v>
      </c>
      <c r="L56" s="326">
        <v>1520.1883275310126</v>
      </c>
      <c r="M56" s="326">
        <v>3114.8235069393918</v>
      </c>
      <c r="N56" s="326">
        <v>1515.7249658329345</v>
      </c>
      <c r="O56" s="326">
        <v>1046.202699696662</v>
      </c>
      <c r="P56" s="251">
        <f t="shared" si="8"/>
        <v>4.2769644779332623</v>
      </c>
      <c r="Q56" s="251">
        <f t="shared" si="9"/>
        <v>3.2801350625899399</v>
      </c>
      <c r="R56" s="251">
        <f t="shared" si="10"/>
        <v>3.3309779032978799</v>
      </c>
      <c r="S56" s="251">
        <f t="shared" si="11"/>
        <v>3.4903289475798536</v>
      </c>
      <c r="T56" s="251">
        <f t="shared" si="12"/>
        <v>4.8601818676904607</v>
      </c>
      <c r="U56" s="315" t="str">
        <f t="shared" si="6"/>
        <v>56_305_10_Local</v>
      </c>
      <c r="V56" s="317">
        <f>IF(U56=observed!V57,0,1)</f>
        <v>0</v>
      </c>
    </row>
    <row r="57" spans="1:23" x14ac:dyDescent="0.3">
      <c r="A57" s="5">
        <f>VLOOKUP($B57,observed!$A$2:$B$139,2,FALSE)</f>
        <v>57</v>
      </c>
      <c r="B57" s="5" t="str">
        <f t="shared" si="7"/>
        <v>10_306</v>
      </c>
      <c r="C57" s="5">
        <v>306</v>
      </c>
      <c r="D57" s="5">
        <v>10</v>
      </c>
      <c r="E57" s="5" t="s">
        <v>0</v>
      </c>
      <c r="F57" s="319">
        <v>39.538989547038312</v>
      </c>
      <c r="G57" s="319">
        <v>248.15276447475719</v>
      </c>
      <c r="H57" s="319">
        <v>348.18824597820452</v>
      </c>
      <c r="I57" s="319">
        <v>213.99697674418658</v>
      </c>
      <c r="J57" s="319">
        <v>80.223023255813459</v>
      </c>
      <c r="K57" s="326">
        <v>247.1569686411149</v>
      </c>
      <c r="L57" s="326">
        <v>1581.4525746904885</v>
      </c>
      <c r="M57" s="326">
        <v>2257.3104566683965</v>
      </c>
      <c r="N57" s="326">
        <v>1607.8267441860503</v>
      </c>
      <c r="O57" s="326">
        <v>616.81325581394981</v>
      </c>
      <c r="P57" s="251">
        <f t="shared" si="8"/>
        <v>6.2509682587381228</v>
      </c>
      <c r="Q57" s="251">
        <f t="shared" si="9"/>
        <v>6.3728992825762312</v>
      </c>
      <c r="R57" s="251">
        <f t="shared" si="10"/>
        <v>6.4830173986105688</v>
      </c>
      <c r="S57" s="251">
        <f t="shared" si="11"/>
        <v>7.5133152283177216</v>
      </c>
      <c r="T57" s="251">
        <f t="shared" si="12"/>
        <v>7.6887311245684282</v>
      </c>
      <c r="U57" s="315" t="str">
        <f t="shared" si="6"/>
        <v>57_306_10_Local</v>
      </c>
      <c r="V57" s="317">
        <f>IF(U57=observed!V58,0,1)</f>
        <v>0</v>
      </c>
    </row>
    <row r="58" spans="1:23" x14ac:dyDescent="0.3">
      <c r="A58" s="5">
        <f>VLOOKUP($B58,observed!$A$2:$B$139,2,FALSE)</f>
        <v>58</v>
      </c>
      <c r="B58" s="5" t="str">
        <f t="shared" si="7"/>
        <v>10_308</v>
      </c>
      <c r="C58" s="5">
        <v>308</v>
      </c>
      <c r="D58" s="5">
        <v>10</v>
      </c>
      <c r="E58" s="5" t="s">
        <v>0</v>
      </c>
      <c r="F58" s="319">
        <v>6</v>
      </c>
      <c r="G58" s="319">
        <v>150.15999999999997</v>
      </c>
      <c r="H58" s="319">
        <v>173.46882415254211</v>
      </c>
      <c r="I58" s="319">
        <v>137.55117584745787</v>
      </c>
      <c r="J58" s="319">
        <v>20.79</v>
      </c>
      <c r="K58" s="326">
        <v>41.41</v>
      </c>
      <c r="L58" s="326">
        <v>742.25</v>
      </c>
      <c r="M58" s="326">
        <v>900.1841737288122</v>
      </c>
      <c r="N58" s="326">
        <v>674.2058262711879</v>
      </c>
      <c r="O58" s="326">
        <v>93.37</v>
      </c>
      <c r="P58" s="251">
        <f t="shared" si="8"/>
        <v>6.9016666666666664</v>
      </c>
      <c r="Q58" s="251">
        <f t="shared" si="9"/>
        <v>4.9430607352157709</v>
      </c>
      <c r="R58" s="251">
        <f t="shared" si="10"/>
        <v>5.1893138615917707</v>
      </c>
      <c r="S58" s="251">
        <f t="shared" si="11"/>
        <v>4.901490824177845</v>
      </c>
      <c r="T58" s="251">
        <f t="shared" si="12"/>
        <v>4.4911014911014915</v>
      </c>
      <c r="U58" s="315" t="str">
        <f t="shared" si="6"/>
        <v>58_308_10_Local</v>
      </c>
      <c r="V58" s="317">
        <f>IF(U58=observed!V59,0,1)</f>
        <v>0</v>
      </c>
    </row>
    <row r="59" spans="1:23" x14ac:dyDescent="0.3">
      <c r="A59" s="5">
        <f>VLOOKUP($B59,observed!$A$2:$B$139,2,FALSE)</f>
        <v>59</v>
      </c>
      <c r="B59" s="5" t="str">
        <f t="shared" si="7"/>
        <v>10_309</v>
      </c>
      <c r="C59" s="5">
        <v>309</v>
      </c>
      <c r="D59" s="5">
        <v>10</v>
      </c>
      <c r="E59" s="5" t="s">
        <v>0</v>
      </c>
      <c r="F59" s="319">
        <v>23.572328042328046</v>
      </c>
      <c r="G59" s="319">
        <v>286.23406107056695</v>
      </c>
      <c r="H59" s="319">
        <v>777.86192967316015</v>
      </c>
      <c r="I59" s="319">
        <v>453.69552910551153</v>
      </c>
      <c r="J59" s="319">
        <v>176.18615210843319</v>
      </c>
      <c r="K59" s="326">
        <v>122.9195802469136</v>
      </c>
      <c r="L59" s="326">
        <v>1520.8041794105072</v>
      </c>
      <c r="M59" s="326">
        <v>3669.4304493634772</v>
      </c>
      <c r="N59" s="326">
        <v>2470.4171840513941</v>
      </c>
      <c r="O59" s="326">
        <v>997.84860692770803</v>
      </c>
      <c r="P59" s="251">
        <f t="shared" si="8"/>
        <v>5.2145710863259236</v>
      </c>
      <c r="Q59" s="251">
        <f t="shared" si="9"/>
        <v>5.3131488744645754</v>
      </c>
      <c r="R59" s="251">
        <f t="shared" si="10"/>
        <v>4.7173287564096213</v>
      </c>
      <c r="S59" s="251">
        <f t="shared" si="11"/>
        <v>5.4450992473343796</v>
      </c>
      <c r="T59" s="251">
        <f t="shared" si="12"/>
        <v>5.6636040630116344</v>
      </c>
      <c r="U59" s="315" t="str">
        <f t="shared" si="6"/>
        <v>59_309_10_Local</v>
      </c>
      <c r="V59" s="317">
        <f>IF(U59=observed!V60,0,1)</f>
        <v>0</v>
      </c>
    </row>
    <row r="60" spans="1:23" x14ac:dyDescent="0.3">
      <c r="A60" s="5">
        <f>VLOOKUP($B60,observed!$A$2:$B$139,2,FALSE)</f>
        <v>60</v>
      </c>
      <c r="B60" s="5" t="str">
        <f t="shared" si="7"/>
        <v>10_311</v>
      </c>
      <c r="C60" s="5">
        <v>311</v>
      </c>
      <c r="D60" s="5">
        <v>10</v>
      </c>
      <c r="E60" s="5" t="s">
        <v>0</v>
      </c>
      <c r="F60" s="319">
        <v>4.7799743589743455</v>
      </c>
      <c r="G60" s="319">
        <v>161.84002564102565</v>
      </c>
      <c r="H60" s="319">
        <v>127.07999999999981</v>
      </c>
      <c r="I60" s="319">
        <v>40.420000000000179</v>
      </c>
      <c r="J60" s="319">
        <v>0</v>
      </c>
      <c r="K60" s="326">
        <v>19.291153846153787</v>
      </c>
      <c r="L60" s="326">
        <v>648.82884615384626</v>
      </c>
      <c r="M60" s="326">
        <v>445.83766666666588</v>
      </c>
      <c r="N60" s="326">
        <v>154.61233333333411</v>
      </c>
      <c r="O60" s="326">
        <v>0</v>
      </c>
      <c r="P60" s="251">
        <f t="shared" si="8"/>
        <v>4.035827893079567</v>
      </c>
      <c r="Q60" s="251">
        <f t="shared" si="9"/>
        <v>4.0090752802585525</v>
      </c>
      <c r="R60" s="251">
        <f t="shared" si="10"/>
        <v>3.5083228412548517</v>
      </c>
      <c r="S60" s="251">
        <f t="shared" si="11"/>
        <v>3.8251443179943942</v>
      </c>
      <c r="T60" s="251" t="e">
        <f t="shared" si="12"/>
        <v>#DIV/0!</v>
      </c>
      <c r="U60" s="315" t="str">
        <f t="shared" si="6"/>
        <v>60_311_10_Local</v>
      </c>
      <c r="V60" s="317">
        <f>IF(U60=observed!V61,0,1)</f>
        <v>0</v>
      </c>
    </row>
    <row r="61" spans="1:23" x14ac:dyDescent="0.3">
      <c r="A61" s="5">
        <f>VLOOKUP($B61,observed!$A$2:$B$139,2,FALSE)</f>
        <v>61</v>
      </c>
      <c r="B61" s="5" t="str">
        <f t="shared" si="7"/>
        <v>10_313</v>
      </c>
      <c r="C61" s="5">
        <v>313</v>
      </c>
      <c r="D61" s="5">
        <v>10</v>
      </c>
      <c r="E61" s="5" t="s">
        <v>0</v>
      </c>
      <c r="F61" s="319">
        <v>5.6218604651162751</v>
      </c>
      <c r="G61" s="319">
        <v>94.30991731266154</v>
      </c>
      <c r="H61" s="319">
        <v>198.85822991452963</v>
      </c>
      <c r="I61" s="319">
        <v>87.659992307692576</v>
      </c>
      <c r="J61" s="319">
        <v>13.67</v>
      </c>
      <c r="K61" s="326">
        <v>16.518139534883712</v>
      </c>
      <c r="L61" s="326">
        <v>295.80074935400535</v>
      </c>
      <c r="M61" s="326">
        <v>633.83523418803316</v>
      </c>
      <c r="N61" s="326">
        <v>236.39587692307771</v>
      </c>
      <c r="O61" s="326">
        <v>30.93</v>
      </c>
      <c r="P61" s="251">
        <f t="shared" si="8"/>
        <v>2.9381980640357415</v>
      </c>
      <c r="Q61" s="251">
        <f t="shared" si="9"/>
        <v>3.1364755455499984</v>
      </c>
      <c r="R61" s="251">
        <f t="shared" si="10"/>
        <v>3.1873724032465693</v>
      </c>
      <c r="S61" s="251">
        <f t="shared" si="11"/>
        <v>2.6967362270956174</v>
      </c>
      <c r="T61" s="251">
        <f t="shared" si="12"/>
        <v>2.2626188734455011</v>
      </c>
      <c r="U61" s="315" t="str">
        <f t="shared" si="6"/>
        <v>61_313_10_Local</v>
      </c>
      <c r="V61" s="317">
        <f>IF(U61=observed!V62,0,1)</f>
        <v>0</v>
      </c>
    </row>
    <row r="62" spans="1:23" x14ac:dyDescent="0.3">
      <c r="A62" s="5">
        <f>VLOOKUP($B62,observed!$A$2:$B$139,2,FALSE)</f>
        <v>62</v>
      </c>
      <c r="B62" s="5" t="str">
        <f t="shared" si="7"/>
        <v>10_315</v>
      </c>
      <c r="C62" s="5">
        <v>315</v>
      </c>
      <c r="D62" s="5">
        <v>10</v>
      </c>
      <c r="E62" s="5" t="s">
        <v>0</v>
      </c>
      <c r="F62" s="319">
        <v>22.192781954887224</v>
      </c>
      <c r="G62" s="319">
        <v>92.544506180705994</v>
      </c>
      <c r="H62" s="319">
        <v>128.15036025332688</v>
      </c>
      <c r="I62" s="319">
        <v>85.235442520171006</v>
      </c>
      <c r="J62" s="319">
        <v>35.196909090908918</v>
      </c>
      <c r="K62" s="326">
        <v>86.896823308270683</v>
      </c>
      <c r="L62" s="326">
        <v>319.27860042054289</v>
      </c>
      <c r="M62" s="326">
        <v>426.13718226327165</v>
      </c>
      <c r="N62" s="326">
        <v>355.32521218973363</v>
      </c>
      <c r="O62" s="326">
        <v>122.60218181818126</v>
      </c>
      <c r="P62" s="251">
        <f t="shared" si="8"/>
        <v>3.9155444092097946</v>
      </c>
      <c r="Q62" s="251">
        <f t="shared" si="9"/>
        <v>3.4500005845523352</v>
      </c>
      <c r="R62" s="251">
        <f t="shared" si="10"/>
        <v>3.3252905526046606</v>
      </c>
      <c r="S62" s="251">
        <f t="shared" si="11"/>
        <v>4.1687495445998977</v>
      </c>
      <c r="T62" s="251">
        <f t="shared" si="12"/>
        <v>3.4833223991776152</v>
      </c>
      <c r="U62" s="315" t="str">
        <f t="shared" si="6"/>
        <v>62_315_10_Local</v>
      </c>
      <c r="V62" s="317">
        <f>IF(U62=observed!V63,0,1)</f>
        <v>0</v>
      </c>
    </row>
    <row r="63" spans="1:23" x14ac:dyDescent="0.3">
      <c r="A63" s="5">
        <f>VLOOKUP($B63,observed!$A$2:$B$139,2,FALSE)</f>
        <v>63</v>
      </c>
      <c r="B63" s="5" t="str">
        <f t="shared" si="7"/>
        <v>10_316</v>
      </c>
      <c r="C63" s="5">
        <v>316</v>
      </c>
      <c r="D63" s="5">
        <v>10</v>
      </c>
      <c r="E63" s="5" t="s">
        <v>0</v>
      </c>
      <c r="F63" s="319">
        <v>1.3750000000000016</v>
      </c>
      <c r="G63" s="319">
        <v>31.941111111111102</v>
      </c>
      <c r="H63" s="319">
        <v>71.480555555555426</v>
      </c>
      <c r="I63" s="319">
        <v>22.153333333333471</v>
      </c>
      <c r="J63" s="319">
        <v>0</v>
      </c>
      <c r="K63" s="326">
        <v>2.1381250000000023</v>
      </c>
      <c r="L63" s="326">
        <v>55.922986111111101</v>
      </c>
      <c r="M63" s="326">
        <v>101.65944444444432</v>
      </c>
      <c r="N63" s="326">
        <v>30.539444444444591</v>
      </c>
      <c r="O63" s="326">
        <v>0</v>
      </c>
      <c r="P63" s="251">
        <f t="shared" si="8"/>
        <v>1.5549999999999999</v>
      </c>
      <c r="Q63" s="251">
        <f t="shared" si="9"/>
        <v>1.7508153024663444</v>
      </c>
      <c r="R63" s="251">
        <f t="shared" si="10"/>
        <v>1.4221971787199323</v>
      </c>
      <c r="S63" s="251">
        <f t="shared" si="11"/>
        <v>1.3785485003510864</v>
      </c>
      <c r="T63" s="251" t="e">
        <f t="shared" si="12"/>
        <v>#DIV/0!</v>
      </c>
      <c r="U63" s="315" t="str">
        <f t="shared" si="6"/>
        <v>63_316_10_Local</v>
      </c>
      <c r="V63" s="317">
        <f>IF(U63=observed!V64,0,1)</f>
        <v>0</v>
      </c>
    </row>
    <row r="64" spans="1:23" x14ac:dyDescent="0.3">
      <c r="A64" s="5">
        <f>VLOOKUP($B64,observed!$A$2:$B$139,2,FALSE)</f>
        <v>64</v>
      </c>
      <c r="B64" s="5" t="str">
        <f t="shared" si="7"/>
        <v>10_318</v>
      </c>
      <c r="C64" s="5">
        <v>318</v>
      </c>
      <c r="D64" s="5">
        <v>10</v>
      </c>
      <c r="E64" s="5" t="s">
        <v>0</v>
      </c>
      <c r="F64" s="319">
        <v>31.4</v>
      </c>
      <c r="G64" s="319">
        <v>163.48109427609427</v>
      </c>
      <c r="H64" s="319">
        <v>343.63890572390534</v>
      </c>
      <c r="I64" s="319">
        <v>194.29000000000042</v>
      </c>
      <c r="J64" s="319">
        <v>28.89</v>
      </c>
      <c r="K64" s="326">
        <v>116.77000000000001</v>
      </c>
      <c r="L64" s="326">
        <v>528.70596632996626</v>
      </c>
      <c r="M64" s="326">
        <v>1122.884033670033</v>
      </c>
      <c r="N64" s="326">
        <v>601.18000000000086</v>
      </c>
      <c r="O64" s="326">
        <v>100.52000000000001</v>
      </c>
      <c r="P64" s="251">
        <f t="shared" si="8"/>
        <v>3.7187898089171978</v>
      </c>
      <c r="Q64" s="251">
        <f t="shared" si="9"/>
        <v>3.234049592530031</v>
      </c>
      <c r="R64" s="251">
        <f t="shared" si="10"/>
        <v>3.2676277771999644</v>
      </c>
      <c r="S64" s="251">
        <f t="shared" si="11"/>
        <v>3.0942405682227574</v>
      </c>
      <c r="T64" s="251">
        <f t="shared" si="12"/>
        <v>3.4794046382831434</v>
      </c>
      <c r="U64" s="315" t="str">
        <f t="shared" si="6"/>
        <v>64_318_10_Local</v>
      </c>
      <c r="V64" s="317">
        <f>IF(U64=observed!V65,0,1)</f>
        <v>0</v>
      </c>
    </row>
    <row r="65" spans="1:23" x14ac:dyDescent="0.3">
      <c r="A65" s="5">
        <f>VLOOKUP($B65,observed!$A$2:$B$139,2,FALSE)</f>
        <v>65</v>
      </c>
      <c r="B65" s="5" t="str">
        <f t="shared" si="7"/>
        <v>10_323</v>
      </c>
      <c r="C65" s="5">
        <v>323</v>
      </c>
      <c r="D65" s="5">
        <v>10</v>
      </c>
      <c r="E65" s="5" t="s">
        <v>0</v>
      </c>
      <c r="F65" s="319">
        <v>5.2758823529411796</v>
      </c>
      <c r="G65" s="319">
        <v>71.574361549497823</v>
      </c>
      <c r="H65" s="319">
        <v>82.128400165357291</v>
      </c>
      <c r="I65" s="319">
        <v>24.971355932203679</v>
      </c>
      <c r="J65" s="319">
        <v>0</v>
      </c>
      <c r="K65" s="326">
        <v>7.4523529411764748</v>
      </c>
      <c r="L65" s="326">
        <v>221.53154949784789</v>
      </c>
      <c r="M65" s="326">
        <v>240.89200665188372</v>
      </c>
      <c r="N65" s="326">
        <v>58.544090909091892</v>
      </c>
      <c r="O65" s="326">
        <v>0</v>
      </c>
      <c r="P65" s="251">
        <f t="shared" si="8"/>
        <v>1.4125320548556137</v>
      </c>
      <c r="Q65" s="251">
        <f t="shared" si="9"/>
        <v>3.0951243532175412</v>
      </c>
      <c r="R65" s="251">
        <f t="shared" si="10"/>
        <v>2.9331145641078096</v>
      </c>
      <c r="S65" s="251">
        <f t="shared" si="11"/>
        <v>2.3444498195467225</v>
      </c>
      <c r="T65" s="251" t="e">
        <f t="shared" si="12"/>
        <v>#DIV/0!</v>
      </c>
      <c r="U65" s="315" t="str">
        <f t="shared" si="6"/>
        <v>65_323_10_Local</v>
      </c>
      <c r="V65" s="317">
        <f>IF(U65=observed!V66,0,1)</f>
        <v>0</v>
      </c>
    </row>
    <row r="66" spans="1:23" x14ac:dyDescent="0.3">
      <c r="A66" s="5">
        <f>VLOOKUP($B66,observed!$A$2:$B$139,2,FALSE)</f>
        <v>66</v>
      </c>
      <c r="B66" s="5" t="str">
        <f t="shared" ref="B66:B97" si="13">CONCATENATE(D66,"_",C66)</f>
        <v>10_325</v>
      </c>
      <c r="C66" s="5">
        <v>325</v>
      </c>
      <c r="D66" s="5">
        <v>10</v>
      </c>
      <c r="E66" s="5" t="s">
        <v>0</v>
      </c>
      <c r="F66" s="319">
        <v>12.029434782608696</v>
      </c>
      <c r="G66" s="319">
        <v>112.04171883972691</v>
      </c>
      <c r="H66" s="319">
        <v>393.27828241186256</v>
      </c>
      <c r="I66" s="319">
        <v>194.35054767418208</v>
      </c>
      <c r="J66" s="319">
        <v>36.990016291619739</v>
      </c>
      <c r="K66" s="326">
        <v>32.690599033816433</v>
      </c>
      <c r="L66" s="326">
        <v>330.9437597035585</v>
      </c>
      <c r="M66" s="326">
        <v>1071.7391379597216</v>
      </c>
      <c r="N66" s="326">
        <v>519.15803335754879</v>
      </c>
      <c r="O66" s="326">
        <v>104.81846994535454</v>
      </c>
      <c r="P66" s="251">
        <f t="shared" ref="P66:P97" si="14">K66/F66</f>
        <v>2.7175507099534038</v>
      </c>
      <c r="Q66" s="251">
        <f t="shared" ref="Q66:Q97" si="15">L66/G66</f>
        <v>2.9537547543068836</v>
      </c>
      <c r="R66" s="251">
        <f t="shared" ref="R66:R97" si="16">M66/H66</f>
        <v>2.7251419310190581</v>
      </c>
      <c r="S66" s="251">
        <f t="shared" ref="S66:S97" si="17">N66/I66</f>
        <v>2.6712455383860738</v>
      </c>
      <c r="T66" s="251">
        <f t="shared" ref="T66:T97" si="18">O66/J66</f>
        <v>2.8336962362761016</v>
      </c>
      <c r="U66" s="315" t="str">
        <f t="shared" si="6"/>
        <v>66_325_10_Local</v>
      </c>
      <c r="V66" s="317">
        <f>IF(U66=observed!V67,0,1)</f>
        <v>0</v>
      </c>
    </row>
    <row r="67" spans="1:23" x14ac:dyDescent="0.3">
      <c r="A67" s="5">
        <f>VLOOKUP($B67,observed!$A$2:$B$139,2,FALSE)</f>
        <v>67</v>
      </c>
      <c r="B67" s="5" t="str">
        <f t="shared" si="13"/>
        <v>10_332</v>
      </c>
      <c r="C67" s="5">
        <v>332</v>
      </c>
      <c r="D67" s="5">
        <v>10</v>
      </c>
      <c r="E67" s="5" t="s">
        <v>0</v>
      </c>
      <c r="F67" s="319">
        <v>54.51179301252472</v>
      </c>
      <c r="G67" s="319">
        <v>316.86725529665409</v>
      </c>
      <c r="H67" s="319">
        <v>556.84264122097227</v>
      </c>
      <c r="I67" s="319">
        <v>294.68270071375144</v>
      </c>
      <c r="J67" s="319">
        <v>47.665609756097503</v>
      </c>
      <c r="K67" s="326">
        <v>202.09263678312456</v>
      </c>
      <c r="L67" s="326">
        <v>1086.3304767434456</v>
      </c>
      <c r="M67" s="326">
        <v>1882.1285819969203</v>
      </c>
      <c r="N67" s="326">
        <v>1145.1412313057788</v>
      </c>
      <c r="O67" s="326">
        <v>155.08707317073143</v>
      </c>
      <c r="P67" s="251">
        <f t="shared" si="14"/>
        <v>3.70731956545057</v>
      </c>
      <c r="Q67" s="251">
        <f t="shared" si="15"/>
        <v>3.4283456513245993</v>
      </c>
      <c r="R67" s="251">
        <f t="shared" si="16"/>
        <v>3.3800008165143982</v>
      </c>
      <c r="S67" s="251">
        <f t="shared" si="17"/>
        <v>3.8860144437801418</v>
      </c>
      <c r="T67" s="251">
        <f t="shared" si="18"/>
        <v>3.253647104575061</v>
      </c>
      <c r="U67" s="315" t="str">
        <f t="shared" ref="U67:U130" si="19">CONCATENATE(A67,"_",C67,"_",D67,"_",E67)</f>
        <v>67_332_10_Local</v>
      </c>
      <c r="V67" s="317">
        <f>IF(U67=observed!V68,0,1)</f>
        <v>0</v>
      </c>
    </row>
    <row r="68" spans="1:23" x14ac:dyDescent="0.3">
      <c r="A68" s="5">
        <f>VLOOKUP($B68,observed!$A$2:$B$139,2,FALSE)</f>
        <v>68</v>
      </c>
      <c r="B68" s="5" t="str">
        <f t="shared" si="13"/>
        <v>10_334</v>
      </c>
      <c r="C68" s="5">
        <v>334</v>
      </c>
      <c r="D68" s="5">
        <v>10</v>
      </c>
      <c r="E68" s="5" t="s">
        <v>0</v>
      </c>
      <c r="F68" s="319">
        <v>6.58</v>
      </c>
      <c r="G68" s="319">
        <v>50.960769230769223</v>
      </c>
      <c r="H68" s="319">
        <v>89.95766826923068</v>
      </c>
      <c r="I68" s="319">
        <v>46.871562500000202</v>
      </c>
      <c r="J68" s="319">
        <v>6.7999999999999119</v>
      </c>
      <c r="K68" s="326">
        <v>12.25</v>
      </c>
      <c r="L68" s="326">
        <v>69.011153846153832</v>
      </c>
      <c r="M68" s="326">
        <v>155.76603365384599</v>
      </c>
      <c r="N68" s="326">
        <v>67.950590277778062</v>
      </c>
      <c r="O68" s="326">
        <v>10.082222222222086</v>
      </c>
      <c r="P68" s="251">
        <f t="shared" si="14"/>
        <v>1.8617021276595744</v>
      </c>
      <c r="Q68" s="251">
        <f t="shared" si="15"/>
        <v>1.3542015728539298</v>
      </c>
      <c r="R68" s="251">
        <f t="shared" si="16"/>
        <v>1.7315481453750015</v>
      </c>
      <c r="S68" s="251">
        <f t="shared" si="17"/>
        <v>1.4497189053123154</v>
      </c>
      <c r="T68" s="251">
        <f t="shared" si="18"/>
        <v>1.4826797385620907</v>
      </c>
      <c r="U68" s="315" t="str">
        <f t="shared" si="19"/>
        <v>68_334_10_Local</v>
      </c>
      <c r="V68" s="317">
        <f>IF(U68=observed!V69,0,1)</f>
        <v>0</v>
      </c>
    </row>
    <row r="69" spans="1:23" x14ac:dyDescent="0.3">
      <c r="A69" s="5">
        <f>VLOOKUP($B69,observed!$A$2:$B$139,2,FALSE)</f>
        <v>69</v>
      </c>
      <c r="B69" s="5" t="str">
        <f t="shared" si="13"/>
        <v>10_335</v>
      </c>
      <c r="C69" s="5">
        <v>335</v>
      </c>
      <c r="D69" s="5">
        <v>10</v>
      </c>
      <c r="E69" s="5" t="s">
        <v>0</v>
      </c>
      <c r="F69" s="319">
        <v>1.2794117647058811</v>
      </c>
      <c r="G69" s="319">
        <v>27.20058823529412</v>
      </c>
      <c r="H69" s="319">
        <v>5.2384615384614603</v>
      </c>
      <c r="I69" s="319">
        <v>26.831538461538539</v>
      </c>
      <c r="J69" s="319">
        <v>0</v>
      </c>
      <c r="K69" s="326">
        <v>2.7882352941176447</v>
      </c>
      <c r="L69" s="326">
        <v>60.22176470588235</v>
      </c>
      <c r="M69" s="326">
        <v>14.130769230769022</v>
      </c>
      <c r="N69" s="326">
        <v>66.169230769230978</v>
      </c>
      <c r="O69" s="326">
        <v>0</v>
      </c>
      <c r="P69" s="251">
        <f t="shared" si="14"/>
        <v>2.1793103448275866</v>
      </c>
      <c r="Q69" s="251">
        <f t="shared" si="15"/>
        <v>2.213987586773642</v>
      </c>
      <c r="R69" s="251">
        <f t="shared" si="16"/>
        <v>2.6975036710719533</v>
      </c>
      <c r="S69" s="251">
        <f t="shared" si="17"/>
        <v>2.4660990223904138</v>
      </c>
      <c r="T69" s="251" t="e">
        <f t="shared" si="18"/>
        <v>#DIV/0!</v>
      </c>
      <c r="U69" s="315" t="str">
        <f t="shared" si="19"/>
        <v>69_335_10_Local</v>
      </c>
      <c r="V69" s="317">
        <f>IF(U69=observed!V70,0,1)</f>
        <v>0</v>
      </c>
    </row>
    <row r="70" spans="1:23" x14ac:dyDescent="0.3">
      <c r="A70" s="5">
        <f>VLOOKUP($B70,observed!$A$2:$B$139,2,FALSE)</f>
        <v>70</v>
      </c>
      <c r="B70" s="5" t="str">
        <f t="shared" si="13"/>
        <v>10_347</v>
      </c>
      <c r="C70" s="5">
        <v>347</v>
      </c>
      <c r="D70" s="5">
        <v>10</v>
      </c>
      <c r="E70" s="5" t="s">
        <v>0</v>
      </c>
      <c r="F70" s="319">
        <v>4.1818181818181843</v>
      </c>
      <c r="G70" s="319">
        <v>90.706442687747028</v>
      </c>
      <c r="H70" s="319">
        <v>245.3934057971012</v>
      </c>
      <c r="I70" s="319">
        <v>75.003315217391645</v>
      </c>
      <c r="J70" s="319">
        <v>5.385018115941957</v>
      </c>
      <c r="K70" s="326">
        <v>4.7613636363636385</v>
      </c>
      <c r="L70" s="326">
        <v>124.26689723320159</v>
      </c>
      <c r="M70" s="326">
        <v>395.91132246376765</v>
      </c>
      <c r="N70" s="326">
        <v>124.35146739130491</v>
      </c>
      <c r="O70" s="326">
        <v>7.1189492753622208</v>
      </c>
      <c r="P70" s="251">
        <f t="shared" si="14"/>
        <v>1.138586956521739</v>
      </c>
      <c r="Q70" s="251">
        <f t="shared" si="15"/>
        <v>1.3699897554243745</v>
      </c>
      <c r="R70" s="251">
        <f t="shared" si="16"/>
        <v>1.6133739257489228</v>
      </c>
      <c r="S70" s="251">
        <f t="shared" si="17"/>
        <v>1.6579462791862098</v>
      </c>
      <c r="T70" s="251">
        <f t="shared" si="18"/>
        <v>1.3219917040366282</v>
      </c>
      <c r="U70" s="315" t="str">
        <f t="shared" si="19"/>
        <v>70_347_10_Local</v>
      </c>
      <c r="V70" s="317">
        <f>IF(U70=observed!V71,0,1)</f>
        <v>0</v>
      </c>
    </row>
    <row r="71" spans="1:23" x14ac:dyDescent="0.3">
      <c r="A71" s="5">
        <f>VLOOKUP($B71,observed!$A$2:$B$139,2,FALSE)</f>
        <v>71</v>
      </c>
      <c r="B71" s="5" t="str">
        <f t="shared" si="13"/>
        <v>10_351</v>
      </c>
      <c r="C71" s="5">
        <v>351</v>
      </c>
      <c r="D71" s="5">
        <v>10</v>
      </c>
      <c r="E71" s="5" t="s">
        <v>0</v>
      </c>
      <c r="F71" s="319">
        <v>32.249655172413796</v>
      </c>
      <c r="G71" s="319">
        <v>209.57246603970739</v>
      </c>
      <c r="H71" s="319">
        <v>438.2253073593069</v>
      </c>
      <c r="I71" s="319">
        <v>227.75620779220864</v>
      </c>
      <c r="J71" s="319">
        <v>98.706363636363349</v>
      </c>
      <c r="K71" s="326">
        <v>71.057241379310355</v>
      </c>
      <c r="L71" s="326">
        <v>422.49669801462903</v>
      </c>
      <c r="M71" s="326">
        <v>865.07063203463099</v>
      </c>
      <c r="N71" s="326">
        <v>441.9163376623394</v>
      </c>
      <c r="O71" s="326">
        <v>222.08909090909015</v>
      </c>
      <c r="P71" s="251">
        <f t="shared" si="14"/>
        <v>2.203348873016552</v>
      </c>
      <c r="Q71" s="251">
        <f t="shared" si="15"/>
        <v>2.01599335064645</v>
      </c>
      <c r="R71" s="251">
        <f t="shared" si="16"/>
        <v>1.9740316624967251</v>
      </c>
      <c r="S71" s="251">
        <f t="shared" si="17"/>
        <v>1.9403042487672515</v>
      </c>
      <c r="T71" s="251">
        <f t="shared" si="18"/>
        <v>2.2499976974865752</v>
      </c>
      <c r="U71" s="315" t="str">
        <f t="shared" si="19"/>
        <v>71_351_10_Local</v>
      </c>
      <c r="V71" s="317">
        <f>IF(U71=observed!V72,0,1)</f>
        <v>0</v>
      </c>
    </row>
    <row r="72" spans="1:23" x14ac:dyDescent="0.3">
      <c r="A72" s="5">
        <f>VLOOKUP($B72,observed!$A$2:$B$139,2,FALSE)</f>
        <v>72</v>
      </c>
      <c r="B72" s="5" t="str">
        <f t="shared" si="13"/>
        <v>10_352</v>
      </c>
      <c r="C72" s="5">
        <v>352</v>
      </c>
      <c r="D72" s="5">
        <v>10</v>
      </c>
      <c r="E72" s="5" t="s">
        <v>0</v>
      </c>
      <c r="F72" s="319">
        <v>36.803999999999995</v>
      </c>
      <c r="G72" s="319">
        <v>189.79835294117643</v>
      </c>
      <c r="H72" s="319">
        <v>456.49050420168044</v>
      </c>
      <c r="I72" s="319">
        <v>243.36067226890802</v>
      </c>
      <c r="J72" s="319">
        <v>59.046470588235053</v>
      </c>
      <c r="K72" s="326">
        <v>73.22799999999998</v>
      </c>
      <c r="L72" s="326">
        <v>403.11229411764708</v>
      </c>
      <c r="M72" s="326">
        <v>949.13856302520969</v>
      </c>
      <c r="N72" s="326">
        <v>497.40761344537918</v>
      </c>
      <c r="O72" s="326">
        <v>127.94352941176417</v>
      </c>
      <c r="P72" s="251">
        <f t="shared" si="14"/>
        <v>1.9896750353222472</v>
      </c>
      <c r="Q72" s="251">
        <f t="shared" si="15"/>
        <v>2.1238977465867808</v>
      </c>
      <c r="R72" s="251">
        <f t="shared" si="16"/>
        <v>2.0792076818445149</v>
      </c>
      <c r="S72" s="251">
        <f t="shared" si="17"/>
        <v>2.0439112400862989</v>
      </c>
      <c r="T72" s="251">
        <f t="shared" si="18"/>
        <v>2.166827722930095</v>
      </c>
      <c r="U72" s="315" t="str">
        <f t="shared" si="19"/>
        <v>72_352_10_Local</v>
      </c>
      <c r="V72" s="317">
        <f>IF(U72=observed!V73,0,1)</f>
        <v>0</v>
      </c>
    </row>
    <row r="73" spans="1:23" x14ac:dyDescent="0.3">
      <c r="A73" s="5">
        <f>VLOOKUP($B73,observed!$A$2:$B$139,2,FALSE)</f>
        <v>73</v>
      </c>
      <c r="B73" s="5" t="str">
        <f t="shared" si="13"/>
        <v>10_353</v>
      </c>
      <c r="C73" s="5">
        <v>353</v>
      </c>
      <c r="D73" s="5">
        <v>10</v>
      </c>
      <c r="E73" s="5" t="s">
        <v>0</v>
      </c>
      <c r="F73" s="319">
        <v>14.33</v>
      </c>
      <c r="G73" s="319">
        <v>96.603571428571428</v>
      </c>
      <c r="H73" s="319">
        <v>229.38918291385988</v>
      </c>
      <c r="I73" s="319">
        <v>100.53057899090207</v>
      </c>
      <c r="J73" s="319">
        <v>22.096666666666621</v>
      </c>
      <c r="K73" s="326">
        <v>18.09884615384615</v>
      </c>
      <c r="L73" s="326">
        <v>144.74722527472528</v>
      </c>
      <c r="M73" s="326">
        <v>360.60984668557188</v>
      </c>
      <c r="N73" s="326">
        <v>152.70741521919015</v>
      </c>
      <c r="O73" s="326">
        <v>38.046666666666567</v>
      </c>
      <c r="P73" s="251">
        <f t="shared" si="14"/>
        <v>1.2630039186215039</v>
      </c>
      <c r="Q73" s="251">
        <f t="shared" si="15"/>
        <v>1.4983630846583267</v>
      </c>
      <c r="R73" s="251">
        <f t="shared" si="16"/>
        <v>1.5720438169963225</v>
      </c>
      <c r="S73" s="251">
        <f t="shared" si="17"/>
        <v>1.5190145799618844</v>
      </c>
      <c r="T73" s="251">
        <f t="shared" si="18"/>
        <v>1.7218283300648656</v>
      </c>
      <c r="U73" s="315" t="str">
        <f t="shared" si="19"/>
        <v>73_353_10_Local</v>
      </c>
      <c r="V73" s="317">
        <f>IF(U73=observed!V74,0,1)</f>
        <v>0</v>
      </c>
    </row>
    <row r="74" spans="1:23" x14ac:dyDescent="0.3">
      <c r="A74" s="5">
        <f>VLOOKUP($B74,observed!$A$2:$B$139,2,FALSE)</f>
        <v>74</v>
      </c>
      <c r="B74" s="5" t="str">
        <f t="shared" si="13"/>
        <v>10_354</v>
      </c>
      <c r="C74" s="5">
        <v>354</v>
      </c>
      <c r="D74" s="5">
        <v>10</v>
      </c>
      <c r="E74" s="5" t="s">
        <v>0</v>
      </c>
      <c r="F74" s="319">
        <v>12.615199999999993</v>
      </c>
      <c r="G74" s="319">
        <v>201.84442962962964</v>
      </c>
      <c r="H74" s="319">
        <v>340.1878348734125</v>
      </c>
      <c r="I74" s="319">
        <v>196.55753549695794</v>
      </c>
      <c r="J74" s="319">
        <v>30.234999999999935</v>
      </c>
      <c r="K74" s="326">
        <v>27.125199999999985</v>
      </c>
      <c r="L74" s="326">
        <v>454.2288740740741</v>
      </c>
      <c r="M74" s="326">
        <v>739.55728495229403</v>
      </c>
      <c r="N74" s="326">
        <v>405.87479481978585</v>
      </c>
      <c r="O74" s="326">
        <v>64.613846153846055</v>
      </c>
      <c r="P74" s="251">
        <f t="shared" si="14"/>
        <v>2.1501997590208637</v>
      </c>
      <c r="Q74" s="251">
        <f t="shared" si="15"/>
        <v>2.250390931806006</v>
      </c>
      <c r="R74" s="251">
        <f t="shared" si="16"/>
        <v>2.1739674648492096</v>
      </c>
      <c r="S74" s="251">
        <f t="shared" si="17"/>
        <v>2.0649159738069032</v>
      </c>
      <c r="T74" s="251">
        <f t="shared" si="18"/>
        <v>2.1370546106778963</v>
      </c>
      <c r="U74" s="315" t="str">
        <f t="shared" si="19"/>
        <v>74_354_10_Local</v>
      </c>
      <c r="V74" s="317">
        <f>IF(U74=observed!V75,0,1)</f>
        <v>0</v>
      </c>
    </row>
    <row r="75" spans="1:23" x14ac:dyDescent="0.3">
      <c r="A75" s="5">
        <f>VLOOKUP($B75,observed!$A$2:$B$139,2,FALSE)</f>
        <v>75</v>
      </c>
      <c r="B75" s="5" t="str">
        <f t="shared" si="13"/>
        <v>10_355</v>
      </c>
      <c r="C75" s="5">
        <v>355</v>
      </c>
      <c r="D75" s="5">
        <v>10</v>
      </c>
      <c r="E75" s="5" t="s">
        <v>0</v>
      </c>
      <c r="F75" s="319">
        <v>0</v>
      </c>
      <c r="G75" s="319">
        <v>58.058444444444447</v>
      </c>
      <c r="H75" s="319">
        <v>112.88665759637166</v>
      </c>
      <c r="I75" s="319">
        <v>63.144897959183879</v>
      </c>
      <c r="J75" s="319">
        <v>19.41</v>
      </c>
      <c r="K75" s="326">
        <v>0</v>
      </c>
      <c r="L75" s="326">
        <v>168.73844444444444</v>
      </c>
      <c r="M75" s="326">
        <v>390.15114739228966</v>
      </c>
      <c r="N75" s="326">
        <v>192.04040816326585</v>
      </c>
      <c r="O75" s="326">
        <v>69.06</v>
      </c>
      <c r="P75" s="251" t="e">
        <f t="shared" si="14"/>
        <v>#DIV/0!</v>
      </c>
      <c r="Q75" s="251">
        <f t="shared" si="15"/>
        <v>2.9063548990863612</v>
      </c>
      <c r="R75" s="251">
        <f t="shared" si="16"/>
        <v>3.456131625291647</v>
      </c>
      <c r="S75" s="251">
        <f t="shared" si="17"/>
        <v>3.0412656345948728</v>
      </c>
      <c r="T75" s="251">
        <f t="shared" si="18"/>
        <v>3.5579598145285938</v>
      </c>
      <c r="U75" s="315" t="str">
        <f t="shared" si="19"/>
        <v>75_355_10_Local</v>
      </c>
      <c r="V75" s="317">
        <f>IF(U75=observed!V76,0,1)</f>
        <v>0</v>
      </c>
    </row>
    <row r="76" spans="1:23" x14ac:dyDescent="0.3">
      <c r="A76" s="5">
        <f>VLOOKUP($B76,observed!$A$2:$B$139,2,FALSE)</f>
        <v>76</v>
      </c>
      <c r="B76" s="5" t="str">
        <f t="shared" si="13"/>
        <v>10_356</v>
      </c>
      <c r="C76" s="5">
        <v>356</v>
      </c>
      <c r="D76" s="5">
        <v>10</v>
      </c>
      <c r="E76" s="5" t="s">
        <v>0</v>
      </c>
      <c r="F76" s="319">
        <v>16.880000000000003</v>
      </c>
      <c r="G76" s="319">
        <v>91.47</v>
      </c>
      <c r="H76" s="319">
        <v>241.48</v>
      </c>
      <c r="I76" s="319">
        <v>119.34</v>
      </c>
      <c r="J76" s="319">
        <v>50.690000000000005</v>
      </c>
      <c r="K76" s="326">
        <v>27.060000000000002</v>
      </c>
      <c r="L76" s="326">
        <v>147.80999999999997</v>
      </c>
      <c r="M76" s="326">
        <v>428.91</v>
      </c>
      <c r="N76" s="326">
        <v>199.20000000000002</v>
      </c>
      <c r="O76" s="326">
        <v>89.28</v>
      </c>
      <c r="P76" s="251">
        <f t="shared" si="14"/>
        <v>1.6030805687203791</v>
      </c>
      <c r="Q76" s="251">
        <f t="shared" si="15"/>
        <v>1.6159396523450309</v>
      </c>
      <c r="R76" s="251">
        <f t="shared" si="16"/>
        <v>1.7761719397051516</v>
      </c>
      <c r="S76" s="251">
        <f t="shared" si="17"/>
        <v>1.6691804927099045</v>
      </c>
      <c r="T76" s="251">
        <f t="shared" si="18"/>
        <v>1.7612941408561844</v>
      </c>
      <c r="U76" s="315" t="str">
        <f t="shared" si="19"/>
        <v>76_356_10_Local</v>
      </c>
      <c r="V76" s="317">
        <f>IF(U76=observed!V77,0,1)</f>
        <v>0</v>
      </c>
    </row>
    <row r="77" spans="1:23" x14ac:dyDescent="0.3">
      <c r="A77" s="5">
        <f>VLOOKUP($B77,observed!$A$2:$B$139,2,FALSE)</f>
        <v>77</v>
      </c>
      <c r="B77" s="5" t="str">
        <f t="shared" si="13"/>
        <v>10_357</v>
      </c>
      <c r="C77" s="5">
        <v>357</v>
      </c>
      <c r="D77" s="5">
        <v>10</v>
      </c>
      <c r="E77" s="5" t="s">
        <v>0</v>
      </c>
      <c r="F77" s="319">
        <v>0</v>
      </c>
      <c r="G77" s="319">
        <v>43.071951219512187</v>
      </c>
      <c r="H77" s="319">
        <v>177.26804878048782</v>
      </c>
      <c r="I77" s="319">
        <v>60.879999999999995</v>
      </c>
      <c r="J77" s="319">
        <v>0</v>
      </c>
      <c r="K77" s="326">
        <v>0</v>
      </c>
      <c r="L77" s="326">
        <v>127.98048780487801</v>
      </c>
      <c r="M77" s="326">
        <v>605.86951219512196</v>
      </c>
      <c r="N77" s="326">
        <v>190.13</v>
      </c>
      <c r="O77" s="326">
        <v>0</v>
      </c>
      <c r="P77" s="251" t="e">
        <f t="shared" si="14"/>
        <v>#DIV/0!</v>
      </c>
      <c r="Q77" s="251">
        <f t="shared" si="15"/>
        <v>2.9713185537529374</v>
      </c>
      <c r="R77" s="251">
        <f t="shared" si="16"/>
        <v>3.4178156546720619</v>
      </c>
      <c r="S77" s="251">
        <f t="shared" si="17"/>
        <v>3.1230289093298294</v>
      </c>
      <c r="T77" s="251" t="e">
        <f t="shared" si="18"/>
        <v>#DIV/0!</v>
      </c>
      <c r="U77" s="315" t="str">
        <f t="shared" si="19"/>
        <v>77_357_10_Local</v>
      </c>
      <c r="V77" s="317">
        <f>IF(U77=observed!V78,0,1)</f>
        <v>0</v>
      </c>
    </row>
    <row r="78" spans="1:23" x14ac:dyDescent="0.3">
      <c r="A78" s="5">
        <f>VLOOKUP($B78,observed!$A$2:$B$139,2,FALSE)</f>
        <v>78</v>
      </c>
      <c r="B78" s="5" t="str">
        <f t="shared" si="13"/>
        <v>10_358</v>
      </c>
      <c r="C78" s="5">
        <v>358</v>
      </c>
      <c r="D78" s="5">
        <v>10</v>
      </c>
      <c r="E78" s="5" t="s">
        <v>0</v>
      </c>
      <c r="F78" s="319">
        <v>0</v>
      </c>
      <c r="G78" s="319">
        <v>34.11</v>
      </c>
      <c r="H78" s="319">
        <v>49.6</v>
      </c>
      <c r="I78" s="319">
        <v>29.47</v>
      </c>
      <c r="J78" s="319">
        <v>3.6</v>
      </c>
      <c r="K78" s="326">
        <v>0</v>
      </c>
      <c r="L78" s="326">
        <v>114.41</v>
      </c>
      <c r="M78" s="326">
        <v>163.60000000000002</v>
      </c>
      <c r="N78" s="326">
        <v>103.53999999999999</v>
      </c>
      <c r="O78" s="326">
        <v>16.43</v>
      </c>
      <c r="P78" s="251" t="e">
        <f t="shared" si="14"/>
        <v>#DIV/0!</v>
      </c>
      <c r="Q78" s="251">
        <f t="shared" si="15"/>
        <v>3.3541483435942538</v>
      </c>
      <c r="R78" s="251">
        <f t="shared" si="16"/>
        <v>3.2983870967741939</v>
      </c>
      <c r="S78" s="251">
        <f t="shared" si="17"/>
        <v>3.5134034611469289</v>
      </c>
      <c r="T78" s="251">
        <f t="shared" si="18"/>
        <v>4.5638888888888891</v>
      </c>
      <c r="U78" s="315" t="str">
        <f t="shared" si="19"/>
        <v>78_358_10_Local</v>
      </c>
      <c r="V78" s="317">
        <f>IF(U78=observed!V79,0,1)</f>
        <v>0</v>
      </c>
    </row>
    <row r="79" spans="1:23" x14ac:dyDescent="0.3">
      <c r="A79" s="5">
        <f>VLOOKUP($B79,observed!$A$2:$B$139,2,FALSE)</f>
        <v>79</v>
      </c>
      <c r="B79" s="5" t="str">
        <f t="shared" si="13"/>
        <v>10_359</v>
      </c>
      <c r="C79" s="5">
        <v>359</v>
      </c>
      <c r="D79" s="5">
        <v>10</v>
      </c>
      <c r="E79" s="5" t="s">
        <v>0</v>
      </c>
      <c r="F79" s="319">
        <v>6.8</v>
      </c>
      <c r="G79" s="319">
        <v>33.799999999999997</v>
      </c>
      <c r="H79" s="319">
        <v>62.453902439024148</v>
      </c>
      <c r="I79" s="319">
        <v>24.736097560975857</v>
      </c>
      <c r="J79" s="319">
        <v>7.43</v>
      </c>
      <c r="K79" s="326">
        <v>30.11</v>
      </c>
      <c r="L79" s="326">
        <v>119.19</v>
      </c>
      <c r="M79" s="326">
        <v>227.6924390243895</v>
      </c>
      <c r="N79" s="326">
        <v>78.657560975610494</v>
      </c>
      <c r="O79" s="326">
        <v>23.33</v>
      </c>
      <c r="P79" s="251">
        <f t="shared" si="14"/>
        <v>4.427941176470588</v>
      </c>
      <c r="Q79" s="251">
        <f t="shared" si="15"/>
        <v>3.5263313609467457</v>
      </c>
      <c r="R79" s="251">
        <f t="shared" si="16"/>
        <v>3.6457680005936108</v>
      </c>
      <c r="S79" s="251">
        <f t="shared" si="17"/>
        <v>3.1798694511822339</v>
      </c>
      <c r="T79" s="251">
        <f t="shared" si="18"/>
        <v>3.1399730820995959</v>
      </c>
      <c r="U79" s="315" t="str">
        <f t="shared" si="19"/>
        <v>79_359_10_Local</v>
      </c>
      <c r="V79" s="317">
        <f>IF(U79=observed!V80,0,1)</f>
        <v>0</v>
      </c>
    </row>
    <row r="80" spans="1:23" s="300" customFormat="1" x14ac:dyDescent="0.3">
      <c r="A80" s="306">
        <v>79</v>
      </c>
      <c r="B80" s="306" t="str">
        <f t="shared" si="13"/>
        <v>10_371</v>
      </c>
      <c r="C80" s="306">
        <v>371</v>
      </c>
      <c r="D80" s="306">
        <v>10</v>
      </c>
      <c r="E80" s="306" t="s">
        <v>0</v>
      </c>
      <c r="F80" s="322">
        <f>observed!G81</f>
        <v>6.8378378378378359</v>
      </c>
      <c r="G80" s="322">
        <f>observed!H81</f>
        <v>18.138906348208671</v>
      </c>
      <c r="H80" s="322">
        <f>observed!I81</f>
        <v>3.023255813953496</v>
      </c>
      <c r="I80" s="322">
        <f>observed!J81</f>
        <v>0</v>
      </c>
      <c r="J80" s="322">
        <f>observed!K81</f>
        <v>0</v>
      </c>
      <c r="K80" s="329">
        <f>observed!L81</f>
        <v>43.198648648648643</v>
      </c>
      <c r="L80" s="329">
        <f>observed!M81</f>
        <v>82.343909490886219</v>
      </c>
      <c r="M80" s="329">
        <f>observed!N81</f>
        <v>7.9874418604651369</v>
      </c>
      <c r="N80" s="329">
        <f>observed!O81</f>
        <v>0</v>
      </c>
      <c r="O80" s="329">
        <f>observed!P81</f>
        <v>0</v>
      </c>
      <c r="P80" s="335">
        <f t="shared" si="14"/>
        <v>6.3175889328063253</v>
      </c>
      <c r="Q80" s="335">
        <f t="shared" si="15"/>
        <v>4.5396292317821132</v>
      </c>
      <c r="R80" s="335">
        <f t="shared" si="16"/>
        <v>2.6420000000000003</v>
      </c>
      <c r="S80" s="335" t="e">
        <f t="shared" si="17"/>
        <v>#DIV/0!</v>
      </c>
      <c r="T80" s="335" t="e">
        <f t="shared" si="18"/>
        <v>#DIV/0!</v>
      </c>
      <c r="U80" s="315" t="str">
        <f t="shared" si="19"/>
        <v>79_371_10_Local</v>
      </c>
      <c r="V80" s="317">
        <f>IF(U80=observed!V81,0,1)</f>
        <v>1</v>
      </c>
      <c r="W80" s="307"/>
    </row>
    <row r="81" spans="1:23" x14ac:dyDescent="0.3">
      <c r="A81" s="5">
        <f>VLOOKUP($B81,observed!$A$2:$B$139,2,FALSE)</f>
        <v>81</v>
      </c>
      <c r="B81" s="5" t="str">
        <f t="shared" si="13"/>
        <v>10_388</v>
      </c>
      <c r="C81" s="5">
        <v>388</v>
      </c>
      <c r="D81" s="5">
        <v>10</v>
      </c>
      <c r="E81" s="5" t="s">
        <v>0</v>
      </c>
      <c r="F81" s="319">
        <v>14.696744186046516</v>
      </c>
      <c r="G81" s="319">
        <v>78.503255813953487</v>
      </c>
      <c r="H81" s="319">
        <v>321.28816774193501</v>
      </c>
      <c r="I81" s="319">
        <v>176.12183225806496</v>
      </c>
      <c r="J81" s="319">
        <v>99.18</v>
      </c>
      <c r="K81" s="326">
        <v>174.14697674418608</v>
      </c>
      <c r="L81" s="326">
        <v>896.81302325581396</v>
      </c>
      <c r="M81" s="326">
        <v>3427.3462258064465</v>
      </c>
      <c r="N81" s="326">
        <v>1972.7337741935535</v>
      </c>
      <c r="O81" s="326">
        <v>1190.4100000000001</v>
      </c>
      <c r="P81" s="251">
        <f t="shared" si="14"/>
        <v>11.849357554275585</v>
      </c>
      <c r="Q81" s="251">
        <f t="shared" si="15"/>
        <v>11.423895913071298</v>
      </c>
      <c r="R81" s="251">
        <f t="shared" si="16"/>
        <v>10.667514617467514</v>
      </c>
      <c r="S81" s="251">
        <f t="shared" si="17"/>
        <v>11.200960998991755</v>
      </c>
      <c r="T81" s="251">
        <f t="shared" si="18"/>
        <v>12.002520669489817</v>
      </c>
      <c r="U81" s="315" t="str">
        <f t="shared" si="19"/>
        <v>81_388_10_Local</v>
      </c>
      <c r="V81" s="317">
        <f>IF(U81=observed!V82,0,1)</f>
        <v>0</v>
      </c>
    </row>
    <row r="82" spans="1:23" x14ac:dyDescent="0.3">
      <c r="A82" s="5">
        <f>VLOOKUP($B82,observed!$A$2:$B$139,2,FALSE)</f>
        <v>82</v>
      </c>
      <c r="B82" s="5" t="str">
        <f t="shared" si="13"/>
        <v>10_389</v>
      </c>
      <c r="C82" s="5">
        <v>389</v>
      </c>
      <c r="D82" s="5">
        <v>10</v>
      </c>
      <c r="E82" s="5" t="s">
        <v>0</v>
      </c>
      <c r="F82" s="319">
        <v>0</v>
      </c>
      <c r="G82" s="319">
        <v>25</v>
      </c>
      <c r="H82" s="319">
        <v>82.299999999999869</v>
      </c>
      <c r="I82" s="319">
        <v>33.950000000000131</v>
      </c>
      <c r="J82" s="319">
        <v>14</v>
      </c>
      <c r="K82" s="326">
        <v>0</v>
      </c>
      <c r="L82" s="326">
        <v>414.1</v>
      </c>
      <c r="M82" s="326">
        <v>1335.3499999999974</v>
      </c>
      <c r="N82" s="326">
        <v>623.33000000000266</v>
      </c>
      <c r="O82" s="326">
        <v>259.39</v>
      </c>
      <c r="P82" s="251" t="e">
        <f t="shared" si="14"/>
        <v>#DIV/0!</v>
      </c>
      <c r="Q82" s="251">
        <f t="shared" si="15"/>
        <v>16.564</v>
      </c>
      <c r="R82" s="251">
        <f t="shared" si="16"/>
        <v>16.225394896719315</v>
      </c>
      <c r="S82" s="251">
        <f t="shared" si="17"/>
        <v>18.360235640648018</v>
      </c>
      <c r="T82" s="251">
        <f t="shared" si="18"/>
        <v>18.52785714285714</v>
      </c>
      <c r="U82" s="315" t="str">
        <f t="shared" si="19"/>
        <v>82_389_10_Local</v>
      </c>
      <c r="V82" s="317">
        <f>IF(U82=observed!V83,0,1)</f>
        <v>0</v>
      </c>
    </row>
    <row r="83" spans="1:23" x14ac:dyDescent="0.3">
      <c r="A83" s="5">
        <f>VLOOKUP($B83,observed!$A$2:$B$139,2,FALSE)</f>
        <v>83</v>
      </c>
      <c r="B83" s="5" t="str">
        <f t="shared" si="13"/>
        <v>10_392</v>
      </c>
      <c r="C83" s="5">
        <v>392</v>
      </c>
      <c r="D83" s="5">
        <v>10</v>
      </c>
      <c r="E83" s="5" t="s">
        <v>0</v>
      </c>
      <c r="F83" s="319">
        <v>0.86599999999999733</v>
      </c>
      <c r="G83" s="319">
        <v>64.164000000000001</v>
      </c>
      <c r="H83" s="319">
        <v>75.983157894736721</v>
      </c>
      <c r="I83" s="319">
        <v>29.916842105263278</v>
      </c>
      <c r="J83" s="319">
        <v>0</v>
      </c>
      <c r="K83" s="326">
        <v>1.9399999999999937</v>
      </c>
      <c r="L83" s="326">
        <v>102.35</v>
      </c>
      <c r="M83" s="326">
        <v>97.565789473684092</v>
      </c>
      <c r="N83" s="326">
        <v>39.024210526315912</v>
      </c>
      <c r="O83" s="326">
        <v>0</v>
      </c>
      <c r="P83" s="251">
        <f t="shared" si="14"/>
        <v>2.2401847575057734</v>
      </c>
      <c r="Q83" s="251">
        <f t="shared" si="15"/>
        <v>1.5951312262327784</v>
      </c>
      <c r="R83" s="251">
        <f t="shared" si="16"/>
        <v>1.2840449407070824</v>
      </c>
      <c r="S83" s="251">
        <f t="shared" si="17"/>
        <v>1.304422785968121</v>
      </c>
      <c r="T83" s="251" t="e">
        <f t="shared" si="18"/>
        <v>#DIV/0!</v>
      </c>
      <c r="U83" s="315" t="str">
        <f t="shared" si="19"/>
        <v>83_392_10_Local</v>
      </c>
      <c r="V83" s="317">
        <f>IF(U83=observed!V84,0,1)</f>
        <v>0</v>
      </c>
    </row>
    <row r="84" spans="1:23" x14ac:dyDescent="0.3">
      <c r="A84" s="5">
        <f>VLOOKUP($B84,observed!$A$2:$B$139,2,FALSE)</f>
        <v>84</v>
      </c>
      <c r="B84" s="5" t="str">
        <f t="shared" si="13"/>
        <v>10_395</v>
      </c>
      <c r="C84" s="5">
        <v>395</v>
      </c>
      <c r="D84" s="5">
        <v>10</v>
      </c>
      <c r="E84" s="5" t="s">
        <v>0</v>
      </c>
      <c r="F84" s="319">
        <v>0</v>
      </c>
      <c r="G84" s="319">
        <v>13.521038961038961</v>
      </c>
      <c r="H84" s="319">
        <v>56.334545454545385</v>
      </c>
      <c r="I84" s="319">
        <v>70.013257948947796</v>
      </c>
      <c r="J84" s="319">
        <v>51.311157635467843</v>
      </c>
      <c r="K84" s="326">
        <v>0</v>
      </c>
      <c r="L84" s="326">
        <v>167.48415584415585</v>
      </c>
      <c r="M84" s="326">
        <v>723.6696103896096</v>
      </c>
      <c r="N84" s="326">
        <v>729.10547021943728</v>
      </c>
      <c r="O84" s="326">
        <v>457.70076354679702</v>
      </c>
      <c r="P84" s="251" t="e">
        <f t="shared" si="14"/>
        <v>#DIV/0!</v>
      </c>
      <c r="Q84" s="251">
        <f t="shared" si="15"/>
        <v>12.386929460580912</v>
      </c>
      <c r="R84" s="251">
        <f t="shared" si="16"/>
        <v>12.845929696433185</v>
      </c>
      <c r="S84" s="251">
        <f t="shared" si="17"/>
        <v>10.413820061781523</v>
      </c>
      <c r="T84" s="251">
        <f t="shared" si="18"/>
        <v>8.9201020721157978</v>
      </c>
      <c r="U84" s="315" t="str">
        <f t="shared" si="19"/>
        <v>84_395_10_Local</v>
      </c>
      <c r="V84" s="317">
        <f>IF(U84=observed!V85,0,1)</f>
        <v>0</v>
      </c>
    </row>
    <row r="85" spans="1:23" x14ac:dyDescent="0.3">
      <c r="A85" s="5">
        <f>VLOOKUP($B85,observed!$A$2:$B$139,2,FALSE)</f>
        <v>85</v>
      </c>
      <c r="B85" s="5" t="str">
        <f t="shared" si="13"/>
        <v>10_444</v>
      </c>
      <c r="C85" s="5">
        <v>444</v>
      </c>
      <c r="D85" s="5">
        <v>10</v>
      </c>
      <c r="E85" s="5" t="s">
        <v>0</v>
      </c>
      <c r="F85" s="319">
        <v>0</v>
      </c>
      <c r="G85" s="319">
        <v>33.165384615384589</v>
      </c>
      <c r="H85" s="319">
        <v>2.6346153846154099</v>
      </c>
      <c r="I85" s="319">
        <v>39.6</v>
      </c>
      <c r="J85" s="319">
        <v>0</v>
      </c>
      <c r="K85" s="326">
        <v>0</v>
      </c>
      <c r="L85" s="326">
        <v>120.11115384615374</v>
      </c>
      <c r="M85" s="326">
        <v>10.178846153846253</v>
      </c>
      <c r="N85" s="326">
        <v>157.08999999999997</v>
      </c>
      <c r="O85" s="326">
        <v>0</v>
      </c>
      <c r="P85" s="251" t="e">
        <f t="shared" si="14"/>
        <v>#DIV/0!</v>
      </c>
      <c r="Q85" s="251">
        <f t="shared" si="15"/>
        <v>3.621581816073292</v>
      </c>
      <c r="R85" s="251">
        <f t="shared" si="16"/>
        <v>3.863503649635037</v>
      </c>
      <c r="S85" s="251">
        <f t="shared" si="17"/>
        <v>3.9669191919191911</v>
      </c>
      <c r="T85" s="251" t="e">
        <f t="shared" si="18"/>
        <v>#DIV/0!</v>
      </c>
      <c r="U85" s="315" t="str">
        <f t="shared" si="19"/>
        <v>85_444_10_Local</v>
      </c>
      <c r="V85" s="317">
        <f>IF(U85=observed!V86,0,1)</f>
        <v>0</v>
      </c>
    </row>
    <row r="86" spans="1:23" x14ac:dyDescent="0.3">
      <c r="A86" s="5">
        <f>VLOOKUP($B86,observed!$A$2:$B$139,2,FALSE)</f>
        <v>86</v>
      </c>
      <c r="B86" s="5" t="str">
        <f t="shared" si="13"/>
        <v>10_445</v>
      </c>
      <c r="C86" s="5">
        <v>445</v>
      </c>
      <c r="D86" s="5">
        <v>10</v>
      </c>
      <c r="E86" s="5" t="s">
        <v>0</v>
      </c>
      <c r="F86" s="319">
        <v>0</v>
      </c>
      <c r="G86" s="319">
        <v>61.569200000000009</v>
      </c>
      <c r="H86" s="319">
        <v>1.300799999999996</v>
      </c>
      <c r="I86" s="319">
        <v>47.980000000000004</v>
      </c>
      <c r="J86" s="319">
        <v>0</v>
      </c>
      <c r="K86" s="326">
        <v>0</v>
      </c>
      <c r="L86" s="326">
        <v>303.25240000000002</v>
      </c>
      <c r="M86" s="326">
        <v>5.4975999999999816</v>
      </c>
      <c r="N86" s="326">
        <v>189.41</v>
      </c>
      <c r="O86" s="326">
        <v>0</v>
      </c>
      <c r="P86" s="251" t="e">
        <f t="shared" si="14"/>
        <v>#DIV/0!</v>
      </c>
      <c r="Q86" s="251">
        <f t="shared" si="15"/>
        <v>4.9253912670621025</v>
      </c>
      <c r="R86" s="251">
        <f t="shared" si="16"/>
        <v>4.2263222632226309</v>
      </c>
      <c r="S86" s="251">
        <f t="shared" si="17"/>
        <v>3.9476865360566897</v>
      </c>
      <c r="T86" s="251" t="e">
        <f t="shared" si="18"/>
        <v>#DIV/0!</v>
      </c>
      <c r="U86" s="315" t="str">
        <f t="shared" si="19"/>
        <v>86_445_10_Local</v>
      </c>
      <c r="V86" s="317">
        <f>IF(U86=observed!V87,0,1)</f>
        <v>0</v>
      </c>
    </row>
    <row r="87" spans="1:23" x14ac:dyDescent="0.3">
      <c r="A87" s="5">
        <f>VLOOKUP($B87,observed!$A$2:$B$139,2,FALSE)</f>
        <v>87</v>
      </c>
      <c r="B87" s="5" t="str">
        <f t="shared" si="13"/>
        <v>10_446</v>
      </c>
      <c r="C87" s="5">
        <v>446</v>
      </c>
      <c r="D87" s="5">
        <v>10</v>
      </c>
      <c r="E87" s="5" t="s">
        <v>0</v>
      </c>
      <c r="F87" s="319">
        <v>0</v>
      </c>
      <c r="G87" s="319">
        <v>7.2</v>
      </c>
      <c r="H87" s="319">
        <v>0</v>
      </c>
      <c r="I87" s="319">
        <v>8.33</v>
      </c>
      <c r="J87" s="319">
        <v>0</v>
      </c>
      <c r="K87" s="326">
        <v>0</v>
      </c>
      <c r="L87" s="326">
        <v>16.940000000000001</v>
      </c>
      <c r="M87" s="326">
        <v>0</v>
      </c>
      <c r="N87" s="326">
        <v>20.27</v>
      </c>
      <c r="O87" s="326">
        <v>0</v>
      </c>
      <c r="P87" s="251" t="e">
        <f t="shared" si="14"/>
        <v>#DIV/0!</v>
      </c>
      <c r="Q87" s="251">
        <f t="shared" si="15"/>
        <v>2.3527777777777779</v>
      </c>
      <c r="R87" s="251" t="e">
        <f t="shared" si="16"/>
        <v>#DIV/0!</v>
      </c>
      <c r="S87" s="251">
        <f t="shared" si="17"/>
        <v>2.4333733493397358</v>
      </c>
      <c r="T87" s="251" t="e">
        <f t="shared" si="18"/>
        <v>#DIV/0!</v>
      </c>
      <c r="U87" s="315" t="str">
        <f t="shared" si="19"/>
        <v>87_446_10_Local</v>
      </c>
      <c r="V87" s="317">
        <f>IF(U87=observed!V88,0,1)</f>
        <v>0</v>
      </c>
    </row>
    <row r="88" spans="1:23" x14ac:dyDescent="0.3">
      <c r="A88" s="5">
        <f>VLOOKUP($B88,observed!$A$2:$B$139,2,FALSE)</f>
        <v>88</v>
      </c>
      <c r="B88" s="5" t="str">
        <f t="shared" si="13"/>
        <v>10_701</v>
      </c>
      <c r="C88" s="5">
        <v>701</v>
      </c>
      <c r="D88" s="5">
        <v>10</v>
      </c>
      <c r="E88" s="5" t="s">
        <v>0</v>
      </c>
      <c r="F88" s="319">
        <v>21.358571428571409</v>
      </c>
      <c r="G88" s="319">
        <v>492.26638211382124</v>
      </c>
      <c r="H88" s="319">
        <v>1173.9583234132083</v>
      </c>
      <c r="I88" s="319">
        <v>434.02201716204644</v>
      </c>
      <c r="J88" s="319">
        <v>102.59470588235263</v>
      </c>
      <c r="K88" s="326">
        <v>53.887428571428529</v>
      </c>
      <c r="L88" s="326">
        <v>1266.1681927990705</v>
      </c>
      <c r="M88" s="326">
        <v>2719.8845477626892</v>
      </c>
      <c r="N88" s="326">
        <v>1104.0057132197535</v>
      </c>
      <c r="O88" s="326">
        <v>284.47411764705788</v>
      </c>
      <c r="P88" s="251">
        <f t="shared" si="14"/>
        <v>2.5229884288676345</v>
      </c>
      <c r="Q88" s="251">
        <f t="shared" si="15"/>
        <v>2.5721199716341969</v>
      </c>
      <c r="R88" s="251">
        <f t="shared" si="16"/>
        <v>2.3168493237943917</v>
      </c>
      <c r="S88" s="251">
        <f t="shared" si="17"/>
        <v>2.5436629239192765</v>
      </c>
      <c r="T88" s="251">
        <f t="shared" si="18"/>
        <v>2.7727952938748124</v>
      </c>
      <c r="U88" s="315" t="str">
        <f t="shared" si="19"/>
        <v>88_701_10_Local</v>
      </c>
      <c r="V88" s="317">
        <f>IF(U88=observed!V89,0,1)</f>
        <v>0</v>
      </c>
    </row>
    <row r="89" spans="1:23" x14ac:dyDescent="0.3">
      <c r="A89" s="5">
        <f>VLOOKUP($B89,observed!$A$2:$B$139,2,FALSE)</f>
        <v>89</v>
      </c>
      <c r="B89" s="5" t="str">
        <f t="shared" si="13"/>
        <v>10_704</v>
      </c>
      <c r="C89" s="5">
        <v>704</v>
      </c>
      <c r="D89" s="5">
        <v>10</v>
      </c>
      <c r="E89" s="5" t="s">
        <v>0</v>
      </c>
      <c r="F89" s="319">
        <v>52.40588235294117</v>
      </c>
      <c r="G89" s="319">
        <v>389.49519662369954</v>
      </c>
      <c r="H89" s="319">
        <v>845.81859135302807</v>
      </c>
      <c r="I89" s="319">
        <v>406.38578601953799</v>
      </c>
      <c r="J89" s="319">
        <v>100.77454365079331</v>
      </c>
      <c r="K89" s="326">
        <v>157.25294117647056</v>
      </c>
      <c r="L89" s="326">
        <v>1334.8429526738391</v>
      </c>
      <c r="M89" s="326">
        <v>3036.6601700233114</v>
      </c>
      <c r="N89" s="326">
        <v>1439.4961318935759</v>
      </c>
      <c r="O89" s="326">
        <v>440.03780423280278</v>
      </c>
      <c r="P89" s="251">
        <f t="shared" si="14"/>
        <v>3.0006734762599616</v>
      </c>
      <c r="Q89" s="251">
        <f t="shared" si="15"/>
        <v>3.4271101781094937</v>
      </c>
      <c r="R89" s="251">
        <f t="shared" si="16"/>
        <v>3.5902026759256573</v>
      </c>
      <c r="S89" s="251">
        <f t="shared" si="17"/>
        <v>3.5421911430346351</v>
      </c>
      <c r="T89" s="251">
        <f t="shared" si="18"/>
        <v>4.3665571511554919</v>
      </c>
      <c r="U89" s="315" t="str">
        <f t="shared" si="19"/>
        <v>89_704_10_Local</v>
      </c>
      <c r="V89" s="317">
        <f>IF(U89=observed!V90,0,1)</f>
        <v>0</v>
      </c>
    </row>
    <row r="90" spans="1:23" x14ac:dyDescent="0.3">
      <c r="A90" s="5">
        <f>VLOOKUP($B90,observed!$A$2:$B$139,2,FALSE)</f>
        <v>90</v>
      </c>
      <c r="B90" s="5" t="str">
        <f t="shared" si="13"/>
        <v>10_705</v>
      </c>
      <c r="C90" s="5">
        <v>705</v>
      </c>
      <c r="D90" s="5">
        <v>10</v>
      </c>
      <c r="E90" s="5" t="s">
        <v>0</v>
      </c>
      <c r="F90" s="319">
        <v>0</v>
      </c>
      <c r="G90" s="319">
        <v>202.73999999999998</v>
      </c>
      <c r="H90" s="319">
        <v>561.22448717948635</v>
      </c>
      <c r="I90" s="319">
        <v>263.97551282051364</v>
      </c>
      <c r="J90" s="319">
        <v>57.230000000000004</v>
      </c>
      <c r="K90" s="326">
        <v>0</v>
      </c>
      <c r="L90" s="326">
        <v>794.5200000000001</v>
      </c>
      <c r="M90" s="326">
        <v>1937.3594230769195</v>
      </c>
      <c r="N90" s="326">
        <v>884.20057692308046</v>
      </c>
      <c r="O90" s="326">
        <v>129.22999999999999</v>
      </c>
      <c r="P90" s="251" t="e">
        <f t="shared" si="14"/>
        <v>#DIV/0!</v>
      </c>
      <c r="Q90" s="251">
        <f t="shared" si="15"/>
        <v>3.9189109203906489</v>
      </c>
      <c r="R90" s="251">
        <f t="shared" si="16"/>
        <v>3.4520222608485875</v>
      </c>
      <c r="S90" s="251">
        <f t="shared" si="17"/>
        <v>3.3495552957757866</v>
      </c>
      <c r="T90" s="251">
        <f t="shared" si="18"/>
        <v>2.2580814258256154</v>
      </c>
      <c r="U90" s="315" t="str">
        <f t="shared" si="19"/>
        <v>90_705_10_Local</v>
      </c>
      <c r="V90" s="317">
        <f>IF(U90=observed!V91,0,1)</f>
        <v>0</v>
      </c>
    </row>
    <row r="91" spans="1:23" x14ac:dyDescent="0.3">
      <c r="A91" s="5">
        <f>VLOOKUP($B91,observed!$A$2:$B$139,2,FALSE)</f>
        <v>91</v>
      </c>
      <c r="B91" s="5" t="str">
        <f t="shared" si="13"/>
        <v>10_707</v>
      </c>
      <c r="C91" s="5">
        <v>707</v>
      </c>
      <c r="D91" s="5">
        <v>10</v>
      </c>
      <c r="E91" s="5" t="s">
        <v>0</v>
      </c>
      <c r="F91" s="319">
        <v>0</v>
      </c>
      <c r="G91" s="319">
        <v>8</v>
      </c>
      <c r="H91" s="319">
        <v>221.3</v>
      </c>
      <c r="I91" s="319">
        <v>51.720000000000006</v>
      </c>
      <c r="J91" s="319">
        <v>6.06</v>
      </c>
      <c r="K91" s="326">
        <v>0</v>
      </c>
      <c r="L91" s="326">
        <v>22.58</v>
      </c>
      <c r="M91" s="326">
        <v>727.41</v>
      </c>
      <c r="N91" s="326">
        <v>167.37</v>
      </c>
      <c r="O91" s="326">
        <v>19.27</v>
      </c>
      <c r="P91" s="251" t="e">
        <f t="shared" si="14"/>
        <v>#DIV/0!</v>
      </c>
      <c r="Q91" s="251">
        <f t="shared" si="15"/>
        <v>2.8224999999999998</v>
      </c>
      <c r="R91" s="251">
        <f t="shared" si="16"/>
        <v>3.2869859918662447</v>
      </c>
      <c r="S91" s="251">
        <f t="shared" si="17"/>
        <v>3.2360788863109047</v>
      </c>
      <c r="T91" s="251">
        <f t="shared" si="18"/>
        <v>3.1798679867986799</v>
      </c>
      <c r="U91" s="315" t="str">
        <f t="shared" si="19"/>
        <v>91_707_10_Local</v>
      </c>
      <c r="V91" s="317">
        <f>IF(U91=observed!V92,0,1)</f>
        <v>0</v>
      </c>
    </row>
    <row r="92" spans="1:23" x14ac:dyDescent="0.3">
      <c r="A92" s="310">
        <f>VLOOKUP($B92,observed!$A$2:$B$139,2,FALSE)</f>
        <v>92</v>
      </c>
      <c r="B92" s="310" t="str">
        <f t="shared" si="13"/>
        <v>10_709</v>
      </c>
      <c r="C92" s="310">
        <v>709</v>
      </c>
      <c r="D92" s="310">
        <v>10</v>
      </c>
      <c r="E92" s="310" t="s">
        <v>0</v>
      </c>
      <c r="F92" s="320">
        <v>57.806094202898507</v>
      </c>
      <c r="G92" s="320">
        <v>783.85600730086105</v>
      </c>
      <c r="H92" s="320">
        <v>1686.8470291677447</v>
      </c>
      <c r="I92" s="320">
        <v>810.06140351653153</v>
      </c>
      <c r="J92" s="320">
        <v>212.76946581196455</v>
      </c>
      <c r="K92" s="327">
        <v>268.63489855072447</v>
      </c>
      <c r="L92" s="327">
        <v>4139.6959022011542</v>
      </c>
      <c r="M92" s="327">
        <v>6781.8068562354065</v>
      </c>
      <c r="N92" s="327">
        <v>3726.6008686537471</v>
      </c>
      <c r="O92" s="327">
        <v>1136.0114743589675</v>
      </c>
      <c r="P92" s="333">
        <f t="shared" si="14"/>
        <v>4.6471726252221792</v>
      </c>
      <c r="Q92" s="333">
        <f t="shared" si="15"/>
        <v>5.2811943311576215</v>
      </c>
      <c r="R92" s="333">
        <f t="shared" si="16"/>
        <v>4.0204041854236241</v>
      </c>
      <c r="S92" s="333">
        <f t="shared" si="17"/>
        <v>4.6003930720267867</v>
      </c>
      <c r="T92" s="333">
        <f t="shared" si="18"/>
        <v>5.3391658902923593</v>
      </c>
      <c r="U92" s="315" t="str">
        <f t="shared" si="19"/>
        <v>92_709_10_Local</v>
      </c>
      <c r="V92" s="317">
        <f>IF(U92=observed!V93,0,1)</f>
        <v>0</v>
      </c>
      <c r="W92" s="313"/>
    </row>
    <row r="93" spans="1:23" x14ac:dyDescent="0.3">
      <c r="A93" s="5">
        <f>VLOOKUP($B93,observed!$A$2:$B$139,2,FALSE)</f>
        <v>93</v>
      </c>
      <c r="B93" s="5" t="str">
        <f t="shared" si="13"/>
        <v>10_712</v>
      </c>
      <c r="C93" s="5">
        <v>712</v>
      </c>
      <c r="D93" s="5">
        <v>10</v>
      </c>
      <c r="E93" s="5" t="s">
        <v>0</v>
      </c>
      <c r="F93" s="319">
        <v>35.05733455882352</v>
      </c>
      <c r="G93" s="319">
        <v>549.15376769258341</v>
      </c>
      <c r="H93" s="319">
        <v>1385.9538977485906</v>
      </c>
      <c r="I93" s="319">
        <v>571.27763157895072</v>
      </c>
      <c r="J93" s="319">
        <v>169.82736842105169</v>
      </c>
      <c r="K93" s="326">
        <v>123.94558823529405</v>
      </c>
      <c r="L93" s="326">
        <v>2282.1022494757754</v>
      </c>
      <c r="M93" s="326">
        <v>5290.8705956847953</v>
      </c>
      <c r="N93" s="326">
        <v>2209.4515666041398</v>
      </c>
      <c r="O93" s="326">
        <v>755.99999999999625</v>
      </c>
      <c r="P93" s="251">
        <f t="shared" si="14"/>
        <v>3.5355108936568711</v>
      </c>
      <c r="Q93" s="251">
        <f t="shared" si="15"/>
        <v>4.1556707496784355</v>
      </c>
      <c r="R93" s="251">
        <f t="shared" si="16"/>
        <v>3.8174939327199389</v>
      </c>
      <c r="S93" s="251">
        <f t="shared" si="17"/>
        <v>3.8675618376610514</v>
      </c>
      <c r="T93" s="251">
        <f t="shared" si="18"/>
        <v>4.4515793127386347</v>
      </c>
      <c r="U93" s="315" t="str">
        <f t="shared" si="19"/>
        <v>93_712_10_Local</v>
      </c>
      <c r="V93" s="317">
        <f>IF(U93=observed!V94,0,1)</f>
        <v>0</v>
      </c>
    </row>
    <row r="94" spans="1:23" x14ac:dyDescent="0.3">
      <c r="A94" s="5">
        <f>VLOOKUP($B94,observed!$A$2:$B$139,2,FALSE)</f>
        <v>94</v>
      </c>
      <c r="B94" s="5" t="str">
        <f t="shared" si="13"/>
        <v>10_815</v>
      </c>
      <c r="C94" s="5">
        <v>815</v>
      </c>
      <c r="D94" s="5">
        <v>10</v>
      </c>
      <c r="E94" s="5" t="s">
        <v>0</v>
      </c>
      <c r="F94" s="319">
        <v>29.979199999999977</v>
      </c>
      <c r="G94" s="319">
        <v>170.4208000000001</v>
      </c>
      <c r="H94" s="319">
        <v>540.62219780219698</v>
      </c>
      <c r="I94" s="319">
        <v>208.15780219780302</v>
      </c>
      <c r="J94" s="319">
        <v>82.4</v>
      </c>
      <c r="K94" s="326">
        <v>66.947799999999958</v>
      </c>
      <c r="L94" s="326">
        <v>320.44791428571438</v>
      </c>
      <c r="M94" s="326">
        <v>870.65406593406453</v>
      </c>
      <c r="N94" s="326">
        <v>366.30021978022108</v>
      </c>
      <c r="O94" s="326">
        <v>168.97</v>
      </c>
      <c r="P94" s="251">
        <f t="shared" si="14"/>
        <v>2.2331416448737795</v>
      </c>
      <c r="Q94" s="251">
        <f t="shared" si="15"/>
        <v>1.8803333530045288</v>
      </c>
      <c r="R94" s="251">
        <f t="shared" si="16"/>
        <v>1.6104667353163691</v>
      </c>
      <c r="S94" s="251">
        <f t="shared" si="17"/>
        <v>1.7597237091893505</v>
      </c>
      <c r="T94" s="251">
        <f t="shared" si="18"/>
        <v>2.0506067961165049</v>
      </c>
      <c r="U94" s="315" t="str">
        <f t="shared" si="19"/>
        <v>94_815_10_Local</v>
      </c>
      <c r="V94" s="317">
        <f>IF(U94=observed!V95,0,1)</f>
        <v>0</v>
      </c>
    </row>
    <row r="95" spans="1:23" x14ac:dyDescent="0.3">
      <c r="A95" s="5">
        <f>VLOOKUP($B95,observed!$A$2:$B$139,2,FALSE)</f>
        <v>95</v>
      </c>
      <c r="B95" s="5" t="str">
        <f t="shared" si="13"/>
        <v>10_816</v>
      </c>
      <c r="C95" s="5">
        <v>816</v>
      </c>
      <c r="D95" s="5">
        <v>10</v>
      </c>
      <c r="E95" s="5" t="s">
        <v>0</v>
      </c>
      <c r="F95" s="319">
        <v>38.570937499999999</v>
      </c>
      <c r="G95" s="319">
        <v>225.57801971925133</v>
      </c>
      <c r="H95" s="319">
        <v>671.1741176470581</v>
      </c>
      <c r="I95" s="319">
        <v>286.6678626336909</v>
      </c>
      <c r="J95" s="319">
        <v>12.609062499999705</v>
      </c>
      <c r="K95" s="326">
        <v>103.71462500000003</v>
      </c>
      <c r="L95" s="326">
        <v>669.93853008021381</v>
      </c>
      <c r="M95" s="326">
        <v>2004.4569786096238</v>
      </c>
      <c r="N95" s="326">
        <v>824.31617881016314</v>
      </c>
      <c r="O95" s="326">
        <v>31.223687499999301</v>
      </c>
      <c r="P95" s="251">
        <f t="shared" si="14"/>
        <v>2.6889319192721213</v>
      </c>
      <c r="Q95" s="251">
        <f t="shared" si="15"/>
        <v>2.9698750388623956</v>
      </c>
      <c r="R95" s="251">
        <f t="shared" si="16"/>
        <v>2.9864932599556564</v>
      </c>
      <c r="S95" s="251">
        <f t="shared" si="17"/>
        <v>2.8755095574263532</v>
      </c>
      <c r="T95" s="251">
        <f t="shared" si="18"/>
        <v>2.4762893752013704</v>
      </c>
      <c r="U95" s="315" t="str">
        <f t="shared" si="19"/>
        <v>95_816_10_Local</v>
      </c>
      <c r="V95" s="317">
        <f>IF(U95=observed!V96,0,1)</f>
        <v>0</v>
      </c>
    </row>
    <row r="96" spans="1:23" x14ac:dyDescent="0.3">
      <c r="A96" s="5">
        <f>VLOOKUP($B96,observed!$A$2:$B$139,2,FALSE)</f>
        <v>96</v>
      </c>
      <c r="B96" s="5" t="str">
        <f t="shared" si="13"/>
        <v>10_832</v>
      </c>
      <c r="C96" s="5">
        <v>832</v>
      </c>
      <c r="D96" s="5">
        <v>10</v>
      </c>
      <c r="E96" s="5" t="s">
        <v>0</v>
      </c>
      <c r="F96" s="319">
        <v>0</v>
      </c>
      <c r="G96" s="319">
        <v>75.849999999999994</v>
      </c>
      <c r="H96" s="319">
        <v>132.05000000000001</v>
      </c>
      <c r="I96" s="319">
        <v>58.31</v>
      </c>
      <c r="J96" s="319">
        <v>0</v>
      </c>
      <c r="K96" s="326">
        <v>0</v>
      </c>
      <c r="L96" s="326">
        <v>224.04000000000002</v>
      </c>
      <c r="M96" s="326">
        <v>472.23</v>
      </c>
      <c r="N96" s="326">
        <v>226.13</v>
      </c>
      <c r="O96" s="326">
        <v>0</v>
      </c>
      <c r="P96" s="251" t="e">
        <f t="shared" si="14"/>
        <v>#DIV/0!</v>
      </c>
      <c r="Q96" s="251">
        <f t="shared" si="15"/>
        <v>2.953724456163481</v>
      </c>
      <c r="R96" s="251">
        <f t="shared" si="16"/>
        <v>3.5761453994698975</v>
      </c>
      <c r="S96" s="251">
        <f t="shared" si="17"/>
        <v>3.8780655119190532</v>
      </c>
      <c r="T96" s="251" t="e">
        <f t="shared" si="18"/>
        <v>#DIV/0!</v>
      </c>
      <c r="U96" s="315" t="str">
        <f t="shared" si="19"/>
        <v>96_832_10_Local</v>
      </c>
      <c r="V96" s="317">
        <f>IF(U96=observed!V97,0,1)</f>
        <v>0</v>
      </c>
    </row>
    <row r="97" spans="1:23" s="300" customFormat="1" x14ac:dyDescent="0.3">
      <c r="A97" s="306">
        <v>96</v>
      </c>
      <c r="B97" s="306" t="str">
        <f t="shared" si="13"/>
        <v>10_833</v>
      </c>
      <c r="C97" s="306">
        <v>833</v>
      </c>
      <c r="D97" s="306">
        <v>10</v>
      </c>
      <c r="E97" s="306" t="s">
        <v>0</v>
      </c>
      <c r="F97" s="322">
        <f>observed!G98</f>
        <v>13.333333333333311</v>
      </c>
      <c r="G97" s="322">
        <f>observed!H98</f>
        <v>113.9569892473118</v>
      </c>
      <c r="H97" s="322">
        <f>observed!I98</f>
        <v>258.86432637571119</v>
      </c>
      <c r="I97" s="322">
        <f>observed!J98</f>
        <v>129.84535104364372</v>
      </c>
      <c r="J97" s="322">
        <f>observed!K98</f>
        <v>0</v>
      </c>
      <c r="K97" s="329">
        <f>observed!L98</f>
        <v>39.177777777777706</v>
      </c>
      <c r="L97" s="329">
        <f>observed!M98</f>
        <v>393.10200716845867</v>
      </c>
      <c r="M97" s="329">
        <f>observed!N98</f>
        <v>772.47798545224464</v>
      </c>
      <c r="N97" s="329">
        <f>observed!O98</f>
        <v>378.29222960151913</v>
      </c>
      <c r="O97" s="329">
        <f>observed!P98</f>
        <v>0</v>
      </c>
      <c r="P97" s="335">
        <f t="shared" si="14"/>
        <v>2.938333333333333</v>
      </c>
      <c r="Q97" s="335">
        <f t="shared" si="15"/>
        <v>3.449564697741712</v>
      </c>
      <c r="R97" s="335">
        <f t="shared" si="16"/>
        <v>2.9841036664553133</v>
      </c>
      <c r="S97" s="335">
        <f t="shared" si="17"/>
        <v>2.9134060369582833</v>
      </c>
      <c r="T97" s="335" t="e">
        <f t="shared" si="18"/>
        <v>#DIV/0!</v>
      </c>
      <c r="U97" s="315" t="str">
        <f t="shared" si="19"/>
        <v>96_833_10_Local</v>
      </c>
      <c r="V97" s="317">
        <f>IF(U97=observed!V98,0,1)</f>
        <v>1</v>
      </c>
      <c r="W97" s="307"/>
    </row>
    <row r="98" spans="1:23" x14ac:dyDescent="0.3">
      <c r="A98" s="5">
        <f>VLOOKUP($B98,observed!$A$2:$B$139,2,FALSE)</f>
        <v>98</v>
      </c>
      <c r="B98" s="5" t="str">
        <f t="shared" ref="B98:B129" si="20">CONCATENATE(D98,"_",C98)</f>
        <v>10_834</v>
      </c>
      <c r="C98" s="5">
        <v>834</v>
      </c>
      <c r="D98" s="5">
        <v>10</v>
      </c>
      <c r="E98" s="5" t="s">
        <v>0</v>
      </c>
      <c r="F98" s="319">
        <v>0</v>
      </c>
      <c r="G98" s="319">
        <v>39.549999999999997</v>
      </c>
      <c r="H98" s="319">
        <v>54.499999999999837</v>
      </c>
      <c r="I98" s="319">
        <v>1.6059265028900427E-13</v>
      </c>
      <c r="J98" s="319">
        <v>0</v>
      </c>
      <c r="K98" s="326">
        <v>0</v>
      </c>
      <c r="L98" s="326">
        <v>177.4</v>
      </c>
      <c r="M98" s="326">
        <v>303.10999999999899</v>
      </c>
      <c r="N98" s="326">
        <v>1.0017964235942144E-12</v>
      </c>
      <c r="O98" s="326">
        <v>0</v>
      </c>
      <c r="P98" s="251" t="e">
        <f t="shared" ref="P98:P129" si="21">K98/F98</f>
        <v>#DIV/0!</v>
      </c>
      <c r="Q98" s="251">
        <f t="shared" ref="Q98:Q129" si="22">L98/G98</f>
        <v>4.485461441213654</v>
      </c>
      <c r="R98" s="251">
        <f t="shared" ref="R98:R129" si="23">M98/H98</f>
        <v>5.561651376146787</v>
      </c>
      <c r="S98" s="251">
        <f t="shared" ref="S98:S129" si="24">N98/I98</f>
        <v>6.2381212452211896</v>
      </c>
      <c r="T98" s="251" t="e">
        <f t="shared" ref="T98:T129" si="25">O98/J98</f>
        <v>#DIV/0!</v>
      </c>
      <c r="U98" s="315" t="str">
        <f t="shared" si="19"/>
        <v>98_834_10_Local</v>
      </c>
      <c r="V98" s="317">
        <f>IF(U98=observed!V99,0,1)</f>
        <v>0</v>
      </c>
    </row>
    <row r="99" spans="1:23" x14ac:dyDescent="0.3">
      <c r="A99" s="5">
        <f>VLOOKUP($B99,observed!$A$2:$B$139,2,FALSE)</f>
        <v>99</v>
      </c>
      <c r="B99" s="5" t="str">
        <f t="shared" si="20"/>
        <v>10_848</v>
      </c>
      <c r="C99" s="5">
        <v>848</v>
      </c>
      <c r="D99" s="5">
        <v>10</v>
      </c>
      <c r="E99" s="5" t="s">
        <v>0</v>
      </c>
      <c r="F99" s="319">
        <v>54.963003337041137</v>
      </c>
      <c r="G99" s="319">
        <v>271.60200102215674</v>
      </c>
      <c r="H99" s="319">
        <v>612.6350982049039</v>
      </c>
      <c r="I99" s="319">
        <v>304.89725576196662</v>
      </c>
      <c r="J99" s="319">
        <v>123.87264167393148</v>
      </c>
      <c r="K99" s="326">
        <v>189.47032258064507</v>
      </c>
      <c r="L99" s="326">
        <v>1094.6906625980816</v>
      </c>
      <c r="M99" s="326">
        <v>2176.081923246179</v>
      </c>
      <c r="N99" s="326">
        <v>1191.559524007529</v>
      </c>
      <c r="O99" s="326">
        <v>516.27756756756537</v>
      </c>
      <c r="P99" s="251">
        <f t="shared" si="21"/>
        <v>3.4472337950454688</v>
      </c>
      <c r="Q99" s="251">
        <f t="shared" si="22"/>
        <v>4.0304955724857825</v>
      </c>
      <c r="R99" s="251">
        <f t="shared" si="23"/>
        <v>3.552003353419297</v>
      </c>
      <c r="S99" s="251">
        <f t="shared" si="24"/>
        <v>3.9080690346973141</v>
      </c>
      <c r="T99" s="251">
        <f t="shared" si="25"/>
        <v>4.1678094580929086</v>
      </c>
      <c r="U99" s="315" t="str">
        <f t="shared" si="19"/>
        <v>99_848_10_Local</v>
      </c>
      <c r="V99" s="317">
        <f>IF(U99=observed!V100,0,1)</f>
        <v>0</v>
      </c>
    </row>
    <row r="100" spans="1:23" x14ac:dyDescent="0.3">
      <c r="A100" s="5">
        <f>VLOOKUP($B100,observed!$A$2:$B$139,2,FALSE)</f>
        <v>100</v>
      </c>
      <c r="B100" s="5" t="str">
        <f t="shared" si="20"/>
        <v>10_851</v>
      </c>
      <c r="C100" s="5">
        <v>851</v>
      </c>
      <c r="D100" s="5">
        <v>10</v>
      </c>
      <c r="E100" s="5" t="s">
        <v>0</v>
      </c>
      <c r="F100" s="319">
        <v>7.3333333333333393</v>
      </c>
      <c r="G100" s="319">
        <v>80.851851851851862</v>
      </c>
      <c r="H100" s="319">
        <v>132.81481481481481</v>
      </c>
      <c r="I100" s="319">
        <v>158</v>
      </c>
      <c r="J100" s="319">
        <v>0</v>
      </c>
      <c r="K100" s="326">
        <v>27.29000000000002</v>
      </c>
      <c r="L100" s="326">
        <v>345.36111111111114</v>
      </c>
      <c r="M100" s="326">
        <v>453.18888888888875</v>
      </c>
      <c r="N100" s="326">
        <v>557.62</v>
      </c>
      <c r="O100" s="326">
        <v>0</v>
      </c>
      <c r="P100" s="251">
        <f t="shared" si="21"/>
        <v>3.7213636363636362</v>
      </c>
      <c r="Q100" s="251">
        <f t="shared" si="22"/>
        <v>4.2715300045808515</v>
      </c>
      <c r="R100" s="251">
        <f t="shared" si="23"/>
        <v>3.4121862799776901</v>
      </c>
      <c r="S100" s="251">
        <f t="shared" si="24"/>
        <v>3.5292405063291139</v>
      </c>
      <c r="T100" s="251" t="e">
        <f t="shared" si="25"/>
        <v>#DIV/0!</v>
      </c>
      <c r="U100" s="315" t="str">
        <f t="shared" si="19"/>
        <v>100_851_10_Local</v>
      </c>
      <c r="V100" s="317">
        <f>IF(U100=observed!V101,0,1)</f>
        <v>0</v>
      </c>
    </row>
    <row r="101" spans="1:23" x14ac:dyDescent="0.3">
      <c r="A101" s="5">
        <f>VLOOKUP($B101,observed!$A$2:$B$139,2,FALSE)</f>
        <v>101</v>
      </c>
      <c r="B101" s="5" t="str">
        <f t="shared" si="20"/>
        <v>10_854</v>
      </c>
      <c r="C101" s="5">
        <v>854</v>
      </c>
      <c r="D101" s="5">
        <v>10</v>
      </c>
      <c r="E101" s="5" t="s">
        <v>0</v>
      </c>
      <c r="F101" s="319">
        <v>9.8610000000000007</v>
      </c>
      <c r="G101" s="319">
        <v>149.34672727272726</v>
      </c>
      <c r="H101" s="319">
        <v>486.42909090909069</v>
      </c>
      <c r="I101" s="319">
        <v>185.16318181818232</v>
      </c>
      <c r="J101" s="319">
        <v>56.959999999999745</v>
      </c>
      <c r="K101" s="326">
        <v>23.693000000000001</v>
      </c>
      <c r="L101" s="326">
        <v>477.26927272727272</v>
      </c>
      <c r="M101" s="326">
        <v>1467.6531818181811</v>
      </c>
      <c r="N101" s="326">
        <v>562.492045454547</v>
      </c>
      <c r="O101" s="326">
        <v>201.93249999999918</v>
      </c>
      <c r="P101" s="251">
        <f t="shared" si="21"/>
        <v>2.4026974951830442</v>
      </c>
      <c r="Q101" s="251">
        <f t="shared" si="22"/>
        <v>3.1957129656796206</v>
      </c>
      <c r="R101" s="251">
        <f t="shared" si="23"/>
        <v>3.0171986199988039</v>
      </c>
      <c r="S101" s="251">
        <f t="shared" si="24"/>
        <v>3.0378179934652234</v>
      </c>
      <c r="T101" s="251">
        <f t="shared" si="25"/>
        <v>3.5451632724719118</v>
      </c>
      <c r="U101" s="315" t="str">
        <f t="shared" si="19"/>
        <v>101_854_10_Local</v>
      </c>
      <c r="V101" s="317">
        <f>IF(U101=observed!V102,0,1)</f>
        <v>0</v>
      </c>
    </row>
    <row r="102" spans="1:23" x14ac:dyDescent="0.3">
      <c r="A102" s="5">
        <f>VLOOKUP($B102,observed!$A$2:$B$139,2,FALSE)</f>
        <v>102</v>
      </c>
      <c r="B102" s="5" t="str">
        <f t="shared" si="20"/>
        <v>10_855</v>
      </c>
      <c r="C102" s="5">
        <v>855</v>
      </c>
      <c r="D102" s="5">
        <v>10</v>
      </c>
      <c r="E102" s="5" t="s">
        <v>0</v>
      </c>
      <c r="F102" s="319">
        <v>22.990000000000002</v>
      </c>
      <c r="G102" s="319">
        <v>242.21999999999997</v>
      </c>
      <c r="H102" s="319">
        <v>431.09000000000003</v>
      </c>
      <c r="I102" s="319">
        <v>229.45</v>
      </c>
      <c r="J102" s="319">
        <v>95.99</v>
      </c>
      <c r="K102" s="326">
        <v>55.21</v>
      </c>
      <c r="L102" s="326">
        <v>553.68000000000006</v>
      </c>
      <c r="M102" s="326">
        <v>992.93999999999994</v>
      </c>
      <c r="N102" s="326">
        <v>545.46</v>
      </c>
      <c r="O102" s="326">
        <v>227.58</v>
      </c>
      <c r="P102" s="251">
        <f t="shared" si="21"/>
        <v>2.4014789038712481</v>
      </c>
      <c r="Q102" s="251">
        <f t="shared" si="22"/>
        <v>2.2858558335397579</v>
      </c>
      <c r="R102" s="251">
        <f t="shared" si="23"/>
        <v>2.3033241318518174</v>
      </c>
      <c r="S102" s="251">
        <f t="shared" si="24"/>
        <v>2.3772499455219003</v>
      </c>
      <c r="T102" s="251">
        <f t="shared" si="25"/>
        <v>2.3708719658297741</v>
      </c>
      <c r="U102" s="315" t="str">
        <f t="shared" si="19"/>
        <v>102_855_10_Local</v>
      </c>
      <c r="V102" s="317">
        <f>IF(U102=observed!V103,0,1)</f>
        <v>0</v>
      </c>
    </row>
    <row r="103" spans="1:23" x14ac:dyDescent="0.3">
      <c r="A103" s="5">
        <f>VLOOKUP($B103,observed!$A$2:$B$139,2,FALSE)</f>
        <v>103</v>
      </c>
      <c r="B103" s="5" t="str">
        <f t="shared" si="20"/>
        <v>10_856</v>
      </c>
      <c r="C103" s="5">
        <v>856</v>
      </c>
      <c r="D103" s="5">
        <v>10</v>
      </c>
      <c r="E103" s="5" t="s">
        <v>0</v>
      </c>
      <c r="F103" s="319">
        <v>83.765500210172362</v>
      </c>
      <c r="G103" s="319">
        <v>539.19695383394514</v>
      </c>
      <c r="H103" s="319">
        <v>1160.870617160889</v>
      </c>
      <c r="I103" s="319">
        <v>642.12644755580322</v>
      </c>
      <c r="J103" s="319">
        <v>228.80048123919028</v>
      </c>
      <c r="K103" s="326">
        <v>362.20335813366978</v>
      </c>
      <c r="L103" s="326">
        <v>2265.2100885575064</v>
      </c>
      <c r="M103" s="326">
        <v>4503.8260564387083</v>
      </c>
      <c r="N103" s="326">
        <v>2241.043330541821</v>
      </c>
      <c r="O103" s="326">
        <v>914.9271663282932</v>
      </c>
      <c r="P103" s="251">
        <f t="shared" si="21"/>
        <v>4.3240159400335596</v>
      </c>
      <c r="Q103" s="251">
        <f t="shared" si="22"/>
        <v>4.2010810195621326</v>
      </c>
      <c r="R103" s="251">
        <f t="shared" si="23"/>
        <v>3.8796968325838055</v>
      </c>
      <c r="S103" s="251">
        <f t="shared" si="24"/>
        <v>3.4900343056607488</v>
      </c>
      <c r="T103" s="251">
        <f t="shared" si="25"/>
        <v>3.9987991343943867</v>
      </c>
      <c r="U103" s="315" t="str">
        <f t="shared" si="19"/>
        <v>103_856_10_Local</v>
      </c>
      <c r="V103" s="317">
        <f>IF(U103=observed!V104,0,1)</f>
        <v>0</v>
      </c>
    </row>
    <row r="104" spans="1:23" x14ac:dyDescent="0.3">
      <c r="A104" s="5">
        <f>VLOOKUP($B104,observed!$A$2:$B$139,2,FALSE)</f>
        <v>104</v>
      </c>
      <c r="B104" s="5" t="str">
        <f t="shared" si="20"/>
        <v>10_864</v>
      </c>
      <c r="C104" s="5">
        <v>864</v>
      </c>
      <c r="D104" s="5">
        <v>10</v>
      </c>
      <c r="E104" s="5" t="s">
        <v>0</v>
      </c>
      <c r="F104" s="319">
        <v>35.943157894736856</v>
      </c>
      <c r="G104" s="319">
        <v>292.85465162907269</v>
      </c>
      <c r="H104" s="319">
        <v>620.00697026813532</v>
      </c>
      <c r="I104" s="319">
        <v>318.38400982073165</v>
      </c>
      <c r="J104" s="319">
        <v>189.87121038732352</v>
      </c>
      <c r="K104" s="326">
        <v>326.23894736842118</v>
      </c>
      <c r="L104" s="326">
        <v>2066.3781002506262</v>
      </c>
      <c r="M104" s="326">
        <v>3236.9802077625523</v>
      </c>
      <c r="N104" s="326">
        <v>1893.9034708507972</v>
      </c>
      <c r="O104" s="326">
        <v>1456.4392737676021</v>
      </c>
      <c r="P104" s="251">
        <f t="shared" si="21"/>
        <v>9.0765243366719375</v>
      </c>
      <c r="Q104" s="251">
        <f t="shared" si="22"/>
        <v>7.0559852430409196</v>
      </c>
      <c r="R104" s="251">
        <f t="shared" si="23"/>
        <v>5.2208771239501557</v>
      </c>
      <c r="S104" s="251">
        <f t="shared" si="24"/>
        <v>5.9484880283943058</v>
      </c>
      <c r="T104" s="251">
        <f t="shared" si="25"/>
        <v>7.67066934895802</v>
      </c>
      <c r="U104" s="315" t="str">
        <f t="shared" si="19"/>
        <v>104_864_10_Local</v>
      </c>
      <c r="V104" s="317">
        <f>IF(U104=observed!V105,0,1)</f>
        <v>0</v>
      </c>
    </row>
    <row r="105" spans="1:23" x14ac:dyDescent="0.3">
      <c r="A105" s="5">
        <f>VLOOKUP($B105,observed!$A$2:$B$139,2,FALSE)</f>
        <v>105</v>
      </c>
      <c r="B105" s="5" t="str">
        <f t="shared" si="20"/>
        <v>10_871</v>
      </c>
      <c r="C105" s="5">
        <v>871</v>
      </c>
      <c r="D105" s="5">
        <v>10</v>
      </c>
      <c r="E105" s="5" t="s">
        <v>0</v>
      </c>
      <c r="F105" s="319">
        <v>5.75</v>
      </c>
      <c r="G105" s="319">
        <v>35.549999999999997</v>
      </c>
      <c r="H105" s="319">
        <v>111.53666666666641</v>
      </c>
      <c r="I105" s="319">
        <v>53.91333333333359</v>
      </c>
      <c r="J105" s="319">
        <v>31.64</v>
      </c>
      <c r="K105" s="326">
        <v>9.98</v>
      </c>
      <c r="L105" s="326">
        <v>82.75</v>
      </c>
      <c r="M105" s="326">
        <v>279.53999999999928</v>
      </c>
      <c r="N105" s="326">
        <v>153.06000000000071</v>
      </c>
      <c r="O105" s="326">
        <v>93.41</v>
      </c>
      <c r="P105" s="251">
        <f t="shared" si="21"/>
        <v>1.7356521739130435</v>
      </c>
      <c r="Q105" s="251">
        <f t="shared" si="22"/>
        <v>2.3277074542897331</v>
      </c>
      <c r="R105" s="251">
        <f t="shared" si="23"/>
        <v>2.5062610202922802</v>
      </c>
      <c r="S105" s="251">
        <f t="shared" si="24"/>
        <v>2.839000865586744</v>
      </c>
      <c r="T105" s="251">
        <f t="shared" si="25"/>
        <v>2.9522756005056889</v>
      </c>
      <c r="U105" s="315" t="str">
        <f t="shared" si="19"/>
        <v>105_871_10_Local</v>
      </c>
      <c r="V105" s="317">
        <f>IF(U105=observed!V106,0,1)</f>
        <v>0</v>
      </c>
    </row>
    <row r="106" spans="1:23" x14ac:dyDescent="0.3">
      <c r="A106" s="5">
        <f>VLOOKUP($B106,observed!$A$2:$B$139,2,FALSE)</f>
        <v>106</v>
      </c>
      <c r="B106" s="5" t="str">
        <f t="shared" si="20"/>
        <v>10_872</v>
      </c>
      <c r="C106" s="5">
        <v>872</v>
      </c>
      <c r="D106" s="5">
        <v>10</v>
      </c>
      <c r="E106" s="5" t="s">
        <v>0</v>
      </c>
      <c r="F106" s="319">
        <v>0</v>
      </c>
      <c r="G106" s="319">
        <v>23.40666666666668</v>
      </c>
      <c r="H106" s="319">
        <v>87.453333333333319</v>
      </c>
      <c r="I106" s="319">
        <v>41.735217391304502</v>
      </c>
      <c r="J106" s="319">
        <v>37.304782608695504</v>
      </c>
      <c r="K106" s="326">
        <v>0</v>
      </c>
      <c r="L106" s="326">
        <v>47.723333333333358</v>
      </c>
      <c r="M106" s="326">
        <v>191.45666666666665</v>
      </c>
      <c r="N106" s="326">
        <v>80.759565217391625</v>
      </c>
      <c r="O106" s="326">
        <v>83.990434782608375</v>
      </c>
      <c r="P106" s="251" t="e">
        <f t="shared" si="21"/>
        <v>#DIV/0!</v>
      </c>
      <c r="Q106" s="251">
        <f t="shared" si="22"/>
        <v>2.0388778125890057</v>
      </c>
      <c r="R106" s="251">
        <f t="shared" si="23"/>
        <v>2.1892437871626775</v>
      </c>
      <c r="S106" s="251">
        <f t="shared" si="24"/>
        <v>1.9350459938952616</v>
      </c>
      <c r="T106" s="251">
        <f t="shared" si="25"/>
        <v>2.2514656006340257</v>
      </c>
      <c r="U106" s="315" t="str">
        <f t="shared" si="19"/>
        <v>106_872_10_Local</v>
      </c>
      <c r="V106" s="317">
        <f>IF(U106=observed!V107,0,1)</f>
        <v>0</v>
      </c>
    </row>
    <row r="107" spans="1:23" x14ac:dyDescent="0.3">
      <c r="A107" s="5">
        <f>VLOOKUP($B107,observed!$A$2:$B$139,2,FALSE)</f>
        <v>107</v>
      </c>
      <c r="B107" s="5" t="str">
        <f t="shared" si="20"/>
        <v>10_874</v>
      </c>
      <c r="C107" s="5">
        <v>874</v>
      </c>
      <c r="D107" s="5">
        <v>10</v>
      </c>
      <c r="E107" s="5" t="s">
        <v>0</v>
      </c>
      <c r="F107" s="319">
        <v>23.102727272727257</v>
      </c>
      <c r="G107" s="319">
        <v>171.64786096256688</v>
      </c>
      <c r="H107" s="319">
        <v>449.29700435729785</v>
      </c>
      <c r="I107" s="319">
        <v>201.84090740740828</v>
      </c>
      <c r="J107" s="319">
        <v>73.821499999999787</v>
      </c>
      <c r="K107" s="326">
        <v>40.169999999999973</v>
      </c>
      <c r="L107" s="326">
        <v>408.52803921568636</v>
      </c>
      <c r="M107" s="326">
        <v>1310.6465904139416</v>
      </c>
      <c r="N107" s="326">
        <v>532.94162037037256</v>
      </c>
      <c r="O107" s="326">
        <v>262.71374999999938</v>
      </c>
      <c r="P107" s="251">
        <f t="shared" si="21"/>
        <v>1.7387557549285799</v>
      </c>
      <c r="Q107" s="251">
        <f t="shared" si="22"/>
        <v>2.3800357133770431</v>
      </c>
      <c r="R107" s="251">
        <f t="shared" si="23"/>
        <v>2.9171051168898208</v>
      </c>
      <c r="S107" s="251">
        <f t="shared" si="24"/>
        <v>2.64040440174325</v>
      </c>
      <c r="T107" s="251">
        <f t="shared" si="25"/>
        <v>3.5587701414899473</v>
      </c>
      <c r="U107" s="315" t="str">
        <f t="shared" si="19"/>
        <v>107_874_10_Local</v>
      </c>
      <c r="V107" s="317">
        <f>IF(U107=observed!V108,0,1)</f>
        <v>0</v>
      </c>
    </row>
    <row r="108" spans="1:23" x14ac:dyDescent="0.3">
      <c r="A108" s="5">
        <f>VLOOKUP($B108,observed!$A$2:$B$139,2,FALSE)</f>
        <v>108</v>
      </c>
      <c r="B108" s="5" t="str">
        <f t="shared" si="20"/>
        <v>10_875</v>
      </c>
      <c r="C108" s="5">
        <v>875</v>
      </c>
      <c r="D108" s="5">
        <v>10</v>
      </c>
      <c r="E108" s="5" t="s">
        <v>0</v>
      </c>
      <c r="F108" s="319">
        <v>0</v>
      </c>
      <c r="G108" s="319">
        <v>128.2258823529412</v>
      </c>
      <c r="H108" s="319">
        <v>395.70306501547941</v>
      </c>
      <c r="I108" s="319">
        <v>216.68533834586566</v>
      </c>
      <c r="J108" s="319">
        <v>73.5457142857137</v>
      </c>
      <c r="K108" s="326">
        <v>0</v>
      </c>
      <c r="L108" s="326">
        <v>415.31470588235311</v>
      </c>
      <c r="M108" s="326">
        <v>1192.0916099071194</v>
      </c>
      <c r="N108" s="326">
        <v>625.00796992481469</v>
      </c>
      <c r="O108" s="326">
        <v>208.29571428571279</v>
      </c>
      <c r="P108" s="251" t="e">
        <f t="shared" si="21"/>
        <v>#DIV/0!</v>
      </c>
      <c r="Q108" s="251">
        <f t="shared" si="22"/>
        <v>3.2389303802113925</v>
      </c>
      <c r="R108" s="251">
        <f t="shared" si="23"/>
        <v>3.0125912971143811</v>
      </c>
      <c r="S108" s="251">
        <f t="shared" si="24"/>
        <v>2.8844035996897888</v>
      </c>
      <c r="T108" s="251">
        <f t="shared" si="25"/>
        <v>2.8321937764655631</v>
      </c>
      <c r="U108" s="315" t="str">
        <f t="shared" si="19"/>
        <v>108_875_10_Local</v>
      </c>
      <c r="V108" s="317">
        <f>IF(U108=observed!V109,0,1)</f>
        <v>0</v>
      </c>
    </row>
    <row r="109" spans="1:23" x14ac:dyDescent="0.3">
      <c r="A109" s="5">
        <f>VLOOKUP($B109,observed!$A$2:$B$139,2,FALSE)</f>
        <v>109</v>
      </c>
      <c r="B109" s="5" t="str">
        <f t="shared" si="20"/>
        <v>10_901</v>
      </c>
      <c r="C109" s="5">
        <v>901</v>
      </c>
      <c r="D109" s="5">
        <v>10</v>
      </c>
      <c r="E109" s="5" t="s">
        <v>0</v>
      </c>
      <c r="F109" s="319">
        <v>124.60270773243533</v>
      </c>
      <c r="G109" s="319">
        <v>583.26600034209878</v>
      </c>
      <c r="H109" s="319">
        <v>1209.4413941649964</v>
      </c>
      <c r="I109" s="319">
        <v>732.54333978945567</v>
      </c>
      <c r="J109" s="319">
        <v>306.31655797101394</v>
      </c>
      <c r="K109" s="326">
        <v>1074.0684927806526</v>
      </c>
      <c r="L109" s="326">
        <v>3638.8422939688298</v>
      </c>
      <c r="M109" s="326">
        <v>6702.8460697905903</v>
      </c>
      <c r="N109" s="326">
        <v>4189.659677276356</v>
      </c>
      <c r="O109" s="326">
        <v>2432.1534661835703</v>
      </c>
      <c r="P109" s="251">
        <f t="shared" si="21"/>
        <v>8.6199450423424615</v>
      </c>
      <c r="Q109" s="251">
        <f t="shared" si="22"/>
        <v>6.2387354857553259</v>
      </c>
      <c r="R109" s="251">
        <f t="shared" si="23"/>
        <v>5.5421007600110004</v>
      </c>
      <c r="S109" s="251">
        <f t="shared" si="24"/>
        <v>5.7193335188611902</v>
      </c>
      <c r="T109" s="251">
        <f t="shared" si="25"/>
        <v>7.9399999865946516</v>
      </c>
      <c r="U109" s="315" t="str">
        <f t="shared" si="19"/>
        <v>109_901_10_Local</v>
      </c>
      <c r="V109" s="317">
        <f>IF(U109=observed!V110,0,1)</f>
        <v>0</v>
      </c>
    </row>
    <row r="110" spans="1:23" x14ac:dyDescent="0.3">
      <c r="A110" s="5">
        <f>VLOOKUP($B110,observed!$A$2:$B$139,2,FALSE)</f>
        <v>110</v>
      </c>
      <c r="B110" s="5" t="str">
        <f t="shared" si="20"/>
        <v>10_904</v>
      </c>
      <c r="C110" s="5">
        <v>904</v>
      </c>
      <c r="D110" s="5">
        <v>10</v>
      </c>
      <c r="E110" s="5" t="s">
        <v>0</v>
      </c>
      <c r="F110" s="319">
        <v>0</v>
      </c>
      <c r="G110" s="319">
        <v>0</v>
      </c>
      <c r="H110" s="319">
        <v>75.957272727272581</v>
      </c>
      <c r="I110" s="319">
        <v>32.062727272727408</v>
      </c>
      <c r="J110" s="319">
        <v>0</v>
      </c>
      <c r="K110" s="326">
        <v>0</v>
      </c>
      <c r="L110" s="326">
        <v>0</v>
      </c>
      <c r="M110" s="326">
        <v>71.639999999999844</v>
      </c>
      <c r="N110" s="326">
        <v>28.650000000000158</v>
      </c>
      <c r="O110" s="326">
        <v>0</v>
      </c>
      <c r="P110" s="251" t="e">
        <f t="shared" si="21"/>
        <v>#DIV/0!</v>
      </c>
      <c r="Q110" s="251" t="e">
        <f t="shared" si="22"/>
        <v>#DIV/0!</v>
      </c>
      <c r="R110" s="251">
        <f t="shared" si="23"/>
        <v>0.94316182542817106</v>
      </c>
      <c r="S110" s="251">
        <f t="shared" si="24"/>
        <v>0.89356091751963596</v>
      </c>
      <c r="T110" s="251" t="e">
        <f t="shared" si="25"/>
        <v>#DIV/0!</v>
      </c>
      <c r="U110" s="315" t="str">
        <f t="shared" si="19"/>
        <v>110_904_10_Local</v>
      </c>
      <c r="V110" s="317">
        <f>IF(U110=observed!V111,0,1)</f>
        <v>0</v>
      </c>
    </row>
    <row r="111" spans="1:23" x14ac:dyDescent="0.3">
      <c r="A111" s="5">
        <f>VLOOKUP($B111,observed!$A$2:$B$139,2,FALSE)</f>
        <v>111</v>
      </c>
      <c r="B111" s="5" t="str">
        <f t="shared" si="20"/>
        <v>10_905</v>
      </c>
      <c r="C111" s="5">
        <v>905</v>
      </c>
      <c r="D111" s="5">
        <v>10</v>
      </c>
      <c r="E111" s="5" t="s">
        <v>0</v>
      </c>
      <c r="F111" s="319">
        <v>172.98142857142852</v>
      </c>
      <c r="G111" s="319">
        <v>553.08999999999992</v>
      </c>
      <c r="H111" s="319">
        <v>852.71264550264414</v>
      </c>
      <c r="I111" s="319">
        <v>549.08111111111339</v>
      </c>
      <c r="J111" s="319">
        <v>123.65481481481392</v>
      </c>
      <c r="K111" s="326">
        <v>951.63857142857125</v>
      </c>
      <c r="L111" s="326">
        <v>2998.1485714285718</v>
      </c>
      <c r="M111" s="326">
        <v>4891.8106349206282</v>
      </c>
      <c r="N111" s="326">
        <v>2935.7759259259387</v>
      </c>
      <c r="O111" s="326">
        <v>917.1662962962904</v>
      </c>
      <c r="P111" s="251">
        <f t="shared" si="21"/>
        <v>5.5013915614392959</v>
      </c>
      <c r="Q111" s="251">
        <f t="shared" si="22"/>
        <v>5.4207246043656045</v>
      </c>
      <c r="R111" s="251">
        <f t="shared" si="23"/>
        <v>5.7367633290310565</v>
      </c>
      <c r="S111" s="251">
        <f t="shared" si="24"/>
        <v>5.3467071922855638</v>
      </c>
      <c r="T111" s="251">
        <f t="shared" si="25"/>
        <v>7.4171498915739216</v>
      </c>
      <c r="U111" s="315" t="str">
        <f t="shared" si="19"/>
        <v>111_905_10_Local</v>
      </c>
      <c r="V111" s="317">
        <f>IF(U111=observed!V112,0,1)</f>
        <v>0</v>
      </c>
    </row>
    <row r="112" spans="1:23" x14ac:dyDescent="0.3">
      <c r="A112" s="5">
        <f>VLOOKUP($B112,observed!$A$2:$B$139,2,FALSE)</f>
        <v>112</v>
      </c>
      <c r="B112" s="5" t="str">
        <f t="shared" si="20"/>
        <v>10_906</v>
      </c>
      <c r="C112" s="5">
        <v>906</v>
      </c>
      <c r="D112" s="5">
        <v>10</v>
      </c>
      <c r="E112" s="5" t="s">
        <v>0</v>
      </c>
      <c r="F112" s="319">
        <v>135.85357142857143</v>
      </c>
      <c r="G112" s="319">
        <v>319.94229813664589</v>
      </c>
      <c r="H112" s="319">
        <v>1289.8882329988837</v>
      </c>
      <c r="I112" s="319">
        <v>652.93839743589956</v>
      </c>
      <c r="J112" s="319">
        <v>246.86749999999944</v>
      </c>
      <c r="K112" s="326">
        <v>356.99714285714288</v>
      </c>
      <c r="L112" s="326">
        <v>470.60046583850936</v>
      </c>
      <c r="M112" s="326">
        <v>1767.7223546743096</v>
      </c>
      <c r="N112" s="326">
        <v>919.48864774115054</v>
      </c>
      <c r="O112" s="326">
        <v>427.88138888888813</v>
      </c>
      <c r="P112" s="251">
        <f t="shared" si="21"/>
        <v>2.6278083020058363</v>
      </c>
      <c r="Q112" s="251">
        <f t="shared" si="22"/>
        <v>1.4708916844671724</v>
      </c>
      <c r="R112" s="251">
        <f t="shared" si="23"/>
        <v>1.37044614366665</v>
      </c>
      <c r="S112" s="251">
        <f t="shared" si="24"/>
        <v>1.4082318505880469</v>
      </c>
      <c r="T112" s="251">
        <f t="shared" si="25"/>
        <v>1.7332430914919505</v>
      </c>
      <c r="U112" s="315" t="str">
        <f t="shared" si="19"/>
        <v>112_906_10_Local</v>
      </c>
      <c r="V112" s="317">
        <f>IF(U112=observed!V113,0,1)</f>
        <v>0</v>
      </c>
    </row>
    <row r="113" spans="1:23" x14ac:dyDescent="0.3">
      <c r="A113" s="5">
        <f>VLOOKUP($B113,observed!$A$2:$B$139,2,FALSE)</f>
        <v>113</v>
      </c>
      <c r="B113" s="5" t="str">
        <f t="shared" si="20"/>
        <v>10_907</v>
      </c>
      <c r="C113" s="5">
        <v>907</v>
      </c>
      <c r="D113" s="5">
        <v>10</v>
      </c>
      <c r="E113" s="5" t="s">
        <v>0</v>
      </c>
      <c r="F113" s="319">
        <v>118.1875</v>
      </c>
      <c r="G113" s="319">
        <v>291.71659090909088</v>
      </c>
      <c r="H113" s="319">
        <v>1303.7515440115424</v>
      </c>
      <c r="I113" s="319">
        <v>733.2224808688419</v>
      </c>
      <c r="J113" s="319">
        <v>237.21188421052517</v>
      </c>
      <c r="K113" s="326">
        <v>260.01013888888889</v>
      </c>
      <c r="L113" s="326">
        <v>477.50314393939396</v>
      </c>
      <c r="M113" s="326">
        <v>1895.4177224627197</v>
      </c>
      <c r="N113" s="326">
        <v>1060.5022835978882</v>
      </c>
      <c r="O113" s="326">
        <v>387.65671111110947</v>
      </c>
      <c r="P113" s="251">
        <f t="shared" si="21"/>
        <v>2.1999800223279862</v>
      </c>
      <c r="Q113" s="251">
        <f t="shared" si="22"/>
        <v>1.6368734546476333</v>
      </c>
      <c r="R113" s="251">
        <f t="shared" si="23"/>
        <v>1.453818199616981</v>
      </c>
      <c r="S113" s="251">
        <f t="shared" si="24"/>
        <v>1.4463581126716569</v>
      </c>
      <c r="T113" s="251">
        <f t="shared" si="25"/>
        <v>1.6342212887068708</v>
      </c>
      <c r="U113" s="315" t="str">
        <f t="shared" si="19"/>
        <v>113_907_10_Local</v>
      </c>
      <c r="V113" s="317">
        <f>IF(U113=observed!V114,0,1)</f>
        <v>0</v>
      </c>
    </row>
    <row r="114" spans="1:23" x14ac:dyDescent="0.3">
      <c r="A114" s="5">
        <f>VLOOKUP($B114,observed!$A$2:$B$139,2,FALSE)</f>
        <v>114</v>
      </c>
      <c r="B114" s="5" t="str">
        <f t="shared" si="20"/>
        <v>10_916</v>
      </c>
      <c r="C114" s="5">
        <v>916</v>
      </c>
      <c r="D114" s="5">
        <v>10</v>
      </c>
      <c r="E114" s="5" t="s">
        <v>0</v>
      </c>
      <c r="F114" s="319">
        <v>5.52</v>
      </c>
      <c r="G114" s="319">
        <v>84.260217391304366</v>
      </c>
      <c r="H114" s="319">
        <v>179.54930641821883</v>
      </c>
      <c r="I114" s="319">
        <v>130.50086080586155</v>
      </c>
      <c r="J114" s="319">
        <v>41.389615384615219</v>
      </c>
      <c r="K114" s="326">
        <v>6.76</v>
      </c>
      <c r="L114" s="326">
        <v>252.58478260869572</v>
      </c>
      <c r="M114" s="326">
        <v>605.36939321547834</v>
      </c>
      <c r="N114" s="326">
        <v>430.25274725274949</v>
      </c>
      <c r="O114" s="326">
        <v>136.72307692307635</v>
      </c>
      <c r="P114" s="251">
        <f t="shared" si="21"/>
        <v>1.2246376811594204</v>
      </c>
      <c r="Q114" s="251">
        <f t="shared" si="22"/>
        <v>2.997675420604391</v>
      </c>
      <c r="R114" s="251">
        <f t="shared" si="23"/>
        <v>3.3716053004705544</v>
      </c>
      <c r="S114" s="251">
        <f t="shared" si="24"/>
        <v>3.2969341703639117</v>
      </c>
      <c r="T114" s="251">
        <f t="shared" si="25"/>
        <v>3.3033183723156117</v>
      </c>
      <c r="U114" s="315" t="str">
        <f t="shared" si="19"/>
        <v>114_916_10_Local</v>
      </c>
      <c r="V114" s="317">
        <f>IF(U114=observed!V115,0,1)</f>
        <v>0</v>
      </c>
    </row>
    <row r="115" spans="1:23" x14ac:dyDescent="0.3">
      <c r="A115" s="5">
        <f>VLOOKUP($B115,observed!$A$2:$B$139,2,FALSE)</f>
        <v>115</v>
      </c>
      <c r="B115" s="5" t="str">
        <f t="shared" si="20"/>
        <v>10_917</v>
      </c>
      <c r="C115" s="5">
        <v>917</v>
      </c>
      <c r="D115" s="5">
        <v>10</v>
      </c>
      <c r="E115" s="5" t="s">
        <v>0</v>
      </c>
      <c r="F115" s="319">
        <v>6.25</v>
      </c>
      <c r="G115" s="319">
        <v>98.339999999999989</v>
      </c>
      <c r="H115" s="319">
        <v>155.01509433962244</v>
      </c>
      <c r="I115" s="319">
        <v>114.51641509434</v>
      </c>
      <c r="J115" s="319">
        <v>52.738490566037576</v>
      </c>
      <c r="K115" s="326">
        <v>17.7</v>
      </c>
      <c r="L115" s="326">
        <v>342.8</v>
      </c>
      <c r="M115" s="326">
        <v>498.63849056603704</v>
      </c>
      <c r="N115" s="326">
        <v>368.54056603773722</v>
      </c>
      <c r="O115" s="326">
        <v>196.43094339622587</v>
      </c>
      <c r="P115" s="251">
        <f t="shared" si="21"/>
        <v>2.8319999999999999</v>
      </c>
      <c r="Q115" s="251">
        <f t="shared" si="22"/>
        <v>3.4858653650599964</v>
      </c>
      <c r="R115" s="251">
        <f t="shared" si="23"/>
        <v>3.2167092675089459</v>
      </c>
      <c r="S115" s="251">
        <f t="shared" si="24"/>
        <v>3.2182335234134691</v>
      </c>
      <c r="T115" s="251">
        <f t="shared" si="25"/>
        <v>3.7246220225105011</v>
      </c>
      <c r="U115" s="315" t="str">
        <f t="shared" si="19"/>
        <v>115_917_10_Local</v>
      </c>
      <c r="V115" s="317">
        <f>IF(U115=observed!V116,0,1)</f>
        <v>0</v>
      </c>
    </row>
    <row r="116" spans="1:23" x14ac:dyDescent="0.3">
      <c r="A116" s="5">
        <f>VLOOKUP($B116,observed!$A$2:$B$139,2,FALSE)</f>
        <v>116</v>
      </c>
      <c r="B116" s="5" t="str">
        <f t="shared" si="20"/>
        <v>10_921</v>
      </c>
      <c r="C116" s="5">
        <v>921</v>
      </c>
      <c r="D116" s="5">
        <v>10</v>
      </c>
      <c r="E116" s="5" t="s">
        <v>0</v>
      </c>
      <c r="F116" s="319">
        <v>3.8374999999999981</v>
      </c>
      <c r="G116" s="319">
        <v>199.52796213476444</v>
      </c>
      <c r="H116" s="319">
        <v>513.23032733891944</v>
      </c>
      <c r="I116" s="319">
        <v>270.38541963015717</v>
      </c>
      <c r="J116" s="319">
        <v>31.648790896158939</v>
      </c>
      <c r="K116" s="326">
        <v>18.720833333333321</v>
      </c>
      <c r="L116" s="326">
        <v>748.45970930232568</v>
      </c>
      <c r="M116" s="326">
        <v>1931.0407731538135</v>
      </c>
      <c r="N116" s="326">
        <v>950.99737553343073</v>
      </c>
      <c r="O116" s="326">
        <v>116.45130867709689</v>
      </c>
      <c r="P116" s="251">
        <f t="shared" si="21"/>
        <v>4.8783930510314866</v>
      </c>
      <c r="Q116" s="251">
        <f t="shared" si="22"/>
        <v>3.7511519753647553</v>
      </c>
      <c r="R116" s="251">
        <f t="shared" si="23"/>
        <v>3.7625227315895176</v>
      </c>
      <c r="S116" s="251">
        <f t="shared" si="24"/>
        <v>3.5171917806597666</v>
      </c>
      <c r="T116" s="251">
        <f t="shared" si="25"/>
        <v>3.6794868107024596</v>
      </c>
      <c r="U116" s="315" t="str">
        <f t="shared" si="19"/>
        <v>116_921_10_Local</v>
      </c>
      <c r="V116" s="317">
        <f>IF(U116=observed!V117,0,1)</f>
        <v>0</v>
      </c>
    </row>
    <row r="117" spans="1:23" x14ac:dyDescent="0.3">
      <c r="A117" s="5">
        <f>VLOOKUP($B117,observed!$A$2:$B$139,2,FALSE)</f>
        <v>117</v>
      </c>
      <c r="B117" s="5" t="str">
        <f t="shared" si="20"/>
        <v>10_923</v>
      </c>
      <c r="C117" s="5">
        <v>923</v>
      </c>
      <c r="D117" s="5">
        <v>10</v>
      </c>
      <c r="E117" s="5" t="s">
        <v>0</v>
      </c>
      <c r="F117" s="319">
        <v>17.015555555555544</v>
      </c>
      <c r="G117" s="319">
        <v>259.16683343756517</v>
      </c>
      <c r="H117" s="319">
        <v>438.64302767354548</v>
      </c>
      <c r="I117" s="319">
        <v>290.30051670856972</v>
      </c>
      <c r="J117" s="319">
        <v>10.274066624764018</v>
      </c>
      <c r="K117" s="326">
        <v>67.297614379084919</v>
      </c>
      <c r="L117" s="326">
        <v>1155.3405219561246</v>
      </c>
      <c r="M117" s="326">
        <v>1867.494155331455</v>
      </c>
      <c r="N117" s="326">
        <v>1278.3343770951217</v>
      </c>
      <c r="O117" s="326">
        <v>51.563331238213593</v>
      </c>
      <c r="P117" s="251">
        <f t="shared" si="21"/>
        <v>3.9550641857892432</v>
      </c>
      <c r="Q117" s="251">
        <f t="shared" si="22"/>
        <v>4.4579026823447796</v>
      </c>
      <c r="R117" s="251">
        <f t="shared" si="23"/>
        <v>4.2574349471281554</v>
      </c>
      <c r="S117" s="251">
        <f t="shared" si="24"/>
        <v>4.4034863995038318</v>
      </c>
      <c r="T117" s="251">
        <f t="shared" si="25"/>
        <v>5.0187849778906743</v>
      </c>
      <c r="U117" s="315" t="str">
        <f t="shared" si="19"/>
        <v>117_923_10_Local</v>
      </c>
      <c r="V117" s="317">
        <f>IF(U117=observed!V118,0,1)</f>
        <v>0</v>
      </c>
    </row>
    <row r="118" spans="1:23" x14ac:dyDescent="0.3">
      <c r="A118" s="5">
        <f>VLOOKUP($B118,observed!$A$2:$B$139,2,FALSE)</f>
        <v>118</v>
      </c>
      <c r="B118" s="5" t="str">
        <f t="shared" si="20"/>
        <v>10_928</v>
      </c>
      <c r="C118" s="5">
        <v>928</v>
      </c>
      <c r="D118" s="5">
        <v>10</v>
      </c>
      <c r="E118" s="5" t="s">
        <v>0</v>
      </c>
      <c r="F118" s="319">
        <v>19.214166666666657</v>
      </c>
      <c r="G118" s="319">
        <v>251.0036111111111</v>
      </c>
      <c r="H118" s="319">
        <v>575.21358850129116</v>
      </c>
      <c r="I118" s="319">
        <v>271.64817319461577</v>
      </c>
      <c r="J118" s="319">
        <v>72.150460526315385</v>
      </c>
      <c r="K118" s="326">
        <v>79.660694444444417</v>
      </c>
      <c r="L118" s="326">
        <v>1081.275972222222</v>
      </c>
      <c r="M118" s="326">
        <v>2622.4925484496084</v>
      </c>
      <c r="N118" s="326">
        <v>1278.1623857609202</v>
      </c>
      <c r="O118" s="326">
        <v>371.85839912280517</v>
      </c>
      <c r="P118" s="251">
        <f t="shared" si="21"/>
        <v>4.1459354353703146</v>
      </c>
      <c r="Q118" s="251">
        <f t="shared" si="22"/>
        <v>4.3078104232674823</v>
      </c>
      <c r="R118" s="251">
        <f t="shared" si="23"/>
        <v>4.5591630672051169</v>
      </c>
      <c r="S118" s="251">
        <f t="shared" si="24"/>
        <v>4.7052125207748468</v>
      </c>
      <c r="T118" s="251">
        <f t="shared" si="25"/>
        <v>5.1539296687812204</v>
      </c>
      <c r="U118" s="315" t="str">
        <f t="shared" si="19"/>
        <v>118_928_10_Local</v>
      </c>
      <c r="V118" s="317">
        <f>IF(U118=observed!V119,0,1)</f>
        <v>0</v>
      </c>
    </row>
    <row r="119" spans="1:23" x14ac:dyDescent="0.3">
      <c r="A119" s="5">
        <f>VLOOKUP($B119,observed!$A$2:$B$139,2,FALSE)</f>
        <v>119</v>
      </c>
      <c r="B119" s="5" t="str">
        <f t="shared" si="20"/>
        <v>10_929</v>
      </c>
      <c r="C119" s="5">
        <v>929</v>
      </c>
      <c r="D119" s="5">
        <v>10</v>
      </c>
      <c r="E119" s="5" t="s">
        <v>0</v>
      </c>
      <c r="F119" s="319">
        <v>163.07693719452595</v>
      </c>
      <c r="G119" s="319">
        <v>1337.0327861523022</v>
      </c>
      <c r="H119" s="319">
        <v>4074.6663070583108</v>
      </c>
      <c r="I119" s="319">
        <v>1804.1678124656928</v>
      </c>
      <c r="J119" s="319">
        <v>820.98615712916705</v>
      </c>
      <c r="K119" s="326">
        <v>685.62497849462375</v>
      </c>
      <c r="L119" s="326">
        <v>4449.6953622611118</v>
      </c>
      <c r="M119" s="326">
        <v>12601.10785478503</v>
      </c>
      <c r="N119" s="326">
        <v>6155.0643481020306</v>
      </c>
      <c r="O119" s="326">
        <v>3809.3674563572013</v>
      </c>
      <c r="P119" s="251">
        <f t="shared" si="21"/>
        <v>4.2043037494429853</v>
      </c>
      <c r="Q119" s="251">
        <f t="shared" si="22"/>
        <v>3.3280375831817817</v>
      </c>
      <c r="R119" s="251">
        <f t="shared" si="23"/>
        <v>3.0925496482882178</v>
      </c>
      <c r="S119" s="251">
        <f t="shared" si="24"/>
        <v>3.4115808438518367</v>
      </c>
      <c r="T119" s="251">
        <f t="shared" si="25"/>
        <v>4.6399898747109658</v>
      </c>
      <c r="U119" s="315" t="str">
        <f t="shared" si="19"/>
        <v>119_929_10_Local</v>
      </c>
      <c r="V119" s="317">
        <f>IF(U119=observed!V120,0,1)</f>
        <v>0</v>
      </c>
    </row>
    <row r="120" spans="1:23" x14ac:dyDescent="0.3">
      <c r="A120" s="5">
        <f>VLOOKUP($B120,observed!$A$2:$B$139,2,FALSE)</f>
        <v>120</v>
      </c>
      <c r="B120" s="5" t="str">
        <f t="shared" si="20"/>
        <v>10_932</v>
      </c>
      <c r="C120" s="5">
        <v>932</v>
      </c>
      <c r="D120" s="5">
        <v>10</v>
      </c>
      <c r="E120" s="5" t="s">
        <v>0</v>
      </c>
      <c r="F120" s="319">
        <v>100.83612836438922</v>
      </c>
      <c r="G120" s="319">
        <v>636.06439204377421</v>
      </c>
      <c r="H120" s="319">
        <v>2357.2320923737893</v>
      </c>
      <c r="I120" s="319">
        <v>1038.2602836470787</v>
      </c>
      <c r="J120" s="319">
        <v>316.27710357096919</v>
      </c>
      <c r="K120" s="326">
        <v>244.42875776397514</v>
      </c>
      <c r="L120" s="326">
        <v>1511.6809657839058</v>
      </c>
      <c r="M120" s="326">
        <v>5557.7294587829401</v>
      </c>
      <c r="N120" s="326">
        <v>2440.6646411183642</v>
      </c>
      <c r="O120" s="326">
        <v>887.16617655081438</v>
      </c>
      <c r="P120" s="251">
        <f t="shared" si="21"/>
        <v>2.4240196616899898</v>
      </c>
      <c r="Q120" s="251">
        <f t="shared" si="22"/>
        <v>2.3766162430923679</v>
      </c>
      <c r="R120" s="251">
        <f t="shared" si="23"/>
        <v>2.3577353612160326</v>
      </c>
      <c r="S120" s="251">
        <f t="shared" si="24"/>
        <v>2.3507252271512153</v>
      </c>
      <c r="T120" s="251">
        <f t="shared" si="25"/>
        <v>2.8050281431508806</v>
      </c>
      <c r="U120" s="315" t="str">
        <f t="shared" si="19"/>
        <v>120_932_10_Local</v>
      </c>
      <c r="V120" s="317">
        <f>IF(U120=observed!V121,0,1)</f>
        <v>0</v>
      </c>
    </row>
    <row r="121" spans="1:23" x14ac:dyDescent="0.3">
      <c r="A121" s="5">
        <f>VLOOKUP($B121,observed!$A$2:$B$139,2,FALSE)</f>
        <v>121</v>
      </c>
      <c r="B121" s="5" t="str">
        <f t="shared" si="20"/>
        <v>10_933</v>
      </c>
      <c r="C121" s="5">
        <v>933</v>
      </c>
      <c r="D121" s="5">
        <v>10</v>
      </c>
      <c r="E121" s="5" t="s">
        <v>0</v>
      </c>
      <c r="F121" s="319">
        <v>97.112319131161229</v>
      </c>
      <c r="G121" s="319">
        <v>562.31904450520233</v>
      </c>
      <c r="H121" s="319">
        <v>1531.177814445826</v>
      </c>
      <c r="I121" s="319">
        <v>790.37616803005938</v>
      </c>
      <c r="J121" s="319">
        <v>289.77465388775107</v>
      </c>
      <c r="K121" s="326">
        <v>275.49613366750202</v>
      </c>
      <c r="L121" s="326">
        <v>1804.7667451203765</v>
      </c>
      <c r="M121" s="326">
        <v>4859.8926006641714</v>
      </c>
      <c r="N121" s="326">
        <v>2306.3760147491885</v>
      </c>
      <c r="O121" s="326">
        <v>857.62850579876306</v>
      </c>
      <c r="P121" s="251">
        <f t="shared" si="21"/>
        <v>2.8368814186737028</v>
      </c>
      <c r="Q121" s="251">
        <f t="shared" si="22"/>
        <v>3.2095067075461281</v>
      </c>
      <c r="R121" s="251">
        <f t="shared" si="23"/>
        <v>3.1739570380485795</v>
      </c>
      <c r="S121" s="251">
        <f t="shared" si="24"/>
        <v>2.918073833751365</v>
      </c>
      <c r="T121" s="251">
        <f t="shared" si="25"/>
        <v>2.959639479479732</v>
      </c>
      <c r="U121" s="315" t="str">
        <f t="shared" si="19"/>
        <v>121_933_10_Local</v>
      </c>
      <c r="V121" s="317">
        <f>IF(U121=observed!V122,0,1)</f>
        <v>0</v>
      </c>
    </row>
    <row r="122" spans="1:23" x14ac:dyDescent="0.3">
      <c r="A122" s="5">
        <f>VLOOKUP($B122,observed!$A$2:$B$139,2,FALSE)</f>
        <v>122</v>
      </c>
      <c r="B122" s="5" t="str">
        <f t="shared" si="20"/>
        <v>10_934</v>
      </c>
      <c r="C122" s="5">
        <v>934</v>
      </c>
      <c r="D122" s="5">
        <v>10</v>
      </c>
      <c r="E122" s="5" t="s">
        <v>0</v>
      </c>
      <c r="F122" s="319">
        <v>92.524642857142823</v>
      </c>
      <c r="G122" s="319">
        <v>681.81604048840961</v>
      </c>
      <c r="H122" s="319">
        <v>1337.4654171110667</v>
      </c>
      <c r="I122" s="319">
        <v>716.56762414300806</v>
      </c>
      <c r="J122" s="319">
        <v>274.07627540037271</v>
      </c>
      <c r="K122" s="326">
        <v>253.22214285714276</v>
      </c>
      <c r="L122" s="326">
        <v>2039.1608257401201</v>
      </c>
      <c r="M122" s="326">
        <v>4018.1511884803576</v>
      </c>
      <c r="N122" s="326">
        <v>2404.5909978676204</v>
      </c>
      <c r="O122" s="326">
        <v>928.75484505475981</v>
      </c>
      <c r="P122" s="251">
        <f t="shared" si="21"/>
        <v>2.7368075686400148</v>
      </c>
      <c r="Q122" s="251">
        <f t="shared" si="22"/>
        <v>2.9907786039756341</v>
      </c>
      <c r="R122" s="251">
        <f t="shared" si="23"/>
        <v>3.0043028680020663</v>
      </c>
      <c r="S122" s="251">
        <f t="shared" si="24"/>
        <v>3.3557070077558055</v>
      </c>
      <c r="T122" s="251">
        <f t="shared" si="25"/>
        <v>3.3886728929675787</v>
      </c>
      <c r="U122" s="315" t="str">
        <f t="shared" si="19"/>
        <v>122_934_10_Local</v>
      </c>
      <c r="V122" s="317">
        <f>IF(U122=observed!V123,0,1)</f>
        <v>0</v>
      </c>
    </row>
    <row r="123" spans="1:23" x14ac:dyDescent="0.3">
      <c r="A123" s="5">
        <f>VLOOKUP($B123,observed!$A$2:$B$139,2,FALSE)</f>
        <v>123</v>
      </c>
      <c r="B123" s="5" t="str">
        <f t="shared" si="20"/>
        <v>10_936</v>
      </c>
      <c r="C123" s="5">
        <v>936</v>
      </c>
      <c r="D123" s="5">
        <v>10</v>
      </c>
      <c r="E123" s="5" t="s">
        <v>0</v>
      </c>
      <c r="F123" s="319">
        <v>27.005961538461548</v>
      </c>
      <c r="G123" s="319">
        <v>333.17114042933798</v>
      </c>
      <c r="H123" s="319">
        <v>931.20615384615223</v>
      </c>
      <c r="I123" s="319">
        <v>498.15470930232829</v>
      </c>
      <c r="J123" s="319">
        <v>190.9220348837201</v>
      </c>
      <c r="K123" s="326">
        <v>85.893782051282074</v>
      </c>
      <c r="L123" s="326">
        <v>914.47909809183045</v>
      </c>
      <c r="M123" s="326">
        <v>2225.8540966010696</v>
      </c>
      <c r="N123" s="326">
        <v>1227.1537209302396</v>
      </c>
      <c r="O123" s="326">
        <v>556.76930232557891</v>
      </c>
      <c r="P123" s="251">
        <f t="shared" si="21"/>
        <v>3.1805489291300826</v>
      </c>
      <c r="Q123" s="251">
        <f t="shared" si="22"/>
        <v>2.7447728423097968</v>
      </c>
      <c r="R123" s="251">
        <f t="shared" si="23"/>
        <v>2.3902914380533731</v>
      </c>
      <c r="S123" s="251">
        <f t="shared" si="24"/>
        <v>2.463398815699009</v>
      </c>
      <c r="T123" s="251">
        <f t="shared" si="25"/>
        <v>2.9162129068269982</v>
      </c>
      <c r="U123" s="315" t="str">
        <f t="shared" si="19"/>
        <v>123_936_10_Local</v>
      </c>
      <c r="V123" s="317">
        <f>IF(U123=observed!V124,0,1)</f>
        <v>0</v>
      </c>
    </row>
    <row r="124" spans="1:23" x14ac:dyDescent="0.3">
      <c r="A124" s="5">
        <f>VLOOKUP($B124,observed!$A$2:$B$139,2,FALSE)</f>
        <v>124</v>
      </c>
      <c r="B124" s="5" t="str">
        <f t="shared" si="20"/>
        <v>10_944</v>
      </c>
      <c r="C124" s="5">
        <v>944</v>
      </c>
      <c r="D124" s="5">
        <v>10</v>
      </c>
      <c r="E124" s="5" t="s">
        <v>0</v>
      </c>
      <c r="F124" s="319">
        <v>9</v>
      </c>
      <c r="G124" s="319">
        <v>74</v>
      </c>
      <c r="H124" s="319">
        <v>131.70833333333309</v>
      </c>
      <c r="I124" s="319">
        <v>83.291666666666998</v>
      </c>
      <c r="J124" s="319">
        <v>4.9999999999999085</v>
      </c>
      <c r="K124" s="326">
        <v>28.71</v>
      </c>
      <c r="L124" s="326">
        <v>258.33</v>
      </c>
      <c r="M124" s="326">
        <v>394.04666666666594</v>
      </c>
      <c r="N124" s="326">
        <v>268.74333333333436</v>
      </c>
      <c r="O124" s="326">
        <v>15.239999999999688</v>
      </c>
      <c r="P124" s="251">
        <f t="shared" si="21"/>
        <v>3.19</v>
      </c>
      <c r="Q124" s="251">
        <f t="shared" si="22"/>
        <v>3.4909459459459455</v>
      </c>
      <c r="R124" s="251">
        <f t="shared" si="23"/>
        <v>2.9918127174944638</v>
      </c>
      <c r="S124" s="251">
        <f t="shared" si="24"/>
        <v>3.2265332666333162</v>
      </c>
      <c r="T124" s="251">
        <f t="shared" si="25"/>
        <v>3.0479999999999934</v>
      </c>
      <c r="U124" s="315" t="str">
        <f t="shared" si="19"/>
        <v>124_944_10_Local</v>
      </c>
      <c r="V124" s="317">
        <f>IF(U124=observed!V125,0,1)</f>
        <v>0</v>
      </c>
    </row>
    <row r="125" spans="1:23" x14ac:dyDescent="0.3">
      <c r="A125" s="1">
        <f>VLOOKUP($B125,observed!$A$2:$B$139,2,FALSE)</f>
        <v>125</v>
      </c>
      <c r="B125" s="1" t="str">
        <f t="shared" si="20"/>
        <v>10_945</v>
      </c>
      <c r="C125" s="1">
        <v>945</v>
      </c>
      <c r="D125" s="1">
        <v>10</v>
      </c>
      <c r="E125" s="1" t="s">
        <v>0</v>
      </c>
      <c r="F125" s="323">
        <f>F140+F141</f>
        <v>4.7792207792207764</v>
      </c>
      <c r="G125" s="323">
        <f t="shared" ref="G125:O125" si="26">G140+G141</f>
        <v>229.70198222829799</v>
      </c>
      <c r="H125" s="323">
        <f t="shared" si="26"/>
        <v>337.05435887014806</v>
      </c>
      <c r="I125" s="323">
        <f t="shared" si="26"/>
        <v>137.65199793094575</v>
      </c>
      <c r="J125" s="323">
        <f t="shared" si="26"/>
        <v>4.8124401913874166</v>
      </c>
      <c r="K125" s="330">
        <f t="shared" si="26"/>
        <v>11.250779220779217</v>
      </c>
      <c r="L125" s="330">
        <f t="shared" si="26"/>
        <v>963.38147641831847</v>
      </c>
      <c r="M125" s="330">
        <f t="shared" si="26"/>
        <v>1302.7891312741303</v>
      </c>
      <c r="N125" s="330">
        <f t="shared" si="26"/>
        <v>622.03523988103075</v>
      </c>
      <c r="O125" s="330">
        <f t="shared" si="26"/>
        <v>17.323373205741071</v>
      </c>
      <c r="P125" s="264">
        <f t="shared" si="21"/>
        <v>2.3541032608695658</v>
      </c>
      <c r="Q125" s="264">
        <f t="shared" si="22"/>
        <v>4.1940494682402232</v>
      </c>
      <c r="R125" s="264">
        <f t="shared" si="23"/>
        <v>3.865219650744931</v>
      </c>
      <c r="S125" s="264">
        <f t="shared" si="24"/>
        <v>4.5188972861336874</v>
      </c>
      <c r="T125" s="264">
        <f t="shared" si="25"/>
        <v>3.5997067011334178</v>
      </c>
      <c r="U125" s="315" t="str">
        <f t="shared" si="19"/>
        <v>125_945_10_Local</v>
      </c>
      <c r="V125" s="317">
        <f>IF(U125=observed!V126,0,1)</f>
        <v>0</v>
      </c>
      <c r="W125" s="299"/>
    </row>
    <row r="126" spans="1:23" x14ac:dyDescent="0.3">
      <c r="A126" s="5">
        <f>VLOOKUP($B126,observed!$A$2:$B$139,2,FALSE)</f>
        <v>126</v>
      </c>
      <c r="B126" s="5" t="str">
        <f t="shared" si="20"/>
        <v>10_955</v>
      </c>
      <c r="C126" s="5">
        <v>955</v>
      </c>
      <c r="D126" s="5">
        <v>10</v>
      </c>
      <c r="E126" s="5" t="s">
        <v>0</v>
      </c>
      <c r="F126" s="319">
        <v>104.25992451342692</v>
      </c>
      <c r="G126" s="319">
        <v>976.64186978919975</v>
      </c>
      <c r="H126" s="319">
        <v>2423.325514535502</v>
      </c>
      <c r="I126" s="319">
        <v>1234.8721966563776</v>
      </c>
      <c r="J126" s="319">
        <v>516.35049450549286</v>
      </c>
      <c r="K126" s="326">
        <v>240.71318137472281</v>
      </c>
      <c r="L126" s="326">
        <v>2519.573988436598</v>
      </c>
      <c r="M126" s="326">
        <v>5705.9367957629847</v>
      </c>
      <c r="N126" s="326">
        <v>3129.3504692765632</v>
      </c>
      <c r="O126" s="326">
        <v>1403.8755651491324</v>
      </c>
      <c r="P126" s="251">
        <f t="shared" si="21"/>
        <v>2.3087795478283031</v>
      </c>
      <c r="Q126" s="251">
        <f t="shared" si="22"/>
        <v>2.5798340890099536</v>
      </c>
      <c r="R126" s="251">
        <f t="shared" si="23"/>
        <v>2.35458949346171</v>
      </c>
      <c r="S126" s="251">
        <f t="shared" si="24"/>
        <v>2.5341492647982533</v>
      </c>
      <c r="T126" s="251">
        <f t="shared" si="25"/>
        <v>2.7188422981827864</v>
      </c>
      <c r="U126" s="315" t="str">
        <f t="shared" si="19"/>
        <v>126_955_10_Local</v>
      </c>
      <c r="V126" s="317">
        <f>IF(U126=observed!V127,0,1)</f>
        <v>0</v>
      </c>
    </row>
    <row r="127" spans="1:23" x14ac:dyDescent="0.3">
      <c r="A127" s="5">
        <f>VLOOKUP($B127,observed!$A$2:$B$139,2,FALSE)</f>
        <v>127</v>
      </c>
      <c r="B127" s="5" t="str">
        <f t="shared" si="20"/>
        <v>10_961</v>
      </c>
      <c r="C127" s="5">
        <v>961</v>
      </c>
      <c r="D127" s="5">
        <v>10</v>
      </c>
      <c r="E127" s="5" t="s">
        <v>0</v>
      </c>
      <c r="F127" s="319">
        <v>64.318432900432882</v>
      </c>
      <c r="G127" s="319">
        <v>453.84737754564077</v>
      </c>
      <c r="H127" s="319">
        <v>1026.4367685012933</v>
      </c>
      <c r="I127" s="319">
        <v>579.25581487502825</v>
      </c>
      <c r="J127" s="319">
        <v>164.42160617760536</v>
      </c>
      <c r="K127" s="326">
        <v>197.02090043290042</v>
      </c>
      <c r="L127" s="326">
        <v>1226.8574861520649</v>
      </c>
      <c r="M127" s="326">
        <v>2940.6404028887127</v>
      </c>
      <c r="N127" s="326">
        <v>1720.5619518390654</v>
      </c>
      <c r="O127" s="326">
        <v>577.97925868725611</v>
      </c>
      <c r="P127" s="251">
        <f t="shared" si="21"/>
        <v>3.0632105222136778</v>
      </c>
      <c r="Q127" s="251">
        <f t="shared" si="22"/>
        <v>2.7032380197651071</v>
      </c>
      <c r="R127" s="251">
        <f t="shared" si="23"/>
        <v>2.8649016609005153</v>
      </c>
      <c r="S127" s="251">
        <f t="shared" si="24"/>
        <v>2.9702972463215906</v>
      </c>
      <c r="T127" s="251">
        <f t="shared" si="25"/>
        <v>3.5152269347310292</v>
      </c>
      <c r="U127" s="315" t="str">
        <f t="shared" si="19"/>
        <v>127_961_10_Local</v>
      </c>
      <c r="V127" s="317">
        <f>IF(U127=observed!V128,0,1)</f>
        <v>0</v>
      </c>
    </row>
    <row r="128" spans="1:23" x14ac:dyDescent="0.3">
      <c r="A128" s="5">
        <f>VLOOKUP($B128,observed!$A$2:$B$139,2,FALSE)</f>
        <v>128</v>
      </c>
      <c r="B128" s="5" t="str">
        <f t="shared" si="20"/>
        <v>10_962</v>
      </c>
      <c r="C128" s="5">
        <v>962</v>
      </c>
      <c r="D128" s="5">
        <v>10</v>
      </c>
      <c r="E128" s="5" t="s">
        <v>0</v>
      </c>
      <c r="F128" s="319">
        <v>36.767499999999984</v>
      </c>
      <c r="G128" s="319">
        <v>344.60806703762603</v>
      </c>
      <c r="H128" s="319">
        <v>823.15127506763554</v>
      </c>
      <c r="I128" s="319">
        <v>396.9837552973363</v>
      </c>
      <c r="J128" s="319">
        <v>116.15940259740226</v>
      </c>
      <c r="K128" s="326">
        <v>110.77468749999993</v>
      </c>
      <c r="L128" s="326">
        <v>1088.4695957538422</v>
      </c>
      <c r="M128" s="326">
        <v>2275.9860676233452</v>
      </c>
      <c r="N128" s="326">
        <v>1190.3902811574451</v>
      </c>
      <c r="O128" s="326">
        <v>421.43936796536678</v>
      </c>
      <c r="P128" s="251">
        <f t="shared" si="21"/>
        <v>3.0128425239681778</v>
      </c>
      <c r="Q128" s="251">
        <f t="shared" si="22"/>
        <v>3.1585725926578432</v>
      </c>
      <c r="R128" s="251">
        <f t="shared" si="23"/>
        <v>2.7649669466117697</v>
      </c>
      <c r="S128" s="251">
        <f t="shared" si="24"/>
        <v>2.9985868823923445</v>
      </c>
      <c r="T128" s="251">
        <f t="shared" si="25"/>
        <v>3.6281123916075622</v>
      </c>
      <c r="U128" s="315" t="str">
        <f t="shared" si="19"/>
        <v>128_962_10_Local</v>
      </c>
      <c r="V128" s="317">
        <f>IF(U128=observed!V129,0,1)</f>
        <v>0</v>
      </c>
    </row>
    <row r="129" spans="1:23" x14ac:dyDescent="0.3">
      <c r="A129" s="5">
        <f>VLOOKUP($B129,observed!$A$2:$B$139,2,FALSE)</f>
        <v>129</v>
      </c>
      <c r="B129" s="5" t="str">
        <f t="shared" si="20"/>
        <v>10_963</v>
      </c>
      <c r="C129" s="5">
        <v>963</v>
      </c>
      <c r="D129" s="5">
        <v>10</v>
      </c>
      <c r="E129" s="5" t="s">
        <v>0</v>
      </c>
      <c r="F129" s="319">
        <v>12.467066666666661</v>
      </c>
      <c r="G129" s="319">
        <v>154.05290227743276</v>
      </c>
      <c r="H129" s="319">
        <v>436.25203105589986</v>
      </c>
      <c r="I129" s="319">
        <v>230.00241077441189</v>
      </c>
      <c r="J129" s="319">
        <v>68.815589225588852</v>
      </c>
      <c r="K129" s="326">
        <v>23.765288888888879</v>
      </c>
      <c r="L129" s="326">
        <v>342.30735086266395</v>
      </c>
      <c r="M129" s="326">
        <v>932.66936024844586</v>
      </c>
      <c r="N129" s="326">
        <v>542.33185521885753</v>
      </c>
      <c r="O129" s="326">
        <v>192.68614478114387</v>
      </c>
      <c r="P129" s="251">
        <f t="shared" si="21"/>
        <v>1.9062454324103684</v>
      </c>
      <c r="Q129" s="251">
        <f t="shared" si="22"/>
        <v>2.2220116972947714</v>
      </c>
      <c r="R129" s="251">
        <f t="shared" si="23"/>
        <v>2.1379140814336672</v>
      </c>
      <c r="S129" s="251">
        <f t="shared" si="24"/>
        <v>2.3579398728597707</v>
      </c>
      <c r="T129" s="251">
        <f t="shared" si="25"/>
        <v>2.8000362555857352</v>
      </c>
      <c r="U129" s="315" t="str">
        <f t="shared" si="19"/>
        <v>129_963_10_Local</v>
      </c>
      <c r="V129" s="317">
        <f>IF(U129=observed!V130,0,1)</f>
        <v>0</v>
      </c>
    </row>
    <row r="130" spans="1:23" x14ac:dyDescent="0.3">
      <c r="A130" s="5">
        <f>VLOOKUP($B130,observed!$A$2:$B$139,2,FALSE)</f>
        <v>130</v>
      </c>
      <c r="B130" s="5" t="str">
        <f t="shared" ref="B130:B140" si="27">CONCATENATE(D130,"_",C130)</f>
        <v>10_964</v>
      </c>
      <c r="C130" s="5">
        <v>964</v>
      </c>
      <c r="D130" s="5">
        <v>10</v>
      </c>
      <c r="E130" s="5" t="s">
        <v>0</v>
      </c>
      <c r="F130" s="319">
        <v>8.6896551724137758</v>
      </c>
      <c r="G130" s="319">
        <v>198.24137931034483</v>
      </c>
      <c r="H130" s="319">
        <v>379.86896551724112</v>
      </c>
      <c r="I130" s="319">
        <v>194.86666666666719</v>
      </c>
      <c r="J130" s="319">
        <v>37.333333333333101</v>
      </c>
      <c r="K130" s="326">
        <v>13.909655172413766</v>
      </c>
      <c r="L130" s="326">
        <v>344.54586206896556</v>
      </c>
      <c r="M130" s="326">
        <v>639.63714942528691</v>
      </c>
      <c r="N130" s="326">
        <v>315.0499259259268</v>
      </c>
      <c r="O130" s="326">
        <v>67.467407407406967</v>
      </c>
      <c r="P130" s="251">
        <f t="shared" ref="P130:P140" si="28">K130/F130</f>
        <v>1.6007142857142858</v>
      </c>
      <c r="Q130" s="251">
        <f t="shared" ref="Q130:Q140" si="29">L130/G130</f>
        <v>1.7380118281440253</v>
      </c>
      <c r="R130" s="251">
        <f t="shared" ref="R130:R140" si="30">M130/H130</f>
        <v>1.6838362895856405</v>
      </c>
      <c r="S130" s="251">
        <f t="shared" ref="S130:S140" si="31">N130/I130</f>
        <v>1.6167461132018095</v>
      </c>
      <c r="T130" s="251">
        <f t="shared" ref="T130:T140" si="32">O130/J130</f>
        <v>1.8071626984126978</v>
      </c>
      <c r="U130" s="315" t="str">
        <f t="shared" si="19"/>
        <v>130_964_10_Local</v>
      </c>
      <c r="V130" s="317">
        <f>IF(U130=observed!V131,0,1)</f>
        <v>0</v>
      </c>
    </row>
    <row r="131" spans="1:23" x14ac:dyDescent="0.3">
      <c r="A131" s="5">
        <f>VLOOKUP($B131,observed!$A$2:$B$139,2,FALSE)</f>
        <v>131</v>
      </c>
      <c r="B131" s="5" t="str">
        <f t="shared" si="27"/>
        <v>10_965</v>
      </c>
      <c r="C131" s="5">
        <v>965</v>
      </c>
      <c r="D131" s="5">
        <v>10</v>
      </c>
      <c r="E131" s="5" t="s">
        <v>0</v>
      </c>
      <c r="F131" s="319">
        <v>18</v>
      </c>
      <c r="G131" s="319">
        <v>49.291666666666686</v>
      </c>
      <c r="H131" s="319">
        <v>82.922619047618809</v>
      </c>
      <c r="I131" s="319">
        <v>68.131868131868515</v>
      </c>
      <c r="J131" s="319">
        <v>24.65384615384599</v>
      </c>
      <c r="K131" s="326">
        <v>46.19</v>
      </c>
      <c r="L131" s="326">
        <v>99.48458333333339</v>
      </c>
      <c r="M131" s="326">
        <v>157.12755952380911</v>
      </c>
      <c r="N131" s="326">
        <v>137.44516483516551</v>
      </c>
      <c r="O131" s="326">
        <v>43.192692307691985</v>
      </c>
      <c r="P131" s="251">
        <f t="shared" si="28"/>
        <v>2.5661111111111108</v>
      </c>
      <c r="Q131" s="251">
        <f t="shared" si="29"/>
        <v>2.0182840236686395</v>
      </c>
      <c r="R131" s="251">
        <f t="shared" si="30"/>
        <v>1.8948697150240477</v>
      </c>
      <c r="S131" s="251">
        <f t="shared" si="31"/>
        <v>2.0173403225806439</v>
      </c>
      <c r="T131" s="251">
        <f t="shared" si="32"/>
        <v>1.7519656786271436</v>
      </c>
      <c r="U131" s="315" t="str">
        <f t="shared" ref="U131:U141" si="33">CONCATENATE(A131,"_",C131,"_",D131,"_",E131)</f>
        <v>131_965_10_Local</v>
      </c>
      <c r="V131" s="317">
        <f>IF(U131=observed!V132,0,1)</f>
        <v>0</v>
      </c>
    </row>
    <row r="132" spans="1:23" x14ac:dyDescent="0.3">
      <c r="A132" s="5">
        <f>VLOOKUP($B132,observed!$A$2:$B$139,2,FALSE)</f>
        <v>132</v>
      </c>
      <c r="B132" s="5" t="str">
        <f t="shared" si="27"/>
        <v>10_967</v>
      </c>
      <c r="C132" s="5">
        <v>967</v>
      </c>
      <c r="D132" s="5">
        <v>10</v>
      </c>
      <c r="E132" s="5" t="s">
        <v>0</v>
      </c>
      <c r="F132" s="319">
        <v>4.4400000000000004</v>
      </c>
      <c r="G132" s="319">
        <v>44.83</v>
      </c>
      <c r="H132" s="319">
        <v>105.94860465116261</v>
      </c>
      <c r="I132" s="319">
        <v>50.821395348837385</v>
      </c>
      <c r="J132" s="319">
        <v>15.66</v>
      </c>
      <c r="K132" s="326">
        <v>12.17</v>
      </c>
      <c r="L132" s="326">
        <v>141.66999999999999</v>
      </c>
      <c r="M132" s="326">
        <v>304.10139534883672</v>
      </c>
      <c r="N132" s="326">
        <v>164.1586046511633</v>
      </c>
      <c r="O132" s="326">
        <v>55.53</v>
      </c>
      <c r="P132" s="251">
        <f t="shared" si="28"/>
        <v>2.7409909909909906</v>
      </c>
      <c r="Q132" s="251">
        <f t="shared" si="29"/>
        <v>3.16016060673656</v>
      </c>
      <c r="R132" s="251">
        <f t="shared" si="30"/>
        <v>2.8702727737670086</v>
      </c>
      <c r="S132" s="251">
        <f t="shared" si="31"/>
        <v>3.2301081763769139</v>
      </c>
      <c r="T132" s="251">
        <f t="shared" si="32"/>
        <v>3.5459770114942528</v>
      </c>
      <c r="U132" s="315" t="str">
        <f t="shared" si="33"/>
        <v>132_967_10_Local</v>
      </c>
      <c r="V132" s="317">
        <f>IF(U132=observed!V133,0,1)</f>
        <v>0</v>
      </c>
    </row>
    <row r="133" spans="1:23" x14ac:dyDescent="0.3">
      <c r="A133" s="5">
        <f>VLOOKUP($B133,observed!$A$2:$B$139,2,FALSE)</f>
        <v>133</v>
      </c>
      <c r="B133" s="5" t="str">
        <f t="shared" si="27"/>
        <v>10_968</v>
      </c>
      <c r="C133" s="5">
        <v>968</v>
      </c>
      <c r="D133" s="5">
        <v>10</v>
      </c>
      <c r="E133" s="5" t="s">
        <v>0</v>
      </c>
      <c r="F133" s="319">
        <v>16.040232558139532</v>
      </c>
      <c r="G133" s="319">
        <v>56.421256803562585</v>
      </c>
      <c r="H133" s="319">
        <v>93.948510638297876</v>
      </c>
      <c r="I133" s="319">
        <v>48.974090909090989</v>
      </c>
      <c r="J133" s="319">
        <v>18.685909090909014</v>
      </c>
      <c r="K133" s="326">
        <v>45.631162790697665</v>
      </c>
      <c r="L133" s="326">
        <v>163.27458189015337</v>
      </c>
      <c r="M133" s="326">
        <v>271.83425531914895</v>
      </c>
      <c r="N133" s="326">
        <v>162.14409090909118</v>
      </c>
      <c r="O133" s="326">
        <v>73.435909090908808</v>
      </c>
      <c r="P133" s="251">
        <f t="shared" si="28"/>
        <v>2.84479433981413</v>
      </c>
      <c r="Q133" s="251">
        <f t="shared" si="29"/>
        <v>2.893848721920774</v>
      </c>
      <c r="R133" s="251">
        <f t="shared" si="30"/>
        <v>2.8934386875563347</v>
      </c>
      <c r="S133" s="251">
        <f t="shared" si="31"/>
        <v>3.3108136955533074</v>
      </c>
      <c r="T133" s="251">
        <f t="shared" si="32"/>
        <v>3.9300153251112904</v>
      </c>
      <c r="U133" s="315" t="str">
        <f t="shared" si="33"/>
        <v>133_968_10_Local</v>
      </c>
      <c r="V133" s="317">
        <f>IF(U133=observed!V134,0,1)</f>
        <v>0</v>
      </c>
    </row>
    <row r="134" spans="1:23" x14ac:dyDescent="0.3">
      <c r="A134" s="5">
        <f>VLOOKUP($B134,observed!$A$2:$B$139,2,FALSE)</f>
        <v>134</v>
      </c>
      <c r="B134" s="5" t="str">
        <f t="shared" si="27"/>
        <v>10_972</v>
      </c>
      <c r="C134" s="5">
        <v>972</v>
      </c>
      <c r="D134" s="5">
        <v>10</v>
      </c>
      <c r="E134" s="5" t="s">
        <v>0</v>
      </c>
      <c r="F134" s="319">
        <v>0</v>
      </c>
      <c r="G134" s="319">
        <v>77.428571428571416</v>
      </c>
      <c r="H134" s="319">
        <v>3.5714285714285765</v>
      </c>
      <c r="I134" s="319">
        <v>52</v>
      </c>
      <c r="J134" s="319">
        <v>0</v>
      </c>
      <c r="K134" s="326">
        <v>0</v>
      </c>
      <c r="L134" s="326">
        <v>150.89857142857142</v>
      </c>
      <c r="M134" s="326">
        <v>4.2714285714285776</v>
      </c>
      <c r="N134" s="326">
        <v>107.95</v>
      </c>
      <c r="O134" s="326">
        <v>0</v>
      </c>
      <c r="P134" s="251" t="e">
        <f t="shared" si="28"/>
        <v>#DIV/0!</v>
      </c>
      <c r="Q134" s="251">
        <f t="shared" si="29"/>
        <v>1.9488745387453876</v>
      </c>
      <c r="R134" s="251">
        <f t="shared" si="30"/>
        <v>1.196</v>
      </c>
      <c r="S134" s="251">
        <f t="shared" si="31"/>
        <v>2.0759615384615384</v>
      </c>
      <c r="T134" s="251" t="e">
        <f t="shared" si="32"/>
        <v>#DIV/0!</v>
      </c>
      <c r="U134" s="315" t="str">
        <f t="shared" si="33"/>
        <v>134_972_10_Local</v>
      </c>
      <c r="V134" s="317">
        <f>IF(U134=observed!V135,0,1)</f>
        <v>0</v>
      </c>
    </row>
    <row r="135" spans="1:23" x14ac:dyDescent="0.3">
      <c r="A135" s="5">
        <f>VLOOKUP($B135,observed!$A$2:$B$139,2,FALSE)</f>
        <v>135</v>
      </c>
      <c r="B135" s="5" t="str">
        <f t="shared" si="27"/>
        <v>10_973</v>
      </c>
      <c r="C135" s="5">
        <v>973</v>
      </c>
      <c r="D135" s="5">
        <v>10</v>
      </c>
      <c r="E135" s="5" t="s">
        <v>0</v>
      </c>
      <c r="F135" s="319">
        <v>0</v>
      </c>
      <c r="G135" s="319">
        <v>58</v>
      </c>
      <c r="H135" s="319">
        <v>0</v>
      </c>
      <c r="I135" s="319">
        <v>55</v>
      </c>
      <c r="J135" s="319">
        <v>0</v>
      </c>
      <c r="K135" s="326">
        <v>0</v>
      </c>
      <c r="L135" s="326">
        <v>143.69999999999999</v>
      </c>
      <c r="M135" s="326">
        <v>0</v>
      </c>
      <c r="N135" s="326">
        <v>175.36000000000004</v>
      </c>
      <c r="O135" s="326">
        <v>0</v>
      </c>
      <c r="P135" s="251" t="e">
        <f t="shared" si="28"/>
        <v>#DIV/0!</v>
      </c>
      <c r="Q135" s="251">
        <f t="shared" si="29"/>
        <v>2.4775862068965515</v>
      </c>
      <c r="R135" s="251" t="e">
        <f t="shared" si="30"/>
        <v>#DIV/0!</v>
      </c>
      <c r="S135" s="251">
        <f t="shared" si="31"/>
        <v>3.1883636363636372</v>
      </c>
      <c r="T135" s="251" t="e">
        <f t="shared" si="32"/>
        <v>#DIV/0!</v>
      </c>
      <c r="U135" s="315" t="str">
        <f t="shared" si="33"/>
        <v>135_973_10_Local</v>
      </c>
      <c r="V135" s="317">
        <f>IF(U135=observed!V136,0,1)</f>
        <v>0</v>
      </c>
    </row>
    <row r="136" spans="1:23" x14ac:dyDescent="0.3">
      <c r="A136" s="5">
        <f>VLOOKUP($B136,observed!$A$2:$B$139,2,FALSE)</f>
        <v>136</v>
      </c>
      <c r="B136" s="5" t="str">
        <f t="shared" si="27"/>
        <v>10_978</v>
      </c>
      <c r="C136" s="5">
        <v>978</v>
      </c>
      <c r="D136" s="5">
        <v>10</v>
      </c>
      <c r="E136" s="5" t="s">
        <v>0</v>
      </c>
      <c r="F136" s="319">
        <v>0</v>
      </c>
      <c r="G136" s="319">
        <v>54</v>
      </c>
      <c r="H136" s="319">
        <v>0</v>
      </c>
      <c r="I136" s="319">
        <v>38</v>
      </c>
      <c r="J136" s="319">
        <v>0</v>
      </c>
      <c r="K136" s="326">
        <v>0</v>
      </c>
      <c r="L136" s="326">
        <v>95.45999999999998</v>
      </c>
      <c r="M136" s="326">
        <v>0</v>
      </c>
      <c r="N136" s="326">
        <v>64.83</v>
      </c>
      <c r="O136" s="326">
        <v>0</v>
      </c>
      <c r="P136" s="251" t="e">
        <f t="shared" si="28"/>
        <v>#DIV/0!</v>
      </c>
      <c r="Q136" s="251">
        <f t="shared" si="29"/>
        <v>1.7677777777777774</v>
      </c>
      <c r="R136" s="251" t="e">
        <f t="shared" si="30"/>
        <v>#DIV/0!</v>
      </c>
      <c r="S136" s="251">
        <f t="shared" si="31"/>
        <v>1.7060526315789473</v>
      </c>
      <c r="T136" s="251" t="e">
        <f t="shared" si="32"/>
        <v>#DIV/0!</v>
      </c>
      <c r="U136" s="315" t="str">
        <f t="shared" si="33"/>
        <v>136_978_10_Local</v>
      </c>
      <c r="V136" s="317">
        <f>IF(U136=observed!V137,0,1)</f>
        <v>0</v>
      </c>
    </row>
    <row r="137" spans="1:23" x14ac:dyDescent="0.3">
      <c r="A137" s="5">
        <f>VLOOKUP($B137,observed!$A$2:$B$139,2,FALSE)</f>
        <v>137</v>
      </c>
      <c r="B137" s="5" t="str">
        <f t="shared" si="27"/>
        <v>10_979</v>
      </c>
      <c r="C137" s="5">
        <v>979</v>
      </c>
      <c r="D137" s="5">
        <v>10</v>
      </c>
      <c r="E137" s="5" t="s">
        <v>0</v>
      </c>
      <c r="F137" s="319">
        <v>0</v>
      </c>
      <c r="G137" s="319">
        <v>47</v>
      </c>
      <c r="H137" s="319">
        <v>0</v>
      </c>
      <c r="I137" s="319">
        <v>57</v>
      </c>
      <c r="J137" s="319">
        <v>0</v>
      </c>
      <c r="K137" s="326">
        <v>0</v>
      </c>
      <c r="L137" s="326">
        <v>88.820000000000007</v>
      </c>
      <c r="M137" s="326">
        <v>0</v>
      </c>
      <c r="N137" s="326">
        <v>133.02000000000001</v>
      </c>
      <c r="O137" s="326">
        <v>0</v>
      </c>
      <c r="P137" s="251" t="e">
        <f t="shared" si="28"/>
        <v>#DIV/0!</v>
      </c>
      <c r="Q137" s="251">
        <f t="shared" si="29"/>
        <v>1.8897872340425534</v>
      </c>
      <c r="R137" s="251" t="e">
        <f t="shared" si="30"/>
        <v>#DIV/0!</v>
      </c>
      <c r="S137" s="251">
        <f t="shared" si="31"/>
        <v>2.3336842105263158</v>
      </c>
      <c r="T137" s="251" t="e">
        <f t="shared" si="32"/>
        <v>#DIV/0!</v>
      </c>
      <c r="U137" s="315" t="str">
        <f t="shared" si="33"/>
        <v>137_979_10_Local</v>
      </c>
      <c r="V137" s="317">
        <f>IF(U137=observed!V138,0,1)</f>
        <v>0</v>
      </c>
    </row>
    <row r="138" spans="1:23" x14ac:dyDescent="0.3">
      <c r="A138" s="5">
        <f>VLOOKUP($B138,observed!$A$2:$B$139,2,FALSE)</f>
        <v>138</v>
      </c>
      <c r="B138" s="5" t="str">
        <f t="shared" si="27"/>
        <v>10_992</v>
      </c>
      <c r="C138" s="5">
        <v>992</v>
      </c>
      <c r="D138" s="5">
        <v>10</v>
      </c>
      <c r="E138" s="5" t="s">
        <v>0</v>
      </c>
      <c r="F138" s="319">
        <v>41.745000000000005</v>
      </c>
      <c r="G138" s="319">
        <v>115.21840425531917</v>
      </c>
      <c r="H138" s="319">
        <v>399.80659574468041</v>
      </c>
      <c r="I138" s="319">
        <v>164.05200000000059</v>
      </c>
      <c r="J138" s="319">
        <v>164.83799999999988</v>
      </c>
      <c r="K138" s="326">
        <v>99.041750000000008</v>
      </c>
      <c r="L138" s="326">
        <v>303.87122872340427</v>
      </c>
      <c r="M138" s="326">
        <v>933.82302127659455</v>
      </c>
      <c r="N138" s="326">
        <v>348.74200000000138</v>
      </c>
      <c r="O138" s="326">
        <v>449.92199999999968</v>
      </c>
      <c r="P138" s="251">
        <f t="shared" si="28"/>
        <v>2.3725416217511079</v>
      </c>
      <c r="Q138" s="251">
        <f t="shared" si="29"/>
        <v>2.637349741887054</v>
      </c>
      <c r="R138" s="251">
        <f t="shared" si="30"/>
        <v>2.3356868826469817</v>
      </c>
      <c r="S138" s="251">
        <f t="shared" si="31"/>
        <v>2.1258015751103319</v>
      </c>
      <c r="T138" s="251">
        <f t="shared" si="32"/>
        <v>2.7294798529465294</v>
      </c>
      <c r="U138" s="315" t="str">
        <f t="shared" si="33"/>
        <v>138_992_10_Local</v>
      </c>
      <c r="V138" s="317">
        <f>IF(U138=observed!V139,0,1)</f>
        <v>0</v>
      </c>
    </row>
    <row r="139" spans="1:23" s="301" customFormat="1" x14ac:dyDescent="0.3">
      <c r="A139" s="302" t="e">
        <f>VLOOKUP($B139,observed!$A$2:$B$139,2,FALSE)</f>
        <v>#N/A</v>
      </c>
      <c r="B139" s="302" t="str">
        <f t="shared" si="27"/>
        <v>10_894</v>
      </c>
      <c r="C139" s="302">
        <v>894</v>
      </c>
      <c r="D139" s="302">
        <v>10</v>
      </c>
      <c r="E139" s="302" t="s">
        <v>0</v>
      </c>
      <c r="F139" s="324">
        <v>0</v>
      </c>
      <c r="G139" s="324">
        <v>0</v>
      </c>
      <c r="H139" s="324">
        <v>0</v>
      </c>
      <c r="I139" s="324">
        <v>45.381355932203633</v>
      </c>
      <c r="J139" s="324">
        <v>17.618644067796367</v>
      </c>
      <c r="K139" s="331">
        <v>0</v>
      </c>
      <c r="L139" s="331">
        <v>0</v>
      </c>
      <c r="M139" s="331">
        <v>0</v>
      </c>
      <c r="N139" s="331">
        <v>1270.5122881356001</v>
      </c>
      <c r="O139" s="331">
        <v>493.25771186439999</v>
      </c>
      <c r="P139" s="273" t="e">
        <f t="shared" si="28"/>
        <v>#DIV/0!</v>
      </c>
      <c r="Q139" s="273" t="e">
        <f t="shared" si="29"/>
        <v>#DIV/0!</v>
      </c>
      <c r="R139" s="273" t="e">
        <f t="shared" si="30"/>
        <v>#DIV/0!</v>
      </c>
      <c r="S139" s="273">
        <f t="shared" si="31"/>
        <v>27.996349206349208</v>
      </c>
      <c r="T139" s="273">
        <f t="shared" si="32"/>
        <v>27.996349206349208</v>
      </c>
      <c r="U139" s="303" t="e">
        <f t="shared" si="33"/>
        <v>#N/A</v>
      </c>
      <c r="V139" s="303" t="e">
        <f>IF(U139=observed!V140,0,1)</f>
        <v>#N/A</v>
      </c>
      <c r="W139" s="303"/>
    </row>
    <row r="140" spans="1:23" s="301" customFormat="1" x14ac:dyDescent="0.3">
      <c r="A140" s="304" t="e">
        <f>VLOOKUP($B140,observed!$A$2:$B$139,2,FALSE)</f>
        <v>#N/A</v>
      </c>
      <c r="B140" s="304" t="str">
        <f t="shared" si="27"/>
        <v>10_946</v>
      </c>
      <c r="C140" s="304">
        <v>946</v>
      </c>
      <c r="D140" s="304">
        <v>10</v>
      </c>
      <c r="E140" s="304" t="s">
        <v>0</v>
      </c>
      <c r="F140" s="325">
        <v>0</v>
      </c>
      <c r="G140" s="325">
        <v>41</v>
      </c>
      <c r="H140" s="325">
        <v>33</v>
      </c>
      <c r="I140" s="325">
        <v>11</v>
      </c>
      <c r="J140" s="325">
        <v>0</v>
      </c>
      <c r="K140" s="332">
        <v>0</v>
      </c>
      <c r="L140" s="332">
        <v>235.23000000000002</v>
      </c>
      <c r="M140" s="332">
        <v>190.31</v>
      </c>
      <c r="N140" s="332">
        <v>80.88</v>
      </c>
      <c r="O140" s="332">
        <v>0</v>
      </c>
      <c r="P140" s="336" t="e">
        <f t="shared" si="28"/>
        <v>#DIV/0!</v>
      </c>
      <c r="Q140" s="336">
        <f t="shared" si="29"/>
        <v>5.7373170731707326</v>
      </c>
      <c r="R140" s="336">
        <f t="shared" si="30"/>
        <v>5.7669696969696966</v>
      </c>
      <c r="S140" s="336">
        <f t="shared" si="31"/>
        <v>7.3527272727272726</v>
      </c>
      <c r="T140" s="336" t="e">
        <f t="shared" si="32"/>
        <v>#DIV/0!</v>
      </c>
      <c r="U140" s="305" t="e">
        <f t="shared" si="33"/>
        <v>#N/A</v>
      </c>
      <c r="V140" s="305" t="e">
        <f>IF(U140=observed!V141,0,1)</f>
        <v>#N/A</v>
      </c>
      <c r="W140" s="305"/>
    </row>
    <row r="141" spans="1:23" x14ac:dyDescent="0.3">
      <c r="A141" s="304">
        <v>124</v>
      </c>
      <c r="B141" s="304" t="s">
        <v>136</v>
      </c>
      <c r="C141" s="304">
        <v>945</v>
      </c>
      <c r="D141" s="304">
        <v>10</v>
      </c>
      <c r="E141" s="304" t="s">
        <v>0</v>
      </c>
      <c r="F141" s="325">
        <v>4.7792207792207764</v>
      </c>
      <c r="G141" s="325">
        <v>188.70198222829799</v>
      </c>
      <c r="H141" s="325">
        <v>304.05435887014806</v>
      </c>
      <c r="I141" s="325">
        <v>126.65199793094574</v>
      </c>
      <c r="J141" s="325">
        <v>4.8124401913874166</v>
      </c>
      <c r="K141" s="332">
        <v>11.250779220779217</v>
      </c>
      <c r="L141" s="332">
        <v>728.15147641831845</v>
      </c>
      <c r="M141" s="332">
        <v>1112.4791312741304</v>
      </c>
      <c r="N141" s="332">
        <v>541.15523988103075</v>
      </c>
      <c r="O141" s="332">
        <v>17.323373205741071</v>
      </c>
      <c r="P141" s="336">
        <v>2.3541032608695658</v>
      </c>
      <c r="Q141" s="336">
        <v>3.8587378246900257</v>
      </c>
      <c r="R141" s="336">
        <v>3.6588165859817021</v>
      </c>
      <c r="S141" s="336">
        <v>4.2727730215206234</v>
      </c>
      <c r="T141" s="336">
        <v>3.5997067011334178</v>
      </c>
      <c r="U141" s="305" t="str">
        <f t="shared" si="33"/>
        <v>124_945_10_Local</v>
      </c>
      <c r="V141" s="305">
        <f>IF(U141=observed!V142,0,1)</f>
        <v>1</v>
      </c>
      <c r="W141" s="305"/>
    </row>
  </sheetData>
  <sortState xmlns:xlrd2="http://schemas.microsoft.com/office/spreadsheetml/2017/richdata2" ref="A2:T140">
    <sortCondition ref="A2:A140"/>
  </sortState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A1:X45"/>
  <sheetViews>
    <sheetView showGridLines="0" topLeftCell="A20" workbookViewId="0">
      <selection activeCell="I44" sqref="I44"/>
    </sheetView>
  </sheetViews>
  <sheetFormatPr defaultColWidth="9.109375" defaultRowHeight="14.4" x14ac:dyDescent="0.3"/>
  <cols>
    <col min="1" max="1" width="15.33203125" style="5" customWidth="1"/>
    <col min="2" max="2" width="16.88671875" style="5" customWidth="1"/>
    <col min="3" max="3" width="9.88671875" style="5" customWidth="1"/>
    <col min="4" max="5" width="9.109375" style="5" customWidth="1"/>
    <col min="6" max="6" width="9.44140625" style="5" customWidth="1"/>
    <col min="7" max="7" width="9" style="5" customWidth="1"/>
    <col min="8" max="8" width="8.88671875" style="5" customWidth="1"/>
    <col min="9" max="9" width="9.33203125" style="7" customWidth="1"/>
    <col min="10" max="12" width="10.33203125" style="7" customWidth="1"/>
    <col min="13" max="13" width="10.109375" style="7" customWidth="1"/>
    <col min="14" max="14" width="11.33203125" style="7" customWidth="1"/>
    <col min="15" max="19" width="9.109375" style="7"/>
    <col min="20" max="20" width="9.5546875" style="7" customWidth="1"/>
    <col min="21" max="21" width="9.109375" style="7"/>
    <col min="22" max="16384" width="9.109375" style="5"/>
  </cols>
  <sheetData>
    <row r="1" spans="1:24" ht="15" thickBot="1" x14ac:dyDescent="0.35">
      <c r="A1" s="5" t="s">
        <v>27</v>
      </c>
    </row>
    <row r="2" spans="1:24" x14ac:dyDescent="0.3">
      <c r="A2" s="15"/>
      <c r="B2" s="16"/>
      <c r="C2" s="359" t="s">
        <v>28</v>
      </c>
      <c r="D2" s="359"/>
      <c r="E2" s="359"/>
      <c r="F2" s="359"/>
      <c r="G2" s="359"/>
      <c r="H2" s="360"/>
      <c r="I2" s="361" t="s">
        <v>29</v>
      </c>
      <c r="J2" s="362"/>
      <c r="K2" s="362"/>
      <c r="L2" s="362"/>
      <c r="M2" s="362"/>
      <c r="N2" s="363"/>
      <c r="O2" s="364" t="s">
        <v>30</v>
      </c>
      <c r="P2" s="365"/>
      <c r="Q2" s="365"/>
      <c r="R2" s="365"/>
      <c r="S2" s="365"/>
      <c r="T2" s="366"/>
    </row>
    <row r="3" spans="1:24" x14ac:dyDescent="0.3">
      <c r="A3" s="29"/>
      <c r="B3" s="30"/>
      <c r="C3" s="18" t="s">
        <v>39</v>
      </c>
      <c r="D3" s="18" t="s">
        <v>40</v>
      </c>
      <c r="E3" s="18" t="s">
        <v>41</v>
      </c>
      <c r="F3" s="18" t="s">
        <v>42</v>
      </c>
      <c r="G3" s="18" t="s">
        <v>43</v>
      </c>
      <c r="H3" s="22" t="s">
        <v>44</v>
      </c>
      <c r="I3" s="24" t="s">
        <v>39</v>
      </c>
      <c r="J3" s="19" t="s">
        <v>40</v>
      </c>
      <c r="K3" s="19" t="s">
        <v>41</v>
      </c>
      <c r="L3" s="19" t="s">
        <v>42</v>
      </c>
      <c r="M3" s="19" t="s">
        <v>43</v>
      </c>
      <c r="N3" s="25" t="s">
        <v>44</v>
      </c>
      <c r="O3" s="31" t="s">
        <v>39</v>
      </c>
      <c r="P3" s="32" t="s">
        <v>40</v>
      </c>
      <c r="Q3" s="32" t="s">
        <v>41</v>
      </c>
      <c r="R3" s="32" t="s">
        <v>42</v>
      </c>
      <c r="S3" s="32" t="s">
        <v>43</v>
      </c>
      <c r="T3" s="33" t="s">
        <v>44</v>
      </c>
    </row>
    <row r="4" spans="1:24" x14ac:dyDescent="0.3">
      <c r="A4" s="17" t="s">
        <v>32</v>
      </c>
      <c r="B4" s="13" t="s">
        <v>12</v>
      </c>
      <c r="C4" s="14">
        <f>SUMIF(observed!$E$2:$E$139,sum_by_mode!$B4,observed!G$2:G$139)</f>
        <v>133.1666666666666</v>
      </c>
      <c r="D4" s="14">
        <f>SUMIF(observed!$E$2:$E$139,sum_by_mode!$B4,observed!H$2:H$139)</f>
        <v>1734.8333333333335</v>
      </c>
      <c r="E4" s="14">
        <f>SUMIF(observed!$E$2:$E$139,sum_by_mode!$B4,observed!I$2:I$139)</f>
        <v>803.6874999999992</v>
      </c>
      <c r="F4" s="14">
        <f>SUMIF(observed!$E$2:$E$139,sum_by_mode!$B4,observed!J$2:J$139)</f>
        <v>2212.6961754643235</v>
      </c>
      <c r="G4" s="14">
        <f>SUMIF(observed!$E$2:$E$139,sum_by_mode!$B4,observed!K$2:K$139)</f>
        <v>311.61632453567751</v>
      </c>
      <c r="H4" s="23">
        <f t="shared" ref="H4:H9" si="0">SUM(C4:G4)</f>
        <v>5196</v>
      </c>
      <c r="I4" s="26">
        <f>SUMIF(observed!$E$2:$E$139,sum_by_mode!$B4,observed!L$2:L$139)</f>
        <v>3523.3236666666644</v>
      </c>
      <c r="J4" s="20">
        <f>SUMIF(observed!$E$2:$E$139,sum_by_mode!$B4,observed!M$2:M$139)</f>
        <v>40504.156333333332</v>
      </c>
      <c r="K4" s="20">
        <f>SUMIF(observed!$E$2:$E$139,sum_by_mode!$B4,observed!N$2:N$139)</f>
        <v>20830.683437499982</v>
      </c>
      <c r="L4" s="20">
        <f>SUMIF(observed!$E$2:$E$139,sum_by_mode!$B4,observed!O$2:O$139)</f>
        <v>50134.506117729783</v>
      </c>
      <c r="M4" s="20">
        <f>SUMIF(observed!$E$2:$E$139,sum_by_mode!$B4,observed!P$2:P$139)</f>
        <v>7720.1904447702391</v>
      </c>
      <c r="N4" s="27">
        <f t="shared" ref="N4:N8" si="1">SUM(I4:M4)</f>
        <v>122712.86</v>
      </c>
      <c r="O4" s="34">
        <f>I4/C4</f>
        <v>26.457999999999995</v>
      </c>
      <c r="P4" s="35">
        <f t="shared" ref="P4:P9" si="2">J4/D4</f>
        <v>23.347577865308864</v>
      </c>
      <c r="Q4" s="35">
        <f t="shared" ref="Q4:Q9" si="3">K4/E4</f>
        <v>25.918884438914382</v>
      </c>
      <c r="R4" s="35">
        <f t="shared" ref="R4:R9" si="4">L4/F4</f>
        <v>22.657654798544272</v>
      </c>
      <c r="S4" s="35">
        <f t="shared" ref="S4:S9" si="5">M4/G4</f>
        <v>24.774666270368453</v>
      </c>
      <c r="T4" s="36">
        <f t="shared" ref="T4:T9" si="6">N4/H4</f>
        <v>23.616793687451885</v>
      </c>
    </row>
    <row r="5" spans="1:24" x14ac:dyDescent="0.3">
      <c r="A5" s="17"/>
      <c r="B5" s="13" t="s">
        <v>13</v>
      </c>
      <c r="C5" s="14">
        <f>SUMIF(observed!$E$2:$E$139,sum_by_mode!$B5,observed!G$2:G$139)</f>
        <v>5067.8720832074168</v>
      </c>
      <c r="D5" s="14">
        <f>SUMIF(observed!$E$2:$E$139,sum_by_mode!$B5,observed!H$2:H$139)</f>
        <v>24848.821296810729</v>
      </c>
      <c r="E5" s="14">
        <f>SUMIF(observed!$E$2:$E$139,sum_by_mode!$B5,observed!I$2:I$139)</f>
        <v>51785.389629400102</v>
      </c>
      <c r="F5" s="14">
        <f>SUMIF(observed!$E$2:$E$139,sum_by_mode!$B5,observed!J$2:J$139)</f>
        <v>34233.453351481694</v>
      </c>
      <c r="G5" s="14">
        <f>SUMIF(observed!$E$2:$E$139,sum_by_mode!$B5,observed!K$2:K$139)</f>
        <v>14975.813639100059</v>
      </c>
      <c r="H5" s="23">
        <f t="shared" si="0"/>
        <v>130911.35</v>
      </c>
      <c r="I5" s="26">
        <f>SUMIF(observed!$E$2:$E$139,sum_by_mode!$B5,observed!L$2:L$139)</f>
        <v>36166.621744640557</v>
      </c>
      <c r="J5" s="20">
        <f>SUMIF(observed!$E$2:$E$139,sum_by_mode!$B5,observed!M$2:M$139)</f>
        <v>151716.88712334656</v>
      </c>
      <c r="K5" s="20">
        <f>SUMIF(observed!$E$2:$E$139,sum_by_mode!$B5,observed!N$2:N$139)</f>
        <v>279395.6764747015</v>
      </c>
      <c r="L5" s="20">
        <f>SUMIF(observed!$E$2:$E$139,sum_by_mode!$B5,observed!O$2:O$139)</f>
        <v>195127.33473910388</v>
      </c>
      <c r="M5" s="20">
        <f>SUMIF(observed!$E$2:$E$139,sum_by_mode!$B5,observed!P$2:P$139)</f>
        <v>86464.779918207467</v>
      </c>
      <c r="N5" s="27">
        <f t="shared" si="1"/>
        <v>748871.29999999993</v>
      </c>
      <c r="O5" s="34">
        <f t="shared" ref="O5:O9" si="7">I5/C5</f>
        <v>7.1364511871718328</v>
      </c>
      <c r="P5" s="35">
        <f t="shared" si="2"/>
        <v>6.1055969340010092</v>
      </c>
      <c r="Q5" s="35">
        <f t="shared" si="3"/>
        <v>5.3952606801683745</v>
      </c>
      <c r="R5" s="35">
        <f t="shared" si="4"/>
        <v>5.699902161073048</v>
      </c>
      <c r="S5" s="35">
        <f t="shared" si="5"/>
        <v>5.7736281982341353</v>
      </c>
      <c r="T5" s="36">
        <f t="shared" si="6"/>
        <v>5.7204459353600727</v>
      </c>
    </row>
    <row r="6" spans="1:24" x14ac:dyDescent="0.3">
      <c r="A6" s="17"/>
      <c r="B6" s="13" t="s">
        <v>9</v>
      </c>
      <c r="C6" s="14">
        <f>SUMIF(observed!$E$2:$E$139,"Express",observed!G$2:G$139) + SUMIF(observed!$E$2:$E$139,"Limited Express",observed!G$2:G$139)</f>
        <v>511.13157870990722</v>
      </c>
      <c r="D6" s="14">
        <f>SUMIF(observed!$E$2:$E$139,"Express",observed!H$2:H$139) + SUMIF(observed!$E$2:$E$139,"Limited Express",observed!H$2:H$139)</f>
        <v>4300.5895956927416</v>
      </c>
      <c r="E6" s="14">
        <f>SUMIF(observed!$E$2:$E$139,"Express",observed!I$2:I$139) + SUMIF(observed!$E$2:$E$139,"Limited Express",observed!I$2:I$139)</f>
        <v>6914.2551852043616</v>
      </c>
      <c r="F6" s="14">
        <f>SUMIF(observed!$E$2:$E$139,"Express",observed!J$2:J$139) + SUMIF(observed!$E$2:$E$139,"Limited Express",observed!J$2:J$139)</f>
        <v>4471.742081695199</v>
      </c>
      <c r="G6" s="14">
        <f>SUMIF(observed!$E$2:$E$139,"Express",observed!K$2:K$139) + SUMIF(observed!$E$2:$E$139,"Limited Express",observed!K$2:K$139)</f>
        <v>1368.4115586977896</v>
      </c>
      <c r="H6" s="23">
        <f t="shared" si="0"/>
        <v>17566.13</v>
      </c>
      <c r="I6" s="26">
        <f>SUMIF(observed!$E$2:$E$139,"Express",observed!L$2:L$139) + SUMIF(observed!$E$2:$E$139,"Limited Express",observed!L$2:L$139)</f>
        <v>3998.4147455010552</v>
      </c>
      <c r="J6" s="20">
        <f>SUMIF(observed!$E$2:$E$139,"Express",observed!M$2:M$139) + SUMIF(observed!$E$2:$E$139,"Limited Express",observed!M$2:M$139)</f>
        <v>29580.768592169316</v>
      </c>
      <c r="K6" s="20">
        <f>SUMIF(observed!$E$2:$E$139,"Express",observed!N$2:N$139) + SUMIF(observed!$E$2:$E$139,"Limited Express",observed!N$2:N$139)</f>
        <v>36158.059694828771</v>
      </c>
      <c r="L6" s="20">
        <f>SUMIF(observed!$E$2:$E$139,"Express",observed!O$2:O$139) + SUMIF(observed!$E$2:$E$139,"Limited Express",observed!O$2:O$139)</f>
        <v>27795.005687611279</v>
      </c>
      <c r="M6" s="20">
        <f>SUMIF(observed!$E$2:$E$139,"Express",observed!P$2:P$139) + SUMIF(observed!$E$2:$E$139,"Limited Express",observed!P$2:P$139)</f>
        <v>7380.4812798895846</v>
      </c>
      <c r="N6" s="27">
        <f t="shared" si="1"/>
        <v>104912.73000000001</v>
      </c>
      <c r="O6" s="34">
        <f t="shared" si="7"/>
        <v>7.8226721103654526</v>
      </c>
      <c r="P6" s="35">
        <f t="shared" si="2"/>
        <v>6.8783053890554804</v>
      </c>
      <c r="Q6" s="35">
        <f t="shared" si="3"/>
        <v>5.2294945335836722</v>
      </c>
      <c r="R6" s="35">
        <f t="shared" si="4"/>
        <v>6.2156996489999781</v>
      </c>
      <c r="S6" s="35">
        <f t="shared" si="5"/>
        <v>5.3934660468032094</v>
      </c>
      <c r="T6" s="36">
        <f t="shared" si="6"/>
        <v>5.9724441296973207</v>
      </c>
    </row>
    <row r="7" spans="1:24" x14ac:dyDescent="0.3">
      <c r="A7" s="17"/>
      <c r="B7" s="13" t="s">
        <v>47</v>
      </c>
      <c r="C7" s="14">
        <f>SUMIF(observed!$E$2:$E$139,"Arterial Rapid",observed!G$2:G$139) + SUMIF(observed!$E$2:$E$139,"Freeway Rapid",observed!G$2:G$139)</f>
        <v>542.24821858606015</v>
      </c>
      <c r="D7" s="14">
        <f>SUMIF(observed!$E$2:$E$139,"Arterial Rapid",observed!H$2:H$139) + SUMIF(observed!$E$2:$E$139,"Freeway Rapid",observed!H$2:H$139)</f>
        <v>5233.9138692061606</v>
      </c>
      <c r="E7" s="14">
        <f>SUMIF(observed!$E$2:$E$139,"Arterial Rapid",observed!I$2:I$139) + SUMIF(observed!$E$2:$E$139,"Freeway Rapid",observed!I$2:I$139)</f>
        <v>9876.5494943273989</v>
      </c>
      <c r="F7" s="14">
        <f>SUMIF(observed!$E$2:$E$139,"Arterial Rapid",observed!J$2:J$139) + SUMIF(observed!$E$2:$E$139,"Freeway Rapid",observed!J$2:J$139)</f>
        <v>7361.4953984514968</v>
      </c>
      <c r="G7" s="14">
        <f>SUMIF(observed!$E$2:$E$139,"Arterial Rapid",observed!K$2:K$139) + SUMIF(observed!$E$2:$E$139,"Freeway Rapid",observed!K$2:K$139)</f>
        <v>2827.6230194288855</v>
      </c>
      <c r="H7" s="23">
        <f t="shared" si="0"/>
        <v>25841.83</v>
      </c>
      <c r="I7" s="26">
        <f>SUMIF(observed!$E$2:$E$139,"Arterial Rapid",observed!L$2:L$139) + SUMIF(observed!$E$2:$E$139,"Freeway Rapid",observed!L$2:L$139)</f>
        <v>6187.5639449239734</v>
      </c>
      <c r="J7" s="20">
        <f>SUMIF(observed!$E$2:$E$139,"Arterial Rapid",observed!M$2:M$139) + SUMIF(observed!$E$2:$E$139,"Freeway Rapid",observed!M$2:M$139)</f>
        <v>46265.919763125974</v>
      </c>
      <c r="K7" s="20">
        <f>SUMIF(observed!$E$2:$E$139,"Arterial Rapid",observed!N$2:N$139) + SUMIF(observed!$E$2:$E$139,"Freeway Rapid",observed!N$2:N$139)</f>
        <v>55493.598906145278</v>
      </c>
      <c r="L7" s="20">
        <f>SUMIF(observed!$E$2:$E$139,"Arterial Rapid",observed!O$2:O$139) + SUMIF(observed!$E$2:$E$139,"Freeway Rapid",observed!O$2:O$139)</f>
        <v>53130.857829902605</v>
      </c>
      <c r="M7" s="20">
        <f>SUMIF(observed!$E$2:$E$139,"Arterial Rapid",observed!P$2:P$139) + SUMIF(observed!$E$2:$E$139,"Freeway Rapid",observed!P$2:P$139)</f>
        <v>17089.809555902149</v>
      </c>
      <c r="N7" s="27">
        <f t="shared" si="1"/>
        <v>178167.74999999997</v>
      </c>
      <c r="O7" s="34">
        <f t="shared" si="7"/>
        <v>11.410943794445949</v>
      </c>
      <c r="P7" s="35">
        <f t="shared" si="2"/>
        <v>8.8396410256829903</v>
      </c>
      <c r="Q7" s="35">
        <f t="shared" si="3"/>
        <v>5.6187233140499178</v>
      </c>
      <c r="R7" s="35">
        <f t="shared" si="4"/>
        <v>7.2174001278434234</v>
      </c>
      <c r="S7" s="35">
        <f t="shared" si="5"/>
        <v>6.0438783524098962</v>
      </c>
      <c r="T7" s="36">
        <f t="shared" si="6"/>
        <v>6.8945484897934843</v>
      </c>
    </row>
    <row r="8" spans="1:24" x14ac:dyDescent="0.3">
      <c r="A8" s="17"/>
      <c r="B8" s="13" t="s">
        <v>0</v>
      </c>
      <c r="C8" s="14">
        <f>SUMIF(observed!$E$2:$E$139,sum_by_mode!$B8,observed!G$2:G$139)</f>
        <v>3919.0042646697202</v>
      </c>
      <c r="D8" s="14">
        <f>SUMIF(observed!$E$2:$E$139,sum_by_mode!$B8,observed!H$2:H$139)</f>
        <v>33982.894950402202</v>
      </c>
      <c r="E8" s="14">
        <f>SUMIF(observed!$E$2:$E$139,sum_by_mode!$B8,observed!I$2:I$139)</f>
        <v>80484.153431027793</v>
      </c>
      <c r="F8" s="14">
        <f>SUMIF(observed!$E$2:$E$139,sum_by_mode!$B8,observed!J$2:J$139)</f>
        <v>42274.697337167665</v>
      </c>
      <c r="G8" s="14">
        <f>SUMIF(observed!$E$2:$E$139,sum_by_mode!$B8,observed!K$2:K$139)</f>
        <v>14967.294466732639</v>
      </c>
      <c r="H8" s="23">
        <f t="shared" si="0"/>
        <v>175628.04445000002</v>
      </c>
      <c r="I8" s="28">
        <f>SUMIF(observed!$E$2:$E$139,sum_by_mode!$B8,observed!L$2:L$139)</f>
        <v>14489.397840274243</v>
      </c>
      <c r="J8" s="21">
        <f>SUMIF(observed!$E$2:$E$139,sum_by_mode!$B8,observed!M$2:M$139)</f>
        <v>117018.47288767433</v>
      </c>
      <c r="K8" s="21">
        <f>SUMIF(observed!$E$2:$E$139,sum_by_mode!$B8,observed!N$2:N$139)</f>
        <v>253655.03240691806</v>
      </c>
      <c r="L8" s="21">
        <f>SUMIF(observed!$E$2:$E$139,sum_by_mode!$B8,observed!O$2:O$139)</f>
        <v>138978.93060429013</v>
      </c>
      <c r="M8" s="21">
        <f>SUMIF(observed!$E$2:$E$139,sum_by_mode!$B8,observed!P$2:P$139)</f>
        <v>57501.289505920678</v>
      </c>
      <c r="N8" s="27">
        <f t="shared" si="1"/>
        <v>581643.12324507744</v>
      </c>
      <c r="O8" s="34">
        <f t="shared" si="7"/>
        <v>3.6972141038216906</v>
      </c>
      <c r="P8" s="35">
        <f t="shared" si="2"/>
        <v>3.4434521561056517</v>
      </c>
      <c r="Q8" s="35">
        <f t="shared" si="3"/>
        <v>3.1516145923593752</v>
      </c>
      <c r="R8" s="35">
        <f t="shared" si="4"/>
        <v>3.2875204166654242</v>
      </c>
      <c r="S8" s="35">
        <f t="shared" si="5"/>
        <v>3.8417958324884358</v>
      </c>
      <c r="T8" s="36">
        <f t="shared" si="6"/>
        <v>3.311789555401369</v>
      </c>
    </row>
    <row r="9" spans="1:24" ht="15" thickBot="1" x14ac:dyDescent="0.35">
      <c r="A9" s="37"/>
      <c r="B9" s="38" t="s">
        <v>31</v>
      </c>
      <c r="C9" s="39">
        <f>SUM(C4:C8)</f>
        <v>10173.422811839771</v>
      </c>
      <c r="D9" s="39">
        <f>SUM(D4:D8)</f>
        <v>70101.053045445165</v>
      </c>
      <c r="E9" s="39">
        <f>SUM(E4:E8)</f>
        <v>149864.03523995966</v>
      </c>
      <c r="F9" s="39">
        <f>SUM(F4:F8)</f>
        <v>90554.084344260365</v>
      </c>
      <c r="G9" s="39">
        <f>SUM(G4:G8)</f>
        <v>34450.75900849505</v>
      </c>
      <c r="H9" s="40">
        <f t="shared" si="0"/>
        <v>355143.35444999998</v>
      </c>
      <c r="I9" s="41">
        <f>SUM(I4:I8)</f>
        <v>64365.321942006492</v>
      </c>
      <c r="J9" s="42">
        <f>SUM(J4:J8)</f>
        <v>385086.20469964953</v>
      </c>
      <c r="K9" s="42">
        <f>SUM(K4:K8)</f>
        <v>645533.05092009355</v>
      </c>
      <c r="L9" s="42">
        <f>SUM(L4:L8)</f>
        <v>465166.63497863768</v>
      </c>
      <c r="M9" s="42">
        <f>SUM(M4:M8)</f>
        <v>176156.5507046901</v>
      </c>
      <c r="N9" s="43">
        <f>SUM(I9:M9)</f>
        <v>1736307.7632450773</v>
      </c>
      <c r="O9" s="44">
        <f t="shared" si="7"/>
        <v>6.3268108612470622</v>
      </c>
      <c r="P9" s="45">
        <f t="shared" si="2"/>
        <v>5.4933012839337172</v>
      </c>
      <c r="Q9" s="45">
        <f t="shared" si="3"/>
        <v>4.3074580895041121</v>
      </c>
      <c r="R9" s="45">
        <f t="shared" si="4"/>
        <v>5.1368929225788316</v>
      </c>
      <c r="S9" s="45">
        <f t="shared" si="5"/>
        <v>5.113285041448651</v>
      </c>
      <c r="T9" s="46">
        <f t="shared" si="6"/>
        <v>4.8890335169977934</v>
      </c>
      <c r="X9" s="355"/>
    </row>
    <row r="10" spans="1:24" x14ac:dyDescent="0.3">
      <c r="A10" s="8"/>
      <c r="B10" s="8"/>
      <c r="C10" s="8"/>
      <c r="D10" s="8"/>
      <c r="E10" s="8"/>
      <c r="F10" s="8"/>
      <c r="G10" s="8"/>
      <c r="H10" s="8"/>
      <c r="W10" s="355"/>
    </row>
    <row r="11" spans="1:24" ht="15" thickBot="1" x14ac:dyDescent="0.35">
      <c r="A11" s="7" t="s">
        <v>33</v>
      </c>
      <c r="B11" s="7"/>
      <c r="C11" s="7"/>
      <c r="D11" s="7"/>
      <c r="E11" s="7"/>
      <c r="F11" s="7"/>
      <c r="G11" s="7"/>
      <c r="H11" s="7"/>
    </row>
    <row r="12" spans="1:24" x14ac:dyDescent="0.3">
      <c r="A12" s="65"/>
      <c r="B12" s="66"/>
      <c r="C12" s="367" t="s">
        <v>28</v>
      </c>
      <c r="D12" s="367"/>
      <c r="E12" s="367"/>
      <c r="F12" s="367"/>
      <c r="G12" s="367"/>
      <c r="H12" s="368"/>
      <c r="I12" s="369" t="s">
        <v>29</v>
      </c>
      <c r="J12" s="370"/>
      <c r="K12" s="370"/>
      <c r="L12" s="370"/>
      <c r="M12" s="370"/>
      <c r="N12" s="371"/>
      <c r="O12" s="372" t="s">
        <v>30</v>
      </c>
      <c r="P12" s="373"/>
      <c r="Q12" s="373"/>
      <c r="R12" s="373"/>
      <c r="S12" s="373"/>
      <c r="T12" s="374"/>
    </row>
    <row r="13" spans="1:24" x14ac:dyDescent="0.3">
      <c r="A13" s="67"/>
      <c r="B13" s="68"/>
      <c r="C13" s="69" t="s">
        <v>39</v>
      </c>
      <c r="D13" s="69" t="s">
        <v>40</v>
      </c>
      <c r="E13" s="69" t="s">
        <v>41</v>
      </c>
      <c r="F13" s="69" t="s">
        <v>42</v>
      </c>
      <c r="G13" s="69" t="s">
        <v>43</v>
      </c>
      <c r="H13" s="70" t="s">
        <v>44</v>
      </c>
      <c r="I13" s="79" t="s">
        <v>39</v>
      </c>
      <c r="J13" s="80" t="s">
        <v>40</v>
      </c>
      <c r="K13" s="80" t="s">
        <v>41</v>
      </c>
      <c r="L13" s="80" t="s">
        <v>42</v>
      </c>
      <c r="M13" s="80" t="s">
        <v>43</v>
      </c>
      <c r="N13" s="81" t="s">
        <v>44</v>
      </c>
      <c r="O13" s="90" t="s">
        <v>39</v>
      </c>
      <c r="P13" s="91" t="s">
        <v>40</v>
      </c>
      <c r="Q13" s="91" t="s">
        <v>41</v>
      </c>
      <c r="R13" s="91" t="s">
        <v>42</v>
      </c>
      <c r="S13" s="91" t="s">
        <v>43</v>
      </c>
      <c r="T13" s="92" t="s">
        <v>44</v>
      </c>
    </row>
    <row r="14" spans="1:24" x14ac:dyDescent="0.3">
      <c r="A14" s="71" t="s">
        <v>32</v>
      </c>
      <c r="B14" s="72" t="s">
        <v>12</v>
      </c>
      <c r="C14" s="73">
        <f>SUMIF(bd!$B$2:$B$139,"4",bd!K$2:K$139)</f>
        <v>0</v>
      </c>
      <c r="D14" s="73">
        <f>SUMIF(bd!$B$2:$B$139,"4",bd!L$2:L$139)</f>
        <v>0</v>
      </c>
      <c r="E14" s="73">
        <f>SUMIF(bd!$B$2:$B$139,"4",bd!M$2:M$139)</f>
        <v>0</v>
      </c>
      <c r="F14" s="73">
        <f>SUMIF(bd!$B$2:$B$139,"4",bd!N$2:N$139)</f>
        <v>0</v>
      </c>
      <c r="G14" s="73">
        <f>SUMIF(bd!$B$2:$B$139,"4",bd!O$2:O$139)</f>
        <v>0</v>
      </c>
      <c r="H14" s="74">
        <f>SUM(C14:G14)</f>
        <v>0</v>
      </c>
      <c r="I14" s="82">
        <f>SUMIF(pm!$B$2:$B$139,"4",pm!K$2:K$139)</f>
        <v>0</v>
      </c>
      <c r="J14" s="83">
        <f>SUMIF(pm!$B$2:$B$139,"4",pm!L$2:L$139)</f>
        <v>0</v>
      </c>
      <c r="K14" s="83">
        <f>SUMIF(pm!$B$2:$B$139,"4",pm!M$2:M$139)</f>
        <v>0</v>
      </c>
      <c r="L14" s="83">
        <f>SUMIF(pm!$B$2:$B$139,"4",pm!N$2:N$139)</f>
        <v>0</v>
      </c>
      <c r="M14" s="83">
        <f>SUMIF(pm!$B$2:$B$139,"4",pm!O$2:O$139)</f>
        <v>0</v>
      </c>
      <c r="N14" s="84">
        <f>SUM(I14:M14)</f>
        <v>0</v>
      </c>
      <c r="O14" s="93" t="e">
        <f t="shared" ref="O14:O19" si="8">I14/C14</f>
        <v>#DIV/0!</v>
      </c>
      <c r="P14" s="94" t="e">
        <f t="shared" ref="P14:P19" si="9">J14/D14</f>
        <v>#DIV/0!</v>
      </c>
      <c r="Q14" s="94" t="e">
        <f t="shared" ref="Q14:Q19" si="10">K14/E14</f>
        <v>#DIV/0!</v>
      </c>
      <c r="R14" s="94" t="e">
        <f t="shared" ref="R14:R19" si="11">L14/F14</f>
        <v>#DIV/0!</v>
      </c>
      <c r="S14" s="94" t="e">
        <f t="shared" ref="S14:S19" si="12">M14/G14</f>
        <v>#DIV/0!</v>
      </c>
      <c r="T14" s="95" t="e">
        <f t="shared" ref="T14:T19" si="13">N14/H14</f>
        <v>#DIV/0!</v>
      </c>
    </row>
    <row r="15" spans="1:24" x14ac:dyDescent="0.3">
      <c r="A15" s="71"/>
      <c r="B15" s="72" t="s">
        <v>13</v>
      </c>
      <c r="C15" s="73">
        <f>SUMIF(bd!$B$2:$B$139,"5",bd!K$2:K$139)</f>
        <v>0</v>
      </c>
      <c r="D15" s="73">
        <f>SUMIF(bd!$B$2:$B$139,"5",bd!L$2:L$139)</f>
        <v>0</v>
      </c>
      <c r="E15" s="73">
        <f>SUMIF(bd!$B$2:$B$139,"5",bd!M$2:M$139)</f>
        <v>0</v>
      </c>
      <c r="F15" s="73">
        <f>SUMIF(bd!$B$2:$B$139,"5",bd!N$2:N$139)</f>
        <v>0</v>
      </c>
      <c r="G15" s="73">
        <f>SUMIF(bd!$B$2:$B$139,"5",bd!O$2:O$139)</f>
        <v>0</v>
      </c>
      <c r="H15" s="74">
        <f t="shared" ref="H15:H19" si="14">SUM(C15:G15)</f>
        <v>0</v>
      </c>
      <c r="I15" s="82">
        <f>SUMIF(pm!$B$2:$B$139,"5",pm!K$2:K$139)</f>
        <v>0</v>
      </c>
      <c r="J15" s="83">
        <f>SUMIF(pm!$B$2:$B$139,"5",pm!L$2:L$139)</f>
        <v>0</v>
      </c>
      <c r="K15" s="83">
        <f>SUMIF(pm!$B$2:$B$139,"5",pm!M$2:M$139)</f>
        <v>0</v>
      </c>
      <c r="L15" s="83">
        <f>SUMIF(pm!$B$2:$B$139,"5",pm!N$2:N$139)</f>
        <v>0</v>
      </c>
      <c r="M15" s="83">
        <f>SUMIF(pm!$B$2:$B$139,"5",pm!O$2:O$139)</f>
        <v>0</v>
      </c>
      <c r="N15" s="84">
        <f t="shared" ref="N15:N19" si="15">SUM(I15:M15)</f>
        <v>0</v>
      </c>
      <c r="O15" s="93" t="e">
        <f t="shared" si="8"/>
        <v>#DIV/0!</v>
      </c>
      <c r="P15" s="94" t="e">
        <f t="shared" si="9"/>
        <v>#DIV/0!</v>
      </c>
      <c r="Q15" s="94" t="e">
        <f t="shared" si="10"/>
        <v>#DIV/0!</v>
      </c>
      <c r="R15" s="94" t="e">
        <f t="shared" si="11"/>
        <v>#DIV/0!</v>
      </c>
      <c r="S15" s="94" t="e">
        <f t="shared" si="12"/>
        <v>#DIV/0!</v>
      </c>
      <c r="T15" s="95" t="e">
        <f t="shared" si="13"/>
        <v>#DIV/0!</v>
      </c>
    </row>
    <row r="16" spans="1:24" x14ac:dyDescent="0.3">
      <c r="A16" s="71"/>
      <c r="B16" s="72" t="s">
        <v>9</v>
      </c>
      <c r="C16" s="73">
        <f>SUMIF(bd!$B$2:$B$139,"8",bd!K$2:K$139)+SUMIF(bd!$B$2:$B$139,"9",bd!K$2:K$139)</f>
        <v>0</v>
      </c>
      <c r="D16" s="73">
        <f>SUMIF(bd!$B$2:$B$139,"8",bd!L$2:L$139)+SUMIF(bd!$B$2:$B$139,"9",bd!L$2:L$139)</f>
        <v>0</v>
      </c>
      <c r="E16" s="73">
        <f>SUMIF(bd!$B$2:$B$139,"8",bd!M$2:M$139)+SUMIF(bd!$B$2:$B$139,"9",bd!M$2:M$139)</f>
        <v>0</v>
      </c>
      <c r="F16" s="73">
        <f>SUMIF(bd!$B$2:$B$139,"8",bd!N$2:N$139)+SUMIF(bd!$B$2:$B$139,"9",bd!N$2:N$139)</f>
        <v>0</v>
      </c>
      <c r="G16" s="73">
        <f>SUMIF(bd!$B$2:$B$139,"8",bd!O$2:O$139)+SUMIF(bd!$B$2:$B$139,"9",bd!O$2:O$139)</f>
        <v>0</v>
      </c>
      <c r="H16" s="74">
        <f t="shared" si="14"/>
        <v>0</v>
      </c>
      <c r="I16" s="82">
        <f>SUMIF(pm!$B$2:$B$139,"8",pm!K$2:K$139)+SUMIF(pm!$B$2:$B$139,"9",pm!K$2:K$139)</f>
        <v>0</v>
      </c>
      <c r="J16" s="83">
        <f>SUMIF(pm!$B$2:$B$139,"8",pm!L$2:L$139)+SUMIF(pm!$B$2:$B$139,"9",pm!L$2:L$139)</f>
        <v>0</v>
      </c>
      <c r="K16" s="83">
        <f>SUMIF(pm!$B$2:$B$139,"8",pm!M$2:M$139)+SUMIF(pm!$B$2:$B$139,"9",pm!M$2:M$139)</f>
        <v>0</v>
      </c>
      <c r="L16" s="83">
        <f>SUMIF(pm!$B$2:$B$139,"8",pm!N$2:N$139)+SUMIF(pm!$B$2:$B$139,"9",pm!N$2:N$139)</f>
        <v>0</v>
      </c>
      <c r="M16" s="83">
        <f>SUMIF(pm!$B$2:$B$139,"8",pm!O$2:O$139)+SUMIF(pm!$B$2:$B$139,"9",pm!O$2:O$139)</f>
        <v>0</v>
      </c>
      <c r="N16" s="84">
        <f t="shared" si="15"/>
        <v>0</v>
      </c>
      <c r="O16" s="93" t="e">
        <f t="shared" si="8"/>
        <v>#DIV/0!</v>
      </c>
      <c r="P16" s="94" t="e">
        <f t="shared" si="9"/>
        <v>#DIV/0!</v>
      </c>
      <c r="Q16" s="94" t="e">
        <f t="shared" si="10"/>
        <v>#DIV/0!</v>
      </c>
      <c r="R16" s="94" t="e">
        <f t="shared" si="11"/>
        <v>#DIV/0!</v>
      </c>
      <c r="S16" s="94" t="e">
        <f t="shared" si="12"/>
        <v>#DIV/0!</v>
      </c>
      <c r="T16" s="95" t="e">
        <f t="shared" si="13"/>
        <v>#DIV/0!</v>
      </c>
    </row>
    <row r="17" spans="1:20" x14ac:dyDescent="0.3">
      <c r="A17" s="71"/>
      <c r="B17" s="72" t="s">
        <v>47</v>
      </c>
      <c r="C17" s="73">
        <f>SUMIF(bd!$B$2:$B$139,"6",bd!K$2:K$139)+SUMIF(bd!$B$2:$B$139,"7",bd!K$2:K$139)</f>
        <v>0</v>
      </c>
      <c r="D17" s="73">
        <f>SUMIF(bd!$B$2:$B$139,"6",bd!L$2:L$139)+SUMIF(bd!$B$2:$B$139,"7",bd!L$2:L$139)</f>
        <v>0</v>
      </c>
      <c r="E17" s="73">
        <f>SUMIF(bd!$B$2:$B$139,"6",bd!M$2:M$139)+SUMIF(bd!$B$2:$B$139,"7",bd!M$2:M$139)</f>
        <v>0</v>
      </c>
      <c r="F17" s="73">
        <f>SUMIF(bd!$B$2:$B$139,"6",bd!N$2:N$139)+SUMIF(bd!$B$2:$B$139,"7",bd!N$2:N$139)</f>
        <v>0</v>
      </c>
      <c r="G17" s="73">
        <f>SUMIF(bd!$B$2:$B$139,"6",bd!O$2:O$139)+SUMIF(bd!$B$2:$B$139,"7",bd!O$2:O$139)</f>
        <v>0</v>
      </c>
      <c r="H17" s="74">
        <f t="shared" si="14"/>
        <v>0</v>
      </c>
      <c r="I17" s="82">
        <f>SUMIF(pm!$B$2:$B$139,"6",pm!K$2:K$139)+SUMIF(pm!$B$2:$B$139,"7",pm!K$2:K$139)</f>
        <v>0</v>
      </c>
      <c r="J17" s="83">
        <f>SUMIF(pm!$B$2:$B$139,"6",pm!L$2:L$139)+SUMIF(pm!$B$2:$B$139,"7",pm!L$2:L$139)</f>
        <v>0</v>
      </c>
      <c r="K17" s="83">
        <f>SUMIF(pm!$B$2:$B$139,"6",pm!M$2:M$139)+SUMIF(pm!$B$2:$B$139,"7",pm!M$2:M$139)</f>
        <v>0</v>
      </c>
      <c r="L17" s="83">
        <f>SUMIF(pm!$B$2:$B$139,"6",pm!N$2:N$139)+SUMIF(pm!$B$2:$B$139,"7",pm!N$2:N$139)</f>
        <v>0</v>
      </c>
      <c r="M17" s="83">
        <f>SUMIF(pm!$B$2:$B$139,"6",pm!O$2:O$139)+SUMIF(pm!$B$2:$B$139,"7",pm!O$2:O$139)</f>
        <v>0</v>
      </c>
      <c r="N17" s="84">
        <f t="shared" si="15"/>
        <v>0</v>
      </c>
      <c r="O17" s="93" t="e">
        <f t="shared" si="8"/>
        <v>#DIV/0!</v>
      </c>
      <c r="P17" s="94" t="e">
        <f t="shared" si="9"/>
        <v>#DIV/0!</v>
      </c>
      <c r="Q17" s="94" t="e">
        <f t="shared" si="10"/>
        <v>#DIV/0!</v>
      </c>
      <c r="R17" s="94" t="e">
        <f t="shared" si="11"/>
        <v>#DIV/0!</v>
      </c>
      <c r="S17" s="94" t="e">
        <f t="shared" si="12"/>
        <v>#DIV/0!</v>
      </c>
      <c r="T17" s="95" t="e">
        <f t="shared" si="13"/>
        <v>#DIV/0!</v>
      </c>
    </row>
    <row r="18" spans="1:20" x14ac:dyDescent="0.3">
      <c r="A18" s="71"/>
      <c r="B18" s="72" t="s">
        <v>0</v>
      </c>
      <c r="C18" s="73">
        <f>SUMIF(bd!$B$2:$B$139,"10",bd!K$2:K$139)</f>
        <v>0</v>
      </c>
      <c r="D18" s="73">
        <f>SUMIF(bd!$B$2:$B$139,"10",bd!L$2:L$139)</f>
        <v>0</v>
      </c>
      <c r="E18" s="73">
        <f>SUMIF(bd!$B$2:$B$139,"10",bd!M$2:M$139)</f>
        <v>0</v>
      </c>
      <c r="F18" s="73">
        <f>SUMIF(bd!$B$2:$B$139,"10",bd!N$2:N$139)</f>
        <v>0</v>
      </c>
      <c r="G18" s="73">
        <f>SUMIF(bd!$B$2:$B$139,"10",bd!O$2:O$139)</f>
        <v>0</v>
      </c>
      <c r="H18" s="74">
        <f t="shared" si="14"/>
        <v>0</v>
      </c>
      <c r="I18" s="85">
        <f>SUMIF(pm!$B$2:$B$139,"10",pm!K$2:K$139)</f>
        <v>0</v>
      </c>
      <c r="J18" s="86">
        <f>SUMIF(pm!$B$2:$B$139,"10",pm!L$2:L$139)</f>
        <v>0</v>
      </c>
      <c r="K18" s="86">
        <f>SUMIF(pm!$B$2:$B$139,"10",pm!M$2:M$139)</f>
        <v>0</v>
      </c>
      <c r="L18" s="86">
        <f>SUMIF(pm!$B$2:$B$139,"10",pm!N$2:N$139)</f>
        <v>0</v>
      </c>
      <c r="M18" s="86">
        <f>SUMIF(pm!$B$2:$B$139,"10",pm!O$2:O$139)</f>
        <v>0</v>
      </c>
      <c r="N18" s="84">
        <f t="shared" si="15"/>
        <v>0</v>
      </c>
      <c r="O18" s="93" t="e">
        <f t="shared" si="8"/>
        <v>#DIV/0!</v>
      </c>
      <c r="P18" s="94" t="e">
        <f t="shared" si="9"/>
        <v>#DIV/0!</v>
      </c>
      <c r="Q18" s="94" t="e">
        <f t="shared" si="10"/>
        <v>#DIV/0!</v>
      </c>
      <c r="R18" s="94" t="e">
        <f t="shared" si="11"/>
        <v>#DIV/0!</v>
      </c>
      <c r="S18" s="94" t="e">
        <f t="shared" si="12"/>
        <v>#DIV/0!</v>
      </c>
      <c r="T18" s="95" t="e">
        <f t="shared" si="13"/>
        <v>#DIV/0!</v>
      </c>
    </row>
    <row r="19" spans="1:20" ht="15" thickBot="1" x14ac:dyDescent="0.35">
      <c r="A19" s="75"/>
      <c r="B19" s="76" t="s">
        <v>31</v>
      </c>
      <c r="C19" s="77">
        <f t="shared" ref="C19:M19" si="16">SUM(C14:C18)</f>
        <v>0</v>
      </c>
      <c r="D19" s="77">
        <f t="shared" si="16"/>
        <v>0</v>
      </c>
      <c r="E19" s="77">
        <f t="shared" si="16"/>
        <v>0</v>
      </c>
      <c r="F19" s="77">
        <f t="shared" si="16"/>
        <v>0</v>
      </c>
      <c r="G19" s="77">
        <f t="shared" si="16"/>
        <v>0</v>
      </c>
      <c r="H19" s="78">
        <f t="shared" si="14"/>
        <v>0</v>
      </c>
      <c r="I19" s="87">
        <f t="shared" si="16"/>
        <v>0</v>
      </c>
      <c r="J19" s="88">
        <f t="shared" si="16"/>
        <v>0</v>
      </c>
      <c r="K19" s="88">
        <f t="shared" si="16"/>
        <v>0</v>
      </c>
      <c r="L19" s="88">
        <f t="shared" si="16"/>
        <v>0</v>
      </c>
      <c r="M19" s="88">
        <f t="shared" si="16"/>
        <v>0</v>
      </c>
      <c r="N19" s="89">
        <f t="shared" si="15"/>
        <v>0</v>
      </c>
      <c r="O19" s="96" t="e">
        <f t="shared" si="8"/>
        <v>#DIV/0!</v>
      </c>
      <c r="P19" s="97" t="e">
        <f t="shared" si="9"/>
        <v>#DIV/0!</v>
      </c>
      <c r="Q19" s="97" t="e">
        <f t="shared" si="10"/>
        <v>#DIV/0!</v>
      </c>
      <c r="R19" s="97" t="e">
        <f t="shared" si="11"/>
        <v>#DIV/0!</v>
      </c>
      <c r="S19" s="97" t="e">
        <f t="shared" si="12"/>
        <v>#DIV/0!</v>
      </c>
      <c r="T19" s="98" t="e">
        <f t="shared" si="13"/>
        <v>#DIV/0!</v>
      </c>
    </row>
    <row r="20" spans="1:20" x14ac:dyDescent="0.3">
      <c r="A20" s="8"/>
      <c r="B20" s="8"/>
      <c r="C20" s="9"/>
      <c r="D20" s="9"/>
      <c r="E20" s="9"/>
      <c r="F20" s="9"/>
      <c r="G20" s="9"/>
      <c r="H20" s="9"/>
    </row>
    <row r="21" spans="1:20" ht="15" thickBot="1" x14ac:dyDescent="0.35">
      <c r="A21" s="7" t="s">
        <v>34</v>
      </c>
      <c r="B21" s="7"/>
      <c r="C21" s="7"/>
      <c r="D21" s="7"/>
      <c r="E21" s="7"/>
      <c r="F21" s="7"/>
      <c r="G21" s="7"/>
      <c r="H21" s="7"/>
    </row>
    <row r="22" spans="1:20" x14ac:dyDescent="0.3">
      <c r="A22" s="99"/>
      <c r="B22" s="100"/>
      <c r="C22" s="375" t="s">
        <v>28</v>
      </c>
      <c r="D22" s="375"/>
      <c r="E22" s="375"/>
      <c r="F22" s="375"/>
      <c r="G22" s="375"/>
      <c r="H22" s="376"/>
      <c r="I22" s="377" t="s">
        <v>29</v>
      </c>
      <c r="J22" s="375"/>
      <c r="K22" s="375"/>
      <c r="L22" s="375"/>
      <c r="M22" s="375"/>
      <c r="N22" s="378"/>
      <c r="O22" s="379" t="s">
        <v>30</v>
      </c>
      <c r="P22" s="375"/>
      <c r="Q22" s="375"/>
      <c r="R22" s="375"/>
      <c r="S22" s="375"/>
      <c r="T22" s="380"/>
    </row>
    <row r="23" spans="1:20" x14ac:dyDescent="0.3">
      <c r="A23" s="101"/>
      <c r="B23" s="102"/>
      <c r="C23" s="103" t="s">
        <v>39</v>
      </c>
      <c r="D23" s="103" t="s">
        <v>40</v>
      </c>
      <c r="E23" s="103" t="s">
        <v>41</v>
      </c>
      <c r="F23" s="103" t="s">
        <v>42</v>
      </c>
      <c r="G23" s="103" t="s">
        <v>43</v>
      </c>
      <c r="H23" s="104" t="s">
        <v>44</v>
      </c>
      <c r="I23" s="105" t="s">
        <v>39</v>
      </c>
      <c r="J23" s="103" t="s">
        <v>40</v>
      </c>
      <c r="K23" s="103" t="s">
        <v>41</v>
      </c>
      <c r="L23" s="103" t="s">
        <v>42</v>
      </c>
      <c r="M23" s="103" t="s">
        <v>43</v>
      </c>
      <c r="N23" s="106" t="s">
        <v>44</v>
      </c>
      <c r="O23" s="107" t="s">
        <v>39</v>
      </c>
      <c r="P23" s="103" t="s">
        <v>40</v>
      </c>
      <c r="Q23" s="103" t="s">
        <v>41</v>
      </c>
      <c r="R23" s="103" t="s">
        <v>42</v>
      </c>
      <c r="S23" s="103" t="s">
        <v>43</v>
      </c>
      <c r="T23" s="108" t="s">
        <v>44</v>
      </c>
    </row>
    <row r="24" spans="1:20" x14ac:dyDescent="0.3">
      <c r="A24" s="109" t="s">
        <v>32</v>
      </c>
      <c r="B24" s="110" t="s">
        <v>12</v>
      </c>
      <c r="C24" s="114">
        <f>C14-C4</f>
        <v>-133.1666666666666</v>
      </c>
      <c r="D24" s="114">
        <f t="shared" ref="D24:T24" si="17">D14-D4</f>
        <v>-1734.8333333333335</v>
      </c>
      <c r="E24" s="114">
        <f t="shared" si="17"/>
        <v>-803.6874999999992</v>
      </c>
      <c r="F24" s="114">
        <f t="shared" si="17"/>
        <v>-2212.6961754643235</v>
      </c>
      <c r="G24" s="114">
        <f t="shared" si="17"/>
        <v>-311.61632453567751</v>
      </c>
      <c r="H24" s="115">
        <f t="shared" si="17"/>
        <v>-5196</v>
      </c>
      <c r="I24" s="116">
        <f t="shared" si="17"/>
        <v>-3523.3236666666644</v>
      </c>
      <c r="J24" s="114">
        <f t="shared" si="17"/>
        <v>-40504.156333333332</v>
      </c>
      <c r="K24" s="114">
        <f t="shared" si="17"/>
        <v>-20830.683437499982</v>
      </c>
      <c r="L24" s="114">
        <f t="shared" si="17"/>
        <v>-50134.506117729783</v>
      </c>
      <c r="M24" s="114">
        <f t="shared" si="17"/>
        <v>-7720.1904447702391</v>
      </c>
      <c r="N24" s="117">
        <f t="shared" si="17"/>
        <v>-122712.86</v>
      </c>
      <c r="O24" s="112" t="e">
        <f t="shared" si="17"/>
        <v>#DIV/0!</v>
      </c>
      <c r="P24" s="111" t="e">
        <f t="shared" si="17"/>
        <v>#DIV/0!</v>
      </c>
      <c r="Q24" s="111" t="e">
        <f t="shared" si="17"/>
        <v>#DIV/0!</v>
      </c>
      <c r="R24" s="111" t="e">
        <f t="shared" si="17"/>
        <v>#DIV/0!</v>
      </c>
      <c r="S24" s="111" t="e">
        <f t="shared" si="17"/>
        <v>#DIV/0!</v>
      </c>
      <c r="T24" s="113" t="e">
        <f t="shared" si="17"/>
        <v>#DIV/0!</v>
      </c>
    </row>
    <row r="25" spans="1:20" x14ac:dyDescent="0.3">
      <c r="A25" s="109"/>
      <c r="B25" s="110" t="s">
        <v>13</v>
      </c>
      <c r="C25" s="114">
        <f t="shared" ref="C25:T25" si="18">C15-C5</f>
        <v>-5067.8720832074168</v>
      </c>
      <c r="D25" s="114">
        <f t="shared" si="18"/>
        <v>-24848.821296810729</v>
      </c>
      <c r="E25" s="114">
        <f t="shared" si="18"/>
        <v>-51785.389629400102</v>
      </c>
      <c r="F25" s="114">
        <f t="shared" si="18"/>
        <v>-34233.453351481694</v>
      </c>
      <c r="G25" s="114">
        <f t="shared" si="18"/>
        <v>-14975.813639100059</v>
      </c>
      <c r="H25" s="115">
        <f t="shared" si="18"/>
        <v>-130911.35</v>
      </c>
      <c r="I25" s="116">
        <f t="shared" si="18"/>
        <v>-36166.621744640557</v>
      </c>
      <c r="J25" s="114">
        <f t="shared" si="18"/>
        <v>-151716.88712334656</v>
      </c>
      <c r="K25" s="114">
        <f t="shared" si="18"/>
        <v>-279395.6764747015</v>
      </c>
      <c r="L25" s="114">
        <f t="shared" si="18"/>
        <v>-195127.33473910388</v>
      </c>
      <c r="M25" s="114">
        <f t="shared" si="18"/>
        <v>-86464.779918207467</v>
      </c>
      <c r="N25" s="117">
        <f t="shared" si="18"/>
        <v>-748871.29999999993</v>
      </c>
      <c r="O25" s="112" t="e">
        <f t="shared" si="18"/>
        <v>#DIV/0!</v>
      </c>
      <c r="P25" s="111" t="e">
        <f t="shared" si="18"/>
        <v>#DIV/0!</v>
      </c>
      <c r="Q25" s="111" t="e">
        <f t="shared" si="18"/>
        <v>#DIV/0!</v>
      </c>
      <c r="R25" s="111" t="e">
        <f t="shared" si="18"/>
        <v>#DIV/0!</v>
      </c>
      <c r="S25" s="111" t="e">
        <f t="shared" si="18"/>
        <v>#DIV/0!</v>
      </c>
      <c r="T25" s="113" t="e">
        <f t="shared" si="18"/>
        <v>#DIV/0!</v>
      </c>
    </row>
    <row r="26" spans="1:20" x14ac:dyDescent="0.3">
      <c r="A26" s="109"/>
      <c r="B26" s="110" t="s">
        <v>9</v>
      </c>
      <c r="C26" s="114">
        <f t="shared" ref="C26:T26" si="19">C16-C6</f>
        <v>-511.13157870990722</v>
      </c>
      <c r="D26" s="114">
        <f t="shared" si="19"/>
        <v>-4300.5895956927416</v>
      </c>
      <c r="E26" s="114">
        <f t="shared" si="19"/>
        <v>-6914.2551852043616</v>
      </c>
      <c r="F26" s="114">
        <f t="shared" si="19"/>
        <v>-4471.742081695199</v>
      </c>
      <c r="G26" s="114">
        <f t="shared" si="19"/>
        <v>-1368.4115586977896</v>
      </c>
      <c r="H26" s="115">
        <f t="shared" si="19"/>
        <v>-17566.13</v>
      </c>
      <c r="I26" s="116">
        <f t="shared" si="19"/>
        <v>-3998.4147455010552</v>
      </c>
      <c r="J26" s="114">
        <f t="shared" si="19"/>
        <v>-29580.768592169316</v>
      </c>
      <c r="K26" s="114">
        <f t="shared" si="19"/>
        <v>-36158.059694828771</v>
      </c>
      <c r="L26" s="114">
        <f t="shared" si="19"/>
        <v>-27795.005687611279</v>
      </c>
      <c r="M26" s="114">
        <f t="shared" si="19"/>
        <v>-7380.4812798895846</v>
      </c>
      <c r="N26" s="117">
        <f t="shared" si="19"/>
        <v>-104912.73000000001</v>
      </c>
      <c r="O26" s="112" t="e">
        <f t="shared" si="19"/>
        <v>#DIV/0!</v>
      </c>
      <c r="P26" s="111" t="e">
        <f t="shared" si="19"/>
        <v>#DIV/0!</v>
      </c>
      <c r="Q26" s="111" t="e">
        <f t="shared" si="19"/>
        <v>#DIV/0!</v>
      </c>
      <c r="R26" s="111" t="e">
        <f t="shared" si="19"/>
        <v>#DIV/0!</v>
      </c>
      <c r="S26" s="111" t="e">
        <f t="shared" si="19"/>
        <v>#DIV/0!</v>
      </c>
      <c r="T26" s="113" t="e">
        <f t="shared" si="19"/>
        <v>#DIV/0!</v>
      </c>
    </row>
    <row r="27" spans="1:20" x14ac:dyDescent="0.3">
      <c r="A27" s="109"/>
      <c r="B27" s="110" t="s">
        <v>47</v>
      </c>
      <c r="C27" s="114">
        <f t="shared" ref="C27:T27" si="20">C17-C7</f>
        <v>-542.24821858606015</v>
      </c>
      <c r="D27" s="114">
        <f t="shared" si="20"/>
        <v>-5233.9138692061606</v>
      </c>
      <c r="E27" s="114">
        <f t="shared" si="20"/>
        <v>-9876.5494943273989</v>
      </c>
      <c r="F27" s="114">
        <f t="shared" si="20"/>
        <v>-7361.4953984514968</v>
      </c>
      <c r="G27" s="114">
        <f t="shared" si="20"/>
        <v>-2827.6230194288855</v>
      </c>
      <c r="H27" s="115">
        <f t="shared" si="20"/>
        <v>-25841.83</v>
      </c>
      <c r="I27" s="116">
        <f t="shared" si="20"/>
        <v>-6187.5639449239734</v>
      </c>
      <c r="J27" s="114">
        <f t="shared" si="20"/>
        <v>-46265.919763125974</v>
      </c>
      <c r="K27" s="114">
        <f t="shared" si="20"/>
        <v>-55493.598906145278</v>
      </c>
      <c r="L27" s="114">
        <f t="shared" si="20"/>
        <v>-53130.857829902605</v>
      </c>
      <c r="M27" s="114">
        <f t="shared" si="20"/>
        <v>-17089.809555902149</v>
      </c>
      <c r="N27" s="117">
        <f t="shared" si="20"/>
        <v>-178167.74999999997</v>
      </c>
      <c r="O27" s="112" t="e">
        <f t="shared" si="20"/>
        <v>#DIV/0!</v>
      </c>
      <c r="P27" s="111" t="e">
        <f t="shared" si="20"/>
        <v>#DIV/0!</v>
      </c>
      <c r="Q27" s="111" t="e">
        <f t="shared" si="20"/>
        <v>#DIV/0!</v>
      </c>
      <c r="R27" s="111" t="e">
        <f t="shared" si="20"/>
        <v>#DIV/0!</v>
      </c>
      <c r="S27" s="111" t="e">
        <f t="shared" si="20"/>
        <v>#DIV/0!</v>
      </c>
      <c r="T27" s="113" t="e">
        <f t="shared" si="20"/>
        <v>#DIV/0!</v>
      </c>
    </row>
    <row r="28" spans="1:20" x14ac:dyDescent="0.3">
      <c r="A28" s="109"/>
      <c r="B28" s="110" t="s">
        <v>0</v>
      </c>
      <c r="C28" s="114">
        <f t="shared" ref="C28:T28" si="21">C18-C8</f>
        <v>-3919.0042646697202</v>
      </c>
      <c r="D28" s="114">
        <f t="shared" si="21"/>
        <v>-33982.894950402202</v>
      </c>
      <c r="E28" s="114">
        <f t="shared" si="21"/>
        <v>-80484.153431027793</v>
      </c>
      <c r="F28" s="114">
        <f t="shared" si="21"/>
        <v>-42274.697337167665</v>
      </c>
      <c r="G28" s="114">
        <f t="shared" si="21"/>
        <v>-14967.294466732639</v>
      </c>
      <c r="H28" s="115">
        <f t="shared" si="21"/>
        <v>-175628.04445000002</v>
      </c>
      <c r="I28" s="118">
        <f t="shared" si="21"/>
        <v>-14489.397840274243</v>
      </c>
      <c r="J28" s="119">
        <f t="shared" si="21"/>
        <v>-117018.47288767433</v>
      </c>
      <c r="K28" s="119">
        <f t="shared" si="21"/>
        <v>-253655.03240691806</v>
      </c>
      <c r="L28" s="119">
        <f t="shared" si="21"/>
        <v>-138978.93060429013</v>
      </c>
      <c r="M28" s="119">
        <f t="shared" si="21"/>
        <v>-57501.289505920678</v>
      </c>
      <c r="N28" s="117">
        <f t="shared" si="21"/>
        <v>-581643.12324507744</v>
      </c>
      <c r="O28" s="112" t="e">
        <f t="shared" si="21"/>
        <v>#DIV/0!</v>
      </c>
      <c r="P28" s="111" t="e">
        <f t="shared" si="21"/>
        <v>#DIV/0!</v>
      </c>
      <c r="Q28" s="111" t="e">
        <f t="shared" si="21"/>
        <v>#DIV/0!</v>
      </c>
      <c r="R28" s="111" t="e">
        <f t="shared" si="21"/>
        <v>#DIV/0!</v>
      </c>
      <c r="S28" s="111" t="e">
        <f t="shared" si="21"/>
        <v>#DIV/0!</v>
      </c>
      <c r="T28" s="113" t="e">
        <f t="shared" si="21"/>
        <v>#DIV/0!</v>
      </c>
    </row>
    <row r="29" spans="1:20" ht="15" thickBot="1" x14ac:dyDescent="0.35">
      <c r="A29" s="228"/>
      <c r="B29" s="229" t="s">
        <v>31</v>
      </c>
      <c r="C29" s="253">
        <f t="shared" ref="C29:T29" si="22">C19-C9</f>
        <v>-10173.422811839771</v>
      </c>
      <c r="D29" s="253">
        <f t="shared" si="22"/>
        <v>-70101.053045445165</v>
      </c>
      <c r="E29" s="253">
        <f t="shared" si="22"/>
        <v>-149864.03523995966</v>
      </c>
      <c r="F29" s="253">
        <f t="shared" si="22"/>
        <v>-90554.084344260365</v>
      </c>
      <c r="G29" s="253">
        <f t="shared" si="22"/>
        <v>-34450.75900849505</v>
      </c>
      <c r="H29" s="254">
        <f t="shared" si="22"/>
        <v>-355143.35444999998</v>
      </c>
      <c r="I29" s="255">
        <f t="shared" si="22"/>
        <v>-64365.321942006492</v>
      </c>
      <c r="J29" s="253">
        <f t="shared" si="22"/>
        <v>-385086.20469964953</v>
      </c>
      <c r="K29" s="253">
        <f t="shared" si="22"/>
        <v>-645533.05092009355</v>
      </c>
      <c r="L29" s="253">
        <f t="shared" si="22"/>
        <v>-465166.63497863768</v>
      </c>
      <c r="M29" s="253">
        <f t="shared" si="22"/>
        <v>-176156.5507046901</v>
      </c>
      <c r="N29" s="256">
        <f t="shared" si="22"/>
        <v>-1736307.7632450773</v>
      </c>
      <c r="O29" s="257" t="e">
        <f t="shared" si="22"/>
        <v>#DIV/0!</v>
      </c>
      <c r="P29" s="258" t="e">
        <f t="shared" si="22"/>
        <v>#DIV/0!</v>
      </c>
      <c r="Q29" s="258" t="e">
        <f t="shared" si="22"/>
        <v>#DIV/0!</v>
      </c>
      <c r="R29" s="258" t="e">
        <f t="shared" si="22"/>
        <v>#DIV/0!</v>
      </c>
      <c r="S29" s="258" t="e">
        <f t="shared" si="22"/>
        <v>#DIV/0!</v>
      </c>
      <c r="T29" s="259" t="e">
        <f t="shared" si="22"/>
        <v>#DIV/0!</v>
      </c>
    </row>
    <row r="30" spans="1:20" x14ac:dyDescent="0.3">
      <c r="A30" s="7"/>
      <c r="B30" s="7"/>
      <c r="C30" s="7"/>
      <c r="D30" s="7"/>
      <c r="E30" s="7"/>
      <c r="F30" s="7"/>
      <c r="G30" s="7"/>
      <c r="H30" s="7"/>
    </row>
    <row r="31" spans="1:20" ht="15" thickBot="1" x14ac:dyDescent="0.35">
      <c r="A31" s="7" t="s">
        <v>35</v>
      </c>
      <c r="B31" s="7"/>
      <c r="C31" s="7"/>
      <c r="D31" s="7"/>
      <c r="E31" s="7"/>
      <c r="F31" s="7"/>
      <c r="G31" s="7"/>
      <c r="H31" s="7"/>
    </row>
    <row r="32" spans="1:20" x14ac:dyDescent="0.3">
      <c r="A32" s="99"/>
      <c r="B32" s="100"/>
      <c r="C32" s="375" t="s">
        <v>28</v>
      </c>
      <c r="D32" s="375"/>
      <c r="E32" s="375"/>
      <c r="F32" s="375"/>
      <c r="G32" s="375"/>
      <c r="H32" s="376"/>
      <c r="I32" s="377" t="s">
        <v>29</v>
      </c>
      <c r="J32" s="375"/>
      <c r="K32" s="375"/>
      <c r="L32" s="375"/>
      <c r="M32" s="375"/>
      <c r="N32" s="378"/>
      <c r="O32" s="379" t="s">
        <v>30</v>
      </c>
      <c r="P32" s="375"/>
      <c r="Q32" s="375"/>
      <c r="R32" s="375"/>
      <c r="S32" s="375"/>
      <c r="T32" s="380"/>
    </row>
    <row r="33" spans="1:20" x14ac:dyDescent="0.3">
      <c r="A33" s="101"/>
      <c r="B33" s="102"/>
      <c r="C33" s="103" t="s">
        <v>39</v>
      </c>
      <c r="D33" s="103" t="s">
        <v>40</v>
      </c>
      <c r="E33" s="103" t="s">
        <v>41</v>
      </c>
      <c r="F33" s="103" t="s">
        <v>42</v>
      </c>
      <c r="G33" s="103" t="s">
        <v>43</v>
      </c>
      <c r="H33" s="104" t="s">
        <v>44</v>
      </c>
      <c r="I33" s="105" t="s">
        <v>39</v>
      </c>
      <c r="J33" s="103" t="s">
        <v>40</v>
      </c>
      <c r="K33" s="103" t="s">
        <v>41</v>
      </c>
      <c r="L33" s="103" t="s">
        <v>42</v>
      </c>
      <c r="M33" s="103" t="s">
        <v>43</v>
      </c>
      <c r="N33" s="106" t="s">
        <v>44</v>
      </c>
      <c r="O33" s="107" t="s">
        <v>39</v>
      </c>
      <c r="P33" s="103" t="s">
        <v>40</v>
      </c>
      <c r="Q33" s="103" t="s">
        <v>41</v>
      </c>
      <c r="R33" s="103" t="s">
        <v>42</v>
      </c>
      <c r="S33" s="103" t="s">
        <v>43</v>
      </c>
      <c r="T33" s="108" t="s">
        <v>44</v>
      </c>
    </row>
    <row r="34" spans="1:20" x14ac:dyDescent="0.3">
      <c r="A34" s="109" t="s">
        <v>32</v>
      </c>
      <c r="B34" s="110" t="s">
        <v>12</v>
      </c>
      <c r="C34" s="120">
        <f>C14/C4-1</f>
        <v>-1</v>
      </c>
      <c r="D34" s="120">
        <f t="shared" ref="D34:T34" si="23">D14/D4-1</f>
        <v>-1</v>
      </c>
      <c r="E34" s="120">
        <f t="shared" si="23"/>
        <v>-1</v>
      </c>
      <c r="F34" s="120">
        <f t="shared" si="23"/>
        <v>-1</v>
      </c>
      <c r="G34" s="120">
        <f t="shared" si="23"/>
        <v>-1</v>
      </c>
      <c r="H34" s="353">
        <f t="shared" si="23"/>
        <v>-1</v>
      </c>
      <c r="I34" s="121">
        <f t="shared" si="23"/>
        <v>-1</v>
      </c>
      <c r="J34" s="120">
        <f t="shared" si="23"/>
        <v>-1</v>
      </c>
      <c r="K34" s="120">
        <f t="shared" si="23"/>
        <v>-1</v>
      </c>
      <c r="L34" s="120">
        <f t="shared" si="23"/>
        <v>-1</v>
      </c>
      <c r="M34" s="120">
        <f t="shared" si="23"/>
        <v>-1</v>
      </c>
      <c r="N34" s="122">
        <f>N14/N4-1</f>
        <v>-1</v>
      </c>
      <c r="O34" s="123" t="e">
        <f t="shared" si="23"/>
        <v>#DIV/0!</v>
      </c>
      <c r="P34" s="120" t="e">
        <f t="shared" si="23"/>
        <v>#DIV/0!</v>
      </c>
      <c r="Q34" s="120" t="e">
        <f t="shared" si="23"/>
        <v>#DIV/0!</v>
      </c>
      <c r="R34" s="120" t="e">
        <f t="shared" si="23"/>
        <v>#DIV/0!</v>
      </c>
      <c r="S34" s="120" t="e">
        <f t="shared" si="23"/>
        <v>#DIV/0!</v>
      </c>
      <c r="T34" s="124" t="e">
        <f t="shared" si="23"/>
        <v>#DIV/0!</v>
      </c>
    </row>
    <row r="35" spans="1:20" x14ac:dyDescent="0.3">
      <c r="A35" s="109"/>
      <c r="B35" s="110" t="s">
        <v>13</v>
      </c>
      <c r="C35" s="120">
        <f t="shared" ref="C35:T35" si="24">C15/C5-1</f>
        <v>-1</v>
      </c>
      <c r="D35" s="120">
        <f t="shared" si="24"/>
        <v>-1</v>
      </c>
      <c r="E35" s="120">
        <f t="shared" si="24"/>
        <v>-1</v>
      </c>
      <c r="F35" s="120">
        <f t="shared" si="24"/>
        <v>-1</v>
      </c>
      <c r="G35" s="120">
        <f t="shared" si="24"/>
        <v>-1</v>
      </c>
      <c r="H35" s="353">
        <f t="shared" si="24"/>
        <v>-1</v>
      </c>
      <c r="I35" s="121">
        <f t="shared" si="24"/>
        <v>-1</v>
      </c>
      <c r="J35" s="120">
        <f t="shared" si="24"/>
        <v>-1</v>
      </c>
      <c r="K35" s="120">
        <f t="shared" si="24"/>
        <v>-1</v>
      </c>
      <c r="L35" s="120">
        <f t="shared" si="24"/>
        <v>-1</v>
      </c>
      <c r="M35" s="120">
        <f t="shared" si="24"/>
        <v>-1</v>
      </c>
      <c r="N35" s="122">
        <f t="shared" si="24"/>
        <v>-1</v>
      </c>
      <c r="O35" s="123" t="e">
        <f t="shared" si="24"/>
        <v>#DIV/0!</v>
      </c>
      <c r="P35" s="120" t="e">
        <f t="shared" si="24"/>
        <v>#DIV/0!</v>
      </c>
      <c r="Q35" s="120" t="e">
        <f t="shared" si="24"/>
        <v>#DIV/0!</v>
      </c>
      <c r="R35" s="120" t="e">
        <f t="shared" si="24"/>
        <v>#DIV/0!</v>
      </c>
      <c r="S35" s="120" t="e">
        <f t="shared" si="24"/>
        <v>#DIV/0!</v>
      </c>
      <c r="T35" s="124" t="e">
        <f t="shared" si="24"/>
        <v>#DIV/0!</v>
      </c>
    </row>
    <row r="36" spans="1:20" x14ac:dyDescent="0.3">
      <c r="A36" s="109"/>
      <c r="B36" s="110" t="s">
        <v>9</v>
      </c>
      <c r="C36" s="120">
        <f t="shared" ref="C36:T36" si="25">C16/C6-1</f>
        <v>-1</v>
      </c>
      <c r="D36" s="120">
        <f t="shared" si="25"/>
        <v>-1</v>
      </c>
      <c r="E36" s="120">
        <f t="shared" si="25"/>
        <v>-1</v>
      </c>
      <c r="F36" s="120">
        <f t="shared" si="25"/>
        <v>-1</v>
      </c>
      <c r="G36" s="120">
        <f t="shared" si="25"/>
        <v>-1</v>
      </c>
      <c r="H36" s="353">
        <f t="shared" si="25"/>
        <v>-1</v>
      </c>
      <c r="I36" s="121">
        <f t="shared" si="25"/>
        <v>-1</v>
      </c>
      <c r="J36" s="120">
        <f t="shared" si="25"/>
        <v>-1</v>
      </c>
      <c r="K36" s="120">
        <f t="shared" si="25"/>
        <v>-1</v>
      </c>
      <c r="L36" s="120">
        <f t="shared" si="25"/>
        <v>-1</v>
      </c>
      <c r="M36" s="120">
        <f t="shared" si="25"/>
        <v>-1</v>
      </c>
      <c r="N36" s="122">
        <f t="shared" si="25"/>
        <v>-1</v>
      </c>
      <c r="O36" s="123" t="e">
        <f t="shared" si="25"/>
        <v>#DIV/0!</v>
      </c>
      <c r="P36" s="120" t="e">
        <f t="shared" si="25"/>
        <v>#DIV/0!</v>
      </c>
      <c r="Q36" s="120" t="e">
        <f t="shared" si="25"/>
        <v>#DIV/0!</v>
      </c>
      <c r="R36" s="120" t="e">
        <f t="shared" si="25"/>
        <v>#DIV/0!</v>
      </c>
      <c r="S36" s="120" t="e">
        <f t="shared" si="25"/>
        <v>#DIV/0!</v>
      </c>
      <c r="T36" s="124" t="e">
        <f t="shared" si="25"/>
        <v>#DIV/0!</v>
      </c>
    </row>
    <row r="37" spans="1:20" x14ac:dyDescent="0.3">
      <c r="A37" s="109"/>
      <c r="B37" s="110" t="s">
        <v>47</v>
      </c>
      <c r="C37" s="120">
        <f t="shared" ref="C37:T37" si="26">C17/C7-1</f>
        <v>-1</v>
      </c>
      <c r="D37" s="120">
        <f t="shared" si="26"/>
        <v>-1</v>
      </c>
      <c r="E37" s="120">
        <f t="shared" si="26"/>
        <v>-1</v>
      </c>
      <c r="F37" s="120">
        <f t="shared" si="26"/>
        <v>-1</v>
      </c>
      <c r="G37" s="120">
        <f t="shared" si="26"/>
        <v>-1</v>
      </c>
      <c r="H37" s="353">
        <f t="shared" si="26"/>
        <v>-1</v>
      </c>
      <c r="I37" s="121">
        <f t="shared" si="26"/>
        <v>-1</v>
      </c>
      <c r="J37" s="120">
        <f t="shared" si="26"/>
        <v>-1</v>
      </c>
      <c r="K37" s="120">
        <f t="shared" si="26"/>
        <v>-1</v>
      </c>
      <c r="L37" s="120">
        <f t="shared" si="26"/>
        <v>-1</v>
      </c>
      <c r="M37" s="120">
        <f t="shared" si="26"/>
        <v>-1</v>
      </c>
      <c r="N37" s="122">
        <f t="shared" si="26"/>
        <v>-1</v>
      </c>
      <c r="O37" s="123" t="e">
        <f t="shared" si="26"/>
        <v>#DIV/0!</v>
      </c>
      <c r="P37" s="120" t="e">
        <f t="shared" si="26"/>
        <v>#DIV/0!</v>
      </c>
      <c r="Q37" s="120" t="e">
        <f t="shared" si="26"/>
        <v>#DIV/0!</v>
      </c>
      <c r="R37" s="120" t="e">
        <f t="shared" si="26"/>
        <v>#DIV/0!</v>
      </c>
      <c r="S37" s="120" t="e">
        <f t="shared" si="26"/>
        <v>#DIV/0!</v>
      </c>
      <c r="T37" s="124" t="e">
        <f t="shared" si="26"/>
        <v>#DIV/0!</v>
      </c>
    </row>
    <row r="38" spans="1:20" x14ac:dyDescent="0.3">
      <c r="A38" s="109"/>
      <c r="B38" s="110" t="s">
        <v>0</v>
      </c>
      <c r="C38" s="120">
        <f t="shared" ref="C38:T38" si="27">C18/C8-1</f>
        <v>-1</v>
      </c>
      <c r="D38" s="120">
        <f t="shared" si="27"/>
        <v>-1</v>
      </c>
      <c r="E38" s="120">
        <f t="shared" si="27"/>
        <v>-1</v>
      </c>
      <c r="F38" s="120">
        <f t="shared" si="27"/>
        <v>-1</v>
      </c>
      <c r="G38" s="120">
        <f t="shared" si="27"/>
        <v>-1</v>
      </c>
      <c r="H38" s="353">
        <f t="shared" si="27"/>
        <v>-1</v>
      </c>
      <c r="I38" s="125">
        <f t="shared" si="27"/>
        <v>-1</v>
      </c>
      <c r="J38" s="126">
        <f t="shared" si="27"/>
        <v>-1</v>
      </c>
      <c r="K38" s="126">
        <f t="shared" si="27"/>
        <v>-1</v>
      </c>
      <c r="L38" s="126">
        <f t="shared" si="27"/>
        <v>-1</v>
      </c>
      <c r="M38" s="126">
        <f t="shared" si="27"/>
        <v>-1</v>
      </c>
      <c r="N38" s="122">
        <f t="shared" si="27"/>
        <v>-1</v>
      </c>
      <c r="O38" s="123" t="e">
        <f t="shared" si="27"/>
        <v>#DIV/0!</v>
      </c>
      <c r="P38" s="120" t="e">
        <f t="shared" si="27"/>
        <v>#DIV/0!</v>
      </c>
      <c r="Q38" s="120" t="e">
        <f t="shared" si="27"/>
        <v>#DIV/0!</v>
      </c>
      <c r="R38" s="120" t="e">
        <f t="shared" si="27"/>
        <v>#DIV/0!</v>
      </c>
      <c r="S38" s="120" t="e">
        <f t="shared" si="27"/>
        <v>#DIV/0!</v>
      </c>
      <c r="T38" s="124" t="e">
        <f t="shared" si="27"/>
        <v>#DIV/0!</v>
      </c>
    </row>
    <row r="39" spans="1:20" ht="15" thickBot="1" x14ac:dyDescent="0.35">
      <c r="A39" s="228"/>
      <c r="B39" s="229" t="s">
        <v>31</v>
      </c>
      <c r="C39" s="230">
        <f t="shared" ref="C39:T39" si="28">C19/C9-1</f>
        <v>-1</v>
      </c>
      <c r="D39" s="230">
        <f t="shared" si="28"/>
        <v>-1</v>
      </c>
      <c r="E39" s="230">
        <f t="shared" si="28"/>
        <v>-1</v>
      </c>
      <c r="F39" s="230">
        <f t="shared" si="28"/>
        <v>-1</v>
      </c>
      <c r="G39" s="230">
        <f t="shared" si="28"/>
        <v>-1</v>
      </c>
      <c r="H39" s="354">
        <f t="shared" si="28"/>
        <v>-1</v>
      </c>
      <c r="I39" s="231">
        <f t="shared" si="28"/>
        <v>-1</v>
      </c>
      <c r="J39" s="230">
        <f t="shared" si="28"/>
        <v>-1</v>
      </c>
      <c r="K39" s="230">
        <f t="shared" si="28"/>
        <v>-1</v>
      </c>
      <c r="L39" s="230">
        <f t="shared" si="28"/>
        <v>-1</v>
      </c>
      <c r="M39" s="230">
        <f t="shared" si="28"/>
        <v>-1</v>
      </c>
      <c r="N39" s="232">
        <f>N19/N9-1</f>
        <v>-1</v>
      </c>
      <c r="O39" s="233" t="e">
        <f t="shared" si="28"/>
        <v>#DIV/0!</v>
      </c>
      <c r="P39" s="230" t="e">
        <f t="shared" si="28"/>
        <v>#DIV/0!</v>
      </c>
      <c r="Q39" s="230" t="e">
        <f t="shared" si="28"/>
        <v>#DIV/0!</v>
      </c>
      <c r="R39" s="230" t="e">
        <f t="shared" si="28"/>
        <v>#DIV/0!</v>
      </c>
      <c r="S39" s="230" t="e">
        <f t="shared" si="28"/>
        <v>#DIV/0!</v>
      </c>
      <c r="T39" s="234" t="e">
        <f t="shared" si="28"/>
        <v>#DIV/0!</v>
      </c>
    </row>
    <row r="42" spans="1:20" x14ac:dyDescent="0.3">
      <c r="A42" s="5" t="s">
        <v>88</v>
      </c>
    </row>
    <row r="43" spans="1:20" x14ac:dyDescent="0.3">
      <c r="B43" s="5" t="s">
        <v>89</v>
      </c>
    </row>
    <row r="44" spans="1:20" x14ac:dyDescent="0.3">
      <c r="B44" s="5" t="s">
        <v>90</v>
      </c>
    </row>
    <row r="45" spans="1:20" x14ac:dyDescent="0.3">
      <c r="B45" s="5" t="s">
        <v>91</v>
      </c>
    </row>
  </sheetData>
  <mergeCells count="12">
    <mergeCell ref="C22:H22"/>
    <mergeCell ref="I22:N22"/>
    <mergeCell ref="O22:T22"/>
    <mergeCell ref="C32:H32"/>
    <mergeCell ref="I32:N32"/>
    <mergeCell ref="O32:T32"/>
    <mergeCell ref="C2:H2"/>
    <mergeCell ref="I2:N2"/>
    <mergeCell ref="O2:T2"/>
    <mergeCell ref="C12:H12"/>
    <mergeCell ref="I12:N12"/>
    <mergeCell ref="O12:T12"/>
  </mergeCells>
  <conditionalFormatting sqref="C24:N29">
    <cfRule type="cellIs" dxfId="10" priority="6" operator="greaterThan">
      <formula>0</formula>
    </cfRule>
    <cfRule type="cellIs" dxfId="9" priority="7" operator="lessThan">
      <formula>0</formula>
    </cfRule>
    <cfRule type="cellIs" dxfId="8" priority="8" operator="lessThan">
      <formula>0</formula>
    </cfRule>
  </conditionalFormatting>
  <conditionalFormatting sqref="C34:N39">
    <cfRule type="cellIs" dxfId="7" priority="1" operator="lessThan">
      <formula>-0.2</formula>
    </cfRule>
    <cfRule type="cellIs" dxfId="6" priority="2" operator="greaterThan">
      <formula>0.2</formula>
    </cfRule>
    <cfRule type="cellIs" dxfId="5" priority="3" operator="greaterThan">
      <formula>0</formula>
    </cfRule>
    <cfRule type="cellIs" dxfId="4" priority="4" operator="lessThan">
      <formula>0</formula>
    </cfRule>
    <cfRule type="cellIs" dxfId="3" priority="5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8" tint="0.39997558519241921"/>
  </sheetPr>
  <dimension ref="A1"/>
  <sheetViews>
    <sheetView showGridLines="0" topLeftCell="A34" workbookViewId="0">
      <selection activeCell="R60" sqref="R6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W139"/>
  <sheetViews>
    <sheetView workbookViewId="0">
      <pane ySplit="1" topLeftCell="A2" activePane="bottomLeft" state="frozen"/>
      <selection activeCell="K37" sqref="K37"/>
      <selection pane="bottomLeft" activeCell="H17" sqref="H17"/>
    </sheetView>
  </sheetViews>
  <sheetFormatPr defaultColWidth="9.109375" defaultRowHeight="14.4" x14ac:dyDescent="0.3"/>
  <cols>
    <col min="1" max="2" width="9.109375" style="47"/>
    <col min="3" max="3" width="15" style="47" bestFit="1" customWidth="1"/>
    <col min="4" max="4" width="9.109375" style="47"/>
    <col min="5" max="5" width="7.88671875" style="48" customWidth="1"/>
    <col min="6" max="10" width="7.6640625" style="48" customWidth="1"/>
    <col min="11" max="15" width="7.6640625" style="59" customWidth="1"/>
    <col min="16" max="16" width="7.6640625" style="289" customWidth="1"/>
    <col min="17" max="17" width="9.109375" style="47"/>
    <col min="18" max="18" width="10.5546875" style="290" customWidth="1"/>
    <col min="19" max="16384" width="9.109375" style="47"/>
  </cols>
  <sheetData>
    <row r="1" spans="1:23" x14ac:dyDescent="0.3">
      <c r="A1" s="47" t="s">
        <v>1</v>
      </c>
      <c r="B1" s="47" t="s">
        <v>2</v>
      </c>
      <c r="C1" s="47" t="s">
        <v>3</v>
      </c>
      <c r="D1" s="47" t="s">
        <v>38</v>
      </c>
      <c r="E1" s="291" t="s">
        <v>39</v>
      </c>
      <c r="F1" s="48" t="s">
        <v>40</v>
      </c>
      <c r="G1" s="48" t="s">
        <v>41</v>
      </c>
      <c r="H1" s="48" t="s">
        <v>42</v>
      </c>
      <c r="I1" s="48" t="s">
        <v>43</v>
      </c>
      <c r="J1" s="48" t="s">
        <v>44</v>
      </c>
      <c r="K1" s="59" t="s">
        <v>39</v>
      </c>
      <c r="L1" s="59" t="s">
        <v>40</v>
      </c>
      <c r="M1" s="59" t="s">
        <v>41</v>
      </c>
      <c r="N1" s="59" t="s">
        <v>42</v>
      </c>
      <c r="O1" s="59" t="s">
        <v>43</v>
      </c>
      <c r="P1" s="59" t="s">
        <v>44</v>
      </c>
      <c r="Q1" s="261" t="s">
        <v>79</v>
      </c>
      <c r="R1" s="287" t="s">
        <v>85</v>
      </c>
      <c r="S1" s="261">
        <f>SUM(J2:J139)</f>
        <v>355143.35444999993</v>
      </c>
      <c r="T1" s="261">
        <f>SUM(P2:P139)</f>
        <v>0</v>
      </c>
      <c r="U1" s="288">
        <f>T1/S1-1</f>
        <v>-1</v>
      </c>
      <c r="W1" s="288"/>
    </row>
    <row r="2" spans="1:23" x14ac:dyDescent="0.3">
      <c r="A2" s="47">
        <v>398</v>
      </c>
      <c r="B2" s="47">
        <v>4</v>
      </c>
      <c r="C2" s="47" t="s">
        <v>12</v>
      </c>
      <c r="D2" s="47">
        <v>1</v>
      </c>
      <c r="E2" s="48">
        <f>VLOOKUP($A2,observed!$C$2:$K$139,5,FALSE)</f>
        <v>133.1666666666666</v>
      </c>
      <c r="F2" s="48">
        <f>VLOOKUP($A2,observed!$C$2:$K$139,6,FALSE)</f>
        <v>1734.8333333333335</v>
      </c>
      <c r="G2" s="48">
        <f>VLOOKUP($A2,observed!$C$2:$K$139,7,FALSE)</f>
        <v>803.6874999999992</v>
      </c>
      <c r="H2" s="48">
        <f>VLOOKUP($A2,observed!$C$2:$K$139,8,FALSE)</f>
        <v>2212.6961754643235</v>
      </c>
      <c r="I2" s="48">
        <f>VLOOKUP($A2,observed!$C$2:$K$139,9,FALSE)</f>
        <v>311.61632453567751</v>
      </c>
      <c r="J2" s="48">
        <f>SUM(E2:I2)</f>
        <v>5196</v>
      </c>
      <c r="K2" s="59">
        <f>IFERROR(VLOOKUP($A2&amp;"-"&amp;TEXT($B2+19,0),md[[routeC]:[boarding_EV]],4,FALSE),"")</f>
        <v>0</v>
      </c>
      <c r="L2" s="59">
        <f>IFERROR(VLOOKUP($A2&amp;"-"&amp;TEXT($B2+19,0),md[[routeC]:[boarding_EV]],5,FALSE),"")</f>
        <v>0</v>
      </c>
      <c r="M2" s="59">
        <f>IFERROR(VLOOKUP($A2&amp;"-"&amp;TEXT($B2+19,0),md[[routeC]:[boarding_EV]],6,FALSE),"")</f>
        <v>0</v>
      </c>
      <c r="N2" s="59">
        <f>IFERROR(VLOOKUP($A2&amp;"-"&amp;TEXT($B2+19,0),md[[routeC]:[boarding_EV]],7,FALSE),"")</f>
        <v>0</v>
      </c>
      <c r="O2" s="59">
        <f>IFERROR(VLOOKUP($A2&amp;"-"&amp;TEXT($B2+19,0),md[[routeC]:[boarding_EV]],8,FALSE),"")</f>
        <v>0</v>
      </c>
      <c r="P2" s="59">
        <f>SUM(K2:O2)</f>
        <v>0</v>
      </c>
      <c r="Q2" s="288">
        <f>P2/J2-1</f>
        <v>-1</v>
      </c>
      <c r="R2" s="287">
        <f>POWER((P2-J2),2)</f>
        <v>26998416</v>
      </c>
    </row>
    <row r="3" spans="1:23" x14ac:dyDescent="0.3">
      <c r="A3" s="47">
        <v>399</v>
      </c>
      <c r="B3" s="47">
        <v>5</v>
      </c>
      <c r="C3" s="47" t="s">
        <v>13</v>
      </c>
      <c r="D3" s="47">
        <v>2</v>
      </c>
      <c r="E3" s="48">
        <f>VLOOKUP($A3,observed!$C$2:$K$139,5,FALSE)</f>
        <v>322.4905660377359</v>
      </c>
      <c r="F3" s="48">
        <f>VLOOKUP($A3,observed!$C$2:$K$139,6,FALSE)</f>
        <v>2161.4528301886789</v>
      </c>
      <c r="G3" s="48">
        <f>VLOOKUP($A3,observed!$C$2:$K$139,7,FALSE)</f>
        <v>4419.0377358490532</v>
      </c>
      <c r="H3" s="48">
        <f>VLOOKUP($A3,observed!$C$2:$K$139,8,FALSE)</f>
        <v>2723.8962264150991</v>
      </c>
      <c r="I3" s="48">
        <f>VLOOKUP($A3,observed!$C$2:$K$139,9,FALSE)</f>
        <v>654.62264150943224</v>
      </c>
      <c r="J3" s="48">
        <f t="shared" ref="J3:J68" si="0">SUM(E3:I3)</f>
        <v>10281.499999999998</v>
      </c>
      <c r="K3" s="59">
        <f>IFERROR(VLOOKUP($A3&amp;"-"&amp;TEXT($B3+19,0),md[[routeC]:[boarding_EV]],4,FALSE),"")</f>
        <v>0</v>
      </c>
      <c r="L3" s="59">
        <f>IFERROR(VLOOKUP($A3&amp;"-"&amp;TEXT($B3+19,0),md[[routeC]:[boarding_EV]],5,FALSE),"")</f>
        <v>0</v>
      </c>
      <c r="M3" s="59">
        <f>IFERROR(VLOOKUP($A3&amp;"-"&amp;TEXT($B3+19,0),md[[routeC]:[boarding_EV]],6,FALSE),"")</f>
        <v>0</v>
      </c>
      <c r="N3" s="59">
        <f>IFERROR(VLOOKUP($A3&amp;"-"&amp;TEXT($B3+19,0),md[[routeC]:[boarding_EV]],7,FALSE),"")</f>
        <v>0</v>
      </c>
      <c r="O3" s="59">
        <f>IFERROR(VLOOKUP($A3&amp;"-"&amp;TEXT($B3+19,0),md[[routeC]:[boarding_EV]],8,FALSE),"")</f>
        <v>0</v>
      </c>
      <c r="P3" s="59">
        <f t="shared" ref="P3:P68" si="1">SUM(K3:O3)</f>
        <v>0</v>
      </c>
      <c r="Q3" s="288">
        <f t="shared" ref="Q3:Q68" si="2">P3/J3-1</f>
        <v>-1</v>
      </c>
      <c r="R3" s="287">
        <f t="shared" ref="R3:R68" si="3">POWER((P3-J3),2)</f>
        <v>105709242.24999996</v>
      </c>
      <c r="S3" s="47" t="str">
        <f>$A2&amp;"-"&amp;TEXT(B2+19,0)</f>
        <v>398-23</v>
      </c>
    </row>
    <row r="4" spans="1:23" x14ac:dyDescent="0.3">
      <c r="A4" s="47">
        <v>510</v>
      </c>
      <c r="B4" s="47">
        <v>5</v>
      </c>
      <c r="C4" s="47" t="s">
        <v>13</v>
      </c>
      <c r="D4" s="47">
        <v>2</v>
      </c>
      <c r="E4" s="48">
        <f>VLOOKUP($A4,observed!$C$2:$K$139,5,FALSE)</f>
        <v>3016.4121648745522</v>
      </c>
      <c r="F4" s="48">
        <f>VLOOKUP($A4,observed!$C$2:$K$139,6,FALSE)</f>
        <v>11172.674724014336</v>
      </c>
      <c r="G4" s="48">
        <f>VLOOKUP($A4,observed!$C$2:$K$139,7,FALSE)</f>
        <v>20995.503999999968</v>
      </c>
      <c r="H4" s="48">
        <f>VLOOKUP($A4,observed!$C$2:$K$139,8,FALSE)</f>
        <v>14643.362222222277</v>
      </c>
      <c r="I4" s="48">
        <f>VLOOKUP($A4,observed!$C$2:$K$139,9,FALSE)</f>
        <v>6402.5268888888713</v>
      </c>
      <c r="J4" s="48">
        <f t="shared" si="0"/>
        <v>56230.479999999996</v>
      </c>
      <c r="K4" s="59">
        <f>IFERROR(VLOOKUP($A4&amp;"-"&amp;TEXT($B4+19,0),md[[routeC]:[boarding_EV]],4,FALSE),"")</f>
        <v>0</v>
      </c>
      <c r="L4" s="59">
        <f>IFERROR(VLOOKUP($A4&amp;"-"&amp;TEXT($B4+19,0),md[[routeC]:[boarding_EV]],5,FALSE),"")</f>
        <v>0</v>
      </c>
      <c r="M4" s="59">
        <f>IFERROR(VLOOKUP($A4&amp;"-"&amp;TEXT($B4+19,0),md[[routeC]:[boarding_EV]],6,FALSE),"")</f>
        <v>0</v>
      </c>
      <c r="N4" s="59">
        <f>IFERROR(VLOOKUP($A4&amp;"-"&amp;TEXT($B4+19,0),md[[routeC]:[boarding_EV]],7,FALSE),"")</f>
        <v>0</v>
      </c>
      <c r="O4" s="59">
        <f>IFERROR(VLOOKUP($A4&amp;"-"&amp;TEXT($B4+19,0),md[[routeC]:[boarding_EV]],8,FALSE),"")</f>
        <v>0</v>
      </c>
      <c r="P4" s="59">
        <f t="shared" si="1"/>
        <v>0</v>
      </c>
      <c r="Q4" s="288">
        <f t="shared" si="2"/>
        <v>-1</v>
      </c>
      <c r="R4" s="287">
        <f t="shared" si="3"/>
        <v>3161866881.0303993</v>
      </c>
    </row>
    <row r="5" spans="1:23" x14ac:dyDescent="0.3">
      <c r="A5" s="47">
        <v>520</v>
      </c>
      <c r="B5" s="47">
        <v>5</v>
      </c>
      <c r="C5" s="47" t="s">
        <v>13</v>
      </c>
      <c r="D5" s="47">
        <v>2</v>
      </c>
      <c r="E5" s="48">
        <f>VLOOKUP($A5,observed!$C$2:$K$139,5,FALSE)</f>
        <v>938.71547169811311</v>
      </c>
      <c r="F5" s="48">
        <f>VLOOKUP($A5,observed!$C$2:$K$139,6,FALSE)</f>
        <v>5509.3343396226419</v>
      </c>
      <c r="G5" s="48">
        <f>VLOOKUP($A5,observed!$C$2:$K$139,7,FALSE)</f>
        <v>12183.698490566025</v>
      </c>
      <c r="H5" s="48">
        <f>VLOOKUP($A5,observed!$C$2:$K$139,8,FALSE)</f>
        <v>7424.5313207547415</v>
      </c>
      <c r="I5" s="48">
        <f>VLOOKUP($A5,observed!$C$2:$K$139,9,FALSE)</f>
        <v>3505.7703773584822</v>
      </c>
      <c r="J5" s="48">
        <f t="shared" si="0"/>
        <v>29562.050000000003</v>
      </c>
      <c r="K5" s="59">
        <f>IFERROR(VLOOKUP($A5&amp;"-"&amp;TEXT($B5+19,0),md[[routeC]:[boarding_EV]],4,FALSE),"")</f>
        <v>0</v>
      </c>
      <c r="L5" s="59">
        <f>IFERROR(VLOOKUP($A5&amp;"-"&amp;TEXT($B5+19,0),md[[routeC]:[boarding_EV]],5,FALSE),"")</f>
        <v>0</v>
      </c>
      <c r="M5" s="59">
        <f>IFERROR(VLOOKUP($A5&amp;"-"&amp;TEXT($B5+19,0),md[[routeC]:[boarding_EV]],6,FALSE),"")</f>
        <v>0</v>
      </c>
      <c r="N5" s="59">
        <f>IFERROR(VLOOKUP($A5&amp;"-"&amp;TEXT($B5+19,0),md[[routeC]:[boarding_EV]],7,FALSE),"")</f>
        <v>0</v>
      </c>
      <c r="O5" s="59">
        <f>IFERROR(VLOOKUP($A5&amp;"-"&amp;TEXT($B5+19,0),md[[routeC]:[boarding_EV]],8,FALSE),"")</f>
        <v>0</v>
      </c>
      <c r="P5" s="59">
        <f t="shared" si="1"/>
        <v>0</v>
      </c>
      <c r="Q5" s="288">
        <f t="shared" si="2"/>
        <v>-1</v>
      </c>
      <c r="R5" s="287">
        <f t="shared" si="3"/>
        <v>873914800.20250022</v>
      </c>
    </row>
    <row r="6" spans="1:23" x14ac:dyDescent="0.3">
      <c r="A6" s="47">
        <v>530</v>
      </c>
      <c r="B6" s="47">
        <v>5</v>
      </c>
      <c r="C6" s="47" t="s">
        <v>13</v>
      </c>
      <c r="D6" s="47">
        <v>2</v>
      </c>
      <c r="E6" s="48">
        <f>VLOOKUP($A6,observed!$C$2:$K$139,5,FALSE)</f>
        <v>790.25388059701504</v>
      </c>
      <c r="F6" s="48">
        <f>VLOOKUP($A6,observed!$C$2:$K$139,6,FALSE)</f>
        <v>6005.3594029850728</v>
      </c>
      <c r="G6" s="48">
        <f>VLOOKUP($A6,observed!$C$2:$K$139,7,FALSE)</f>
        <v>14187.149402985058</v>
      </c>
      <c r="H6" s="48">
        <f>VLOOKUP($A6,observed!$C$2:$K$139,8,FALSE)</f>
        <v>9441.663582089579</v>
      </c>
      <c r="I6" s="48">
        <f>VLOOKUP($A6,observed!$C$2:$K$139,9,FALSE)</f>
        <v>4412.8937313432725</v>
      </c>
      <c r="J6" s="48">
        <f t="shared" si="0"/>
        <v>34837.32</v>
      </c>
      <c r="K6" s="59">
        <f>IFERROR(VLOOKUP($A6&amp;"-"&amp;TEXT($B6+19,0),md[[routeC]:[boarding_EV]],4,FALSE),"")</f>
        <v>0</v>
      </c>
      <c r="L6" s="59">
        <f>IFERROR(VLOOKUP($A6&amp;"-"&amp;TEXT($B6+19,0),md[[routeC]:[boarding_EV]],5,FALSE),"")</f>
        <v>0</v>
      </c>
      <c r="M6" s="59">
        <f>IFERROR(VLOOKUP($A6&amp;"-"&amp;TEXT($B6+19,0),md[[routeC]:[boarding_EV]],6,FALSE),"")</f>
        <v>0</v>
      </c>
      <c r="N6" s="59">
        <f>IFERROR(VLOOKUP($A6&amp;"-"&amp;TEXT($B6+19,0),md[[routeC]:[boarding_EV]],7,FALSE),"")</f>
        <v>0</v>
      </c>
      <c r="O6" s="59">
        <f>IFERROR(VLOOKUP($A6&amp;"-"&amp;TEXT($B6+19,0),md[[routeC]:[boarding_EV]],8,FALSE),"")</f>
        <v>0</v>
      </c>
      <c r="P6" s="59">
        <f t="shared" si="1"/>
        <v>0</v>
      </c>
      <c r="Q6" s="288">
        <f t="shared" si="2"/>
        <v>-1</v>
      </c>
      <c r="R6" s="287">
        <f t="shared" si="3"/>
        <v>1213638864.7823999</v>
      </c>
    </row>
    <row r="7" spans="1:23" x14ac:dyDescent="0.3">
      <c r="A7" s="47">
        <v>10</v>
      </c>
      <c r="B7" s="47">
        <v>9</v>
      </c>
      <c r="C7" s="47" t="s">
        <v>9</v>
      </c>
      <c r="D7" s="47">
        <v>3</v>
      </c>
      <c r="E7" s="48">
        <f>VLOOKUP($A7,observed!$C$2:$K$139,5,FALSE)</f>
        <v>81.067751879699216</v>
      </c>
      <c r="F7" s="48">
        <f>VLOOKUP($A7,observed!$C$2:$K$139,6,FALSE)</f>
        <v>913.83335266575523</v>
      </c>
      <c r="G7" s="48">
        <f>VLOOKUP($A7,observed!$C$2:$K$139,7,FALSE)</f>
        <v>2333.9452799086625</v>
      </c>
      <c r="H7" s="48">
        <f>VLOOKUP($A7,observed!$C$2:$K$139,8,FALSE)</f>
        <v>1229.4405180281537</v>
      </c>
      <c r="I7" s="48">
        <f>VLOOKUP($A7,observed!$C$2:$K$139,9,FALSE)</f>
        <v>566.67309751772859</v>
      </c>
      <c r="J7" s="48">
        <f t="shared" si="0"/>
        <v>5124.9599999999991</v>
      </c>
      <c r="K7" s="59">
        <f>IFERROR(VLOOKUP($A7&amp;"-"&amp;TEXT($B7+19,0),md[[routeC]:[boarding_EV]],4,FALSE),"")</f>
        <v>0</v>
      </c>
      <c r="L7" s="59">
        <f>IFERROR(VLOOKUP($A7&amp;"-"&amp;TEXT($B7+19,0),md[[routeC]:[boarding_EV]],5,FALSE),"")</f>
        <v>0</v>
      </c>
      <c r="M7" s="59">
        <f>IFERROR(VLOOKUP($A7&amp;"-"&amp;TEXT($B7+19,0),md[[routeC]:[boarding_EV]],6,FALSE),"")</f>
        <v>0</v>
      </c>
      <c r="N7" s="59">
        <f>IFERROR(VLOOKUP($A7&amp;"-"&amp;TEXT($B7+19,0),md[[routeC]:[boarding_EV]],7,FALSE),"")</f>
        <v>0</v>
      </c>
      <c r="O7" s="59">
        <f>IFERROR(VLOOKUP($A7&amp;"-"&amp;TEXT($B7+19,0),md[[routeC]:[boarding_EV]],8,FALSE),"")</f>
        <v>0</v>
      </c>
      <c r="P7" s="59">
        <f t="shared" si="1"/>
        <v>0</v>
      </c>
      <c r="Q7" s="288">
        <f t="shared" si="2"/>
        <v>-1</v>
      </c>
      <c r="R7" s="287">
        <f t="shared" si="3"/>
        <v>26265215.00159999</v>
      </c>
    </row>
    <row r="8" spans="1:23" x14ac:dyDescent="0.3">
      <c r="A8" s="47">
        <v>20</v>
      </c>
      <c r="B8" s="47">
        <v>9</v>
      </c>
      <c r="C8" s="47" t="s">
        <v>9</v>
      </c>
      <c r="D8" s="47">
        <v>3</v>
      </c>
      <c r="E8" s="48">
        <f>VLOOKUP($A8,observed!$C$2:$K$139,5,FALSE)</f>
        <v>74.738496990244172</v>
      </c>
      <c r="F8" s="48">
        <f>VLOOKUP($A8,observed!$C$2:$K$139,6,FALSE)</f>
        <v>714.07283493092586</v>
      </c>
      <c r="G8" s="48">
        <f>VLOOKUP($A8,observed!$C$2:$K$139,7,FALSE)</f>
        <v>1085.0324881148758</v>
      </c>
      <c r="H8" s="48">
        <f>VLOOKUP($A8,observed!$C$2:$K$139,8,FALSE)</f>
        <v>679.71644196868385</v>
      </c>
      <c r="I8" s="48">
        <f>VLOOKUP($A8,observed!$C$2:$K$139,9,FALSE)</f>
        <v>188.5197379952705</v>
      </c>
      <c r="J8" s="48">
        <f t="shared" si="0"/>
        <v>2742.0800000000004</v>
      </c>
      <c r="K8" s="59">
        <f>IFERROR(VLOOKUP($A8&amp;"-"&amp;TEXT($B8+19,0),md[[routeC]:[boarding_EV]],4,FALSE),"")</f>
        <v>0</v>
      </c>
      <c r="L8" s="59">
        <f>IFERROR(VLOOKUP($A8&amp;"-"&amp;TEXT($B8+19,0),md[[routeC]:[boarding_EV]],5,FALSE),"")</f>
        <v>0</v>
      </c>
      <c r="M8" s="59">
        <f>IFERROR(VLOOKUP($A8&amp;"-"&amp;TEXT($B8+19,0),md[[routeC]:[boarding_EV]],6,FALSE),"")</f>
        <v>0</v>
      </c>
      <c r="N8" s="59">
        <f>IFERROR(VLOOKUP($A8&amp;"-"&amp;TEXT($B8+19,0),md[[routeC]:[boarding_EV]],7,FALSE),"")</f>
        <v>0</v>
      </c>
      <c r="O8" s="59">
        <f>IFERROR(VLOOKUP($A8&amp;"-"&amp;TEXT($B8+19,0),md[[routeC]:[boarding_EV]],8,FALSE),"")</f>
        <v>0</v>
      </c>
      <c r="P8" s="59">
        <f t="shared" si="1"/>
        <v>0</v>
      </c>
      <c r="Q8" s="288">
        <f t="shared" si="2"/>
        <v>-1</v>
      </c>
      <c r="R8" s="287">
        <f t="shared" si="3"/>
        <v>7519002.7264000019</v>
      </c>
    </row>
    <row r="9" spans="1:23" x14ac:dyDescent="0.3">
      <c r="A9" s="47">
        <v>50</v>
      </c>
      <c r="B9" s="47">
        <v>9</v>
      </c>
      <c r="C9" s="47" t="s">
        <v>9</v>
      </c>
      <c r="D9" s="47">
        <v>3</v>
      </c>
      <c r="E9" s="48">
        <f>VLOOKUP($A9,observed!$C$2:$K$139,5,FALSE)</f>
        <v>45.437770530479128</v>
      </c>
      <c r="F9" s="48">
        <f>VLOOKUP($A9,observed!$C$2:$K$139,6,FALSE)</f>
        <v>318.17407818323551</v>
      </c>
      <c r="G9" s="48">
        <f>VLOOKUP($A9,observed!$C$2:$K$139,7,FALSE)</f>
        <v>322.76417135317428</v>
      </c>
      <c r="H9" s="48">
        <f>VLOOKUP($A9,observed!$C$2:$K$139,8,FALSE)</f>
        <v>305.26211946799503</v>
      </c>
      <c r="I9" s="48">
        <f>VLOOKUP($A9,observed!$C$2:$K$139,9,FALSE)</f>
        <v>7.421860465116092</v>
      </c>
      <c r="J9" s="48">
        <f t="shared" si="0"/>
        <v>999.06000000000006</v>
      </c>
      <c r="K9" s="59">
        <f>IFERROR(VLOOKUP($A9&amp;"-"&amp;TEXT($B9+19,0),md[[routeC]:[boarding_EV]],4,FALSE),"")</f>
        <v>0</v>
      </c>
      <c r="L9" s="59">
        <f>IFERROR(VLOOKUP($A9&amp;"-"&amp;TEXT($B9+19,0),md[[routeC]:[boarding_EV]],5,FALSE),"")</f>
        <v>0</v>
      </c>
      <c r="M9" s="59">
        <f>IFERROR(VLOOKUP($A9&amp;"-"&amp;TEXT($B9+19,0),md[[routeC]:[boarding_EV]],6,FALSE),"")</f>
        <v>0</v>
      </c>
      <c r="N9" s="59">
        <f>IFERROR(VLOOKUP($A9&amp;"-"&amp;TEXT($B9+19,0),md[[routeC]:[boarding_EV]],7,FALSE),"")</f>
        <v>0</v>
      </c>
      <c r="O9" s="59">
        <f>IFERROR(VLOOKUP($A9&amp;"-"&amp;TEXT($B9+19,0),md[[routeC]:[boarding_EV]],8,FALSE),"")</f>
        <v>0</v>
      </c>
      <c r="P9" s="59">
        <f t="shared" si="1"/>
        <v>0</v>
      </c>
      <c r="Q9" s="288">
        <f t="shared" si="2"/>
        <v>-1</v>
      </c>
      <c r="R9" s="287">
        <f t="shared" si="3"/>
        <v>998120.88360000018</v>
      </c>
    </row>
    <row r="10" spans="1:23" x14ac:dyDescent="0.3">
      <c r="A10" s="47">
        <v>60</v>
      </c>
      <c r="B10" s="47">
        <v>9</v>
      </c>
      <c r="C10" s="47" t="s">
        <v>9</v>
      </c>
      <c r="D10" s="47">
        <v>3</v>
      </c>
      <c r="E10" s="48">
        <f>VLOOKUP($A10,observed!$C$2:$K$139,5,FALSE)</f>
        <v>48.311000000000014</v>
      </c>
      <c r="F10" s="48">
        <f>VLOOKUP($A10,observed!$C$2:$K$139,6,FALSE)</f>
        <v>148.86899999999997</v>
      </c>
      <c r="G10" s="48">
        <f>VLOOKUP($A10,observed!$C$2:$K$139,7,FALSE)</f>
        <v>2.4953846153843084</v>
      </c>
      <c r="H10" s="48">
        <f>VLOOKUP($A10,observed!$C$2:$K$139,8,FALSE)</f>
        <v>140.22461538461567</v>
      </c>
      <c r="I10" s="48">
        <f>VLOOKUP($A10,observed!$C$2:$K$139,9,FALSE)</f>
        <v>0</v>
      </c>
      <c r="J10" s="48">
        <f t="shared" si="0"/>
        <v>339.9</v>
      </c>
      <c r="K10" s="59">
        <f>IFERROR(VLOOKUP($A10&amp;"-"&amp;TEXT($B10+19,0),md[[routeC]:[boarding_EV]],4,FALSE),"")</f>
        <v>0</v>
      </c>
      <c r="L10" s="59">
        <f>IFERROR(VLOOKUP($A10&amp;"-"&amp;TEXT($B10+19,0),md[[routeC]:[boarding_EV]],5,FALSE),"")</f>
        <v>0</v>
      </c>
      <c r="M10" s="59">
        <f>IFERROR(VLOOKUP($A10&amp;"-"&amp;TEXT($B10+19,0),md[[routeC]:[boarding_EV]],6,FALSE),"")</f>
        <v>0</v>
      </c>
      <c r="N10" s="59">
        <f>IFERROR(VLOOKUP($A10&amp;"-"&amp;TEXT($B10+19,0),md[[routeC]:[boarding_EV]],7,FALSE),"")</f>
        <v>0</v>
      </c>
      <c r="O10" s="59">
        <f>IFERROR(VLOOKUP($A10&amp;"-"&amp;TEXT($B10+19,0),md[[routeC]:[boarding_EV]],8,FALSE),"")</f>
        <v>0</v>
      </c>
      <c r="P10" s="59">
        <f t="shared" si="1"/>
        <v>0</v>
      </c>
      <c r="Q10" s="288">
        <f t="shared" si="2"/>
        <v>-1</v>
      </c>
      <c r="R10" s="287">
        <f t="shared" si="3"/>
        <v>115532.00999999998</v>
      </c>
    </row>
    <row r="11" spans="1:23" x14ac:dyDescent="0.3">
      <c r="A11" s="47">
        <v>110</v>
      </c>
      <c r="B11" s="47">
        <v>9</v>
      </c>
      <c r="C11" s="47" t="s">
        <v>9</v>
      </c>
      <c r="D11" s="47">
        <v>3</v>
      </c>
      <c r="E11" s="48">
        <f>VLOOKUP($A11,observed!$C$2:$K$139,5,FALSE)</f>
        <v>0</v>
      </c>
      <c r="F11" s="48">
        <f>VLOOKUP($A11,observed!$C$2:$K$139,6,FALSE)</f>
        <v>110.49000000000001</v>
      </c>
      <c r="G11" s="48">
        <f>VLOOKUP($A11,observed!$C$2:$K$139,7,FALSE)</f>
        <v>0</v>
      </c>
      <c r="H11" s="48">
        <f>VLOOKUP($A11,observed!$C$2:$K$139,8,FALSE)</f>
        <v>113.47</v>
      </c>
      <c r="I11" s="48">
        <f>VLOOKUP($A11,observed!$C$2:$K$139,9,FALSE)</f>
        <v>0</v>
      </c>
      <c r="J11" s="48">
        <f t="shared" si="0"/>
        <v>223.96</v>
      </c>
      <c r="K11" s="59">
        <f>IFERROR(VLOOKUP($A11&amp;"-"&amp;TEXT($B11+19,0),md[[routeC]:[boarding_EV]],4,FALSE),"")</f>
        <v>0</v>
      </c>
      <c r="L11" s="59">
        <f>IFERROR(VLOOKUP($A11&amp;"-"&amp;TEXT($B11+19,0),md[[routeC]:[boarding_EV]],5,FALSE),"")</f>
        <v>0</v>
      </c>
      <c r="M11" s="59">
        <f>IFERROR(VLOOKUP($A11&amp;"-"&amp;TEXT($B11+19,0),md[[routeC]:[boarding_EV]],6,FALSE),"")</f>
        <v>0</v>
      </c>
      <c r="N11" s="59">
        <f>IFERROR(VLOOKUP($A11&amp;"-"&amp;TEXT($B11+19,0),md[[routeC]:[boarding_EV]],7,FALSE),"")</f>
        <v>0</v>
      </c>
      <c r="O11" s="59">
        <f>IFERROR(VLOOKUP($A11&amp;"-"&amp;TEXT($B11+19,0),md[[routeC]:[boarding_EV]],8,FALSE),"")</f>
        <v>0</v>
      </c>
      <c r="P11" s="59">
        <f t="shared" si="1"/>
        <v>0</v>
      </c>
      <c r="Q11" s="288">
        <f t="shared" si="2"/>
        <v>-1</v>
      </c>
      <c r="R11" s="287">
        <f t="shared" si="3"/>
        <v>50158.081600000005</v>
      </c>
    </row>
    <row r="12" spans="1:23" x14ac:dyDescent="0.3">
      <c r="A12" s="47">
        <v>120</v>
      </c>
      <c r="B12" s="47">
        <v>9</v>
      </c>
      <c r="C12" s="47" t="s">
        <v>9</v>
      </c>
      <c r="D12" s="47">
        <v>3</v>
      </c>
      <c r="E12" s="48">
        <f>VLOOKUP($A12,observed!$C$2:$K$139,5,FALSE)</f>
        <v>38.992273595199116</v>
      </c>
      <c r="F12" s="48">
        <f>VLOOKUP($A12,observed!$C$2:$K$139,6,FALSE)</f>
        <v>541.35095280084795</v>
      </c>
      <c r="G12" s="48">
        <f>VLOOKUP($A12,observed!$C$2:$K$139,7,FALSE)</f>
        <v>1379.353312065489</v>
      </c>
      <c r="H12" s="48">
        <f>VLOOKUP($A12,observed!$C$2:$K$139,8,FALSE)</f>
        <v>693.108147557037</v>
      </c>
      <c r="I12" s="48">
        <f>VLOOKUP($A12,observed!$C$2:$K$139,9,FALSE)</f>
        <v>295.18531398142665</v>
      </c>
      <c r="J12" s="48">
        <f t="shared" si="0"/>
        <v>2947.99</v>
      </c>
      <c r="K12" s="59">
        <f>IFERROR(VLOOKUP($A12&amp;"-"&amp;TEXT($B12+19,0),md[[routeC]:[boarding_EV]],4,FALSE),"")</f>
        <v>0</v>
      </c>
      <c r="L12" s="59">
        <f>IFERROR(VLOOKUP($A12&amp;"-"&amp;TEXT($B12+19,0),md[[routeC]:[boarding_EV]],5,FALSE),"")</f>
        <v>0</v>
      </c>
      <c r="M12" s="59">
        <f>IFERROR(VLOOKUP($A12&amp;"-"&amp;TEXT($B12+19,0),md[[routeC]:[boarding_EV]],6,FALSE),"")</f>
        <v>0</v>
      </c>
      <c r="N12" s="59">
        <f>IFERROR(VLOOKUP($A12&amp;"-"&amp;TEXT($B12+19,0),md[[routeC]:[boarding_EV]],7,FALSE),"")</f>
        <v>0</v>
      </c>
      <c r="O12" s="59">
        <f>IFERROR(VLOOKUP($A12&amp;"-"&amp;TEXT($B12+19,0),md[[routeC]:[boarding_EV]],8,FALSE),"")</f>
        <v>0</v>
      </c>
      <c r="P12" s="59">
        <f t="shared" si="1"/>
        <v>0</v>
      </c>
      <c r="Q12" s="288">
        <f t="shared" si="2"/>
        <v>-1</v>
      </c>
      <c r="R12" s="287">
        <f t="shared" si="3"/>
        <v>8690645.0400999989</v>
      </c>
    </row>
    <row r="13" spans="1:23" x14ac:dyDescent="0.3">
      <c r="A13" s="47">
        <v>150</v>
      </c>
      <c r="B13" s="47">
        <v>9</v>
      </c>
      <c r="C13" s="47" t="s">
        <v>9</v>
      </c>
      <c r="D13" s="47">
        <v>3</v>
      </c>
      <c r="E13" s="48">
        <f>VLOOKUP($A13,observed!$C$2:$K$139,5,FALSE)</f>
        <v>0</v>
      </c>
      <c r="F13" s="48">
        <f>VLOOKUP($A13,observed!$C$2:$K$139,6,FALSE)</f>
        <v>853.23509139769192</v>
      </c>
      <c r="G13" s="48">
        <f>VLOOKUP($A13,observed!$C$2:$K$139,7,FALSE)</f>
        <v>1342.0124062896327</v>
      </c>
      <c r="H13" s="48">
        <f>VLOOKUP($A13,observed!$C$2:$K$139,8,FALSE)</f>
        <v>911.29095357442793</v>
      </c>
      <c r="I13" s="48">
        <f>VLOOKUP($A13,observed!$C$2:$K$139,9,FALSE)</f>
        <v>286.36154873824779</v>
      </c>
      <c r="J13" s="48">
        <f t="shared" si="0"/>
        <v>3392.9</v>
      </c>
      <c r="K13" s="59">
        <f>IFERROR(VLOOKUP($A13&amp;"-"&amp;TEXT($B13+19,0),md[[routeC]:[boarding_EV]],4,FALSE),"")</f>
        <v>0</v>
      </c>
      <c r="L13" s="59">
        <f>IFERROR(VLOOKUP($A13&amp;"-"&amp;TEXT($B13+19,0),md[[routeC]:[boarding_EV]],5,FALSE),"")</f>
        <v>0</v>
      </c>
      <c r="M13" s="59">
        <f>IFERROR(VLOOKUP($A13&amp;"-"&amp;TEXT($B13+19,0),md[[routeC]:[boarding_EV]],6,FALSE),"")</f>
        <v>0</v>
      </c>
      <c r="N13" s="59">
        <f>IFERROR(VLOOKUP($A13&amp;"-"&amp;TEXT($B13+19,0),md[[routeC]:[boarding_EV]],7,FALSE),"")</f>
        <v>0</v>
      </c>
      <c r="O13" s="59">
        <f>IFERROR(VLOOKUP($A13&amp;"-"&amp;TEXT($B13+19,0),md[[routeC]:[boarding_EV]],8,FALSE),"")</f>
        <v>0</v>
      </c>
      <c r="P13" s="59">
        <f t="shared" si="1"/>
        <v>0</v>
      </c>
      <c r="Q13" s="288">
        <f t="shared" si="2"/>
        <v>-1</v>
      </c>
      <c r="R13" s="287">
        <f t="shared" si="3"/>
        <v>11511770.41</v>
      </c>
    </row>
    <row r="14" spans="1:23" x14ac:dyDescent="0.3">
      <c r="A14" s="47">
        <v>950</v>
      </c>
      <c r="B14" s="47">
        <v>9</v>
      </c>
      <c r="C14" s="47" t="s">
        <v>9</v>
      </c>
      <c r="D14" s="47">
        <v>3</v>
      </c>
      <c r="E14" s="48">
        <f>VLOOKUP($A14,observed!$C$2:$K$139,5,FALSE)</f>
        <v>222.58428571428564</v>
      </c>
      <c r="F14" s="48">
        <f>VLOOKUP($A14,observed!$C$2:$K$139,6,FALSE)</f>
        <v>448.43428571428575</v>
      </c>
      <c r="G14" s="48">
        <f>VLOOKUP($A14,observed!$C$2:$K$139,7,FALSE)</f>
        <v>326.84214285714188</v>
      </c>
      <c r="H14" s="48">
        <f>VLOOKUP($A14,observed!$C$2:$K$139,8,FALSE)</f>
        <v>251.11928571428672</v>
      </c>
      <c r="I14" s="48">
        <f>VLOOKUP($A14,observed!$C$2:$K$139,9,FALSE)</f>
        <v>24.25</v>
      </c>
      <c r="J14" s="48">
        <f t="shared" si="0"/>
        <v>1273.23</v>
      </c>
      <c r="K14" s="59">
        <f>IFERROR(VLOOKUP($A14&amp;"-"&amp;TEXT($B14+19,0),md[[routeC]:[boarding_EV]],4,FALSE),"")</f>
        <v>0</v>
      </c>
      <c r="L14" s="59">
        <f>IFERROR(VLOOKUP($A14&amp;"-"&amp;TEXT($B14+19,0),md[[routeC]:[boarding_EV]],5,FALSE),"")</f>
        <v>0</v>
      </c>
      <c r="M14" s="59">
        <f>IFERROR(VLOOKUP($A14&amp;"-"&amp;TEXT($B14+19,0),md[[routeC]:[boarding_EV]],6,FALSE),"")</f>
        <v>0</v>
      </c>
      <c r="N14" s="59">
        <f>IFERROR(VLOOKUP($A14&amp;"-"&amp;TEXT($B14+19,0),md[[routeC]:[boarding_EV]],7,FALSE),"")</f>
        <v>0</v>
      </c>
      <c r="O14" s="59">
        <f>IFERROR(VLOOKUP($A14&amp;"-"&amp;TEXT($B14+19,0),md[[routeC]:[boarding_EV]],8,FALSE),"")</f>
        <v>0</v>
      </c>
      <c r="P14" s="59">
        <f t="shared" si="1"/>
        <v>0</v>
      </c>
      <c r="Q14" s="288">
        <f t="shared" si="2"/>
        <v>-1</v>
      </c>
      <c r="R14" s="287">
        <f t="shared" si="3"/>
        <v>1621114.6329000001</v>
      </c>
    </row>
    <row r="15" spans="1:23" x14ac:dyDescent="0.3">
      <c r="A15" s="1">
        <v>709</v>
      </c>
      <c r="B15" s="1">
        <v>9</v>
      </c>
      <c r="C15" s="1" t="s">
        <v>9</v>
      </c>
      <c r="D15" s="1">
        <v>3</v>
      </c>
      <c r="E15" s="225">
        <v>0</v>
      </c>
      <c r="F15" s="225">
        <v>221.13</v>
      </c>
      <c r="G15" s="225">
        <v>121.81000000000003</v>
      </c>
      <c r="H15" s="225">
        <v>123.11</v>
      </c>
      <c r="I15" s="225">
        <v>0</v>
      </c>
      <c r="J15" s="225">
        <f>SUM(E15:I15)</f>
        <v>466.05000000000007</v>
      </c>
      <c r="K15" s="226">
        <f>IFERROR(VLOOKUP($A15&amp;"-"&amp;TEXT($B15+19,0),md[[routeC]:[boarding_EV]],4,FALSE),"")</f>
        <v>0</v>
      </c>
      <c r="L15" s="226">
        <f>IFERROR(VLOOKUP($A15&amp;"-"&amp;TEXT($B15+19,0),md[[routeC]:[boarding_EV]],5,FALSE),"")</f>
        <v>0</v>
      </c>
      <c r="M15" s="226">
        <f>IFERROR(VLOOKUP($A15&amp;"-"&amp;TEXT($B15+19,0),md[[routeC]:[boarding_EV]],6,FALSE),"")</f>
        <v>0</v>
      </c>
      <c r="N15" s="226">
        <f>IFERROR(VLOOKUP($A15&amp;"-"&amp;TEXT($B15+19,0),md[[routeC]:[boarding_EV]],7,FALSE),"")</f>
        <v>0</v>
      </c>
      <c r="O15" s="226">
        <f>IFERROR(VLOOKUP($A15&amp;"-"&amp;TEXT($B15+19,0),md[[routeC]:[boarding_EV]],8,FALSE),"")</f>
        <v>0</v>
      </c>
      <c r="P15" s="225">
        <f t="shared" ref="P15" si="4">SUM(K15:O15)</f>
        <v>0</v>
      </c>
      <c r="Q15" s="295">
        <f t="shared" ref="Q15" si="5">P15/J15-1</f>
        <v>-1</v>
      </c>
      <c r="R15" s="225">
        <f t="shared" ref="R15" si="6">POWER((P15-J15),2)</f>
        <v>217202.60250000007</v>
      </c>
    </row>
    <row r="16" spans="1:23" x14ac:dyDescent="0.3">
      <c r="A16" s="47">
        <v>870</v>
      </c>
      <c r="B16" s="47">
        <v>8</v>
      </c>
      <c r="C16" s="47" t="s">
        <v>14</v>
      </c>
      <c r="D16" s="47">
        <v>3</v>
      </c>
      <c r="E16" s="48">
        <f>VLOOKUP($A16,observed!$C$2:$K$139,5,FALSE)</f>
        <v>0</v>
      </c>
      <c r="F16" s="48">
        <f>VLOOKUP($A16,observed!$C$2:$K$139,6,FALSE)</f>
        <v>31</v>
      </c>
      <c r="G16" s="48">
        <f>VLOOKUP($A16,observed!$C$2:$K$139,7,FALSE)</f>
        <v>0</v>
      </c>
      <c r="H16" s="48">
        <f>VLOOKUP($A16,observed!$C$2:$K$139,8,FALSE)</f>
        <v>25</v>
      </c>
      <c r="I16" s="48">
        <f>VLOOKUP($A16,observed!$C$2:$K$139,9,FALSE)</f>
        <v>0</v>
      </c>
      <c r="J16" s="59">
        <f t="shared" si="0"/>
        <v>56</v>
      </c>
      <c r="K16" s="59">
        <f>IFERROR(VLOOKUP($A16&amp;"-"&amp;TEXT($B16+19,0),md[[routeC]:[boarding_EV]],4,FALSE),"")</f>
        <v>0</v>
      </c>
      <c r="L16" s="59">
        <f>IFERROR(VLOOKUP($A16&amp;"-"&amp;TEXT($B16+19,0),md[[routeC]:[boarding_EV]],5,FALSE),"")</f>
        <v>0</v>
      </c>
      <c r="M16" s="59">
        <f>IFERROR(VLOOKUP($A16&amp;"-"&amp;TEXT($B16+19,0),md[[routeC]:[boarding_EV]],6,FALSE),"")</f>
        <v>0</v>
      </c>
      <c r="N16" s="59">
        <f>IFERROR(VLOOKUP($A16&amp;"-"&amp;TEXT($B16+19,0),md[[routeC]:[boarding_EV]],7,FALSE),"")</f>
        <v>0</v>
      </c>
      <c r="O16" s="59">
        <f>IFERROR(VLOOKUP($A16&amp;"-"&amp;TEXT($B16+19,0),md[[routeC]:[boarding_EV]],8,FALSE),"")</f>
        <v>0</v>
      </c>
      <c r="P16" s="59">
        <f t="shared" si="1"/>
        <v>0</v>
      </c>
      <c r="Q16" s="288">
        <f t="shared" si="2"/>
        <v>-1</v>
      </c>
      <c r="R16" s="287">
        <f t="shared" si="3"/>
        <v>3136</v>
      </c>
    </row>
    <row r="17" spans="1:20" x14ac:dyDescent="0.3">
      <c r="A17" s="47">
        <v>235</v>
      </c>
      <c r="B17" s="47">
        <v>6</v>
      </c>
      <c r="C17" s="47" t="s">
        <v>11</v>
      </c>
      <c r="D17" s="47">
        <v>4</v>
      </c>
      <c r="E17" s="48">
        <f>VLOOKUP($A17,observed!$C$2:$K$139,5,FALSE)</f>
        <v>214.20927767052768</v>
      </c>
      <c r="F17" s="48">
        <f>VLOOKUP($A17,observed!$C$2:$K$139,6,FALSE)</f>
        <v>1395.099766197251</v>
      </c>
      <c r="G17" s="48">
        <f>VLOOKUP($A17,observed!$C$2:$K$139,7,FALSE)</f>
        <v>1942.7578164360123</v>
      </c>
      <c r="H17" s="48">
        <f>VLOOKUP($A17,observed!$C$2:$K$139,8,FALSE)</f>
        <v>1547.2442239514619</v>
      </c>
      <c r="I17" s="48">
        <f>VLOOKUP($A17,observed!$C$2:$K$139,9,FALSE)</f>
        <v>573.31891574474719</v>
      </c>
      <c r="J17" s="48">
        <f t="shared" si="0"/>
        <v>5672.63</v>
      </c>
      <c r="K17" s="59">
        <f>IFERROR(VLOOKUP($A17&amp;"-"&amp;TEXT($B17+19,0),md[[routeC]:[boarding_EV]],4,FALSE),"")</f>
        <v>0</v>
      </c>
      <c r="L17" s="59">
        <f>IFERROR(VLOOKUP($A17&amp;"-"&amp;TEXT($B17+19,0),md[[routeC]:[boarding_EV]],5,FALSE),"")</f>
        <v>0</v>
      </c>
      <c r="M17" s="59">
        <f>IFERROR(VLOOKUP($A17&amp;"-"&amp;TEXT($B17+19,0),md[[routeC]:[boarding_EV]],6,FALSE),"")</f>
        <v>0</v>
      </c>
      <c r="N17" s="59">
        <f>IFERROR(VLOOKUP($A17&amp;"-"&amp;TEXT($B17+19,0),md[[routeC]:[boarding_EV]],7,FALSE),"")</f>
        <v>0</v>
      </c>
      <c r="O17" s="59">
        <f>IFERROR(VLOOKUP($A17&amp;"-"&amp;TEXT($B17+19,0),md[[routeC]:[boarding_EV]],8,FALSE),"")</f>
        <v>0</v>
      </c>
      <c r="P17" s="59">
        <f t="shared" si="1"/>
        <v>0</v>
      </c>
      <c r="Q17" s="288">
        <f t="shared" si="2"/>
        <v>-1</v>
      </c>
      <c r="R17" s="287">
        <f t="shared" si="3"/>
        <v>32178731.116900001</v>
      </c>
    </row>
    <row r="18" spans="1:20" x14ac:dyDescent="0.3">
      <c r="A18" s="47">
        <v>237</v>
      </c>
      <c r="B18" s="47">
        <v>6</v>
      </c>
      <c r="C18" s="47" t="s">
        <v>11</v>
      </c>
      <c r="D18" s="47">
        <v>4</v>
      </c>
      <c r="E18" s="48">
        <f>VLOOKUP($A18,observed!$C$2:$K$139,5,FALSE)</f>
        <v>9.8065553997194748</v>
      </c>
      <c r="F18" s="48">
        <f>VLOOKUP($A18,observed!$C$2:$K$139,6,FALSE)</f>
        <v>412.37030569029747</v>
      </c>
      <c r="G18" s="48">
        <f>VLOOKUP($A18,observed!$C$2:$K$139,7,FALSE)</f>
        <v>178.4489324018474</v>
      </c>
      <c r="H18" s="48">
        <f>VLOOKUP($A18,observed!$C$2:$K$139,8,FALSE)</f>
        <v>433.01151042970469</v>
      </c>
      <c r="I18" s="48">
        <f>VLOOKUP($A18,observed!$C$2:$K$139,9,FALSE)</f>
        <v>74.532696078430831</v>
      </c>
      <c r="J18" s="48">
        <f t="shared" si="0"/>
        <v>1108.17</v>
      </c>
      <c r="K18" s="59">
        <f>IFERROR(VLOOKUP($A18&amp;"-"&amp;TEXT($B18+19,0),md[[routeC]:[boarding_EV]],4,FALSE),"")</f>
        <v>0</v>
      </c>
      <c r="L18" s="59">
        <f>IFERROR(VLOOKUP($A18&amp;"-"&amp;TEXT($B18+19,0),md[[routeC]:[boarding_EV]],5,FALSE),"")</f>
        <v>0</v>
      </c>
      <c r="M18" s="59">
        <f>IFERROR(VLOOKUP($A18&amp;"-"&amp;TEXT($B18+19,0),md[[routeC]:[boarding_EV]],6,FALSE),"")</f>
        <v>0</v>
      </c>
      <c r="N18" s="59">
        <f>IFERROR(VLOOKUP($A18&amp;"-"&amp;TEXT($B18+19,0),md[[routeC]:[boarding_EV]],7,FALSE),"")</f>
        <v>0</v>
      </c>
      <c r="O18" s="59">
        <f>IFERROR(VLOOKUP($A18&amp;"-"&amp;TEXT($B18+19,0),md[[routeC]:[boarding_EV]],8,FALSE),"")</f>
        <v>0</v>
      </c>
      <c r="P18" s="59">
        <f t="shared" si="1"/>
        <v>0</v>
      </c>
      <c r="Q18" s="288">
        <f t="shared" si="2"/>
        <v>-1</v>
      </c>
      <c r="R18" s="287">
        <f t="shared" si="3"/>
        <v>1228040.7489000002</v>
      </c>
    </row>
    <row r="19" spans="1:20" x14ac:dyDescent="0.3">
      <c r="A19" s="47">
        <v>288</v>
      </c>
      <c r="B19" s="47">
        <v>6</v>
      </c>
      <c r="C19" s="47" t="s">
        <v>11</v>
      </c>
      <c r="D19" s="47">
        <v>4</v>
      </c>
      <c r="E19" s="48">
        <f>VLOOKUP($A19,observed!$C$2:$K$139,5,FALSE)</f>
        <v>36.323333333333338</v>
      </c>
      <c r="F19" s="48">
        <f>VLOOKUP($A19,observed!$C$2:$K$139,6,FALSE)</f>
        <v>237.10523809523806</v>
      </c>
      <c r="G19" s="48">
        <f>VLOOKUP($A19,observed!$C$2:$K$139,7,FALSE)</f>
        <v>17.098796992480942</v>
      </c>
      <c r="H19" s="48">
        <f>VLOOKUP($A19,observed!$C$2:$K$139,8,FALSE)</f>
        <v>246.11263157894763</v>
      </c>
      <c r="I19" s="48">
        <f>VLOOKUP($A19,observed!$C$2:$K$139,9,FALSE)</f>
        <v>0</v>
      </c>
      <c r="J19" s="48">
        <f t="shared" si="0"/>
        <v>536.63999999999987</v>
      </c>
      <c r="K19" s="59">
        <f>IFERROR(VLOOKUP($A19&amp;"-"&amp;TEXT($B19+19,0),md[[routeC]:[boarding_EV]],4,FALSE),"")</f>
        <v>0</v>
      </c>
      <c r="L19" s="59">
        <f>IFERROR(VLOOKUP($A19&amp;"-"&amp;TEXT($B19+19,0),md[[routeC]:[boarding_EV]],5,FALSE),"")</f>
        <v>0</v>
      </c>
      <c r="M19" s="59">
        <f>IFERROR(VLOOKUP($A19&amp;"-"&amp;TEXT($B19+19,0),md[[routeC]:[boarding_EV]],6,FALSE),"")</f>
        <v>0</v>
      </c>
      <c r="N19" s="59">
        <f>IFERROR(VLOOKUP($A19&amp;"-"&amp;TEXT($B19+19,0),md[[routeC]:[boarding_EV]],7,FALSE),"")</f>
        <v>0</v>
      </c>
      <c r="O19" s="59">
        <f>IFERROR(VLOOKUP($A19&amp;"-"&amp;TEXT($B19+19,0),md[[routeC]:[boarding_EV]],8,FALSE),"")</f>
        <v>0</v>
      </c>
      <c r="P19" s="59">
        <f t="shared" ref="P19" si="7">SUM(K19:O19)</f>
        <v>0</v>
      </c>
      <c r="Q19" s="288">
        <f t="shared" si="2"/>
        <v>-1</v>
      </c>
      <c r="R19" s="287">
        <f t="shared" si="3"/>
        <v>287982.48959999986</v>
      </c>
    </row>
    <row r="20" spans="1:20" x14ac:dyDescent="0.3">
      <c r="A20" s="47">
        <v>290</v>
      </c>
      <c r="B20" s="47">
        <v>6</v>
      </c>
      <c r="C20" s="47" t="s">
        <v>11</v>
      </c>
      <c r="D20" s="47">
        <v>4</v>
      </c>
      <c r="E20" s="48">
        <f>VLOOKUP($A20,observed!$C$2:$K$139,5,FALSE)</f>
        <v>34.71521739130435</v>
      </c>
      <c r="F20" s="48">
        <f>VLOOKUP($A20,observed!$C$2:$K$139,6,FALSE)</f>
        <v>358.96595907928389</v>
      </c>
      <c r="G20" s="48">
        <f>VLOOKUP($A20,observed!$C$2:$K$139,7,FALSE)</f>
        <v>23.204910485933066</v>
      </c>
      <c r="H20" s="48">
        <f>VLOOKUP($A20,observed!$C$2:$K$139,8,FALSE)</f>
        <v>322.84391304347878</v>
      </c>
      <c r="I20" s="48">
        <f>VLOOKUP($A20,observed!$C$2:$K$139,9,FALSE)</f>
        <v>0</v>
      </c>
      <c r="J20" s="48">
        <f t="shared" si="0"/>
        <v>739.73</v>
      </c>
      <c r="K20" s="59">
        <f>IFERROR(VLOOKUP($A20&amp;"-"&amp;TEXT($B20+19,0),md[[routeC]:[boarding_EV]],4,FALSE),"")</f>
        <v>0</v>
      </c>
      <c r="L20" s="59">
        <f>IFERROR(VLOOKUP($A20&amp;"-"&amp;TEXT($B20+19,0),md[[routeC]:[boarding_EV]],5,FALSE),"")</f>
        <v>0</v>
      </c>
      <c r="M20" s="59">
        <f>IFERROR(VLOOKUP($A20&amp;"-"&amp;TEXT($B20+19,0),md[[routeC]:[boarding_EV]],6,FALSE),"")</f>
        <v>0</v>
      </c>
      <c r="N20" s="59">
        <f>IFERROR(VLOOKUP($A20&amp;"-"&amp;TEXT($B20+19,0),md[[routeC]:[boarding_EV]],7,FALSE),"")</f>
        <v>0</v>
      </c>
      <c r="O20" s="59">
        <f>IFERROR(VLOOKUP($A20&amp;"-"&amp;TEXT($B20+19,0),md[[routeC]:[boarding_EV]],8,FALSE),"")</f>
        <v>0</v>
      </c>
      <c r="P20" s="59">
        <f t="shared" si="1"/>
        <v>0</v>
      </c>
      <c r="Q20" s="288">
        <f t="shared" si="2"/>
        <v>-1</v>
      </c>
      <c r="R20" s="287">
        <f t="shared" si="3"/>
        <v>547200.47290000005</v>
      </c>
    </row>
    <row r="21" spans="1:20" x14ac:dyDescent="0.3">
      <c r="A21" s="47">
        <v>201</v>
      </c>
      <c r="B21" s="47">
        <v>7</v>
      </c>
      <c r="C21" s="47" t="s">
        <v>10</v>
      </c>
      <c r="D21" s="47">
        <v>4</v>
      </c>
      <c r="E21" s="48">
        <f>VLOOKUP($A21,observed!$C$2:$K$139,5,FALSE)</f>
        <v>3.2559999999999976</v>
      </c>
      <c r="F21" s="48">
        <f>VLOOKUP($A21,observed!$C$2:$K$139,6,FALSE)</f>
        <v>115.44399999999993</v>
      </c>
      <c r="G21" s="48">
        <f>VLOOKUP($A21,observed!$C$2:$K$139,7,FALSE)</f>
        <v>1033.1249431818158</v>
      </c>
      <c r="H21" s="48">
        <f>VLOOKUP($A21,observed!$C$2:$K$139,8,FALSE)</f>
        <v>1463.5786247556257</v>
      </c>
      <c r="I21" s="48">
        <f>VLOOKUP($A21,observed!$C$2:$K$139,9,FALSE)</f>
        <v>665.87643206255939</v>
      </c>
      <c r="J21" s="48">
        <f t="shared" si="0"/>
        <v>3281.2800000000007</v>
      </c>
      <c r="K21" s="59">
        <f>IFERROR(VLOOKUP($A21&amp;"-"&amp;TEXT($B21+19,0),md[[routeC]:[boarding_EV]],4,FALSE),"")</f>
        <v>0</v>
      </c>
      <c r="L21" s="59">
        <f>IFERROR(VLOOKUP($A21&amp;"-"&amp;TEXT($B21+19,0),md[[routeC]:[boarding_EV]],5,FALSE),"")</f>
        <v>0</v>
      </c>
      <c r="M21" s="59">
        <f>IFERROR(VLOOKUP($A21&amp;"-"&amp;TEXT($B21+19,0),md[[routeC]:[boarding_EV]],6,FALSE),"")</f>
        <v>0</v>
      </c>
      <c r="N21" s="59">
        <f>IFERROR(VLOOKUP($A21&amp;"-"&amp;TEXT($B21+19,0),md[[routeC]:[boarding_EV]],7,FALSE),"")</f>
        <v>0</v>
      </c>
      <c r="O21" s="59">
        <f>IFERROR(VLOOKUP($A21&amp;"-"&amp;TEXT($B21+19,0),md[[routeC]:[boarding_EV]],8,FALSE),"")</f>
        <v>0</v>
      </c>
      <c r="P21" s="59">
        <f t="shared" si="1"/>
        <v>0</v>
      </c>
      <c r="Q21" s="288">
        <f t="shared" si="2"/>
        <v>-1</v>
      </c>
      <c r="R21" s="287">
        <f t="shared" si="3"/>
        <v>10766798.438400004</v>
      </c>
    </row>
    <row r="22" spans="1:20" x14ac:dyDescent="0.3">
      <c r="A22" s="47">
        <v>202</v>
      </c>
      <c r="B22" s="47">
        <v>7</v>
      </c>
      <c r="C22" s="47" t="s">
        <v>10</v>
      </c>
      <c r="D22" s="47">
        <v>4</v>
      </c>
      <c r="E22" s="48">
        <f>VLOOKUP($A22,observed!$C$2:$K$139,5,FALSE)</f>
        <v>3.2538461538461472</v>
      </c>
      <c r="F22" s="48">
        <f>VLOOKUP($A22,observed!$C$2:$K$139,6,FALSE)</f>
        <v>818.46841191067006</v>
      </c>
      <c r="G22" s="48">
        <f>VLOOKUP($A22,observed!$C$2:$K$139,7,FALSE)</f>
        <v>2347.5344086021487</v>
      </c>
      <c r="H22" s="48">
        <f>VLOOKUP($A22,observed!$C$2:$K$139,8,FALSE)</f>
        <v>769.07559139785246</v>
      </c>
      <c r="I22" s="48">
        <f>VLOOKUP($A22,observed!$C$2:$K$139,9,FALSE)</f>
        <v>302.21774193548288</v>
      </c>
      <c r="J22" s="48">
        <f t="shared" si="0"/>
        <v>4240.55</v>
      </c>
      <c r="K22" s="59">
        <f>IFERROR(VLOOKUP($A22&amp;"-"&amp;TEXT($B22+19,0),md[[routeC]:[boarding_EV]],4,FALSE),"")</f>
        <v>0</v>
      </c>
      <c r="L22" s="59">
        <f>IFERROR(VLOOKUP($A22&amp;"-"&amp;TEXT($B22+19,0),md[[routeC]:[boarding_EV]],5,FALSE),"")</f>
        <v>0</v>
      </c>
      <c r="M22" s="59">
        <f>IFERROR(VLOOKUP($A22&amp;"-"&amp;TEXT($B22+19,0),md[[routeC]:[boarding_EV]],6,FALSE),"")</f>
        <v>0</v>
      </c>
      <c r="N22" s="59">
        <f>IFERROR(VLOOKUP($A22&amp;"-"&amp;TEXT($B22+19,0),md[[routeC]:[boarding_EV]],7,FALSE),"")</f>
        <v>0</v>
      </c>
      <c r="O22" s="59">
        <f>IFERROR(VLOOKUP($A22&amp;"-"&amp;TEXT($B22+19,0),md[[routeC]:[boarding_EV]],8,FALSE),"")</f>
        <v>0</v>
      </c>
      <c r="P22" s="59">
        <f t="shared" si="1"/>
        <v>0</v>
      </c>
      <c r="Q22" s="288">
        <f t="shared" si="2"/>
        <v>-1</v>
      </c>
      <c r="R22" s="287">
        <f t="shared" si="3"/>
        <v>17982264.302500002</v>
      </c>
    </row>
    <row r="23" spans="1:20" x14ac:dyDescent="0.3">
      <c r="A23" s="47">
        <v>204</v>
      </c>
      <c r="B23" s="47">
        <v>7</v>
      </c>
      <c r="C23" s="47" t="s">
        <v>10</v>
      </c>
      <c r="D23" s="47">
        <v>4</v>
      </c>
      <c r="E23" s="48">
        <f>VLOOKUP($A23,observed!$C$2:$K$139,5,FALSE)</f>
        <v>2.67</v>
      </c>
      <c r="F23" s="48">
        <f>VLOOKUP($A23,observed!$C$2:$K$139,6,FALSE)</f>
        <v>90.59666666666665</v>
      </c>
      <c r="G23" s="48">
        <f>VLOOKUP($A23,observed!$C$2:$K$139,7,FALSE)</f>
        <v>240.10866666666629</v>
      </c>
      <c r="H23" s="48">
        <f>VLOOKUP($A23,observed!$C$2:$K$139,8,FALSE)</f>
        <v>146.63082051282129</v>
      </c>
      <c r="I23" s="48">
        <f>VLOOKUP($A23,observed!$C$2:$K$139,9,FALSE)</f>
        <v>77.933846153845749</v>
      </c>
      <c r="J23" s="48">
        <f t="shared" si="0"/>
        <v>557.93999999999994</v>
      </c>
      <c r="K23" s="59">
        <f>IFERROR(VLOOKUP($A23&amp;"-"&amp;TEXT($B23+19,0),md[[routeC]:[boarding_EV]],4,FALSE),"")</f>
        <v>0</v>
      </c>
      <c r="L23" s="59">
        <f>IFERROR(VLOOKUP($A23&amp;"-"&amp;TEXT($B23+19,0),md[[routeC]:[boarding_EV]],5,FALSE),"")</f>
        <v>0</v>
      </c>
      <c r="M23" s="59">
        <f>IFERROR(VLOOKUP($A23&amp;"-"&amp;TEXT($B23+19,0),md[[routeC]:[boarding_EV]],6,FALSE),"")</f>
        <v>0</v>
      </c>
      <c r="N23" s="59">
        <f>IFERROR(VLOOKUP($A23&amp;"-"&amp;TEXT($B23+19,0),md[[routeC]:[boarding_EV]],7,FALSE),"")</f>
        <v>0</v>
      </c>
      <c r="O23" s="59">
        <f>IFERROR(VLOOKUP($A23&amp;"-"&amp;TEXT($B23+19,0),md[[routeC]:[boarding_EV]],8,FALSE),"")</f>
        <v>0</v>
      </c>
      <c r="P23" s="59">
        <f t="shared" si="1"/>
        <v>0</v>
      </c>
      <c r="Q23" s="288">
        <f t="shared" si="2"/>
        <v>-1</v>
      </c>
      <c r="R23" s="287">
        <f t="shared" si="3"/>
        <v>311297.04359999992</v>
      </c>
    </row>
    <row r="24" spans="1:20" x14ac:dyDescent="0.3">
      <c r="A24" s="47">
        <v>215</v>
      </c>
      <c r="B24" s="47">
        <v>7</v>
      </c>
      <c r="C24" s="47" t="s">
        <v>10</v>
      </c>
      <c r="D24" s="47">
        <v>4</v>
      </c>
      <c r="E24" s="48">
        <f>VLOOKUP($A24,observed!$C$2:$K$139,5,FALSE)</f>
        <v>195.83398863732913</v>
      </c>
      <c r="F24" s="48">
        <f>VLOOKUP($A24,observed!$C$2:$K$139,6,FALSE)</f>
        <v>1367.1615215667528</v>
      </c>
      <c r="G24" s="48">
        <f>VLOOKUP($A24,observed!$C$2:$K$139,7,FALSE)</f>
        <v>3090.310914297339</v>
      </c>
      <c r="H24" s="48">
        <f>VLOOKUP($A24,observed!$C$2:$K$139,8,FALSE)</f>
        <v>1986.7446880447606</v>
      </c>
      <c r="I24" s="48">
        <f>VLOOKUP($A24,observed!$C$2:$K$139,9,FALSE)</f>
        <v>1017.5788874538199</v>
      </c>
      <c r="J24" s="48">
        <f t="shared" si="0"/>
        <v>7657.6300000000019</v>
      </c>
      <c r="K24" s="59">
        <f>IFERROR(VLOOKUP($A24&amp;"-"&amp;TEXT($B24+19,0),md[[routeC]:[boarding_EV]],4,FALSE),"")</f>
        <v>0</v>
      </c>
      <c r="L24" s="59">
        <f>IFERROR(VLOOKUP($A24&amp;"-"&amp;TEXT($B24+19,0),md[[routeC]:[boarding_EV]],5,FALSE),"")</f>
        <v>0</v>
      </c>
      <c r="M24" s="59">
        <f>IFERROR(VLOOKUP($A24&amp;"-"&amp;TEXT($B24+19,0),md[[routeC]:[boarding_EV]],6,FALSE),"")</f>
        <v>0</v>
      </c>
      <c r="N24" s="59">
        <f>IFERROR(VLOOKUP($A24&amp;"-"&amp;TEXT($B24+19,0),md[[routeC]:[boarding_EV]],7,FALSE),"")</f>
        <v>0</v>
      </c>
      <c r="O24" s="59">
        <f>IFERROR(VLOOKUP($A24&amp;"-"&amp;TEXT($B24+19,0),md[[routeC]:[boarding_EV]],8,FALSE),"")</f>
        <v>0</v>
      </c>
      <c r="P24" s="59">
        <f t="shared" si="1"/>
        <v>0</v>
      </c>
      <c r="Q24" s="288">
        <f t="shared" si="2"/>
        <v>-1</v>
      </c>
      <c r="R24" s="287">
        <f t="shared" si="3"/>
        <v>58639297.216900028</v>
      </c>
    </row>
    <row r="25" spans="1:20" x14ac:dyDescent="0.3">
      <c r="A25" s="47">
        <v>350</v>
      </c>
      <c r="B25" s="47">
        <v>7</v>
      </c>
      <c r="C25" s="47" t="s">
        <v>10</v>
      </c>
      <c r="D25" s="47">
        <v>4</v>
      </c>
      <c r="E25" s="48">
        <f>VLOOKUP($A25,observed!$C$2:$K$139,5,FALSE)</f>
        <v>42.18</v>
      </c>
      <c r="F25" s="48">
        <f>VLOOKUP($A25,observed!$C$2:$K$139,6,FALSE)</f>
        <v>438.70200000000011</v>
      </c>
      <c r="G25" s="48">
        <f>VLOOKUP($A25,observed!$C$2:$K$139,7,FALSE)</f>
        <v>1003.9601052631556</v>
      </c>
      <c r="H25" s="48">
        <f>VLOOKUP($A25,observed!$C$2:$K$139,8,FALSE)</f>
        <v>446.25339473684465</v>
      </c>
      <c r="I25" s="48">
        <f>VLOOKUP($A25,observed!$C$2:$K$139,9,FALSE)</f>
        <v>116.16449999999966</v>
      </c>
      <c r="J25" s="48">
        <f t="shared" si="0"/>
        <v>2047.26</v>
      </c>
      <c r="K25" s="59">
        <f>IFERROR(VLOOKUP($A25&amp;"-"&amp;TEXT($B25+19,0),md[[routeC]:[boarding_EV]],4,FALSE),"")</f>
        <v>0</v>
      </c>
      <c r="L25" s="59">
        <f>IFERROR(VLOOKUP($A25&amp;"-"&amp;TEXT($B25+19,0),md[[routeC]:[boarding_EV]],5,FALSE),"")</f>
        <v>0</v>
      </c>
      <c r="M25" s="59">
        <f>IFERROR(VLOOKUP($A25&amp;"-"&amp;TEXT($B25+19,0),md[[routeC]:[boarding_EV]],6,FALSE),"")</f>
        <v>0</v>
      </c>
      <c r="N25" s="59">
        <f>IFERROR(VLOOKUP($A25&amp;"-"&amp;TEXT($B25+19,0),md[[routeC]:[boarding_EV]],7,FALSE),"")</f>
        <v>0</v>
      </c>
      <c r="O25" s="59">
        <f>IFERROR(VLOOKUP($A25&amp;"-"&amp;TEXT($B25+19,0),md[[routeC]:[boarding_EV]],8,FALSE),"")</f>
        <v>0</v>
      </c>
      <c r="P25" s="59">
        <f t="shared" si="1"/>
        <v>0</v>
      </c>
      <c r="Q25" s="288">
        <f t="shared" si="2"/>
        <v>-1</v>
      </c>
      <c r="R25" s="287">
        <f t="shared" si="3"/>
        <v>4191273.5076000001</v>
      </c>
    </row>
    <row r="26" spans="1:20" x14ac:dyDescent="0.3">
      <c r="A26" s="47">
        <v>1</v>
      </c>
      <c r="B26" s="47">
        <v>10</v>
      </c>
      <c r="C26" s="47" t="s">
        <v>0</v>
      </c>
      <c r="D26" s="47">
        <v>5</v>
      </c>
      <c r="E26" s="48">
        <f>VLOOKUP($A26,observed!$C$2:$K$139,5,FALSE)</f>
        <v>79.084685156651219</v>
      </c>
      <c r="F26" s="48">
        <f>VLOOKUP($A26,observed!$C$2:$K$139,6,FALSE)</f>
        <v>674.38103289960497</v>
      </c>
      <c r="G26" s="48">
        <f>VLOOKUP($A26,observed!$C$2:$K$139,7,FALSE)</f>
        <v>2410.8810218071703</v>
      </c>
      <c r="H26" s="48">
        <f>VLOOKUP($A26,observed!$C$2:$K$139,8,FALSE)</f>
        <v>1141.0123323892522</v>
      </c>
      <c r="I26" s="48">
        <f>VLOOKUP($A26,observed!$C$2:$K$139,9,FALSE)</f>
        <v>480.51092774732143</v>
      </c>
      <c r="J26" s="48">
        <f t="shared" si="0"/>
        <v>4785.87</v>
      </c>
      <c r="K26" s="59">
        <f>IFERROR(VLOOKUP($A26&amp;"-"&amp;TEXT($B26+19,0),md[[routeC]:[boarding_EV]],4,FALSE),"")</f>
        <v>0</v>
      </c>
      <c r="L26" s="59">
        <f>IFERROR(VLOOKUP($A26&amp;"-"&amp;TEXT($B26+19,0),md[[routeC]:[boarding_EV]],5,FALSE),"")</f>
        <v>0</v>
      </c>
      <c r="M26" s="59">
        <f>IFERROR(VLOOKUP($A26&amp;"-"&amp;TEXT($B26+19,0),md[[routeC]:[boarding_EV]],6,FALSE),"")</f>
        <v>0</v>
      </c>
      <c r="N26" s="59">
        <f>IFERROR(VLOOKUP($A26&amp;"-"&amp;TEXT($B26+19,0),md[[routeC]:[boarding_EV]],7,FALSE),"")</f>
        <v>0</v>
      </c>
      <c r="O26" s="59">
        <f>IFERROR(VLOOKUP($A26&amp;"-"&amp;TEXT($B26+19,0),md[[routeC]:[boarding_EV]],8,FALSE),"")</f>
        <v>0</v>
      </c>
      <c r="P26" s="59">
        <f t="shared" si="1"/>
        <v>0</v>
      </c>
      <c r="Q26" s="288">
        <f t="shared" si="2"/>
        <v>-1</v>
      </c>
      <c r="R26" s="287">
        <f t="shared" si="3"/>
        <v>22904551.6569</v>
      </c>
      <c r="T26" s="261"/>
    </row>
    <row r="27" spans="1:20" x14ac:dyDescent="0.3">
      <c r="A27" s="47">
        <v>2</v>
      </c>
      <c r="B27" s="47">
        <v>10</v>
      </c>
      <c r="C27" s="47" t="s">
        <v>0</v>
      </c>
      <c r="D27" s="47">
        <v>5</v>
      </c>
      <c r="E27" s="48">
        <f>VLOOKUP($A27,observed!$C$2:$K$139,5,FALSE)</f>
        <v>67.694236453201952</v>
      </c>
      <c r="F27" s="48">
        <f>VLOOKUP($A27,observed!$C$2:$K$139,6,FALSE)</f>
        <v>724.98387165490612</v>
      </c>
      <c r="G27" s="48">
        <f>VLOOKUP($A27,observed!$C$2:$K$139,7,FALSE)</f>
        <v>1566.4937430488624</v>
      </c>
      <c r="H27" s="48">
        <f>VLOOKUP($A27,observed!$C$2:$K$139,8,FALSE)</f>
        <v>964.42564334852523</v>
      </c>
      <c r="I27" s="48">
        <f>VLOOKUP($A27,observed!$C$2:$K$139,9,FALSE)</f>
        <v>388.33250549450395</v>
      </c>
      <c r="J27" s="48">
        <f t="shared" si="0"/>
        <v>3711.93</v>
      </c>
      <c r="K27" s="59">
        <f>IFERROR(VLOOKUP($A27&amp;"-"&amp;TEXT($B27+19,0),md[[routeC]:[boarding_EV]],4,FALSE),"")</f>
        <v>0</v>
      </c>
      <c r="L27" s="59">
        <f>IFERROR(VLOOKUP($A27&amp;"-"&amp;TEXT($B27+19,0),md[[routeC]:[boarding_EV]],5,FALSE),"")</f>
        <v>0</v>
      </c>
      <c r="M27" s="59">
        <f>IFERROR(VLOOKUP($A27&amp;"-"&amp;TEXT($B27+19,0),md[[routeC]:[boarding_EV]],6,FALSE),"")</f>
        <v>0</v>
      </c>
      <c r="N27" s="59">
        <f>IFERROR(VLOOKUP($A27&amp;"-"&amp;TEXT($B27+19,0),md[[routeC]:[boarding_EV]],7,FALSE),"")</f>
        <v>0</v>
      </c>
      <c r="O27" s="59">
        <f>IFERROR(VLOOKUP($A27&amp;"-"&amp;TEXT($B27+19,0),md[[routeC]:[boarding_EV]],8,FALSE),"")</f>
        <v>0</v>
      </c>
      <c r="P27" s="59">
        <f t="shared" si="1"/>
        <v>0</v>
      </c>
      <c r="Q27" s="288">
        <f t="shared" si="2"/>
        <v>-1</v>
      </c>
      <c r="R27" s="287">
        <f t="shared" si="3"/>
        <v>13778424.324899999</v>
      </c>
    </row>
    <row r="28" spans="1:20" x14ac:dyDescent="0.3">
      <c r="A28" s="47">
        <v>3</v>
      </c>
      <c r="B28" s="47">
        <v>10</v>
      </c>
      <c r="C28" s="47" t="s">
        <v>0</v>
      </c>
      <c r="D28" s="47">
        <v>5</v>
      </c>
      <c r="E28" s="48">
        <f>VLOOKUP($A28,observed!$C$2:$K$139,5,FALSE)</f>
        <v>97.604630844954869</v>
      </c>
      <c r="F28" s="48">
        <f>VLOOKUP($A28,observed!$C$2:$K$139,6,FALSE)</f>
        <v>1070.2351672912118</v>
      </c>
      <c r="G28" s="48">
        <f>VLOOKUP($A28,observed!$C$2:$K$139,7,FALSE)</f>
        <v>2887.5392578078863</v>
      </c>
      <c r="H28" s="48">
        <f>VLOOKUP($A28,observed!$C$2:$K$139,8,FALSE)</f>
        <v>1396.9119571937842</v>
      </c>
      <c r="I28" s="48">
        <f>VLOOKUP($A28,observed!$C$2:$K$139,9,FALSE)</f>
        <v>509.25898686216311</v>
      </c>
      <c r="J28" s="48">
        <f t="shared" si="0"/>
        <v>5961.5500000000011</v>
      </c>
      <c r="K28" s="59">
        <f>IFERROR(VLOOKUP($A28&amp;"-"&amp;TEXT($B28+19,0),md[[routeC]:[boarding_EV]],4,FALSE),"")</f>
        <v>0</v>
      </c>
      <c r="L28" s="59">
        <f>IFERROR(VLOOKUP($A28&amp;"-"&amp;TEXT($B28+19,0),md[[routeC]:[boarding_EV]],5,FALSE),"")</f>
        <v>0</v>
      </c>
      <c r="M28" s="59">
        <f>IFERROR(VLOOKUP($A28&amp;"-"&amp;TEXT($B28+19,0),md[[routeC]:[boarding_EV]],6,FALSE),"")</f>
        <v>0</v>
      </c>
      <c r="N28" s="59">
        <f>IFERROR(VLOOKUP($A28&amp;"-"&amp;TEXT($B28+19,0),md[[routeC]:[boarding_EV]],7,FALSE),"")</f>
        <v>0</v>
      </c>
      <c r="O28" s="59">
        <f>IFERROR(VLOOKUP($A28&amp;"-"&amp;TEXT($B28+19,0),md[[routeC]:[boarding_EV]],8,FALSE),"")</f>
        <v>0</v>
      </c>
      <c r="P28" s="59">
        <f t="shared" si="1"/>
        <v>0</v>
      </c>
      <c r="Q28" s="288">
        <f t="shared" si="2"/>
        <v>-1</v>
      </c>
      <c r="R28" s="287">
        <f t="shared" si="3"/>
        <v>35540078.402500011</v>
      </c>
    </row>
    <row r="29" spans="1:20" x14ac:dyDescent="0.3">
      <c r="A29" s="47">
        <v>4</v>
      </c>
      <c r="B29" s="47">
        <v>10</v>
      </c>
      <c r="C29" s="47" t="s">
        <v>0</v>
      </c>
      <c r="D29" s="47">
        <v>5</v>
      </c>
      <c r="E29" s="48">
        <f>VLOOKUP($A29,observed!$C$2:$K$139,5,FALSE)</f>
        <v>60.585499999999996</v>
      </c>
      <c r="F29" s="48">
        <f>VLOOKUP($A29,observed!$C$2:$K$139,6,FALSE)</f>
        <v>450.0163</v>
      </c>
      <c r="G29" s="48">
        <f>VLOOKUP($A29,observed!$C$2:$K$139,7,FALSE)</f>
        <v>1128.6425678799651</v>
      </c>
      <c r="H29" s="48">
        <f>VLOOKUP($A29,observed!$C$2:$K$139,8,FALSE)</f>
        <v>736.59914729640946</v>
      </c>
      <c r="I29" s="48">
        <f>VLOOKUP($A29,observed!$C$2:$K$139,9,FALSE)</f>
        <v>323.35648482362535</v>
      </c>
      <c r="J29" s="48">
        <f t="shared" si="0"/>
        <v>2699.2</v>
      </c>
      <c r="K29" s="59">
        <f>IFERROR(VLOOKUP($A29&amp;"-"&amp;TEXT($B29+19,0),md[[routeC]:[boarding_EV]],4,FALSE),"")</f>
        <v>0</v>
      </c>
      <c r="L29" s="59">
        <f>IFERROR(VLOOKUP($A29&amp;"-"&amp;TEXT($B29+19,0),md[[routeC]:[boarding_EV]],5,FALSE),"")</f>
        <v>0</v>
      </c>
      <c r="M29" s="59">
        <f>IFERROR(VLOOKUP($A29&amp;"-"&amp;TEXT($B29+19,0),md[[routeC]:[boarding_EV]],6,FALSE),"")</f>
        <v>0</v>
      </c>
      <c r="N29" s="59">
        <f>IFERROR(VLOOKUP($A29&amp;"-"&amp;TEXT($B29+19,0),md[[routeC]:[boarding_EV]],7,FALSE),"")</f>
        <v>0</v>
      </c>
      <c r="O29" s="59">
        <f>IFERROR(VLOOKUP($A29&amp;"-"&amp;TEXT($B29+19,0),md[[routeC]:[boarding_EV]],8,FALSE),"")</f>
        <v>0</v>
      </c>
      <c r="P29" s="59">
        <f t="shared" si="1"/>
        <v>0</v>
      </c>
      <c r="Q29" s="288">
        <f t="shared" si="2"/>
        <v>-1</v>
      </c>
      <c r="R29" s="287">
        <f t="shared" si="3"/>
        <v>7285680.6399999987</v>
      </c>
    </row>
    <row r="30" spans="1:20" x14ac:dyDescent="0.3">
      <c r="A30" s="47">
        <v>5</v>
      </c>
      <c r="B30" s="47">
        <v>10</v>
      </c>
      <c r="C30" s="47" t="s">
        <v>0</v>
      </c>
      <c r="D30" s="47">
        <v>5</v>
      </c>
      <c r="E30" s="48">
        <f>VLOOKUP($A30,observed!$C$2:$K$139,5,FALSE)</f>
        <v>61.532026315789423</v>
      </c>
      <c r="F30" s="48">
        <f>VLOOKUP($A30,observed!$C$2:$K$139,6,FALSE)</f>
        <v>628.2115570175439</v>
      </c>
      <c r="G30" s="48">
        <f>VLOOKUP($A30,observed!$C$2:$K$139,7,FALSE)</f>
        <v>1420.6413999442561</v>
      </c>
      <c r="H30" s="48">
        <f>VLOOKUP($A30,observed!$C$2:$K$139,8,FALSE)</f>
        <v>791.8716833890777</v>
      </c>
      <c r="I30" s="48">
        <f>VLOOKUP($A30,observed!$C$2:$K$139,9,FALSE)</f>
        <v>247.0433333333325</v>
      </c>
      <c r="J30" s="48">
        <f t="shared" si="0"/>
        <v>3149.2999999999997</v>
      </c>
      <c r="K30" s="59">
        <f>IFERROR(VLOOKUP($A30&amp;"-"&amp;TEXT($B30+19,0),md[[routeC]:[boarding_EV]],4,FALSE),"")</f>
        <v>0</v>
      </c>
      <c r="L30" s="59">
        <f>IFERROR(VLOOKUP($A30&amp;"-"&amp;TEXT($B30+19,0),md[[routeC]:[boarding_EV]],5,FALSE),"")</f>
        <v>0</v>
      </c>
      <c r="M30" s="59">
        <f>IFERROR(VLOOKUP($A30&amp;"-"&amp;TEXT($B30+19,0),md[[routeC]:[boarding_EV]],6,FALSE),"")</f>
        <v>0</v>
      </c>
      <c r="N30" s="59">
        <f>IFERROR(VLOOKUP($A30&amp;"-"&amp;TEXT($B30+19,0),md[[routeC]:[boarding_EV]],7,FALSE),"")</f>
        <v>0</v>
      </c>
      <c r="O30" s="59">
        <f>IFERROR(VLOOKUP($A30&amp;"-"&amp;TEXT($B30+19,0),md[[routeC]:[boarding_EV]],8,FALSE),"")</f>
        <v>0</v>
      </c>
      <c r="P30" s="59">
        <f t="shared" si="1"/>
        <v>0</v>
      </c>
      <c r="Q30" s="288">
        <f t="shared" si="2"/>
        <v>-1</v>
      </c>
      <c r="R30" s="287">
        <f t="shared" si="3"/>
        <v>9918090.4899999984</v>
      </c>
    </row>
    <row r="31" spans="1:20" x14ac:dyDescent="0.3">
      <c r="A31" s="47">
        <v>6</v>
      </c>
      <c r="B31" s="47">
        <v>10</v>
      </c>
      <c r="C31" s="47" t="s">
        <v>0</v>
      </c>
      <c r="D31" s="47">
        <v>5</v>
      </c>
      <c r="E31" s="48">
        <f>VLOOKUP($A31,observed!$C$2:$K$139,5,FALSE)</f>
        <v>18.227894736842096</v>
      </c>
      <c r="F31" s="48">
        <f>VLOOKUP($A31,observed!$C$2:$K$139,6,FALSE)</f>
        <v>280.32008945288118</v>
      </c>
      <c r="G31" s="48">
        <f>VLOOKUP($A31,observed!$C$2:$K$139,7,FALSE)</f>
        <v>841.50509052291966</v>
      </c>
      <c r="H31" s="48">
        <f>VLOOKUP($A31,observed!$C$2:$K$139,8,FALSE)</f>
        <v>416.73692528735728</v>
      </c>
      <c r="I31" s="48">
        <f>VLOOKUP($A31,observed!$C$2:$K$139,9,FALSE)</f>
        <v>170.26000000000002</v>
      </c>
      <c r="J31" s="48">
        <f t="shared" si="0"/>
        <v>1727.0500000000002</v>
      </c>
      <c r="K31" s="59">
        <f>IFERROR(VLOOKUP($A31&amp;"-"&amp;TEXT($B31+19,0),md[[routeC]:[boarding_EV]],4,FALSE),"")</f>
        <v>0</v>
      </c>
      <c r="L31" s="59">
        <f>IFERROR(VLOOKUP($A31&amp;"-"&amp;TEXT($B31+19,0),md[[routeC]:[boarding_EV]],5,FALSE),"")</f>
        <v>0</v>
      </c>
      <c r="M31" s="59">
        <f>IFERROR(VLOOKUP($A31&amp;"-"&amp;TEXT($B31+19,0),md[[routeC]:[boarding_EV]],6,FALSE),"")</f>
        <v>0</v>
      </c>
      <c r="N31" s="59">
        <f>IFERROR(VLOOKUP($A31&amp;"-"&amp;TEXT($B31+19,0),md[[routeC]:[boarding_EV]],7,FALSE),"")</f>
        <v>0</v>
      </c>
      <c r="O31" s="59">
        <f>IFERROR(VLOOKUP($A31&amp;"-"&amp;TEXT($B31+19,0),md[[routeC]:[boarding_EV]],8,FALSE),"")</f>
        <v>0</v>
      </c>
      <c r="P31" s="59">
        <f t="shared" si="1"/>
        <v>0</v>
      </c>
      <c r="Q31" s="288">
        <f t="shared" si="2"/>
        <v>-1</v>
      </c>
      <c r="R31" s="287">
        <f t="shared" si="3"/>
        <v>2982701.7025000006</v>
      </c>
    </row>
    <row r="32" spans="1:20" x14ac:dyDescent="0.3">
      <c r="A32" s="47">
        <v>7</v>
      </c>
      <c r="B32" s="47">
        <v>10</v>
      </c>
      <c r="C32" s="47" t="s">
        <v>0</v>
      </c>
      <c r="D32" s="47">
        <v>5</v>
      </c>
      <c r="E32" s="48">
        <f>VLOOKUP($A32,observed!$C$2:$K$139,5,FALSE)</f>
        <v>187.50530816512364</v>
      </c>
      <c r="F32" s="48">
        <f>VLOOKUP($A32,observed!$C$2:$K$139,6,FALSE)</f>
        <v>1579.4288393467234</v>
      </c>
      <c r="G32" s="48">
        <f>VLOOKUP($A32,observed!$C$2:$K$139,7,FALSE)</f>
        <v>4250.5428358381314</v>
      </c>
      <c r="H32" s="48">
        <f>VLOOKUP($A32,observed!$C$2:$K$139,8,FALSE)</f>
        <v>2176.9602055165738</v>
      </c>
      <c r="I32" s="48">
        <f>VLOOKUP($A32,observed!$C$2:$K$139,9,FALSE)</f>
        <v>1026.0528111334481</v>
      </c>
      <c r="J32" s="48">
        <f t="shared" si="0"/>
        <v>9220.49</v>
      </c>
      <c r="K32" s="59">
        <f>IFERROR(VLOOKUP($A32&amp;"-"&amp;TEXT($B32+19,0),md[[routeC]:[boarding_EV]],4,FALSE),"")</f>
        <v>0</v>
      </c>
      <c r="L32" s="59">
        <f>IFERROR(VLOOKUP($A32&amp;"-"&amp;TEXT($B32+19,0),md[[routeC]:[boarding_EV]],5,FALSE),"")</f>
        <v>0</v>
      </c>
      <c r="M32" s="59">
        <f>IFERROR(VLOOKUP($A32&amp;"-"&amp;TEXT($B32+19,0),md[[routeC]:[boarding_EV]],6,FALSE),"")</f>
        <v>0</v>
      </c>
      <c r="N32" s="59">
        <f>IFERROR(VLOOKUP($A32&amp;"-"&amp;TEXT($B32+19,0),md[[routeC]:[boarding_EV]],7,FALSE),"")</f>
        <v>0</v>
      </c>
      <c r="O32" s="59">
        <f>IFERROR(VLOOKUP($A32&amp;"-"&amp;TEXT($B32+19,0),md[[routeC]:[boarding_EV]],8,FALSE),"")</f>
        <v>0</v>
      </c>
      <c r="P32" s="59">
        <f t="shared" si="1"/>
        <v>0</v>
      </c>
      <c r="Q32" s="288">
        <f t="shared" si="2"/>
        <v>-1</v>
      </c>
      <c r="R32" s="287">
        <f t="shared" si="3"/>
        <v>85017435.84009999</v>
      </c>
    </row>
    <row r="33" spans="1:18" x14ac:dyDescent="0.3">
      <c r="A33" s="47">
        <v>8</v>
      </c>
      <c r="B33" s="47">
        <v>10</v>
      </c>
      <c r="C33" s="47" t="s">
        <v>0</v>
      </c>
      <c r="D33" s="47">
        <v>5</v>
      </c>
      <c r="E33" s="48">
        <f>VLOOKUP($A33,observed!$C$2:$K$139,5,FALSE)</f>
        <v>26.605263157894747</v>
      </c>
      <c r="F33" s="48">
        <f>VLOOKUP($A33,observed!$C$2:$K$139,6,FALSE)</f>
        <v>188.22598684210519</v>
      </c>
      <c r="G33" s="48">
        <f>VLOOKUP($A33,observed!$C$2:$K$139,7,FALSE)</f>
        <v>681.28066111111002</v>
      </c>
      <c r="H33" s="48">
        <f>VLOOKUP($A33,observed!$C$2:$K$139,8,FALSE)</f>
        <v>381.10308888889034</v>
      </c>
      <c r="I33" s="48">
        <f>VLOOKUP($A33,observed!$C$2:$K$139,9,FALSE)</f>
        <v>172.45499999999964</v>
      </c>
      <c r="J33" s="48">
        <f t="shared" si="0"/>
        <v>1449.67</v>
      </c>
      <c r="K33" s="59">
        <f>IFERROR(VLOOKUP($A33&amp;"-"&amp;TEXT($B33+19,0),md[[routeC]:[boarding_EV]],4,FALSE),"")</f>
        <v>0</v>
      </c>
      <c r="L33" s="59">
        <f>IFERROR(VLOOKUP($A33&amp;"-"&amp;TEXT($B33+19,0),md[[routeC]:[boarding_EV]],5,FALSE),"")</f>
        <v>0</v>
      </c>
      <c r="M33" s="59">
        <f>IFERROR(VLOOKUP($A33&amp;"-"&amp;TEXT($B33+19,0),md[[routeC]:[boarding_EV]],6,FALSE),"")</f>
        <v>0</v>
      </c>
      <c r="N33" s="59">
        <f>IFERROR(VLOOKUP($A33&amp;"-"&amp;TEXT($B33+19,0),md[[routeC]:[boarding_EV]],7,FALSE),"")</f>
        <v>0</v>
      </c>
      <c r="O33" s="59">
        <f>IFERROR(VLOOKUP($A33&amp;"-"&amp;TEXT($B33+19,0),md[[routeC]:[boarding_EV]],8,FALSE),"")</f>
        <v>0</v>
      </c>
      <c r="P33" s="59">
        <f t="shared" si="1"/>
        <v>0</v>
      </c>
      <c r="Q33" s="288">
        <f t="shared" si="2"/>
        <v>-1</v>
      </c>
      <c r="R33" s="287">
        <f t="shared" si="3"/>
        <v>2101543.1089000003</v>
      </c>
    </row>
    <row r="34" spans="1:18" x14ac:dyDescent="0.3">
      <c r="A34" s="47">
        <v>9</v>
      </c>
      <c r="B34" s="47">
        <v>10</v>
      </c>
      <c r="C34" s="47" t="s">
        <v>0</v>
      </c>
      <c r="D34" s="47">
        <v>5</v>
      </c>
      <c r="E34" s="48">
        <f>VLOOKUP($A34,observed!$C$2:$K$139,5,FALSE)</f>
        <v>4.463529411764708</v>
      </c>
      <c r="F34" s="48">
        <f>VLOOKUP($A34,observed!$C$2:$K$139,6,FALSE)</f>
        <v>201.95393140328235</v>
      </c>
      <c r="G34" s="48">
        <f>VLOOKUP($A34,observed!$C$2:$K$139,7,FALSE)</f>
        <v>640.91005269846562</v>
      </c>
      <c r="H34" s="48">
        <f>VLOOKUP($A34,observed!$C$2:$K$139,8,FALSE)</f>
        <v>353.40538971229387</v>
      </c>
      <c r="I34" s="48">
        <f>VLOOKUP($A34,observed!$C$2:$K$139,9,FALSE)</f>
        <v>98.137096774193381</v>
      </c>
      <c r="J34" s="48">
        <f t="shared" si="0"/>
        <v>1298.8700000000001</v>
      </c>
      <c r="K34" s="59">
        <f>IFERROR(VLOOKUP($A34&amp;"-"&amp;TEXT($B34+19,0),md[[routeC]:[boarding_EV]],4,FALSE),"")</f>
        <v>0</v>
      </c>
      <c r="L34" s="59">
        <f>IFERROR(VLOOKUP($A34&amp;"-"&amp;TEXT($B34+19,0),md[[routeC]:[boarding_EV]],5,FALSE),"")</f>
        <v>0</v>
      </c>
      <c r="M34" s="59">
        <f>IFERROR(VLOOKUP($A34&amp;"-"&amp;TEXT($B34+19,0),md[[routeC]:[boarding_EV]],6,FALSE),"")</f>
        <v>0</v>
      </c>
      <c r="N34" s="59">
        <f>IFERROR(VLOOKUP($A34&amp;"-"&amp;TEXT($B34+19,0),md[[routeC]:[boarding_EV]],7,FALSE),"")</f>
        <v>0</v>
      </c>
      <c r="O34" s="59">
        <f>IFERROR(VLOOKUP($A34&amp;"-"&amp;TEXT($B34+19,0),md[[routeC]:[boarding_EV]],8,FALSE),"")</f>
        <v>0</v>
      </c>
      <c r="P34" s="59">
        <f t="shared" si="1"/>
        <v>0</v>
      </c>
      <c r="Q34" s="288">
        <f t="shared" si="2"/>
        <v>-1</v>
      </c>
      <c r="R34" s="287">
        <f t="shared" si="3"/>
        <v>1687063.2769000004</v>
      </c>
    </row>
    <row r="35" spans="1:18" x14ac:dyDescent="0.3">
      <c r="A35" s="47">
        <v>11</v>
      </c>
      <c r="B35" s="47">
        <v>10</v>
      </c>
      <c r="C35" s="47" t="s">
        <v>0</v>
      </c>
      <c r="D35" s="47">
        <v>5</v>
      </c>
      <c r="E35" s="48">
        <f>VLOOKUP($A35,observed!$C$2:$K$139,5,FALSE)</f>
        <v>169.20255369843977</v>
      </c>
      <c r="F35" s="48">
        <f>VLOOKUP($A35,observed!$C$2:$K$139,6,FALSE)</f>
        <v>1648.8545165431465</v>
      </c>
      <c r="G35" s="48">
        <f>VLOOKUP($A35,observed!$C$2:$K$139,7,FALSE)</f>
        <v>3591.9043751812587</v>
      </c>
      <c r="H35" s="48">
        <f>VLOOKUP($A35,observed!$C$2:$K$139,8,FALSE)</f>
        <v>2096.3592853196274</v>
      </c>
      <c r="I35" s="48">
        <f>VLOOKUP($A35,observed!$C$2:$K$139,9,FALSE)</f>
        <v>649.49926925752891</v>
      </c>
      <c r="J35" s="48">
        <f t="shared" si="0"/>
        <v>8155.8200000000015</v>
      </c>
      <c r="K35" s="59">
        <f>IFERROR(VLOOKUP($A35&amp;"-"&amp;TEXT($B35+19,0),md[[routeC]:[boarding_EV]],4,FALSE),"")</f>
        <v>0</v>
      </c>
      <c r="L35" s="59">
        <f>IFERROR(VLOOKUP($A35&amp;"-"&amp;TEXT($B35+19,0),md[[routeC]:[boarding_EV]],5,FALSE),"")</f>
        <v>0</v>
      </c>
      <c r="M35" s="59">
        <f>IFERROR(VLOOKUP($A35&amp;"-"&amp;TEXT($B35+19,0),md[[routeC]:[boarding_EV]],6,FALSE),"")</f>
        <v>0</v>
      </c>
      <c r="N35" s="59">
        <f>IFERROR(VLOOKUP($A35&amp;"-"&amp;TEXT($B35+19,0),md[[routeC]:[boarding_EV]],7,FALSE),"")</f>
        <v>0</v>
      </c>
      <c r="O35" s="59">
        <f>IFERROR(VLOOKUP($A35&amp;"-"&amp;TEXT($B35+19,0),md[[routeC]:[boarding_EV]],8,FALSE),"")</f>
        <v>0</v>
      </c>
      <c r="P35" s="59">
        <f t="shared" si="1"/>
        <v>0</v>
      </c>
      <c r="Q35" s="288">
        <f t="shared" si="2"/>
        <v>-1</v>
      </c>
      <c r="R35" s="287">
        <f t="shared" si="3"/>
        <v>66517399.872400023</v>
      </c>
    </row>
    <row r="36" spans="1:18" x14ac:dyDescent="0.3">
      <c r="A36" s="47">
        <v>13</v>
      </c>
      <c r="B36" s="47">
        <v>10</v>
      </c>
      <c r="C36" s="47" t="s">
        <v>0</v>
      </c>
      <c r="D36" s="47">
        <v>5</v>
      </c>
      <c r="E36" s="48">
        <f>VLOOKUP($A36,observed!$C$2:$K$139,5,FALSE)</f>
        <v>173.6163673444276</v>
      </c>
      <c r="F36" s="48">
        <f>VLOOKUP($A36,observed!$C$2:$K$139,6,FALSE)</f>
        <v>1383.9710793477545</v>
      </c>
      <c r="G36" s="48">
        <f>VLOOKUP($A36,observed!$C$2:$K$139,7,FALSE)</f>
        <v>3098.831014846276</v>
      </c>
      <c r="H36" s="48">
        <f>VLOOKUP($A36,observed!$C$2:$K$139,8,FALSE)</f>
        <v>1623.0986658273853</v>
      </c>
      <c r="I36" s="48">
        <f>VLOOKUP($A36,observed!$C$2:$K$139,9,FALSE)</f>
        <v>555.74287263415658</v>
      </c>
      <c r="J36" s="48">
        <f t="shared" si="0"/>
        <v>6835.26</v>
      </c>
      <c r="K36" s="59">
        <f>IFERROR(VLOOKUP($A36&amp;"-"&amp;TEXT($B36+19,0),md[[routeC]:[boarding_EV]],4,FALSE),"")</f>
        <v>0</v>
      </c>
      <c r="L36" s="59">
        <f>IFERROR(VLOOKUP($A36&amp;"-"&amp;TEXT($B36+19,0),md[[routeC]:[boarding_EV]],5,FALSE),"")</f>
        <v>0</v>
      </c>
      <c r="M36" s="59">
        <f>IFERROR(VLOOKUP($A36&amp;"-"&amp;TEXT($B36+19,0),md[[routeC]:[boarding_EV]],6,FALSE),"")</f>
        <v>0</v>
      </c>
      <c r="N36" s="59">
        <f>IFERROR(VLOOKUP($A36&amp;"-"&amp;TEXT($B36+19,0),md[[routeC]:[boarding_EV]],7,FALSE),"")</f>
        <v>0</v>
      </c>
      <c r="O36" s="59">
        <f>IFERROR(VLOOKUP($A36&amp;"-"&amp;TEXT($B36+19,0),md[[routeC]:[boarding_EV]],8,FALSE),"")</f>
        <v>0</v>
      </c>
      <c r="P36" s="59">
        <f t="shared" si="1"/>
        <v>0</v>
      </c>
      <c r="Q36" s="288">
        <f t="shared" si="2"/>
        <v>-1</v>
      </c>
      <c r="R36" s="287">
        <f t="shared" si="3"/>
        <v>46720779.2676</v>
      </c>
    </row>
    <row r="37" spans="1:18" x14ac:dyDescent="0.3">
      <c r="A37" s="47">
        <v>14</v>
      </c>
      <c r="B37" s="47">
        <v>10</v>
      </c>
      <c r="C37" s="47" t="s">
        <v>0</v>
      </c>
      <c r="D37" s="47">
        <v>5</v>
      </c>
      <c r="E37" s="48">
        <f>VLOOKUP($A37,observed!$C$2:$K$139,5,FALSE)</f>
        <v>3.7499999999999996</v>
      </c>
      <c r="F37" s="48">
        <f>VLOOKUP($A37,observed!$C$2:$K$139,6,FALSE)</f>
        <v>62.508865248226954</v>
      </c>
      <c r="G37" s="48">
        <f>VLOOKUP($A37,observed!$C$2:$K$139,7,FALSE)</f>
        <v>128.74113475177305</v>
      </c>
      <c r="H37" s="48">
        <f>VLOOKUP($A37,observed!$C$2:$K$139,8,FALSE)</f>
        <v>60.82608695652182</v>
      </c>
      <c r="I37" s="48">
        <f>VLOOKUP($A37,observed!$C$2:$K$139,9,FALSE)</f>
        <v>4.1739130434781773</v>
      </c>
      <c r="J37" s="48">
        <f t="shared" si="0"/>
        <v>260</v>
      </c>
      <c r="K37" s="59">
        <f>IFERROR(VLOOKUP($A37&amp;"-"&amp;TEXT($B37+19,0),md[[routeC]:[boarding_EV]],4,FALSE),"")</f>
        <v>0</v>
      </c>
      <c r="L37" s="59">
        <f>IFERROR(VLOOKUP($A37&amp;"-"&amp;TEXT($B37+19,0),md[[routeC]:[boarding_EV]],5,FALSE),"")</f>
        <v>0</v>
      </c>
      <c r="M37" s="59">
        <f>IFERROR(VLOOKUP($A37&amp;"-"&amp;TEXT($B37+19,0),md[[routeC]:[boarding_EV]],6,FALSE),"")</f>
        <v>0</v>
      </c>
      <c r="N37" s="59">
        <f>IFERROR(VLOOKUP($A37&amp;"-"&amp;TEXT($B37+19,0),md[[routeC]:[boarding_EV]],7,FALSE),"")</f>
        <v>0</v>
      </c>
      <c r="O37" s="59">
        <f>IFERROR(VLOOKUP($A37&amp;"-"&amp;TEXT($B37+19,0),md[[routeC]:[boarding_EV]],8,FALSE),"")</f>
        <v>0</v>
      </c>
      <c r="P37" s="59">
        <f t="shared" si="1"/>
        <v>0</v>
      </c>
      <c r="Q37" s="288">
        <f t="shared" si="2"/>
        <v>-1</v>
      </c>
      <c r="R37" s="287">
        <f t="shared" si="3"/>
        <v>67600</v>
      </c>
    </row>
    <row r="38" spans="1:18" x14ac:dyDescent="0.3">
      <c r="A38" s="47">
        <v>18</v>
      </c>
      <c r="B38" s="47">
        <v>10</v>
      </c>
      <c r="C38" s="47" t="s">
        <v>0</v>
      </c>
      <c r="D38" s="47">
        <v>5</v>
      </c>
      <c r="E38" s="48">
        <f>VLOOKUP($A38,observed!$C$2:$K$139,5,FALSE)</f>
        <v>0</v>
      </c>
      <c r="F38" s="48">
        <f>VLOOKUP($A38,observed!$C$2:$K$139,6,FALSE)</f>
        <v>38</v>
      </c>
      <c r="G38" s="48">
        <f>VLOOKUP($A38,observed!$C$2:$K$139,7,FALSE)</f>
        <v>70.999999999999929</v>
      </c>
      <c r="H38" s="48">
        <f>VLOOKUP($A38,observed!$C$2:$K$139,8,FALSE)</f>
        <v>32.000000000000064</v>
      </c>
      <c r="I38" s="48">
        <f>VLOOKUP($A38,observed!$C$2:$K$139,9,FALSE)</f>
        <v>0</v>
      </c>
      <c r="J38" s="48">
        <f t="shared" si="0"/>
        <v>141</v>
      </c>
      <c r="K38" s="59">
        <f>IFERROR(VLOOKUP($A38&amp;"-"&amp;TEXT($B38+19,0),md[[routeC]:[boarding_EV]],4,FALSE),"")</f>
        <v>0</v>
      </c>
      <c r="L38" s="59">
        <f>IFERROR(VLOOKUP($A38&amp;"-"&amp;TEXT($B38+19,0),md[[routeC]:[boarding_EV]],5,FALSE),"")</f>
        <v>0</v>
      </c>
      <c r="M38" s="59">
        <f>IFERROR(VLOOKUP($A38&amp;"-"&amp;TEXT($B38+19,0),md[[routeC]:[boarding_EV]],6,FALSE),"")</f>
        <v>0</v>
      </c>
      <c r="N38" s="59">
        <f>IFERROR(VLOOKUP($A38&amp;"-"&amp;TEXT($B38+19,0),md[[routeC]:[boarding_EV]],7,FALSE),"")</f>
        <v>0</v>
      </c>
      <c r="O38" s="59">
        <f>IFERROR(VLOOKUP($A38&amp;"-"&amp;TEXT($B38+19,0),md[[routeC]:[boarding_EV]],8,FALSE),"")</f>
        <v>0</v>
      </c>
      <c r="P38" s="59">
        <f t="shared" si="1"/>
        <v>0</v>
      </c>
      <c r="Q38" s="288">
        <f t="shared" si="2"/>
        <v>-1</v>
      </c>
      <c r="R38" s="287">
        <f t="shared" si="3"/>
        <v>19881</v>
      </c>
    </row>
    <row r="39" spans="1:18" x14ac:dyDescent="0.3">
      <c r="A39" s="47">
        <v>25</v>
      </c>
      <c r="B39" s="47">
        <v>10</v>
      </c>
      <c r="C39" s="47" t="s">
        <v>0</v>
      </c>
      <c r="D39" s="47">
        <v>5</v>
      </c>
      <c r="E39" s="48">
        <f>VLOOKUP($A39,observed!$C$2:$K$139,5,FALSE)</f>
        <v>0</v>
      </c>
      <c r="F39" s="48">
        <f>VLOOKUP($A39,observed!$C$2:$K$139,6,FALSE)</f>
        <v>107.49056603773583</v>
      </c>
      <c r="G39" s="48">
        <f>VLOOKUP($A39,observed!$C$2:$K$139,7,FALSE)</f>
        <v>193.56965805189972</v>
      </c>
      <c r="H39" s="48">
        <f>VLOOKUP($A39,observed!$C$2:$K$139,8,FALSE)</f>
        <v>102.17507002801172</v>
      </c>
      <c r="I39" s="48">
        <f>VLOOKUP($A39,observed!$C$2:$K$139,9,FALSE)</f>
        <v>3.7647058823527244</v>
      </c>
      <c r="J39" s="48">
        <f t="shared" si="0"/>
        <v>406.99999999999994</v>
      </c>
      <c r="K39" s="59">
        <f>IFERROR(VLOOKUP($A39&amp;"-"&amp;TEXT($B39+19,0),md[[routeC]:[boarding_EV]],4,FALSE),"")</f>
        <v>0</v>
      </c>
      <c r="L39" s="59">
        <f>IFERROR(VLOOKUP($A39&amp;"-"&amp;TEXT($B39+19,0),md[[routeC]:[boarding_EV]],5,FALSE),"")</f>
        <v>0</v>
      </c>
      <c r="M39" s="59">
        <f>IFERROR(VLOOKUP($A39&amp;"-"&amp;TEXT($B39+19,0),md[[routeC]:[boarding_EV]],6,FALSE),"")</f>
        <v>0</v>
      </c>
      <c r="N39" s="59">
        <f>IFERROR(VLOOKUP($A39&amp;"-"&amp;TEXT($B39+19,0),md[[routeC]:[boarding_EV]],7,FALSE),"")</f>
        <v>0</v>
      </c>
      <c r="O39" s="59">
        <f>IFERROR(VLOOKUP($A39&amp;"-"&amp;TEXT($B39+19,0),md[[routeC]:[boarding_EV]],8,FALSE),"")</f>
        <v>0</v>
      </c>
      <c r="P39" s="59">
        <f t="shared" si="1"/>
        <v>0</v>
      </c>
      <c r="Q39" s="288">
        <f t="shared" si="2"/>
        <v>-1</v>
      </c>
      <c r="R39" s="287">
        <f t="shared" si="3"/>
        <v>165648.99999999994</v>
      </c>
    </row>
    <row r="40" spans="1:18" x14ac:dyDescent="0.3">
      <c r="A40" s="47">
        <v>27</v>
      </c>
      <c r="B40" s="47">
        <v>10</v>
      </c>
      <c r="C40" s="47" t="s">
        <v>0</v>
      </c>
      <c r="D40" s="47">
        <v>5</v>
      </c>
      <c r="E40" s="48">
        <f>VLOOKUP($A40,observed!$C$2:$K$139,5,FALSE)</f>
        <v>7.7382697947214067</v>
      </c>
      <c r="F40" s="48">
        <f>VLOOKUP($A40,observed!$C$2:$K$139,6,FALSE)</f>
        <v>247.80096097450939</v>
      </c>
      <c r="G40" s="48">
        <f>VLOOKUP($A40,observed!$C$2:$K$139,7,FALSE)</f>
        <v>575.10696781232843</v>
      </c>
      <c r="H40" s="48">
        <f>VLOOKUP($A40,observed!$C$2:$K$139,8,FALSE)</f>
        <v>342.6857415728814</v>
      </c>
      <c r="I40" s="48">
        <f>VLOOKUP($A40,observed!$C$2:$K$139,9,FALSE)</f>
        <v>69.528059845559355</v>
      </c>
      <c r="J40" s="48">
        <f t="shared" si="0"/>
        <v>1242.8599999999999</v>
      </c>
      <c r="K40" s="59">
        <f>IFERROR(VLOOKUP($A40&amp;"-"&amp;TEXT($B40+19,0),md[[routeC]:[boarding_EV]],4,FALSE),"")</f>
        <v>0</v>
      </c>
      <c r="L40" s="59">
        <f>IFERROR(VLOOKUP($A40&amp;"-"&amp;TEXT($B40+19,0),md[[routeC]:[boarding_EV]],5,FALSE),"")</f>
        <v>0</v>
      </c>
      <c r="M40" s="59">
        <f>IFERROR(VLOOKUP($A40&amp;"-"&amp;TEXT($B40+19,0),md[[routeC]:[boarding_EV]],6,FALSE),"")</f>
        <v>0</v>
      </c>
      <c r="N40" s="59">
        <f>IFERROR(VLOOKUP($A40&amp;"-"&amp;TEXT($B40+19,0),md[[routeC]:[boarding_EV]],7,FALSE),"")</f>
        <v>0</v>
      </c>
      <c r="O40" s="59">
        <f>IFERROR(VLOOKUP($A40&amp;"-"&amp;TEXT($B40+19,0),md[[routeC]:[boarding_EV]],8,FALSE),"")</f>
        <v>0</v>
      </c>
      <c r="P40" s="59">
        <f t="shared" si="1"/>
        <v>0</v>
      </c>
      <c r="Q40" s="288">
        <f t="shared" si="2"/>
        <v>-1</v>
      </c>
      <c r="R40" s="287">
        <f t="shared" si="3"/>
        <v>1544700.9795999997</v>
      </c>
    </row>
    <row r="41" spans="1:18" x14ac:dyDescent="0.3">
      <c r="A41" s="47">
        <v>28</v>
      </c>
      <c r="B41" s="47">
        <v>10</v>
      </c>
      <c r="C41" s="47" t="s">
        <v>0</v>
      </c>
      <c r="D41" s="47">
        <v>5</v>
      </c>
      <c r="E41" s="48">
        <f>VLOOKUP($A41,observed!$C$2:$K$139,5,FALSE)</f>
        <v>15.854117647058827</v>
      </c>
      <c r="F41" s="48">
        <f>VLOOKUP($A41,observed!$C$2:$K$139,6,FALSE)</f>
        <v>311.0011455108359</v>
      </c>
      <c r="G41" s="48">
        <f>VLOOKUP($A41,observed!$C$2:$K$139,7,FALSE)</f>
        <v>479.49064988558217</v>
      </c>
      <c r="H41" s="48">
        <f>VLOOKUP($A41,observed!$C$2:$K$139,8,FALSE)</f>
        <v>261.20585166240585</v>
      </c>
      <c r="I41" s="48">
        <f>VLOOKUP($A41,observed!$C$2:$K$139,9,FALSE)</f>
        <v>94.128235294117246</v>
      </c>
      <c r="J41" s="48">
        <f t="shared" si="0"/>
        <v>1161.68</v>
      </c>
      <c r="K41" s="59">
        <f>IFERROR(VLOOKUP($A41&amp;"-"&amp;TEXT($B41+19,0),md[[routeC]:[boarding_EV]],4,FALSE),"")</f>
        <v>0</v>
      </c>
      <c r="L41" s="59">
        <f>IFERROR(VLOOKUP($A41&amp;"-"&amp;TEXT($B41+19,0),md[[routeC]:[boarding_EV]],5,FALSE),"")</f>
        <v>0</v>
      </c>
      <c r="M41" s="59">
        <f>IFERROR(VLOOKUP($A41&amp;"-"&amp;TEXT($B41+19,0),md[[routeC]:[boarding_EV]],6,FALSE),"")</f>
        <v>0</v>
      </c>
      <c r="N41" s="59">
        <f>IFERROR(VLOOKUP($A41&amp;"-"&amp;TEXT($B41+19,0),md[[routeC]:[boarding_EV]],7,FALSE),"")</f>
        <v>0</v>
      </c>
      <c r="O41" s="59">
        <f>IFERROR(VLOOKUP($A41&amp;"-"&amp;TEXT($B41+19,0),md[[routeC]:[boarding_EV]],8,FALSE),"")</f>
        <v>0</v>
      </c>
      <c r="P41" s="59">
        <f t="shared" si="1"/>
        <v>0</v>
      </c>
      <c r="Q41" s="288">
        <f t="shared" si="2"/>
        <v>-1</v>
      </c>
      <c r="R41" s="287">
        <f t="shared" si="3"/>
        <v>1349500.4224</v>
      </c>
    </row>
    <row r="42" spans="1:18" x14ac:dyDescent="0.3">
      <c r="A42" s="47">
        <v>30</v>
      </c>
      <c r="B42" s="47">
        <v>10</v>
      </c>
      <c r="C42" s="47" t="s">
        <v>0</v>
      </c>
      <c r="D42" s="47">
        <v>5</v>
      </c>
      <c r="E42" s="48">
        <f>VLOOKUP($A42,observed!$C$2:$K$139,5,FALSE)</f>
        <v>66.38755686236928</v>
      </c>
      <c r="F42" s="48">
        <f>VLOOKUP($A42,observed!$C$2:$K$139,6,FALSE)</f>
        <v>1063.8964094587241</v>
      </c>
      <c r="G42" s="48">
        <f>VLOOKUP($A42,observed!$C$2:$K$139,7,FALSE)</f>
        <v>2350.2455768672298</v>
      </c>
      <c r="H42" s="48">
        <f>VLOOKUP($A42,observed!$C$2:$K$139,8,FALSE)</f>
        <v>1388.1544030542791</v>
      </c>
      <c r="I42" s="48">
        <f>VLOOKUP($A42,observed!$C$2:$K$139,9,FALSE)</f>
        <v>659.40605375739756</v>
      </c>
      <c r="J42" s="48">
        <f t="shared" si="0"/>
        <v>5528.09</v>
      </c>
      <c r="K42" s="59">
        <f>IFERROR(VLOOKUP($A42&amp;"-"&amp;TEXT($B42+19,0),md[[routeC]:[boarding_EV]],4,FALSE),"")</f>
        <v>0</v>
      </c>
      <c r="L42" s="59">
        <f>IFERROR(VLOOKUP($A42&amp;"-"&amp;TEXT($B42+19,0),md[[routeC]:[boarding_EV]],5,FALSE),"")</f>
        <v>0</v>
      </c>
      <c r="M42" s="59">
        <f>IFERROR(VLOOKUP($A42&amp;"-"&amp;TEXT($B42+19,0),md[[routeC]:[boarding_EV]],6,FALSE),"")</f>
        <v>0</v>
      </c>
      <c r="N42" s="59">
        <f>IFERROR(VLOOKUP($A42&amp;"-"&amp;TEXT($B42+19,0),md[[routeC]:[boarding_EV]],7,FALSE),"")</f>
        <v>0</v>
      </c>
      <c r="O42" s="59">
        <f>IFERROR(VLOOKUP($A42&amp;"-"&amp;TEXT($B42+19,0),md[[routeC]:[boarding_EV]],8,FALSE),"")</f>
        <v>0</v>
      </c>
      <c r="P42" s="59">
        <f t="shared" si="1"/>
        <v>0</v>
      </c>
      <c r="Q42" s="288">
        <f t="shared" si="2"/>
        <v>-1</v>
      </c>
      <c r="R42" s="287">
        <f t="shared" si="3"/>
        <v>30559779.048100002</v>
      </c>
    </row>
    <row r="43" spans="1:18" x14ac:dyDescent="0.3">
      <c r="A43" s="47">
        <v>31</v>
      </c>
      <c r="B43" s="47">
        <v>10</v>
      </c>
      <c r="C43" s="47" t="s">
        <v>0</v>
      </c>
      <c r="D43" s="47">
        <v>5</v>
      </c>
      <c r="E43" s="48">
        <f>VLOOKUP($A43,observed!$C$2:$K$139,5,FALSE)</f>
        <v>3.7737037037037044</v>
      </c>
      <c r="F43" s="48">
        <f>VLOOKUP($A43,observed!$C$2:$K$139,6,FALSE)</f>
        <v>177.56887694145757</v>
      </c>
      <c r="G43" s="48">
        <f>VLOOKUP($A43,observed!$C$2:$K$139,7,FALSE)</f>
        <v>62.29179435483826</v>
      </c>
      <c r="H43" s="48">
        <f>VLOOKUP($A43,observed!$C$2:$K$139,8,FALSE)</f>
        <v>130.39368951612957</v>
      </c>
      <c r="I43" s="48">
        <f>VLOOKUP($A43,observed!$C$2:$K$139,9,FALSE)</f>
        <v>0.18193548387088054</v>
      </c>
      <c r="J43" s="48">
        <f t="shared" si="0"/>
        <v>374.21</v>
      </c>
      <c r="K43" s="59">
        <f>IFERROR(VLOOKUP($A43&amp;"-"&amp;TEXT($B43+19,0),md[[routeC]:[boarding_EV]],4,FALSE),"")</f>
        <v>0</v>
      </c>
      <c r="L43" s="59">
        <f>IFERROR(VLOOKUP($A43&amp;"-"&amp;TEXT($B43+19,0),md[[routeC]:[boarding_EV]],5,FALSE),"")</f>
        <v>0</v>
      </c>
      <c r="M43" s="59">
        <f>IFERROR(VLOOKUP($A43&amp;"-"&amp;TEXT($B43+19,0),md[[routeC]:[boarding_EV]],6,FALSE),"")</f>
        <v>0</v>
      </c>
      <c r="N43" s="59">
        <f>IFERROR(VLOOKUP($A43&amp;"-"&amp;TEXT($B43+19,0),md[[routeC]:[boarding_EV]],7,FALSE),"")</f>
        <v>0</v>
      </c>
      <c r="O43" s="59">
        <f>IFERROR(VLOOKUP($A43&amp;"-"&amp;TEXT($B43+19,0),md[[routeC]:[boarding_EV]],8,FALSE),"")</f>
        <v>0</v>
      </c>
      <c r="P43" s="59">
        <f t="shared" si="1"/>
        <v>0</v>
      </c>
      <c r="Q43" s="288">
        <f t="shared" si="2"/>
        <v>-1</v>
      </c>
      <c r="R43" s="287">
        <f t="shared" si="3"/>
        <v>140033.12409999999</v>
      </c>
    </row>
    <row r="44" spans="1:18" x14ac:dyDescent="0.3">
      <c r="A44" s="47">
        <v>35</v>
      </c>
      <c r="B44" s="47">
        <v>10</v>
      </c>
      <c r="C44" s="47" t="s">
        <v>0</v>
      </c>
      <c r="D44" s="47">
        <v>5</v>
      </c>
      <c r="E44" s="48">
        <f>VLOOKUP($A44,observed!$C$2:$K$139,5,FALSE)</f>
        <v>27.017391304347807</v>
      </c>
      <c r="F44" s="48">
        <f>VLOOKUP($A44,observed!$C$2:$K$139,6,FALSE)</f>
        <v>265.11260869565217</v>
      </c>
      <c r="G44" s="48">
        <f>VLOOKUP($A44,observed!$C$2:$K$139,7,FALSE)</f>
        <v>753.02414772727138</v>
      </c>
      <c r="H44" s="48">
        <f>VLOOKUP($A44,observed!$C$2:$K$139,8,FALSE)</f>
        <v>521.54481778997081</v>
      </c>
      <c r="I44" s="48">
        <f>VLOOKUP($A44,observed!$C$2:$K$139,9,FALSE)</f>
        <v>223.70103448275776</v>
      </c>
      <c r="J44" s="48">
        <f t="shared" si="0"/>
        <v>1790.3999999999996</v>
      </c>
      <c r="K44" s="59">
        <f>IFERROR(VLOOKUP($A44&amp;"-"&amp;TEXT($B44+19,0),md[[routeC]:[boarding_EV]],4,FALSE),"")</f>
        <v>0</v>
      </c>
      <c r="L44" s="59">
        <f>IFERROR(VLOOKUP($A44&amp;"-"&amp;TEXT($B44+19,0),md[[routeC]:[boarding_EV]],5,FALSE),"")</f>
        <v>0</v>
      </c>
      <c r="M44" s="59">
        <f>IFERROR(VLOOKUP($A44&amp;"-"&amp;TEXT($B44+19,0),md[[routeC]:[boarding_EV]],6,FALSE),"")</f>
        <v>0</v>
      </c>
      <c r="N44" s="59">
        <f>IFERROR(VLOOKUP($A44&amp;"-"&amp;TEXT($B44+19,0),md[[routeC]:[boarding_EV]],7,FALSE),"")</f>
        <v>0</v>
      </c>
      <c r="O44" s="59">
        <f>IFERROR(VLOOKUP($A44&amp;"-"&amp;TEXT($B44+19,0),md[[routeC]:[boarding_EV]],8,FALSE),"")</f>
        <v>0</v>
      </c>
      <c r="P44" s="59">
        <f t="shared" si="1"/>
        <v>0</v>
      </c>
      <c r="Q44" s="288">
        <f t="shared" si="2"/>
        <v>-1</v>
      </c>
      <c r="R44" s="287">
        <f t="shared" si="3"/>
        <v>3205532.1599999988</v>
      </c>
    </row>
    <row r="45" spans="1:18" x14ac:dyDescent="0.3">
      <c r="A45" s="47">
        <v>41</v>
      </c>
      <c r="B45" s="47">
        <v>10</v>
      </c>
      <c r="C45" s="47" t="s">
        <v>0</v>
      </c>
      <c r="D45" s="47">
        <v>5</v>
      </c>
      <c r="E45" s="48">
        <f>VLOOKUP($A45,observed!$C$2:$K$139,5,FALSE)</f>
        <v>51.430065315315318</v>
      </c>
      <c r="F45" s="48">
        <f>VLOOKUP($A45,observed!$C$2:$K$139,6,FALSE)</f>
        <v>1054.0207715376866</v>
      </c>
      <c r="G45" s="48">
        <f>VLOOKUP($A45,observed!$C$2:$K$139,7,FALSE)</f>
        <v>2226.111046129437</v>
      </c>
      <c r="H45" s="48">
        <f>VLOOKUP($A45,observed!$C$2:$K$139,8,FALSE)</f>
        <v>1220.6533030265884</v>
      </c>
      <c r="I45" s="48">
        <f>VLOOKUP($A45,observed!$C$2:$K$139,9,FALSE)</f>
        <v>547.43481399097209</v>
      </c>
      <c r="J45" s="48">
        <f t="shared" si="0"/>
        <v>5099.6499999999996</v>
      </c>
      <c r="K45" s="59">
        <f>IFERROR(VLOOKUP($A45&amp;"-"&amp;TEXT($B45+19,0),md[[routeC]:[boarding_EV]],4,FALSE),"")</f>
        <v>0</v>
      </c>
      <c r="L45" s="59">
        <f>IFERROR(VLOOKUP($A45&amp;"-"&amp;TEXT($B45+19,0),md[[routeC]:[boarding_EV]],5,FALSE),"")</f>
        <v>0</v>
      </c>
      <c r="M45" s="59">
        <f>IFERROR(VLOOKUP($A45&amp;"-"&amp;TEXT($B45+19,0),md[[routeC]:[boarding_EV]],6,FALSE),"")</f>
        <v>0</v>
      </c>
      <c r="N45" s="59">
        <f>IFERROR(VLOOKUP($A45&amp;"-"&amp;TEXT($B45+19,0),md[[routeC]:[boarding_EV]],7,FALSE),"")</f>
        <v>0</v>
      </c>
      <c r="O45" s="59">
        <f>IFERROR(VLOOKUP($A45&amp;"-"&amp;TEXT($B45+19,0),md[[routeC]:[boarding_EV]],8,FALSE),"")</f>
        <v>0</v>
      </c>
      <c r="P45" s="59">
        <f t="shared" si="1"/>
        <v>0</v>
      </c>
      <c r="Q45" s="288">
        <f t="shared" si="2"/>
        <v>-1</v>
      </c>
      <c r="R45" s="287">
        <f t="shared" si="3"/>
        <v>26006430.122499995</v>
      </c>
    </row>
    <row r="46" spans="1:18" x14ac:dyDescent="0.3">
      <c r="A46" s="47">
        <v>44</v>
      </c>
      <c r="B46" s="47">
        <v>10</v>
      </c>
      <c r="C46" s="47" t="s">
        <v>0</v>
      </c>
      <c r="D46" s="47">
        <v>5</v>
      </c>
      <c r="E46" s="48">
        <f>VLOOKUP($A46,observed!$C$2:$K$139,5,FALSE)</f>
        <v>62.975499999999975</v>
      </c>
      <c r="F46" s="48">
        <f>VLOOKUP($A46,observed!$C$2:$K$139,6,FALSE)</f>
        <v>925.81057405589411</v>
      </c>
      <c r="G46" s="48">
        <f>VLOOKUP($A46,observed!$C$2:$K$139,7,FALSE)</f>
        <v>2017.2087906926113</v>
      </c>
      <c r="H46" s="48">
        <f>VLOOKUP($A46,observed!$C$2:$K$139,8,FALSE)</f>
        <v>1116.0895362176796</v>
      </c>
      <c r="I46" s="48">
        <f>VLOOKUP($A46,observed!$C$2:$K$139,9,FALSE)</f>
        <v>425.1655990338154</v>
      </c>
      <c r="J46" s="48">
        <f t="shared" si="0"/>
        <v>4547.25</v>
      </c>
      <c r="K46" s="59">
        <f>IFERROR(VLOOKUP($A46&amp;"-"&amp;TEXT($B46+19,0),md[[routeC]:[boarding_EV]],4,FALSE),"")</f>
        <v>0</v>
      </c>
      <c r="L46" s="59">
        <f>IFERROR(VLOOKUP($A46&amp;"-"&amp;TEXT($B46+19,0),md[[routeC]:[boarding_EV]],5,FALSE),"")</f>
        <v>0</v>
      </c>
      <c r="M46" s="59">
        <f>IFERROR(VLOOKUP($A46&amp;"-"&amp;TEXT($B46+19,0),md[[routeC]:[boarding_EV]],6,FALSE),"")</f>
        <v>0</v>
      </c>
      <c r="N46" s="59">
        <f>IFERROR(VLOOKUP($A46&amp;"-"&amp;TEXT($B46+19,0),md[[routeC]:[boarding_EV]],7,FALSE),"")</f>
        <v>0</v>
      </c>
      <c r="O46" s="59">
        <f>IFERROR(VLOOKUP($A46&amp;"-"&amp;TEXT($B46+19,0),md[[routeC]:[boarding_EV]],8,FALSE),"")</f>
        <v>0</v>
      </c>
      <c r="P46" s="59">
        <f t="shared" si="1"/>
        <v>0</v>
      </c>
      <c r="Q46" s="288">
        <f t="shared" si="2"/>
        <v>-1</v>
      </c>
      <c r="R46" s="287">
        <f t="shared" si="3"/>
        <v>20677482.5625</v>
      </c>
    </row>
    <row r="47" spans="1:18" x14ac:dyDescent="0.3">
      <c r="A47" s="47">
        <v>83</v>
      </c>
      <c r="B47" s="47">
        <v>10</v>
      </c>
      <c r="C47" s="47" t="s">
        <v>0</v>
      </c>
      <c r="D47" s="47">
        <v>5</v>
      </c>
      <c r="E47" s="48">
        <f>VLOOKUP($A47,observed!$C$2:$K$139,5,FALSE)</f>
        <v>0</v>
      </c>
      <c r="F47" s="48">
        <f>VLOOKUP($A47,observed!$C$2:$K$139,6,FALSE)</f>
        <v>34</v>
      </c>
      <c r="G47" s="48">
        <f>VLOOKUP($A47,observed!$C$2:$K$139,7,FALSE)</f>
        <v>76.833333333333243</v>
      </c>
      <c r="H47" s="48">
        <f>VLOOKUP($A47,observed!$C$2:$K$139,8,FALSE)</f>
        <v>29.166666666666757</v>
      </c>
      <c r="I47" s="48">
        <f>VLOOKUP($A47,observed!$C$2:$K$139,9,FALSE)</f>
        <v>0</v>
      </c>
      <c r="J47" s="48">
        <f t="shared" si="0"/>
        <v>140</v>
      </c>
      <c r="K47" s="59">
        <f>IFERROR(VLOOKUP($A47&amp;"-"&amp;TEXT($B47+19,0),md[[routeC]:[boarding_EV]],4,FALSE),"")</f>
        <v>0</v>
      </c>
      <c r="L47" s="59">
        <f>IFERROR(VLOOKUP($A47&amp;"-"&amp;TEXT($B47+19,0),md[[routeC]:[boarding_EV]],5,FALSE),"")</f>
        <v>0</v>
      </c>
      <c r="M47" s="59">
        <f>IFERROR(VLOOKUP($A47&amp;"-"&amp;TEXT($B47+19,0),md[[routeC]:[boarding_EV]],6,FALSE),"")</f>
        <v>0</v>
      </c>
      <c r="N47" s="59">
        <f>IFERROR(VLOOKUP($A47&amp;"-"&amp;TEXT($B47+19,0),md[[routeC]:[boarding_EV]],7,FALSE),"")</f>
        <v>0</v>
      </c>
      <c r="O47" s="59">
        <f>IFERROR(VLOOKUP($A47&amp;"-"&amp;TEXT($B47+19,0),md[[routeC]:[boarding_EV]],8,FALSE),"")</f>
        <v>0</v>
      </c>
      <c r="P47" s="59">
        <f t="shared" si="1"/>
        <v>0</v>
      </c>
      <c r="Q47" s="288">
        <f t="shared" si="2"/>
        <v>-1</v>
      </c>
      <c r="R47" s="287">
        <f t="shared" si="3"/>
        <v>19600</v>
      </c>
    </row>
    <row r="48" spans="1:18" x14ac:dyDescent="0.3">
      <c r="A48" s="47">
        <v>84</v>
      </c>
      <c r="B48" s="47">
        <v>10</v>
      </c>
      <c r="C48" s="47" t="s">
        <v>0</v>
      </c>
      <c r="D48" s="47">
        <v>5</v>
      </c>
      <c r="E48" s="48">
        <f>VLOOKUP($A48,observed!$C$2:$K$139,5,FALSE)</f>
        <v>0</v>
      </c>
      <c r="F48" s="48">
        <f>VLOOKUP($A48,observed!$C$2:$K$139,6,FALSE)</f>
        <v>42</v>
      </c>
      <c r="G48" s="48">
        <f>VLOOKUP($A48,observed!$C$2:$K$139,7,FALSE)</f>
        <v>47.826086956521593</v>
      </c>
      <c r="H48" s="48">
        <f>VLOOKUP($A48,observed!$C$2:$K$139,8,FALSE)</f>
        <v>31.173913043478407</v>
      </c>
      <c r="I48" s="48">
        <f>VLOOKUP($A48,observed!$C$2:$K$139,9,FALSE)</f>
        <v>0</v>
      </c>
      <c r="J48" s="48">
        <f t="shared" si="0"/>
        <v>121</v>
      </c>
      <c r="K48" s="59">
        <f>IFERROR(VLOOKUP($A48&amp;"-"&amp;TEXT($B48+19,0),md[[routeC]:[boarding_EV]],4,FALSE),"")</f>
        <v>0</v>
      </c>
      <c r="L48" s="59">
        <f>IFERROR(VLOOKUP($A48&amp;"-"&amp;TEXT($B48+19,0),md[[routeC]:[boarding_EV]],5,FALSE),"")</f>
        <v>0</v>
      </c>
      <c r="M48" s="59">
        <f>IFERROR(VLOOKUP($A48&amp;"-"&amp;TEXT($B48+19,0),md[[routeC]:[boarding_EV]],6,FALSE),"")</f>
        <v>0</v>
      </c>
      <c r="N48" s="59">
        <f>IFERROR(VLOOKUP($A48&amp;"-"&amp;TEXT($B48+19,0),md[[routeC]:[boarding_EV]],7,FALSE),"")</f>
        <v>0</v>
      </c>
      <c r="O48" s="59">
        <f>IFERROR(VLOOKUP($A48&amp;"-"&amp;TEXT($B48+19,0),md[[routeC]:[boarding_EV]],8,FALSE),"")</f>
        <v>0</v>
      </c>
      <c r="P48" s="59">
        <f t="shared" si="1"/>
        <v>0</v>
      </c>
      <c r="Q48" s="288">
        <f t="shared" si="2"/>
        <v>-1</v>
      </c>
      <c r="R48" s="287">
        <f t="shared" si="3"/>
        <v>14641</v>
      </c>
    </row>
    <row r="49" spans="1:18" x14ac:dyDescent="0.3">
      <c r="A49" s="47">
        <v>88</v>
      </c>
      <c r="B49" s="47">
        <v>10</v>
      </c>
      <c r="C49" s="47" t="s">
        <v>0</v>
      </c>
      <c r="D49" s="47">
        <v>5</v>
      </c>
      <c r="E49" s="48">
        <f>VLOOKUP($A49,observed!$C$2:$K$139,5,FALSE)</f>
        <v>2.2222222222222223</v>
      </c>
      <c r="F49" s="48">
        <f>VLOOKUP($A49,observed!$C$2:$K$139,6,FALSE)</f>
        <v>83.777777777777771</v>
      </c>
      <c r="G49" s="48">
        <f>VLOOKUP($A49,observed!$C$2:$K$139,7,FALSE)</f>
        <v>117.9999999999996</v>
      </c>
      <c r="H49" s="48">
        <f>VLOOKUP($A49,observed!$C$2:$K$139,8,FALSE)</f>
        <v>78.111111111111597</v>
      </c>
      <c r="I49" s="48">
        <f>VLOOKUP($A49,observed!$C$2:$K$139,9,FALSE)</f>
        <v>35.8888888888888</v>
      </c>
      <c r="J49" s="48">
        <f t="shared" si="0"/>
        <v>318</v>
      </c>
      <c r="K49" s="59">
        <f>IFERROR(VLOOKUP($A49&amp;"-"&amp;TEXT($B49+19,0),md[[routeC]:[boarding_EV]],4,FALSE),"")</f>
        <v>0</v>
      </c>
      <c r="L49" s="59">
        <f>IFERROR(VLOOKUP($A49&amp;"-"&amp;TEXT($B49+19,0),md[[routeC]:[boarding_EV]],5,FALSE),"")</f>
        <v>0</v>
      </c>
      <c r="M49" s="59">
        <f>IFERROR(VLOOKUP($A49&amp;"-"&amp;TEXT($B49+19,0),md[[routeC]:[boarding_EV]],6,FALSE),"")</f>
        <v>0</v>
      </c>
      <c r="N49" s="59">
        <f>IFERROR(VLOOKUP($A49&amp;"-"&amp;TEXT($B49+19,0),md[[routeC]:[boarding_EV]],7,FALSE),"")</f>
        <v>0</v>
      </c>
      <c r="O49" s="59">
        <f>IFERROR(VLOOKUP($A49&amp;"-"&amp;TEXT($B49+19,0),md[[routeC]:[boarding_EV]],8,FALSE),"")</f>
        <v>0</v>
      </c>
      <c r="P49" s="59">
        <f t="shared" si="1"/>
        <v>0</v>
      </c>
      <c r="Q49" s="288">
        <f t="shared" si="2"/>
        <v>-1</v>
      </c>
      <c r="R49" s="287">
        <f t="shared" si="3"/>
        <v>101124</v>
      </c>
    </row>
    <row r="50" spans="1:18" x14ac:dyDescent="0.3">
      <c r="A50" s="47">
        <v>101</v>
      </c>
      <c r="B50" s="47">
        <v>10</v>
      </c>
      <c r="C50" s="47" t="s">
        <v>0</v>
      </c>
      <c r="D50" s="47">
        <v>5</v>
      </c>
      <c r="E50" s="48">
        <f>VLOOKUP($A50,observed!$C$2:$K$139,5,FALSE)</f>
        <v>41.27486752136754</v>
      </c>
      <c r="F50" s="48">
        <f>VLOOKUP($A50,observed!$C$2:$K$139,6,FALSE)</f>
        <v>510.21981081893097</v>
      </c>
      <c r="G50" s="48">
        <f>VLOOKUP($A50,observed!$C$2:$K$139,7,FALSE)</f>
        <v>1177.753856550672</v>
      </c>
      <c r="H50" s="48">
        <f>VLOOKUP($A50,observed!$C$2:$K$139,8,FALSE)</f>
        <v>654.05046732413268</v>
      </c>
      <c r="I50" s="48">
        <f>VLOOKUP($A50,observed!$C$2:$K$139,9,FALSE)</f>
        <v>215.47099778489633</v>
      </c>
      <c r="J50" s="48">
        <f t="shared" si="0"/>
        <v>2598.7699999999995</v>
      </c>
      <c r="K50" s="59">
        <f>IFERROR(VLOOKUP($A50&amp;"-"&amp;TEXT($B50+19,0),md[[routeC]:[boarding_EV]],4,FALSE),"")</f>
        <v>0</v>
      </c>
      <c r="L50" s="59">
        <f>IFERROR(VLOOKUP($A50&amp;"-"&amp;TEXT($B50+19,0),md[[routeC]:[boarding_EV]],5,FALSE),"")</f>
        <v>0</v>
      </c>
      <c r="M50" s="59">
        <f>IFERROR(VLOOKUP($A50&amp;"-"&amp;TEXT($B50+19,0),md[[routeC]:[boarding_EV]],6,FALSE),"")</f>
        <v>0</v>
      </c>
      <c r="N50" s="59">
        <f>IFERROR(VLOOKUP($A50&amp;"-"&amp;TEXT($B50+19,0),md[[routeC]:[boarding_EV]],7,FALSE),"")</f>
        <v>0</v>
      </c>
      <c r="O50" s="59">
        <f>IFERROR(VLOOKUP($A50&amp;"-"&amp;TEXT($B50+19,0),md[[routeC]:[boarding_EV]],8,FALSE),"")</f>
        <v>0</v>
      </c>
      <c r="P50" s="59">
        <f t="shared" si="1"/>
        <v>0</v>
      </c>
      <c r="Q50" s="288">
        <f t="shared" si="2"/>
        <v>-1</v>
      </c>
      <c r="R50" s="287">
        <f t="shared" si="3"/>
        <v>6753605.5128999976</v>
      </c>
    </row>
    <row r="51" spans="1:18" x14ac:dyDescent="0.3">
      <c r="A51" s="47">
        <v>105</v>
      </c>
      <c r="B51" s="47">
        <v>10</v>
      </c>
      <c r="C51" s="47" t="s">
        <v>0</v>
      </c>
      <c r="D51" s="47">
        <v>5</v>
      </c>
      <c r="E51" s="48">
        <f>VLOOKUP($A51,observed!$C$2:$K$139,5,FALSE)</f>
        <v>29.080412517780935</v>
      </c>
      <c r="F51" s="48">
        <f>VLOOKUP($A51,observed!$C$2:$K$139,6,FALSE)</f>
        <v>280.50295428983003</v>
      </c>
      <c r="G51" s="48">
        <f>VLOOKUP($A51,observed!$C$2:$K$139,7,FALSE)</f>
        <v>559.90853336255282</v>
      </c>
      <c r="H51" s="48">
        <f>VLOOKUP($A51,observed!$C$2:$K$139,8,FALSE)</f>
        <v>281.81955158422272</v>
      </c>
      <c r="I51" s="48">
        <f>VLOOKUP($A51,observed!$C$2:$K$139,9,FALSE)</f>
        <v>101.85854824561351</v>
      </c>
      <c r="J51" s="48">
        <f t="shared" si="0"/>
        <v>1253.1699999999998</v>
      </c>
      <c r="K51" s="59">
        <f>IFERROR(VLOOKUP($A51&amp;"-"&amp;TEXT($B51+19,0),md[[routeC]:[boarding_EV]],4,FALSE),"")</f>
        <v>0</v>
      </c>
      <c r="L51" s="59">
        <f>IFERROR(VLOOKUP($A51&amp;"-"&amp;TEXT($B51+19,0),md[[routeC]:[boarding_EV]],5,FALSE),"")</f>
        <v>0</v>
      </c>
      <c r="M51" s="59">
        <f>IFERROR(VLOOKUP($A51&amp;"-"&amp;TEXT($B51+19,0),md[[routeC]:[boarding_EV]],6,FALSE),"")</f>
        <v>0</v>
      </c>
      <c r="N51" s="59">
        <f>IFERROR(VLOOKUP($A51&amp;"-"&amp;TEXT($B51+19,0),md[[routeC]:[boarding_EV]],7,FALSE),"")</f>
        <v>0</v>
      </c>
      <c r="O51" s="59">
        <f>IFERROR(VLOOKUP($A51&amp;"-"&amp;TEXT($B51+19,0),md[[routeC]:[boarding_EV]],8,FALSE),"")</f>
        <v>0</v>
      </c>
      <c r="P51" s="59">
        <f t="shared" si="1"/>
        <v>0</v>
      </c>
      <c r="Q51" s="288">
        <f t="shared" si="2"/>
        <v>-1</v>
      </c>
      <c r="R51" s="287">
        <f t="shared" si="3"/>
        <v>1570435.0488999996</v>
      </c>
    </row>
    <row r="52" spans="1:18" x14ac:dyDescent="0.3">
      <c r="A52" s="47">
        <v>115</v>
      </c>
      <c r="B52" s="47">
        <v>10</v>
      </c>
      <c r="C52" s="47" t="s">
        <v>0</v>
      </c>
      <c r="D52" s="47">
        <v>5</v>
      </c>
      <c r="E52" s="48">
        <f>VLOOKUP($A52,observed!$C$2:$K$139,5,FALSE)</f>
        <v>1.1999999999999935</v>
      </c>
      <c r="F52" s="48">
        <f>VLOOKUP($A52,observed!$C$2:$K$139,6,FALSE)</f>
        <v>284.71533259423512</v>
      </c>
      <c r="G52" s="48">
        <f>VLOOKUP($A52,observed!$C$2:$K$139,7,FALSE)</f>
        <v>660.47032397142061</v>
      </c>
      <c r="H52" s="48">
        <f>VLOOKUP($A52,observed!$C$2:$K$139,8,FALSE)</f>
        <v>302.69053391053524</v>
      </c>
      <c r="I52" s="48">
        <f>VLOOKUP($A52,observed!$C$2:$K$139,9,FALSE)</f>
        <v>83.553809523809235</v>
      </c>
      <c r="J52" s="48">
        <f t="shared" si="0"/>
        <v>1332.63</v>
      </c>
      <c r="K52" s="59">
        <f>IFERROR(VLOOKUP($A52&amp;"-"&amp;TEXT($B52+19,0),md[[routeC]:[boarding_EV]],4,FALSE),"")</f>
        <v>0</v>
      </c>
      <c r="L52" s="59">
        <f>IFERROR(VLOOKUP($A52&amp;"-"&amp;TEXT($B52+19,0),md[[routeC]:[boarding_EV]],5,FALSE),"")</f>
        <v>0</v>
      </c>
      <c r="M52" s="59">
        <f>IFERROR(VLOOKUP($A52&amp;"-"&amp;TEXT($B52+19,0),md[[routeC]:[boarding_EV]],6,FALSE),"")</f>
        <v>0</v>
      </c>
      <c r="N52" s="59">
        <f>IFERROR(VLOOKUP($A52&amp;"-"&amp;TEXT($B52+19,0),md[[routeC]:[boarding_EV]],7,FALSE),"")</f>
        <v>0</v>
      </c>
      <c r="O52" s="59">
        <f>IFERROR(VLOOKUP($A52&amp;"-"&amp;TEXT($B52+19,0),md[[routeC]:[boarding_EV]],8,FALSE),"")</f>
        <v>0</v>
      </c>
      <c r="P52" s="59">
        <f t="shared" si="1"/>
        <v>0</v>
      </c>
      <c r="Q52" s="288">
        <f t="shared" si="2"/>
        <v>-1</v>
      </c>
      <c r="R52" s="287">
        <f t="shared" si="3"/>
        <v>1775902.7169000003</v>
      </c>
    </row>
    <row r="53" spans="1:18" x14ac:dyDescent="0.3">
      <c r="A53" s="271">
        <v>276</v>
      </c>
      <c r="B53" s="271">
        <v>10</v>
      </c>
      <c r="C53" s="271" t="s">
        <v>0</v>
      </c>
      <c r="D53" s="271">
        <v>5</v>
      </c>
      <c r="E53" s="346">
        <f>VLOOKUP($A53,observed!$C$2:$K$139,5,FALSE)</f>
        <v>28.5</v>
      </c>
      <c r="F53" s="346">
        <f>VLOOKUP($A53,observed!$C$2:$K$139,6,FALSE)</f>
        <v>261.94876599999998</v>
      </c>
      <c r="G53" s="346">
        <f>VLOOKUP($A53,observed!$C$2:$K$139,7,FALSE)</f>
        <v>446.46074700000003</v>
      </c>
      <c r="H53" s="346">
        <f>VLOOKUP($A53,observed!$C$2:$K$139,8,FALSE)</f>
        <v>307.99616500000002</v>
      </c>
      <c r="I53" s="346">
        <f>VLOOKUP($A53,observed!$C$2:$K$139,9,FALSE)</f>
        <v>175.718772</v>
      </c>
      <c r="J53" s="346">
        <f t="shared" ref="J53" si="8">SUM(E53:I53)</f>
        <v>1220.62445</v>
      </c>
      <c r="K53" s="59">
        <f>IFERROR(VLOOKUP($A53&amp;"-"&amp;TEXT($B53+19,0),md[[routeC]:[boarding_EV]],4,FALSE),"")</f>
        <v>0</v>
      </c>
      <c r="L53" s="59">
        <f>IFERROR(VLOOKUP($A53&amp;"-"&amp;TEXT($B53+19,0),md[[routeC]:[boarding_EV]],5,FALSE),"")</f>
        <v>0</v>
      </c>
      <c r="M53" s="59">
        <f>IFERROR(VLOOKUP($A53&amp;"-"&amp;TEXT($B53+19,0),md[[routeC]:[boarding_EV]],6,FALSE),"")</f>
        <v>0</v>
      </c>
      <c r="N53" s="59">
        <f>IFERROR(VLOOKUP($A53&amp;"-"&amp;TEXT($B53+19,0),md[[routeC]:[boarding_EV]],7,FALSE),"")</f>
        <v>0</v>
      </c>
      <c r="O53" s="59">
        <f>IFERROR(VLOOKUP($A53&amp;"-"&amp;TEXT($B53+19,0),md[[routeC]:[boarding_EV]],8,FALSE),"")</f>
        <v>0</v>
      </c>
      <c r="P53" s="347">
        <f t="shared" ref="P53" si="9">SUM(K53:O53)</f>
        <v>0</v>
      </c>
      <c r="Q53" s="348">
        <f t="shared" ref="Q53" si="10">P53/J53-1</f>
        <v>-1</v>
      </c>
      <c r="R53" s="287">
        <f t="shared" ref="R53" si="11">POWER((P53-J53),2)</f>
        <v>1489924.0479378025</v>
      </c>
    </row>
    <row r="54" spans="1:18" x14ac:dyDescent="0.3">
      <c r="A54" s="47">
        <v>302</v>
      </c>
      <c r="B54" s="47">
        <v>10</v>
      </c>
      <c r="C54" s="47" t="s">
        <v>0</v>
      </c>
      <c r="D54" s="47">
        <v>5</v>
      </c>
      <c r="E54" s="48">
        <f>VLOOKUP($A54,observed!$C$2:$K$139,5,FALSE)</f>
        <v>59.934355400696866</v>
      </c>
      <c r="F54" s="48">
        <f>VLOOKUP($A54,observed!$C$2:$K$139,6,FALSE)</f>
        <v>417.56861818420884</v>
      </c>
      <c r="G54" s="48">
        <f>VLOOKUP($A54,observed!$C$2:$K$139,7,FALSE)</f>
        <v>1210.1789158125807</v>
      </c>
      <c r="H54" s="48">
        <f>VLOOKUP($A54,observed!$C$2:$K$139,8,FALSE)</f>
        <v>583.55349121409552</v>
      </c>
      <c r="I54" s="48">
        <f>VLOOKUP($A54,observed!$C$2:$K$139,9,FALSE)</f>
        <v>271.34461938841844</v>
      </c>
      <c r="J54" s="48">
        <f t="shared" si="0"/>
        <v>2542.5800000000004</v>
      </c>
      <c r="K54" s="59">
        <f>IFERROR(VLOOKUP($A54&amp;"-"&amp;TEXT($B54+19,0),md[[routeC]:[boarding_EV]],4,FALSE),"")</f>
        <v>0</v>
      </c>
      <c r="L54" s="59">
        <f>IFERROR(VLOOKUP($A54&amp;"-"&amp;TEXT($B54+19,0),md[[routeC]:[boarding_EV]],5,FALSE),"")</f>
        <v>0</v>
      </c>
      <c r="M54" s="59">
        <f>IFERROR(VLOOKUP($A54&amp;"-"&amp;TEXT($B54+19,0),md[[routeC]:[boarding_EV]],6,FALSE),"")</f>
        <v>0</v>
      </c>
      <c r="N54" s="59">
        <f>IFERROR(VLOOKUP($A54&amp;"-"&amp;TEXT($B54+19,0),md[[routeC]:[boarding_EV]],7,FALSE),"")</f>
        <v>0</v>
      </c>
      <c r="O54" s="59">
        <f>IFERROR(VLOOKUP($A54&amp;"-"&amp;TEXT($B54+19,0),md[[routeC]:[boarding_EV]],8,FALSE),"")</f>
        <v>0</v>
      </c>
      <c r="P54" s="59">
        <f t="shared" si="1"/>
        <v>0</v>
      </c>
      <c r="Q54" s="288">
        <f t="shared" si="2"/>
        <v>-1</v>
      </c>
      <c r="R54" s="287">
        <f t="shared" si="3"/>
        <v>6464713.056400002</v>
      </c>
    </row>
    <row r="55" spans="1:18" x14ac:dyDescent="0.3">
      <c r="A55" s="47">
        <v>303</v>
      </c>
      <c r="B55" s="47">
        <v>10</v>
      </c>
      <c r="C55" s="47" t="s">
        <v>0</v>
      </c>
      <c r="D55" s="47">
        <v>5</v>
      </c>
      <c r="E55" s="48">
        <f>VLOOKUP($A55,observed!$C$2:$K$139,5,FALSE)</f>
        <v>198.48155273739565</v>
      </c>
      <c r="F55" s="48">
        <f>VLOOKUP($A55,observed!$C$2:$K$139,6,FALSE)</f>
        <v>964.77575365428004</v>
      </c>
      <c r="G55" s="48">
        <f>VLOOKUP($A55,observed!$C$2:$K$139,7,FALSE)</f>
        <v>2218.1185723350309</v>
      </c>
      <c r="H55" s="48">
        <f>VLOOKUP($A55,observed!$C$2:$K$139,8,FALSE)</f>
        <v>1120.4839718336927</v>
      </c>
      <c r="I55" s="48">
        <f>VLOOKUP($A55,observed!$C$2:$K$139,9,FALSE)</f>
        <v>460.81014943960025</v>
      </c>
      <c r="J55" s="48">
        <f t="shared" si="0"/>
        <v>4962.67</v>
      </c>
      <c r="K55" s="59">
        <f>IFERROR(VLOOKUP($A55&amp;"-"&amp;TEXT($B55+19,0),md[[routeC]:[boarding_EV]],4,FALSE),"")</f>
        <v>0</v>
      </c>
      <c r="L55" s="59">
        <f>IFERROR(VLOOKUP($A55&amp;"-"&amp;TEXT($B55+19,0),md[[routeC]:[boarding_EV]],5,FALSE),"")</f>
        <v>0</v>
      </c>
      <c r="M55" s="59">
        <f>IFERROR(VLOOKUP($A55&amp;"-"&amp;TEXT($B55+19,0),md[[routeC]:[boarding_EV]],6,FALSE),"")</f>
        <v>0</v>
      </c>
      <c r="N55" s="59">
        <f>IFERROR(VLOOKUP($A55&amp;"-"&amp;TEXT($B55+19,0),md[[routeC]:[boarding_EV]],7,FALSE),"")</f>
        <v>0</v>
      </c>
      <c r="O55" s="59">
        <f>IFERROR(VLOOKUP($A55&amp;"-"&amp;TEXT($B55+19,0),md[[routeC]:[boarding_EV]],8,FALSE),"")</f>
        <v>0</v>
      </c>
      <c r="P55" s="59">
        <f t="shared" si="1"/>
        <v>0</v>
      </c>
      <c r="Q55" s="288">
        <f t="shared" si="2"/>
        <v>-1</v>
      </c>
      <c r="R55" s="287">
        <f t="shared" si="3"/>
        <v>24628093.528900001</v>
      </c>
    </row>
    <row r="56" spans="1:18" x14ac:dyDescent="0.3">
      <c r="A56" s="47">
        <v>304</v>
      </c>
      <c r="B56" s="47">
        <v>10</v>
      </c>
      <c r="C56" s="47" t="s">
        <v>0</v>
      </c>
      <c r="D56" s="47">
        <v>5</v>
      </c>
      <c r="E56" s="48">
        <f>VLOOKUP($A56,observed!$C$2:$K$139,5,FALSE)</f>
        <v>37.133015643191946</v>
      </c>
      <c r="F56" s="48">
        <f>VLOOKUP($A56,observed!$C$2:$K$139,6,FALSE)</f>
        <v>288.7640495741993</v>
      </c>
      <c r="G56" s="48">
        <f>VLOOKUP($A56,observed!$C$2:$K$139,7,FALSE)</f>
        <v>375.82670177428599</v>
      </c>
      <c r="H56" s="48">
        <f>VLOOKUP($A56,observed!$C$2:$K$139,8,FALSE)</f>
        <v>239.52407105863745</v>
      </c>
      <c r="I56" s="48">
        <f>VLOOKUP($A56,observed!$C$2:$K$139,9,FALSE)</f>
        <v>44.662161949685341</v>
      </c>
      <c r="J56" s="48">
        <f t="shared" si="0"/>
        <v>985.91</v>
      </c>
      <c r="K56" s="59">
        <f>IFERROR(VLOOKUP($A56&amp;"-"&amp;TEXT($B56+19,0),md[[routeC]:[boarding_EV]],4,FALSE),"")</f>
        <v>0</v>
      </c>
      <c r="L56" s="59">
        <f>IFERROR(VLOOKUP($A56&amp;"-"&amp;TEXT($B56+19,0),md[[routeC]:[boarding_EV]],5,FALSE),"")</f>
        <v>0</v>
      </c>
      <c r="M56" s="59">
        <f>IFERROR(VLOOKUP($A56&amp;"-"&amp;TEXT($B56+19,0),md[[routeC]:[boarding_EV]],6,FALSE),"")</f>
        <v>0</v>
      </c>
      <c r="N56" s="59">
        <f>IFERROR(VLOOKUP($A56&amp;"-"&amp;TEXT($B56+19,0),md[[routeC]:[boarding_EV]],7,FALSE),"")</f>
        <v>0</v>
      </c>
      <c r="O56" s="59">
        <f>IFERROR(VLOOKUP($A56&amp;"-"&amp;TEXT($B56+19,0),md[[routeC]:[boarding_EV]],8,FALSE),"")</f>
        <v>0</v>
      </c>
      <c r="P56" s="59">
        <f t="shared" si="1"/>
        <v>0</v>
      </c>
      <c r="Q56" s="288">
        <f t="shared" si="2"/>
        <v>-1</v>
      </c>
      <c r="R56" s="287">
        <f t="shared" si="3"/>
        <v>972018.52809999988</v>
      </c>
    </row>
    <row r="57" spans="1:18" x14ac:dyDescent="0.3">
      <c r="A57" s="47">
        <v>305</v>
      </c>
      <c r="B57" s="47">
        <v>10</v>
      </c>
      <c r="C57" s="47" t="s">
        <v>0</v>
      </c>
      <c r="D57" s="47">
        <v>5</v>
      </c>
      <c r="E57" s="48">
        <f>VLOOKUP($A57,observed!$C$2:$K$139,5,FALSE)</f>
        <v>78.964999999999989</v>
      </c>
      <c r="F57" s="48">
        <f>VLOOKUP($A57,observed!$C$2:$K$139,6,FALSE)</f>
        <v>463.45296718687473</v>
      </c>
      <c r="G57" s="48">
        <f>VLOOKUP($A57,observed!$C$2:$K$139,7,FALSE)</f>
        <v>935.10782640002458</v>
      </c>
      <c r="H57" s="48">
        <f>VLOOKUP($A57,observed!$C$2:$K$139,8,FALSE)</f>
        <v>434.2642165243243</v>
      </c>
      <c r="I57" s="48">
        <f>VLOOKUP($A57,observed!$C$2:$K$139,9,FALSE)</f>
        <v>215.25998988877618</v>
      </c>
      <c r="J57" s="48">
        <f t="shared" si="0"/>
        <v>2127.0499999999997</v>
      </c>
      <c r="K57" s="59">
        <f>IFERROR(VLOOKUP($A57&amp;"-"&amp;TEXT($B57+19,0),md[[routeC]:[boarding_EV]],4,FALSE),"")</f>
        <v>0</v>
      </c>
      <c r="L57" s="59">
        <f>IFERROR(VLOOKUP($A57&amp;"-"&amp;TEXT($B57+19,0),md[[routeC]:[boarding_EV]],5,FALSE),"")</f>
        <v>0</v>
      </c>
      <c r="M57" s="59">
        <f>IFERROR(VLOOKUP($A57&amp;"-"&amp;TEXT($B57+19,0),md[[routeC]:[boarding_EV]],6,FALSE),"")</f>
        <v>0</v>
      </c>
      <c r="N57" s="59">
        <f>IFERROR(VLOOKUP($A57&amp;"-"&amp;TEXT($B57+19,0),md[[routeC]:[boarding_EV]],7,FALSE),"")</f>
        <v>0</v>
      </c>
      <c r="O57" s="59">
        <f>IFERROR(VLOOKUP($A57&amp;"-"&amp;TEXT($B57+19,0),md[[routeC]:[boarding_EV]],8,FALSE),"")</f>
        <v>0</v>
      </c>
      <c r="P57" s="59">
        <f t="shared" si="1"/>
        <v>0</v>
      </c>
      <c r="Q57" s="288">
        <f t="shared" si="2"/>
        <v>-1</v>
      </c>
      <c r="R57" s="287">
        <f t="shared" si="3"/>
        <v>4524341.7024999987</v>
      </c>
    </row>
    <row r="58" spans="1:18" x14ac:dyDescent="0.3">
      <c r="A58" s="47">
        <v>306</v>
      </c>
      <c r="B58" s="47">
        <v>10</v>
      </c>
      <c r="C58" s="47" t="s">
        <v>0</v>
      </c>
      <c r="D58" s="47">
        <v>5</v>
      </c>
      <c r="E58" s="48">
        <f>VLOOKUP($A58,observed!$C$2:$K$139,5,FALSE)</f>
        <v>39.538989547038312</v>
      </c>
      <c r="F58" s="48">
        <f>VLOOKUP($A58,observed!$C$2:$K$139,6,FALSE)</f>
        <v>248.15276447475719</v>
      </c>
      <c r="G58" s="48">
        <f>VLOOKUP($A58,observed!$C$2:$K$139,7,FALSE)</f>
        <v>348.18824597820452</v>
      </c>
      <c r="H58" s="48">
        <f>VLOOKUP($A58,observed!$C$2:$K$139,8,FALSE)</f>
        <v>213.99697674418658</v>
      </c>
      <c r="I58" s="48">
        <f>VLOOKUP($A58,observed!$C$2:$K$139,9,FALSE)</f>
        <v>80.223023255813459</v>
      </c>
      <c r="J58" s="48">
        <f t="shared" si="0"/>
        <v>930.10000000000014</v>
      </c>
      <c r="K58" s="59">
        <f>IFERROR(VLOOKUP($A58&amp;"-"&amp;TEXT($B58+19,0),md[[routeC]:[boarding_EV]],4,FALSE),"")</f>
        <v>0</v>
      </c>
      <c r="L58" s="59">
        <f>IFERROR(VLOOKUP($A58&amp;"-"&amp;TEXT($B58+19,0),md[[routeC]:[boarding_EV]],5,FALSE),"")</f>
        <v>0</v>
      </c>
      <c r="M58" s="59">
        <f>IFERROR(VLOOKUP($A58&amp;"-"&amp;TEXT($B58+19,0),md[[routeC]:[boarding_EV]],6,FALSE),"")</f>
        <v>0</v>
      </c>
      <c r="N58" s="59">
        <f>IFERROR(VLOOKUP($A58&amp;"-"&amp;TEXT($B58+19,0),md[[routeC]:[boarding_EV]],7,FALSE),"")</f>
        <v>0</v>
      </c>
      <c r="O58" s="59">
        <f>IFERROR(VLOOKUP($A58&amp;"-"&amp;TEXT($B58+19,0),md[[routeC]:[boarding_EV]],8,FALSE),"")</f>
        <v>0</v>
      </c>
      <c r="P58" s="59">
        <f t="shared" si="1"/>
        <v>0</v>
      </c>
      <c r="Q58" s="288">
        <f t="shared" si="2"/>
        <v>-1</v>
      </c>
      <c r="R58" s="287">
        <f t="shared" si="3"/>
        <v>865086.01000000024</v>
      </c>
    </row>
    <row r="59" spans="1:18" x14ac:dyDescent="0.3">
      <c r="A59" s="47">
        <v>308</v>
      </c>
      <c r="B59" s="47">
        <v>10</v>
      </c>
      <c r="C59" s="47" t="s">
        <v>0</v>
      </c>
      <c r="D59" s="47">
        <v>5</v>
      </c>
      <c r="E59" s="48">
        <f>VLOOKUP($A59,observed!$C$2:$K$139,5,FALSE)</f>
        <v>6</v>
      </c>
      <c r="F59" s="48">
        <f>VLOOKUP($A59,observed!$C$2:$K$139,6,FALSE)</f>
        <v>150.15999999999997</v>
      </c>
      <c r="G59" s="48">
        <f>VLOOKUP($A59,observed!$C$2:$K$139,7,FALSE)</f>
        <v>173.46882415254211</v>
      </c>
      <c r="H59" s="48">
        <f>VLOOKUP($A59,observed!$C$2:$K$139,8,FALSE)</f>
        <v>137.55117584745787</v>
      </c>
      <c r="I59" s="48">
        <f>VLOOKUP($A59,observed!$C$2:$K$139,9,FALSE)</f>
        <v>20.79</v>
      </c>
      <c r="J59" s="48">
        <f t="shared" si="0"/>
        <v>487.96999999999997</v>
      </c>
      <c r="K59" s="59">
        <f>IFERROR(VLOOKUP($A59&amp;"-"&amp;TEXT($B59+19,0),md[[routeC]:[boarding_EV]],4,FALSE),"")</f>
        <v>0</v>
      </c>
      <c r="L59" s="59">
        <f>IFERROR(VLOOKUP($A59&amp;"-"&amp;TEXT($B59+19,0),md[[routeC]:[boarding_EV]],5,FALSE),"")</f>
        <v>0</v>
      </c>
      <c r="M59" s="59">
        <f>IFERROR(VLOOKUP($A59&amp;"-"&amp;TEXT($B59+19,0),md[[routeC]:[boarding_EV]],6,FALSE),"")</f>
        <v>0</v>
      </c>
      <c r="N59" s="59">
        <f>IFERROR(VLOOKUP($A59&amp;"-"&amp;TEXT($B59+19,0),md[[routeC]:[boarding_EV]],7,FALSE),"")</f>
        <v>0</v>
      </c>
      <c r="O59" s="59">
        <f>IFERROR(VLOOKUP($A59&amp;"-"&amp;TEXT($B59+19,0),md[[routeC]:[boarding_EV]],8,FALSE),"")</f>
        <v>0</v>
      </c>
      <c r="P59" s="59">
        <f t="shared" si="1"/>
        <v>0</v>
      </c>
      <c r="Q59" s="288">
        <f t="shared" si="2"/>
        <v>-1</v>
      </c>
      <c r="R59" s="287">
        <f t="shared" si="3"/>
        <v>238114.72089999996</v>
      </c>
    </row>
    <row r="60" spans="1:18" x14ac:dyDescent="0.3">
      <c r="A60" s="47">
        <v>309</v>
      </c>
      <c r="B60" s="47">
        <v>10</v>
      </c>
      <c r="C60" s="47" t="s">
        <v>0</v>
      </c>
      <c r="D60" s="47">
        <v>5</v>
      </c>
      <c r="E60" s="48">
        <f>VLOOKUP($A60,observed!$C$2:$K$139,5,FALSE)</f>
        <v>23.572328042328046</v>
      </c>
      <c r="F60" s="48">
        <f>VLOOKUP($A60,observed!$C$2:$K$139,6,FALSE)</f>
        <v>286.23406107056695</v>
      </c>
      <c r="G60" s="48">
        <f>VLOOKUP($A60,observed!$C$2:$K$139,7,FALSE)</f>
        <v>777.86192967316015</v>
      </c>
      <c r="H60" s="48">
        <f>VLOOKUP($A60,observed!$C$2:$K$139,8,FALSE)</f>
        <v>453.69552910551153</v>
      </c>
      <c r="I60" s="48">
        <f>VLOOKUP($A60,observed!$C$2:$K$139,9,FALSE)</f>
        <v>176.18615210843319</v>
      </c>
      <c r="J60" s="48">
        <f t="shared" si="0"/>
        <v>1717.5499999999997</v>
      </c>
      <c r="K60" s="59">
        <f>IFERROR(VLOOKUP($A60&amp;"-"&amp;TEXT($B60+19,0),md[[routeC]:[boarding_EV]],4,FALSE),"")</f>
        <v>0</v>
      </c>
      <c r="L60" s="59">
        <f>IFERROR(VLOOKUP($A60&amp;"-"&amp;TEXT($B60+19,0),md[[routeC]:[boarding_EV]],5,FALSE),"")</f>
        <v>0</v>
      </c>
      <c r="M60" s="59">
        <f>IFERROR(VLOOKUP($A60&amp;"-"&amp;TEXT($B60+19,0),md[[routeC]:[boarding_EV]],6,FALSE),"")</f>
        <v>0</v>
      </c>
      <c r="N60" s="59">
        <f>IFERROR(VLOOKUP($A60&amp;"-"&amp;TEXT($B60+19,0),md[[routeC]:[boarding_EV]],7,FALSE),"")</f>
        <v>0</v>
      </c>
      <c r="O60" s="59">
        <f>IFERROR(VLOOKUP($A60&amp;"-"&amp;TEXT($B60+19,0),md[[routeC]:[boarding_EV]],8,FALSE),"")</f>
        <v>0</v>
      </c>
      <c r="P60" s="59">
        <f t="shared" si="1"/>
        <v>0</v>
      </c>
      <c r="Q60" s="288">
        <f t="shared" si="2"/>
        <v>-1</v>
      </c>
      <c r="R60" s="287">
        <f t="shared" si="3"/>
        <v>2949978.002499999</v>
      </c>
    </row>
    <row r="61" spans="1:18" x14ac:dyDescent="0.3">
      <c r="A61" s="47">
        <v>311</v>
      </c>
      <c r="B61" s="47">
        <v>10</v>
      </c>
      <c r="C61" s="47" t="s">
        <v>0</v>
      </c>
      <c r="D61" s="47">
        <v>5</v>
      </c>
      <c r="E61" s="48">
        <f>VLOOKUP($A61,observed!$C$2:$K$139,5,FALSE)</f>
        <v>4.7799743589743455</v>
      </c>
      <c r="F61" s="48">
        <f>VLOOKUP($A61,observed!$C$2:$K$139,6,FALSE)</f>
        <v>161.84002564102565</v>
      </c>
      <c r="G61" s="48">
        <f>VLOOKUP($A61,observed!$C$2:$K$139,7,FALSE)</f>
        <v>127.07999999999981</v>
      </c>
      <c r="H61" s="48">
        <f>VLOOKUP($A61,observed!$C$2:$K$139,8,FALSE)</f>
        <v>40.420000000000179</v>
      </c>
      <c r="I61" s="48">
        <f>VLOOKUP($A61,observed!$C$2:$K$139,9,FALSE)</f>
        <v>0</v>
      </c>
      <c r="J61" s="48">
        <f t="shared" si="0"/>
        <v>334.12</v>
      </c>
      <c r="K61" s="59">
        <f>IFERROR(VLOOKUP($A61&amp;"-"&amp;TEXT($B61+19,0),md[[routeC]:[boarding_EV]],4,FALSE),"")</f>
        <v>0</v>
      </c>
      <c r="L61" s="59">
        <f>IFERROR(VLOOKUP($A61&amp;"-"&amp;TEXT($B61+19,0),md[[routeC]:[boarding_EV]],5,FALSE),"")</f>
        <v>0</v>
      </c>
      <c r="M61" s="59">
        <f>IFERROR(VLOOKUP($A61&amp;"-"&amp;TEXT($B61+19,0),md[[routeC]:[boarding_EV]],6,FALSE),"")</f>
        <v>0</v>
      </c>
      <c r="N61" s="59">
        <f>IFERROR(VLOOKUP($A61&amp;"-"&amp;TEXT($B61+19,0),md[[routeC]:[boarding_EV]],7,FALSE),"")</f>
        <v>0</v>
      </c>
      <c r="O61" s="59">
        <f>IFERROR(VLOOKUP($A61&amp;"-"&amp;TEXT($B61+19,0),md[[routeC]:[boarding_EV]],8,FALSE),"")</f>
        <v>0</v>
      </c>
      <c r="P61" s="59">
        <f t="shared" si="1"/>
        <v>0</v>
      </c>
      <c r="Q61" s="288">
        <f t="shared" si="2"/>
        <v>-1</v>
      </c>
      <c r="R61" s="287">
        <f t="shared" si="3"/>
        <v>111636.1744</v>
      </c>
    </row>
    <row r="62" spans="1:18" x14ac:dyDescent="0.3">
      <c r="A62" s="47">
        <v>313</v>
      </c>
      <c r="B62" s="47">
        <v>10</v>
      </c>
      <c r="C62" s="47" t="s">
        <v>0</v>
      </c>
      <c r="D62" s="47">
        <v>5</v>
      </c>
      <c r="E62" s="48">
        <f>VLOOKUP($A62,observed!$C$2:$K$139,5,FALSE)</f>
        <v>5.6218604651162751</v>
      </c>
      <c r="F62" s="48">
        <f>VLOOKUP($A62,observed!$C$2:$K$139,6,FALSE)</f>
        <v>94.30991731266154</v>
      </c>
      <c r="G62" s="48">
        <f>VLOOKUP($A62,observed!$C$2:$K$139,7,FALSE)</f>
        <v>198.85822991452963</v>
      </c>
      <c r="H62" s="48">
        <f>VLOOKUP($A62,observed!$C$2:$K$139,8,FALSE)</f>
        <v>87.659992307692576</v>
      </c>
      <c r="I62" s="48">
        <f>VLOOKUP($A62,observed!$C$2:$K$139,9,FALSE)</f>
        <v>13.67</v>
      </c>
      <c r="J62" s="48">
        <f t="shared" si="0"/>
        <v>400.12</v>
      </c>
      <c r="K62" s="59">
        <f>IFERROR(VLOOKUP($A62&amp;"-"&amp;TEXT($B62+19,0),md[[routeC]:[boarding_EV]],4,FALSE),"")</f>
        <v>0</v>
      </c>
      <c r="L62" s="59">
        <f>IFERROR(VLOOKUP($A62&amp;"-"&amp;TEXT($B62+19,0),md[[routeC]:[boarding_EV]],5,FALSE),"")</f>
        <v>0</v>
      </c>
      <c r="M62" s="59">
        <f>IFERROR(VLOOKUP($A62&amp;"-"&amp;TEXT($B62+19,0),md[[routeC]:[boarding_EV]],6,FALSE),"")</f>
        <v>0</v>
      </c>
      <c r="N62" s="59">
        <f>IFERROR(VLOOKUP($A62&amp;"-"&amp;TEXT($B62+19,0),md[[routeC]:[boarding_EV]],7,FALSE),"")</f>
        <v>0</v>
      </c>
      <c r="O62" s="59">
        <f>IFERROR(VLOOKUP($A62&amp;"-"&amp;TEXT($B62+19,0),md[[routeC]:[boarding_EV]],8,FALSE),"")</f>
        <v>0</v>
      </c>
      <c r="P62" s="59">
        <f t="shared" si="1"/>
        <v>0</v>
      </c>
      <c r="Q62" s="288">
        <f t="shared" si="2"/>
        <v>-1</v>
      </c>
      <c r="R62" s="287">
        <f t="shared" si="3"/>
        <v>160096.01440000001</v>
      </c>
    </row>
    <row r="63" spans="1:18" x14ac:dyDescent="0.3">
      <c r="A63" s="47">
        <v>315</v>
      </c>
      <c r="B63" s="47">
        <v>10</v>
      </c>
      <c r="C63" s="47" t="s">
        <v>0</v>
      </c>
      <c r="D63" s="47">
        <v>5</v>
      </c>
      <c r="E63" s="48">
        <f>VLOOKUP($A63,observed!$C$2:$K$139,5,FALSE)</f>
        <v>22.192781954887224</v>
      </c>
      <c r="F63" s="48">
        <f>VLOOKUP($A63,observed!$C$2:$K$139,6,FALSE)</f>
        <v>92.544506180705994</v>
      </c>
      <c r="G63" s="48">
        <f>VLOOKUP($A63,observed!$C$2:$K$139,7,FALSE)</f>
        <v>128.15036025332688</v>
      </c>
      <c r="H63" s="48">
        <f>VLOOKUP($A63,observed!$C$2:$K$139,8,FALSE)</f>
        <v>85.235442520171006</v>
      </c>
      <c r="I63" s="48">
        <f>VLOOKUP($A63,observed!$C$2:$K$139,9,FALSE)</f>
        <v>35.196909090908918</v>
      </c>
      <c r="J63" s="48">
        <f t="shared" si="0"/>
        <v>363.32000000000005</v>
      </c>
      <c r="K63" s="59">
        <f>IFERROR(VLOOKUP($A63&amp;"-"&amp;TEXT($B63+19,0),md[[routeC]:[boarding_EV]],4,FALSE),"")</f>
        <v>0</v>
      </c>
      <c r="L63" s="59">
        <f>IFERROR(VLOOKUP($A63&amp;"-"&amp;TEXT($B63+19,0),md[[routeC]:[boarding_EV]],5,FALSE),"")</f>
        <v>0</v>
      </c>
      <c r="M63" s="59">
        <f>IFERROR(VLOOKUP($A63&amp;"-"&amp;TEXT($B63+19,0),md[[routeC]:[boarding_EV]],6,FALSE),"")</f>
        <v>0</v>
      </c>
      <c r="N63" s="59">
        <f>IFERROR(VLOOKUP($A63&amp;"-"&amp;TEXT($B63+19,0),md[[routeC]:[boarding_EV]],7,FALSE),"")</f>
        <v>0</v>
      </c>
      <c r="O63" s="59">
        <f>IFERROR(VLOOKUP($A63&amp;"-"&amp;TEXT($B63+19,0),md[[routeC]:[boarding_EV]],8,FALSE),"")</f>
        <v>0</v>
      </c>
      <c r="P63" s="59">
        <f t="shared" si="1"/>
        <v>0</v>
      </c>
      <c r="Q63" s="288">
        <f t="shared" si="2"/>
        <v>-1</v>
      </c>
      <c r="R63" s="287">
        <f t="shared" si="3"/>
        <v>132001.42240000004</v>
      </c>
    </row>
    <row r="64" spans="1:18" x14ac:dyDescent="0.3">
      <c r="A64" s="47">
        <v>316</v>
      </c>
      <c r="B64" s="47">
        <v>10</v>
      </c>
      <c r="C64" s="47" t="s">
        <v>0</v>
      </c>
      <c r="D64" s="47">
        <v>5</v>
      </c>
      <c r="E64" s="48">
        <f>VLOOKUP($A64,observed!$C$2:$K$139,5,FALSE)</f>
        <v>1.3750000000000016</v>
      </c>
      <c r="F64" s="48">
        <f>VLOOKUP($A64,observed!$C$2:$K$139,6,FALSE)</f>
        <v>31.941111111111102</v>
      </c>
      <c r="G64" s="48">
        <f>VLOOKUP($A64,observed!$C$2:$K$139,7,FALSE)</f>
        <v>71.480555555555426</v>
      </c>
      <c r="H64" s="48">
        <f>VLOOKUP($A64,observed!$C$2:$K$139,8,FALSE)</f>
        <v>22.153333333333471</v>
      </c>
      <c r="I64" s="48">
        <f>VLOOKUP($A64,observed!$C$2:$K$139,9,FALSE)</f>
        <v>0</v>
      </c>
      <c r="J64" s="48">
        <f t="shared" si="0"/>
        <v>126.95000000000002</v>
      </c>
      <c r="K64" s="59">
        <f>IFERROR(VLOOKUP($A64&amp;"-"&amp;TEXT($B64+19,0),md[[routeC]:[boarding_EV]],4,FALSE),"")</f>
        <v>0</v>
      </c>
      <c r="L64" s="59">
        <f>IFERROR(VLOOKUP($A64&amp;"-"&amp;TEXT($B64+19,0),md[[routeC]:[boarding_EV]],5,FALSE),"")</f>
        <v>0</v>
      </c>
      <c r="M64" s="59">
        <f>IFERROR(VLOOKUP($A64&amp;"-"&amp;TEXT($B64+19,0),md[[routeC]:[boarding_EV]],6,FALSE),"")</f>
        <v>0</v>
      </c>
      <c r="N64" s="59">
        <f>IFERROR(VLOOKUP($A64&amp;"-"&amp;TEXT($B64+19,0),md[[routeC]:[boarding_EV]],7,FALSE),"")</f>
        <v>0</v>
      </c>
      <c r="O64" s="59">
        <f>IFERROR(VLOOKUP($A64&amp;"-"&amp;TEXT($B64+19,0),md[[routeC]:[boarding_EV]],8,FALSE),"")</f>
        <v>0</v>
      </c>
      <c r="P64" s="59">
        <f t="shared" si="1"/>
        <v>0</v>
      </c>
      <c r="Q64" s="288">
        <f t="shared" si="2"/>
        <v>-1</v>
      </c>
      <c r="R64" s="287">
        <f t="shared" si="3"/>
        <v>16116.302500000005</v>
      </c>
    </row>
    <row r="65" spans="1:18" x14ac:dyDescent="0.3">
      <c r="A65" s="47">
        <v>318</v>
      </c>
      <c r="B65" s="47">
        <v>10</v>
      </c>
      <c r="C65" s="47" t="s">
        <v>0</v>
      </c>
      <c r="D65" s="47">
        <v>5</v>
      </c>
      <c r="E65" s="48">
        <f>VLOOKUP($A65,observed!$C$2:$K$139,5,FALSE)</f>
        <v>31.4</v>
      </c>
      <c r="F65" s="48">
        <f>VLOOKUP($A65,observed!$C$2:$K$139,6,FALSE)</f>
        <v>163.48109427609427</v>
      </c>
      <c r="G65" s="48">
        <f>VLOOKUP($A65,observed!$C$2:$K$139,7,FALSE)</f>
        <v>343.63890572390534</v>
      </c>
      <c r="H65" s="48">
        <f>VLOOKUP($A65,observed!$C$2:$K$139,8,FALSE)</f>
        <v>194.29000000000042</v>
      </c>
      <c r="I65" s="48">
        <f>VLOOKUP($A65,observed!$C$2:$K$139,9,FALSE)</f>
        <v>28.89</v>
      </c>
      <c r="J65" s="48">
        <f t="shared" si="0"/>
        <v>761.7</v>
      </c>
      <c r="K65" s="59">
        <f>IFERROR(VLOOKUP($A65&amp;"-"&amp;TEXT($B65+19,0),md[[routeC]:[boarding_EV]],4,FALSE),"")</f>
        <v>0</v>
      </c>
      <c r="L65" s="59">
        <f>IFERROR(VLOOKUP($A65&amp;"-"&amp;TEXT($B65+19,0),md[[routeC]:[boarding_EV]],5,FALSE),"")</f>
        <v>0</v>
      </c>
      <c r="M65" s="59">
        <f>IFERROR(VLOOKUP($A65&amp;"-"&amp;TEXT($B65+19,0),md[[routeC]:[boarding_EV]],6,FALSE),"")</f>
        <v>0</v>
      </c>
      <c r="N65" s="59">
        <f>IFERROR(VLOOKUP($A65&amp;"-"&amp;TEXT($B65+19,0),md[[routeC]:[boarding_EV]],7,FALSE),"")</f>
        <v>0</v>
      </c>
      <c r="O65" s="59">
        <f>IFERROR(VLOOKUP($A65&amp;"-"&amp;TEXT($B65+19,0),md[[routeC]:[boarding_EV]],8,FALSE),"")</f>
        <v>0</v>
      </c>
      <c r="P65" s="59">
        <f t="shared" si="1"/>
        <v>0</v>
      </c>
      <c r="Q65" s="288">
        <f t="shared" si="2"/>
        <v>-1</v>
      </c>
      <c r="R65" s="287">
        <f t="shared" si="3"/>
        <v>580186.89</v>
      </c>
    </row>
    <row r="66" spans="1:18" x14ac:dyDescent="0.3">
      <c r="A66" s="47">
        <v>323</v>
      </c>
      <c r="B66" s="47">
        <v>10</v>
      </c>
      <c r="C66" s="47" t="s">
        <v>0</v>
      </c>
      <c r="D66" s="47">
        <v>5</v>
      </c>
      <c r="E66" s="48">
        <f>VLOOKUP($A66,observed!$C$2:$K$139,5,FALSE)</f>
        <v>5.2758823529411796</v>
      </c>
      <c r="F66" s="48">
        <f>VLOOKUP($A66,observed!$C$2:$K$139,6,FALSE)</f>
        <v>71.574361549497823</v>
      </c>
      <c r="G66" s="48">
        <f>VLOOKUP($A66,observed!$C$2:$K$139,7,FALSE)</f>
        <v>82.128400165357291</v>
      </c>
      <c r="H66" s="48">
        <f>VLOOKUP($A66,observed!$C$2:$K$139,8,FALSE)</f>
        <v>24.971355932203679</v>
      </c>
      <c r="I66" s="48">
        <f>VLOOKUP($A66,observed!$C$2:$K$139,9,FALSE)</f>
        <v>0</v>
      </c>
      <c r="J66" s="48">
        <f t="shared" si="0"/>
        <v>183.95</v>
      </c>
      <c r="K66" s="59">
        <f>IFERROR(VLOOKUP($A66&amp;"-"&amp;TEXT($B66+19,0),md[[routeC]:[boarding_EV]],4,FALSE),"")</f>
        <v>0</v>
      </c>
      <c r="L66" s="59">
        <f>IFERROR(VLOOKUP($A66&amp;"-"&amp;TEXT($B66+19,0),md[[routeC]:[boarding_EV]],5,FALSE),"")</f>
        <v>0</v>
      </c>
      <c r="M66" s="59">
        <f>IFERROR(VLOOKUP($A66&amp;"-"&amp;TEXT($B66+19,0),md[[routeC]:[boarding_EV]],6,FALSE),"")</f>
        <v>0</v>
      </c>
      <c r="N66" s="59">
        <f>IFERROR(VLOOKUP($A66&amp;"-"&amp;TEXT($B66+19,0),md[[routeC]:[boarding_EV]],7,FALSE),"")</f>
        <v>0</v>
      </c>
      <c r="O66" s="59">
        <f>IFERROR(VLOOKUP($A66&amp;"-"&amp;TEXT($B66+19,0),md[[routeC]:[boarding_EV]],8,FALSE),"")</f>
        <v>0</v>
      </c>
      <c r="P66" s="59">
        <f t="shared" si="1"/>
        <v>0</v>
      </c>
      <c r="Q66" s="288">
        <f t="shared" si="2"/>
        <v>-1</v>
      </c>
      <c r="R66" s="287">
        <f t="shared" si="3"/>
        <v>33837.602499999994</v>
      </c>
    </row>
    <row r="67" spans="1:18" x14ac:dyDescent="0.3">
      <c r="A67" s="47">
        <v>325</v>
      </c>
      <c r="B67" s="47">
        <v>10</v>
      </c>
      <c r="C67" s="47" t="s">
        <v>0</v>
      </c>
      <c r="D67" s="47">
        <v>5</v>
      </c>
      <c r="E67" s="48">
        <f>VLOOKUP($A67,observed!$C$2:$K$139,5,FALSE)</f>
        <v>12.029434782608696</v>
      </c>
      <c r="F67" s="48">
        <f>VLOOKUP($A67,observed!$C$2:$K$139,6,FALSE)</f>
        <v>112.04171883972691</v>
      </c>
      <c r="G67" s="48">
        <f>VLOOKUP($A67,observed!$C$2:$K$139,7,FALSE)</f>
        <v>393.27828241186256</v>
      </c>
      <c r="H67" s="48">
        <f>VLOOKUP($A67,observed!$C$2:$K$139,8,FALSE)</f>
        <v>194.35054767418208</v>
      </c>
      <c r="I67" s="48">
        <f>VLOOKUP($A67,observed!$C$2:$K$139,9,FALSE)</f>
        <v>36.990016291619739</v>
      </c>
      <c r="J67" s="48">
        <f t="shared" si="0"/>
        <v>748.68999999999994</v>
      </c>
      <c r="K67" s="59">
        <f>IFERROR(VLOOKUP($A67&amp;"-"&amp;TEXT($B67+19,0),md[[routeC]:[boarding_EV]],4,FALSE),"")</f>
        <v>0</v>
      </c>
      <c r="L67" s="59">
        <f>IFERROR(VLOOKUP($A67&amp;"-"&amp;TEXT($B67+19,0),md[[routeC]:[boarding_EV]],5,FALSE),"")</f>
        <v>0</v>
      </c>
      <c r="M67" s="59">
        <f>IFERROR(VLOOKUP($A67&amp;"-"&amp;TEXT($B67+19,0),md[[routeC]:[boarding_EV]],6,FALSE),"")</f>
        <v>0</v>
      </c>
      <c r="N67" s="59">
        <f>IFERROR(VLOOKUP($A67&amp;"-"&amp;TEXT($B67+19,0),md[[routeC]:[boarding_EV]],7,FALSE),"")</f>
        <v>0</v>
      </c>
      <c r="O67" s="59">
        <f>IFERROR(VLOOKUP($A67&amp;"-"&amp;TEXT($B67+19,0),md[[routeC]:[boarding_EV]],8,FALSE),"")</f>
        <v>0</v>
      </c>
      <c r="P67" s="59">
        <f t="shared" si="1"/>
        <v>0</v>
      </c>
      <c r="Q67" s="288">
        <f t="shared" si="2"/>
        <v>-1</v>
      </c>
      <c r="R67" s="287">
        <f t="shared" si="3"/>
        <v>560536.71609999996</v>
      </c>
    </row>
    <row r="68" spans="1:18" x14ac:dyDescent="0.3">
      <c r="A68" s="47">
        <v>332</v>
      </c>
      <c r="B68" s="47">
        <v>10</v>
      </c>
      <c r="C68" s="47" t="s">
        <v>0</v>
      </c>
      <c r="D68" s="47">
        <v>5</v>
      </c>
      <c r="E68" s="48">
        <f>VLOOKUP($A68,observed!$C$2:$K$139,5,FALSE)</f>
        <v>54.51179301252472</v>
      </c>
      <c r="F68" s="48">
        <f>VLOOKUP($A68,observed!$C$2:$K$139,6,FALSE)</f>
        <v>316.86725529665409</v>
      </c>
      <c r="G68" s="48">
        <f>VLOOKUP($A68,observed!$C$2:$K$139,7,FALSE)</f>
        <v>556.84264122097227</v>
      </c>
      <c r="H68" s="48">
        <f>VLOOKUP($A68,observed!$C$2:$K$139,8,FALSE)</f>
        <v>294.68270071375144</v>
      </c>
      <c r="I68" s="48">
        <f>VLOOKUP($A68,observed!$C$2:$K$139,9,FALSE)</f>
        <v>47.665609756097503</v>
      </c>
      <c r="J68" s="48">
        <f t="shared" si="0"/>
        <v>1270.57</v>
      </c>
      <c r="K68" s="59">
        <f>IFERROR(VLOOKUP($A68&amp;"-"&amp;TEXT($B68+19,0),md[[routeC]:[boarding_EV]],4,FALSE),"")</f>
        <v>0</v>
      </c>
      <c r="L68" s="59">
        <f>IFERROR(VLOOKUP($A68&amp;"-"&amp;TEXT($B68+19,0),md[[routeC]:[boarding_EV]],5,FALSE),"")</f>
        <v>0</v>
      </c>
      <c r="M68" s="59">
        <f>IFERROR(VLOOKUP($A68&amp;"-"&amp;TEXT($B68+19,0),md[[routeC]:[boarding_EV]],6,FALSE),"")</f>
        <v>0</v>
      </c>
      <c r="N68" s="59">
        <f>IFERROR(VLOOKUP($A68&amp;"-"&amp;TEXT($B68+19,0),md[[routeC]:[boarding_EV]],7,FALSE),"")</f>
        <v>0</v>
      </c>
      <c r="O68" s="59">
        <f>IFERROR(VLOOKUP($A68&amp;"-"&amp;TEXT($B68+19,0),md[[routeC]:[boarding_EV]],8,FALSE),"")</f>
        <v>0</v>
      </c>
      <c r="P68" s="59">
        <f t="shared" si="1"/>
        <v>0</v>
      </c>
      <c r="Q68" s="288">
        <f t="shared" si="2"/>
        <v>-1</v>
      </c>
      <c r="R68" s="287">
        <f t="shared" si="3"/>
        <v>1614348.1248999999</v>
      </c>
    </row>
    <row r="69" spans="1:18" x14ac:dyDescent="0.3">
      <c r="A69" s="47">
        <v>334</v>
      </c>
      <c r="B69" s="47">
        <v>10</v>
      </c>
      <c r="C69" s="47" t="s">
        <v>0</v>
      </c>
      <c r="D69" s="47">
        <v>5</v>
      </c>
      <c r="E69" s="48">
        <f>VLOOKUP($A69,observed!$C$2:$K$139,5,FALSE)</f>
        <v>6.58</v>
      </c>
      <c r="F69" s="48">
        <f>VLOOKUP($A69,observed!$C$2:$K$139,6,FALSE)</f>
        <v>50.960769230769223</v>
      </c>
      <c r="G69" s="48">
        <f>VLOOKUP($A69,observed!$C$2:$K$139,7,FALSE)</f>
        <v>89.95766826923068</v>
      </c>
      <c r="H69" s="48">
        <f>VLOOKUP($A69,observed!$C$2:$K$139,8,FALSE)</f>
        <v>46.871562500000202</v>
      </c>
      <c r="I69" s="48">
        <f>VLOOKUP($A69,observed!$C$2:$K$139,9,FALSE)</f>
        <v>6.7999999999999119</v>
      </c>
      <c r="J69" s="48">
        <f t="shared" ref="J69:J132" si="12">SUM(E69:I69)</f>
        <v>201.17000000000002</v>
      </c>
      <c r="K69" s="59">
        <f>IFERROR(VLOOKUP($A69&amp;"-"&amp;TEXT($B69+19,0),md[[routeC]:[boarding_EV]],4,FALSE),"")</f>
        <v>0</v>
      </c>
      <c r="L69" s="59">
        <f>IFERROR(VLOOKUP($A69&amp;"-"&amp;TEXT($B69+19,0),md[[routeC]:[boarding_EV]],5,FALSE),"")</f>
        <v>0</v>
      </c>
      <c r="M69" s="59">
        <f>IFERROR(VLOOKUP($A69&amp;"-"&amp;TEXT($B69+19,0),md[[routeC]:[boarding_EV]],6,FALSE),"")</f>
        <v>0</v>
      </c>
      <c r="N69" s="59">
        <f>IFERROR(VLOOKUP($A69&amp;"-"&amp;TEXT($B69+19,0),md[[routeC]:[boarding_EV]],7,FALSE),"")</f>
        <v>0</v>
      </c>
      <c r="O69" s="59">
        <f>IFERROR(VLOOKUP($A69&amp;"-"&amp;TEXT($B69+19,0),md[[routeC]:[boarding_EV]],8,FALSE),"")</f>
        <v>0</v>
      </c>
      <c r="P69" s="59">
        <f t="shared" ref="P69:P132" si="13">SUM(K69:O69)</f>
        <v>0</v>
      </c>
      <c r="Q69" s="288">
        <f t="shared" ref="Q69:Q132" si="14">P69/J69-1</f>
        <v>-1</v>
      </c>
      <c r="R69" s="287">
        <f t="shared" ref="R69:R132" si="15">POWER((P69-J69),2)</f>
        <v>40469.368900000009</v>
      </c>
    </row>
    <row r="70" spans="1:18" x14ac:dyDescent="0.3">
      <c r="A70" s="47">
        <v>335</v>
      </c>
      <c r="B70" s="47">
        <v>10</v>
      </c>
      <c r="C70" s="47" t="s">
        <v>0</v>
      </c>
      <c r="D70" s="47">
        <v>5</v>
      </c>
      <c r="E70" s="48">
        <f>VLOOKUP($A70,observed!$C$2:$K$139,5,FALSE)</f>
        <v>1.2794117647058811</v>
      </c>
      <c r="F70" s="48">
        <f>VLOOKUP($A70,observed!$C$2:$K$139,6,FALSE)</f>
        <v>27.20058823529412</v>
      </c>
      <c r="G70" s="48">
        <f>VLOOKUP($A70,observed!$C$2:$K$139,7,FALSE)</f>
        <v>5.2384615384614603</v>
      </c>
      <c r="H70" s="48">
        <f>VLOOKUP($A70,observed!$C$2:$K$139,8,FALSE)</f>
        <v>26.831538461538539</v>
      </c>
      <c r="I70" s="48">
        <f>VLOOKUP($A70,observed!$C$2:$K$139,9,FALSE)</f>
        <v>0</v>
      </c>
      <c r="J70" s="48">
        <f t="shared" si="12"/>
        <v>60.55</v>
      </c>
      <c r="K70" s="59">
        <f>IFERROR(VLOOKUP($A70&amp;"-"&amp;TEXT($B70+19,0),md[[routeC]:[boarding_EV]],4,FALSE),"")</f>
        <v>0</v>
      </c>
      <c r="L70" s="59">
        <f>IFERROR(VLOOKUP($A70&amp;"-"&amp;TEXT($B70+19,0),md[[routeC]:[boarding_EV]],5,FALSE),"")</f>
        <v>0</v>
      </c>
      <c r="M70" s="59">
        <f>IFERROR(VLOOKUP($A70&amp;"-"&amp;TEXT($B70+19,0),md[[routeC]:[boarding_EV]],6,FALSE),"")</f>
        <v>0</v>
      </c>
      <c r="N70" s="59">
        <f>IFERROR(VLOOKUP($A70&amp;"-"&amp;TEXT($B70+19,0),md[[routeC]:[boarding_EV]],7,FALSE),"")</f>
        <v>0</v>
      </c>
      <c r="O70" s="59">
        <f>IFERROR(VLOOKUP($A70&amp;"-"&amp;TEXT($B70+19,0),md[[routeC]:[boarding_EV]],8,FALSE),"")</f>
        <v>0</v>
      </c>
      <c r="P70" s="59">
        <f t="shared" si="13"/>
        <v>0</v>
      </c>
      <c r="Q70" s="288">
        <f t="shared" si="14"/>
        <v>-1</v>
      </c>
      <c r="R70" s="287">
        <f t="shared" si="15"/>
        <v>3666.3024999999998</v>
      </c>
    </row>
    <row r="71" spans="1:18" x14ac:dyDescent="0.3">
      <c r="A71" s="47">
        <v>347</v>
      </c>
      <c r="B71" s="47">
        <v>10</v>
      </c>
      <c r="C71" s="47" t="s">
        <v>0</v>
      </c>
      <c r="D71" s="47">
        <v>5</v>
      </c>
      <c r="E71" s="48">
        <f>VLOOKUP($A71,observed!$C$2:$K$139,5,FALSE)</f>
        <v>4.1818181818181843</v>
      </c>
      <c r="F71" s="48">
        <f>VLOOKUP($A71,observed!$C$2:$K$139,6,FALSE)</f>
        <v>90.706442687747028</v>
      </c>
      <c r="G71" s="48">
        <f>VLOOKUP($A71,observed!$C$2:$K$139,7,FALSE)</f>
        <v>245.3934057971012</v>
      </c>
      <c r="H71" s="48">
        <f>VLOOKUP($A71,observed!$C$2:$K$139,8,FALSE)</f>
        <v>75.003315217391645</v>
      </c>
      <c r="I71" s="48">
        <f>VLOOKUP($A71,observed!$C$2:$K$139,9,FALSE)</f>
        <v>5.385018115941957</v>
      </c>
      <c r="J71" s="48">
        <f t="shared" si="12"/>
        <v>420.67</v>
      </c>
      <c r="K71" s="59">
        <f>IFERROR(VLOOKUP($A71&amp;"-"&amp;TEXT($B71+19,0),md[[routeC]:[boarding_EV]],4,FALSE),"")</f>
        <v>0</v>
      </c>
      <c r="L71" s="59">
        <f>IFERROR(VLOOKUP($A71&amp;"-"&amp;TEXT($B71+19,0),md[[routeC]:[boarding_EV]],5,FALSE),"")</f>
        <v>0</v>
      </c>
      <c r="M71" s="59">
        <f>IFERROR(VLOOKUP($A71&amp;"-"&amp;TEXT($B71+19,0),md[[routeC]:[boarding_EV]],6,FALSE),"")</f>
        <v>0</v>
      </c>
      <c r="N71" s="59">
        <f>IFERROR(VLOOKUP($A71&amp;"-"&amp;TEXT($B71+19,0),md[[routeC]:[boarding_EV]],7,FALSE),"")</f>
        <v>0</v>
      </c>
      <c r="O71" s="59">
        <f>IFERROR(VLOOKUP($A71&amp;"-"&amp;TEXT($B71+19,0),md[[routeC]:[boarding_EV]],8,FALSE),"")</f>
        <v>0</v>
      </c>
      <c r="P71" s="59">
        <f t="shared" si="13"/>
        <v>0</v>
      </c>
      <c r="Q71" s="288">
        <f t="shared" si="14"/>
        <v>-1</v>
      </c>
      <c r="R71" s="287">
        <f t="shared" si="15"/>
        <v>176963.24890000001</v>
      </c>
    </row>
    <row r="72" spans="1:18" x14ac:dyDescent="0.3">
      <c r="A72" s="47">
        <v>351</v>
      </c>
      <c r="B72" s="47">
        <v>10</v>
      </c>
      <c r="C72" s="47" t="s">
        <v>0</v>
      </c>
      <c r="D72" s="47">
        <v>5</v>
      </c>
      <c r="E72" s="48">
        <f>VLOOKUP($A72,observed!$C$2:$K$139,5,FALSE)</f>
        <v>32.249655172413796</v>
      </c>
      <c r="F72" s="48">
        <f>VLOOKUP($A72,observed!$C$2:$K$139,6,FALSE)</f>
        <v>209.57246603970739</v>
      </c>
      <c r="G72" s="48">
        <f>VLOOKUP($A72,observed!$C$2:$K$139,7,FALSE)</f>
        <v>438.2253073593069</v>
      </c>
      <c r="H72" s="48">
        <f>VLOOKUP($A72,observed!$C$2:$K$139,8,FALSE)</f>
        <v>227.75620779220864</v>
      </c>
      <c r="I72" s="48">
        <f>VLOOKUP($A72,observed!$C$2:$K$139,9,FALSE)</f>
        <v>98.706363636363349</v>
      </c>
      <c r="J72" s="48">
        <f t="shared" si="12"/>
        <v>1006.5100000000001</v>
      </c>
      <c r="K72" s="59">
        <f>IFERROR(VLOOKUP($A72&amp;"-"&amp;TEXT($B72+19,0),md[[routeC]:[boarding_EV]],4,FALSE),"")</f>
        <v>0</v>
      </c>
      <c r="L72" s="59">
        <f>IFERROR(VLOOKUP($A72&amp;"-"&amp;TEXT($B72+19,0),md[[routeC]:[boarding_EV]],5,FALSE),"")</f>
        <v>0</v>
      </c>
      <c r="M72" s="59">
        <f>IFERROR(VLOOKUP($A72&amp;"-"&amp;TEXT($B72+19,0),md[[routeC]:[boarding_EV]],6,FALSE),"")</f>
        <v>0</v>
      </c>
      <c r="N72" s="59">
        <f>IFERROR(VLOOKUP($A72&amp;"-"&amp;TEXT($B72+19,0),md[[routeC]:[boarding_EV]],7,FALSE),"")</f>
        <v>0</v>
      </c>
      <c r="O72" s="59">
        <f>IFERROR(VLOOKUP($A72&amp;"-"&amp;TEXT($B72+19,0),md[[routeC]:[boarding_EV]],8,FALSE),"")</f>
        <v>0</v>
      </c>
      <c r="P72" s="59">
        <f t="shared" si="13"/>
        <v>0</v>
      </c>
      <c r="Q72" s="288">
        <f t="shared" si="14"/>
        <v>-1</v>
      </c>
      <c r="R72" s="287">
        <f t="shared" si="15"/>
        <v>1013062.3801000002</v>
      </c>
    </row>
    <row r="73" spans="1:18" x14ac:dyDescent="0.3">
      <c r="A73" s="47">
        <v>352</v>
      </c>
      <c r="B73" s="47">
        <v>10</v>
      </c>
      <c r="C73" s="47" t="s">
        <v>0</v>
      </c>
      <c r="D73" s="47">
        <v>5</v>
      </c>
      <c r="E73" s="48">
        <f>VLOOKUP($A73,observed!$C$2:$K$139,5,FALSE)</f>
        <v>36.803999999999995</v>
      </c>
      <c r="F73" s="48">
        <f>VLOOKUP($A73,observed!$C$2:$K$139,6,FALSE)</f>
        <v>189.79835294117643</v>
      </c>
      <c r="G73" s="48">
        <f>VLOOKUP($A73,observed!$C$2:$K$139,7,FALSE)</f>
        <v>456.49050420168044</v>
      </c>
      <c r="H73" s="48">
        <f>VLOOKUP($A73,observed!$C$2:$K$139,8,FALSE)</f>
        <v>243.36067226890802</v>
      </c>
      <c r="I73" s="48">
        <f>VLOOKUP($A73,observed!$C$2:$K$139,9,FALSE)</f>
        <v>59.046470588235053</v>
      </c>
      <c r="J73" s="48">
        <f t="shared" si="12"/>
        <v>985.5</v>
      </c>
      <c r="K73" s="59">
        <f>IFERROR(VLOOKUP($A73&amp;"-"&amp;TEXT($B73+19,0),md[[routeC]:[boarding_EV]],4,FALSE),"")</f>
        <v>0</v>
      </c>
      <c r="L73" s="59">
        <f>IFERROR(VLOOKUP($A73&amp;"-"&amp;TEXT($B73+19,0),md[[routeC]:[boarding_EV]],5,FALSE),"")</f>
        <v>0</v>
      </c>
      <c r="M73" s="59">
        <f>IFERROR(VLOOKUP($A73&amp;"-"&amp;TEXT($B73+19,0),md[[routeC]:[boarding_EV]],6,FALSE),"")</f>
        <v>0</v>
      </c>
      <c r="N73" s="59">
        <f>IFERROR(VLOOKUP($A73&amp;"-"&amp;TEXT($B73+19,0),md[[routeC]:[boarding_EV]],7,FALSE),"")</f>
        <v>0</v>
      </c>
      <c r="O73" s="59">
        <f>IFERROR(VLOOKUP($A73&amp;"-"&amp;TEXT($B73+19,0),md[[routeC]:[boarding_EV]],8,FALSE),"")</f>
        <v>0</v>
      </c>
      <c r="P73" s="59">
        <f t="shared" si="13"/>
        <v>0</v>
      </c>
      <c r="Q73" s="288">
        <f t="shared" si="14"/>
        <v>-1</v>
      </c>
      <c r="R73" s="287">
        <f t="shared" si="15"/>
        <v>971210.25</v>
      </c>
    </row>
    <row r="74" spans="1:18" x14ac:dyDescent="0.3">
      <c r="A74" s="47">
        <v>353</v>
      </c>
      <c r="B74" s="47">
        <v>10</v>
      </c>
      <c r="C74" s="47" t="s">
        <v>0</v>
      </c>
      <c r="D74" s="47">
        <v>5</v>
      </c>
      <c r="E74" s="48">
        <f>VLOOKUP($A74,observed!$C$2:$K$139,5,FALSE)</f>
        <v>14.33</v>
      </c>
      <c r="F74" s="48">
        <f>VLOOKUP($A74,observed!$C$2:$K$139,6,FALSE)</f>
        <v>96.603571428571428</v>
      </c>
      <c r="G74" s="48">
        <f>VLOOKUP($A74,observed!$C$2:$K$139,7,FALSE)</f>
        <v>229.38918291385988</v>
      </c>
      <c r="H74" s="48">
        <f>VLOOKUP($A74,observed!$C$2:$K$139,8,FALSE)</f>
        <v>100.53057899090207</v>
      </c>
      <c r="I74" s="48">
        <f>VLOOKUP($A74,observed!$C$2:$K$139,9,FALSE)</f>
        <v>22.096666666666621</v>
      </c>
      <c r="J74" s="48">
        <f t="shared" si="12"/>
        <v>462.95000000000005</v>
      </c>
      <c r="K74" s="59">
        <f>IFERROR(VLOOKUP($A74&amp;"-"&amp;TEXT($B74+19,0),md[[routeC]:[boarding_EV]],4,FALSE),"")</f>
        <v>0</v>
      </c>
      <c r="L74" s="59">
        <f>IFERROR(VLOOKUP($A74&amp;"-"&amp;TEXT($B74+19,0),md[[routeC]:[boarding_EV]],5,FALSE),"")</f>
        <v>0</v>
      </c>
      <c r="M74" s="59">
        <f>IFERROR(VLOOKUP($A74&amp;"-"&amp;TEXT($B74+19,0),md[[routeC]:[boarding_EV]],6,FALSE),"")</f>
        <v>0</v>
      </c>
      <c r="N74" s="59">
        <f>IFERROR(VLOOKUP($A74&amp;"-"&amp;TEXT($B74+19,0),md[[routeC]:[boarding_EV]],7,FALSE),"")</f>
        <v>0</v>
      </c>
      <c r="O74" s="59">
        <f>IFERROR(VLOOKUP($A74&amp;"-"&amp;TEXT($B74+19,0),md[[routeC]:[boarding_EV]],8,FALSE),"")</f>
        <v>0</v>
      </c>
      <c r="P74" s="59">
        <f t="shared" si="13"/>
        <v>0</v>
      </c>
      <c r="Q74" s="288">
        <f t="shared" si="14"/>
        <v>-1</v>
      </c>
      <c r="R74" s="287">
        <f t="shared" si="15"/>
        <v>214322.70250000004</v>
      </c>
    </row>
    <row r="75" spans="1:18" x14ac:dyDescent="0.3">
      <c r="A75" s="47">
        <v>354</v>
      </c>
      <c r="B75" s="47">
        <v>10</v>
      </c>
      <c r="C75" s="47" t="s">
        <v>0</v>
      </c>
      <c r="D75" s="47">
        <v>5</v>
      </c>
      <c r="E75" s="48">
        <f>VLOOKUP($A75,observed!$C$2:$K$139,5,FALSE)</f>
        <v>12.615199999999993</v>
      </c>
      <c r="F75" s="48">
        <f>VLOOKUP($A75,observed!$C$2:$K$139,6,FALSE)</f>
        <v>201.84442962962964</v>
      </c>
      <c r="G75" s="48">
        <f>VLOOKUP($A75,observed!$C$2:$K$139,7,FALSE)</f>
        <v>340.1878348734125</v>
      </c>
      <c r="H75" s="48">
        <f>VLOOKUP($A75,observed!$C$2:$K$139,8,FALSE)</f>
        <v>196.55753549695794</v>
      </c>
      <c r="I75" s="48">
        <f>VLOOKUP($A75,observed!$C$2:$K$139,9,FALSE)</f>
        <v>30.234999999999935</v>
      </c>
      <c r="J75" s="48">
        <f t="shared" si="12"/>
        <v>781.43999999999994</v>
      </c>
      <c r="K75" s="59">
        <f>IFERROR(VLOOKUP($A75&amp;"-"&amp;TEXT($B75+19,0),md[[routeC]:[boarding_EV]],4,FALSE),"")</f>
        <v>0</v>
      </c>
      <c r="L75" s="59">
        <f>IFERROR(VLOOKUP($A75&amp;"-"&amp;TEXT($B75+19,0),md[[routeC]:[boarding_EV]],5,FALSE),"")</f>
        <v>0</v>
      </c>
      <c r="M75" s="59">
        <f>IFERROR(VLOOKUP($A75&amp;"-"&amp;TEXT($B75+19,0),md[[routeC]:[boarding_EV]],6,FALSE),"")</f>
        <v>0</v>
      </c>
      <c r="N75" s="59">
        <f>IFERROR(VLOOKUP($A75&amp;"-"&amp;TEXT($B75+19,0),md[[routeC]:[boarding_EV]],7,FALSE),"")</f>
        <v>0</v>
      </c>
      <c r="O75" s="59">
        <f>IFERROR(VLOOKUP($A75&amp;"-"&amp;TEXT($B75+19,0),md[[routeC]:[boarding_EV]],8,FALSE),"")</f>
        <v>0</v>
      </c>
      <c r="P75" s="59">
        <f t="shared" si="13"/>
        <v>0</v>
      </c>
      <c r="Q75" s="288">
        <f t="shared" si="14"/>
        <v>-1</v>
      </c>
      <c r="R75" s="287">
        <f t="shared" si="15"/>
        <v>610648.47359999991</v>
      </c>
    </row>
    <row r="76" spans="1:18" x14ac:dyDescent="0.3">
      <c r="A76" s="47">
        <v>355</v>
      </c>
      <c r="B76" s="47">
        <v>10</v>
      </c>
      <c r="C76" s="47" t="s">
        <v>0</v>
      </c>
      <c r="D76" s="47">
        <v>5</v>
      </c>
      <c r="E76" s="48">
        <f>VLOOKUP($A76,observed!$C$2:$K$139,5,FALSE)</f>
        <v>0</v>
      </c>
      <c r="F76" s="48">
        <f>VLOOKUP($A76,observed!$C$2:$K$139,6,FALSE)</f>
        <v>58.058444444444447</v>
      </c>
      <c r="G76" s="48">
        <f>VLOOKUP($A76,observed!$C$2:$K$139,7,FALSE)</f>
        <v>112.88665759637166</v>
      </c>
      <c r="H76" s="48">
        <f>VLOOKUP($A76,observed!$C$2:$K$139,8,FALSE)</f>
        <v>63.144897959183879</v>
      </c>
      <c r="I76" s="48">
        <f>VLOOKUP($A76,observed!$C$2:$K$139,9,FALSE)</f>
        <v>19.41</v>
      </c>
      <c r="J76" s="48">
        <f t="shared" si="12"/>
        <v>253.49999999999997</v>
      </c>
      <c r="K76" s="59">
        <f>IFERROR(VLOOKUP($A76&amp;"-"&amp;TEXT($B76+19,0),md[[routeC]:[boarding_EV]],4,FALSE),"")</f>
        <v>0</v>
      </c>
      <c r="L76" s="59">
        <f>IFERROR(VLOOKUP($A76&amp;"-"&amp;TEXT($B76+19,0),md[[routeC]:[boarding_EV]],5,FALSE),"")</f>
        <v>0</v>
      </c>
      <c r="M76" s="59">
        <f>IFERROR(VLOOKUP($A76&amp;"-"&amp;TEXT($B76+19,0),md[[routeC]:[boarding_EV]],6,FALSE),"")</f>
        <v>0</v>
      </c>
      <c r="N76" s="59">
        <f>IFERROR(VLOOKUP($A76&amp;"-"&amp;TEXT($B76+19,0),md[[routeC]:[boarding_EV]],7,FALSE),"")</f>
        <v>0</v>
      </c>
      <c r="O76" s="59">
        <f>IFERROR(VLOOKUP($A76&amp;"-"&amp;TEXT($B76+19,0),md[[routeC]:[boarding_EV]],8,FALSE),"")</f>
        <v>0</v>
      </c>
      <c r="P76" s="59">
        <f t="shared" si="13"/>
        <v>0</v>
      </c>
      <c r="Q76" s="288">
        <f t="shared" si="14"/>
        <v>-1</v>
      </c>
      <c r="R76" s="287">
        <f t="shared" si="15"/>
        <v>64262.249999999985</v>
      </c>
    </row>
    <row r="77" spans="1:18" x14ac:dyDescent="0.3">
      <c r="A77" s="47">
        <v>356</v>
      </c>
      <c r="B77" s="47">
        <v>10</v>
      </c>
      <c r="C77" s="47" t="s">
        <v>0</v>
      </c>
      <c r="D77" s="47">
        <v>5</v>
      </c>
      <c r="E77" s="48">
        <f>VLOOKUP($A77,observed!$C$2:$K$139,5,FALSE)</f>
        <v>16.880000000000003</v>
      </c>
      <c r="F77" s="48">
        <f>VLOOKUP($A77,observed!$C$2:$K$139,6,FALSE)</f>
        <v>91.47</v>
      </c>
      <c r="G77" s="48">
        <f>VLOOKUP($A77,observed!$C$2:$K$139,7,FALSE)</f>
        <v>241.48</v>
      </c>
      <c r="H77" s="48">
        <f>VLOOKUP($A77,observed!$C$2:$K$139,8,FALSE)</f>
        <v>119.34</v>
      </c>
      <c r="I77" s="48">
        <f>VLOOKUP($A77,observed!$C$2:$K$139,9,FALSE)</f>
        <v>50.690000000000005</v>
      </c>
      <c r="J77" s="48">
        <f t="shared" si="12"/>
        <v>519.86</v>
      </c>
      <c r="K77" s="59">
        <f>IFERROR(VLOOKUP($A77&amp;"-"&amp;TEXT($B77+19,0),md[[routeC]:[boarding_EV]],4,FALSE),"")</f>
        <v>0</v>
      </c>
      <c r="L77" s="59">
        <f>IFERROR(VLOOKUP($A77&amp;"-"&amp;TEXT($B77+19,0),md[[routeC]:[boarding_EV]],5,FALSE),"")</f>
        <v>0</v>
      </c>
      <c r="M77" s="59">
        <f>IFERROR(VLOOKUP($A77&amp;"-"&amp;TEXT($B77+19,0),md[[routeC]:[boarding_EV]],6,FALSE),"")</f>
        <v>0</v>
      </c>
      <c r="N77" s="59">
        <f>IFERROR(VLOOKUP($A77&amp;"-"&amp;TEXT($B77+19,0),md[[routeC]:[boarding_EV]],7,FALSE),"")</f>
        <v>0</v>
      </c>
      <c r="O77" s="59">
        <f>IFERROR(VLOOKUP($A77&amp;"-"&amp;TEXT($B77+19,0),md[[routeC]:[boarding_EV]],8,FALSE),"")</f>
        <v>0</v>
      </c>
      <c r="P77" s="59">
        <f t="shared" si="13"/>
        <v>0</v>
      </c>
      <c r="Q77" s="288">
        <f t="shared" si="14"/>
        <v>-1</v>
      </c>
      <c r="R77" s="287">
        <f t="shared" si="15"/>
        <v>270254.41960000002</v>
      </c>
    </row>
    <row r="78" spans="1:18" x14ac:dyDescent="0.3">
      <c r="A78" s="47">
        <v>357</v>
      </c>
      <c r="B78" s="47">
        <v>10</v>
      </c>
      <c r="C78" s="47" t="s">
        <v>0</v>
      </c>
      <c r="D78" s="47">
        <v>5</v>
      </c>
      <c r="E78" s="48">
        <f>VLOOKUP($A78,observed!$C$2:$K$139,5,FALSE)</f>
        <v>0</v>
      </c>
      <c r="F78" s="48">
        <f>VLOOKUP($A78,observed!$C$2:$K$139,6,FALSE)</f>
        <v>43.071951219512187</v>
      </c>
      <c r="G78" s="48">
        <f>VLOOKUP($A78,observed!$C$2:$K$139,7,FALSE)</f>
        <v>177.26804878048782</v>
      </c>
      <c r="H78" s="48">
        <f>VLOOKUP($A78,observed!$C$2:$K$139,8,FALSE)</f>
        <v>60.879999999999995</v>
      </c>
      <c r="I78" s="48">
        <f>VLOOKUP($A78,observed!$C$2:$K$139,9,FALSE)</f>
        <v>0</v>
      </c>
      <c r="J78" s="48">
        <f t="shared" si="12"/>
        <v>281.22000000000003</v>
      </c>
      <c r="K78" s="59">
        <f>IFERROR(VLOOKUP($A78&amp;"-"&amp;TEXT($B78+19,0),md[[routeC]:[boarding_EV]],4,FALSE),"")</f>
        <v>0</v>
      </c>
      <c r="L78" s="59">
        <f>IFERROR(VLOOKUP($A78&amp;"-"&amp;TEXT($B78+19,0),md[[routeC]:[boarding_EV]],5,FALSE),"")</f>
        <v>0</v>
      </c>
      <c r="M78" s="59">
        <f>IFERROR(VLOOKUP($A78&amp;"-"&amp;TEXT($B78+19,0),md[[routeC]:[boarding_EV]],6,FALSE),"")</f>
        <v>0</v>
      </c>
      <c r="N78" s="59">
        <f>IFERROR(VLOOKUP($A78&amp;"-"&amp;TEXT($B78+19,0),md[[routeC]:[boarding_EV]],7,FALSE),"")</f>
        <v>0</v>
      </c>
      <c r="O78" s="59">
        <f>IFERROR(VLOOKUP($A78&amp;"-"&amp;TEXT($B78+19,0),md[[routeC]:[boarding_EV]],8,FALSE),"")</f>
        <v>0</v>
      </c>
      <c r="P78" s="59">
        <f t="shared" si="13"/>
        <v>0</v>
      </c>
      <c r="Q78" s="288">
        <f t="shared" si="14"/>
        <v>-1</v>
      </c>
      <c r="R78" s="287">
        <f t="shared" si="15"/>
        <v>79084.688400000014</v>
      </c>
    </row>
    <row r="79" spans="1:18" x14ac:dyDescent="0.3">
      <c r="A79" s="47">
        <v>358</v>
      </c>
      <c r="B79" s="47">
        <v>10</v>
      </c>
      <c r="C79" s="47" t="s">
        <v>0</v>
      </c>
      <c r="D79" s="47">
        <v>5</v>
      </c>
      <c r="E79" s="48">
        <f>VLOOKUP($A79,observed!$C$2:$K$139,5,FALSE)</f>
        <v>0</v>
      </c>
      <c r="F79" s="48">
        <f>VLOOKUP($A79,observed!$C$2:$K$139,6,FALSE)</f>
        <v>34.11</v>
      </c>
      <c r="G79" s="48">
        <f>VLOOKUP($A79,observed!$C$2:$K$139,7,FALSE)</f>
        <v>49.6</v>
      </c>
      <c r="H79" s="48">
        <f>VLOOKUP($A79,observed!$C$2:$K$139,8,FALSE)</f>
        <v>29.47</v>
      </c>
      <c r="I79" s="48">
        <f>VLOOKUP($A79,observed!$C$2:$K$139,9,FALSE)</f>
        <v>3.6</v>
      </c>
      <c r="J79" s="48">
        <f t="shared" si="12"/>
        <v>116.78</v>
      </c>
      <c r="K79" s="59">
        <f>IFERROR(VLOOKUP($A79&amp;"-"&amp;TEXT($B79+19,0),md[[routeC]:[boarding_EV]],4,FALSE),"")</f>
        <v>0</v>
      </c>
      <c r="L79" s="59">
        <f>IFERROR(VLOOKUP($A79&amp;"-"&amp;TEXT($B79+19,0),md[[routeC]:[boarding_EV]],5,FALSE),"")</f>
        <v>0</v>
      </c>
      <c r="M79" s="59">
        <f>IFERROR(VLOOKUP($A79&amp;"-"&amp;TEXT($B79+19,0),md[[routeC]:[boarding_EV]],6,FALSE),"")</f>
        <v>0</v>
      </c>
      <c r="N79" s="59">
        <f>IFERROR(VLOOKUP($A79&amp;"-"&amp;TEXT($B79+19,0),md[[routeC]:[boarding_EV]],7,FALSE),"")</f>
        <v>0</v>
      </c>
      <c r="O79" s="59">
        <f>IFERROR(VLOOKUP($A79&amp;"-"&amp;TEXT($B79+19,0),md[[routeC]:[boarding_EV]],8,FALSE),"")</f>
        <v>0</v>
      </c>
      <c r="P79" s="59">
        <f t="shared" si="13"/>
        <v>0</v>
      </c>
      <c r="Q79" s="288">
        <f t="shared" si="14"/>
        <v>-1</v>
      </c>
      <c r="R79" s="287">
        <f t="shared" si="15"/>
        <v>13637.5684</v>
      </c>
    </row>
    <row r="80" spans="1:18" x14ac:dyDescent="0.3">
      <c r="A80" s="47">
        <v>359</v>
      </c>
      <c r="B80" s="47">
        <v>10</v>
      </c>
      <c r="C80" s="47" t="s">
        <v>0</v>
      </c>
      <c r="D80" s="47">
        <v>5</v>
      </c>
      <c r="E80" s="48">
        <f>VLOOKUP($A80,observed!$C$2:$K$139,5,FALSE)</f>
        <v>6.8</v>
      </c>
      <c r="F80" s="48">
        <f>VLOOKUP($A80,observed!$C$2:$K$139,6,FALSE)</f>
        <v>33.799999999999997</v>
      </c>
      <c r="G80" s="48">
        <f>VLOOKUP($A80,observed!$C$2:$K$139,7,FALSE)</f>
        <v>62.453902439024148</v>
      </c>
      <c r="H80" s="48">
        <f>VLOOKUP($A80,observed!$C$2:$K$139,8,FALSE)</f>
        <v>24.736097560975857</v>
      </c>
      <c r="I80" s="48">
        <f>VLOOKUP($A80,observed!$C$2:$K$139,9,FALSE)</f>
        <v>7.43</v>
      </c>
      <c r="J80" s="48">
        <f t="shared" si="12"/>
        <v>135.22</v>
      </c>
      <c r="K80" s="59">
        <f>IFERROR(VLOOKUP($A80&amp;"-"&amp;TEXT($B80+19,0),md[[routeC]:[boarding_EV]],4,FALSE),"")</f>
        <v>0</v>
      </c>
      <c r="L80" s="59">
        <f>IFERROR(VLOOKUP($A80&amp;"-"&amp;TEXT($B80+19,0),md[[routeC]:[boarding_EV]],5,FALSE),"")</f>
        <v>0</v>
      </c>
      <c r="M80" s="59">
        <f>IFERROR(VLOOKUP($A80&amp;"-"&amp;TEXT($B80+19,0),md[[routeC]:[boarding_EV]],6,FALSE),"")</f>
        <v>0</v>
      </c>
      <c r="N80" s="59">
        <f>IFERROR(VLOOKUP($A80&amp;"-"&amp;TEXT($B80+19,0),md[[routeC]:[boarding_EV]],7,FALSE),"")</f>
        <v>0</v>
      </c>
      <c r="O80" s="59">
        <f>IFERROR(VLOOKUP($A80&amp;"-"&amp;TEXT($B80+19,0),md[[routeC]:[boarding_EV]],8,FALSE),"")</f>
        <v>0</v>
      </c>
      <c r="P80" s="59">
        <f t="shared" si="13"/>
        <v>0</v>
      </c>
      <c r="Q80" s="288">
        <f t="shared" si="14"/>
        <v>-1</v>
      </c>
      <c r="R80" s="287">
        <f t="shared" si="15"/>
        <v>18284.448400000001</v>
      </c>
    </row>
    <row r="81" spans="1:18" x14ac:dyDescent="0.3">
      <c r="A81" s="47">
        <v>371</v>
      </c>
      <c r="B81" s="47">
        <v>10</v>
      </c>
      <c r="C81" s="47" t="s">
        <v>0</v>
      </c>
      <c r="D81" s="47">
        <v>5</v>
      </c>
      <c r="E81" s="48">
        <f>VLOOKUP($A81,observed!$C$2:$K$139,5,FALSE)</f>
        <v>6.8378378378378359</v>
      </c>
      <c r="F81" s="48">
        <f>VLOOKUP($A81,observed!$C$2:$K$139,6,FALSE)</f>
        <v>18.138906348208671</v>
      </c>
      <c r="G81" s="48">
        <f>VLOOKUP($A81,observed!$C$2:$K$139,7,FALSE)</f>
        <v>3.023255813953496</v>
      </c>
      <c r="H81" s="48">
        <f>VLOOKUP($A81,observed!$C$2:$K$139,8,FALSE)</f>
        <v>0</v>
      </c>
      <c r="I81" s="48">
        <f>VLOOKUP($A81,observed!$C$2:$K$139,9,FALSE)</f>
        <v>0</v>
      </c>
      <c r="J81" s="48">
        <f t="shared" si="12"/>
        <v>28.000000000000004</v>
      </c>
      <c r="K81" s="59">
        <f>IFERROR(VLOOKUP($A81&amp;"-"&amp;TEXT($B81+19,0),md[[routeC]:[boarding_EV]],4,FALSE),"")</f>
        <v>0</v>
      </c>
      <c r="L81" s="59">
        <f>IFERROR(VLOOKUP($A81&amp;"-"&amp;TEXT($B81+19,0),md[[routeC]:[boarding_EV]],5,FALSE),"")</f>
        <v>0</v>
      </c>
      <c r="M81" s="59">
        <f>IFERROR(VLOOKUP($A81&amp;"-"&amp;TEXT($B81+19,0),md[[routeC]:[boarding_EV]],6,FALSE),"")</f>
        <v>0</v>
      </c>
      <c r="N81" s="59">
        <f>IFERROR(VLOOKUP($A81&amp;"-"&amp;TEXT($B81+19,0),md[[routeC]:[boarding_EV]],7,FALSE),"")</f>
        <v>0</v>
      </c>
      <c r="O81" s="59">
        <f>IFERROR(VLOOKUP($A81&amp;"-"&amp;TEXT($B81+19,0),md[[routeC]:[boarding_EV]],8,FALSE),"")</f>
        <v>0</v>
      </c>
      <c r="P81" s="59">
        <f t="shared" si="13"/>
        <v>0</v>
      </c>
      <c r="Q81" s="288">
        <f t="shared" si="14"/>
        <v>-1</v>
      </c>
      <c r="R81" s="287">
        <f t="shared" si="15"/>
        <v>784.00000000000023</v>
      </c>
    </row>
    <row r="82" spans="1:18" x14ac:dyDescent="0.3">
      <c r="A82" s="47">
        <v>388</v>
      </c>
      <c r="B82" s="47">
        <v>10</v>
      </c>
      <c r="C82" s="47" t="s">
        <v>0</v>
      </c>
      <c r="D82" s="47">
        <v>5</v>
      </c>
      <c r="E82" s="48">
        <f>VLOOKUP($A82,observed!$C$2:$K$139,5,FALSE)</f>
        <v>14.696744186046516</v>
      </c>
      <c r="F82" s="48">
        <f>VLOOKUP($A82,observed!$C$2:$K$139,6,FALSE)</f>
        <v>78.503255813953487</v>
      </c>
      <c r="G82" s="48">
        <f>VLOOKUP($A82,observed!$C$2:$K$139,7,FALSE)</f>
        <v>321.28816774193501</v>
      </c>
      <c r="H82" s="48">
        <f>VLOOKUP($A82,observed!$C$2:$K$139,8,FALSE)</f>
        <v>176.12183225806496</v>
      </c>
      <c r="I82" s="48">
        <f>VLOOKUP($A82,observed!$C$2:$K$139,9,FALSE)</f>
        <v>99.18</v>
      </c>
      <c r="J82" s="48">
        <f t="shared" si="12"/>
        <v>689.79</v>
      </c>
      <c r="K82" s="59">
        <f>IFERROR(VLOOKUP($A82&amp;"-"&amp;TEXT($B82+19,0),md[[routeC]:[boarding_EV]],4,FALSE),"")</f>
        <v>0</v>
      </c>
      <c r="L82" s="59">
        <f>IFERROR(VLOOKUP($A82&amp;"-"&amp;TEXT($B82+19,0),md[[routeC]:[boarding_EV]],5,FALSE),"")</f>
        <v>0</v>
      </c>
      <c r="M82" s="59">
        <f>IFERROR(VLOOKUP($A82&amp;"-"&amp;TEXT($B82+19,0),md[[routeC]:[boarding_EV]],6,FALSE),"")</f>
        <v>0</v>
      </c>
      <c r="N82" s="59">
        <f>IFERROR(VLOOKUP($A82&amp;"-"&amp;TEXT($B82+19,0),md[[routeC]:[boarding_EV]],7,FALSE),"")</f>
        <v>0</v>
      </c>
      <c r="O82" s="59">
        <f>IFERROR(VLOOKUP($A82&amp;"-"&amp;TEXT($B82+19,0),md[[routeC]:[boarding_EV]],8,FALSE),"")</f>
        <v>0</v>
      </c>
      <c r="P82" s="59">
        <f t="shared" si="13"/>
        <v>0</v>
      </c>
      <c r="Q82" s="288">
        <f t="shared" si="14"/>
        <v>-1</v>
      </c>
      <c r="R82" s="287">
        <f t="shared" si="15"/>
        <v>475810.24409999995</v>
      </c>
    </row>
    <row r="83" spans="1:18" x14ac:dyDescent="0.3">
      <c r="A83" s="47">
        <v>389</v>
      </c>
      <c r="B83" s="47">
        <v>10</v>
      </c>
      <c r="C83" s="47" t="s">
        <v>0</v>
      </c>
      <c r="D83" s="47">
        <v>5</v>
      </c>
      <c r="E83" s="48">
        <f>VLOOKUP($A83,observed!$C$2:$K$139,5,FALSE)</f>
        <v>0</v>
      </c>
      <c r="F83" s="48">
        <f>VLOOKUP($A83,observed!$C$2:$K$139,6,FALSE)</f>
        <v>25</v>
      </c>
      <c r="G83" s="48">
        <f>VLOOKUP($A83,observed!$C$2:$K$139,7,FALSE)</f>
        <v>82.299999999999869</v>
      </c>
      <c r="H83" s="48">
        <f>VLOOKUP($A83,observed!$C$2:$K$139,8,FALSE)</f>
        <v>33.950000000000131</v>
      </c>
      <c r="I83" s="48">
        <f>VLOOKUP($A83,observed!$C$2:$K$139,9,FALSE)</f>
        <v>14</v>
      </c>
      <c r="J83" s="48">
        <f t="shared" si="12"/>
        <v>155.25</v>
      </c>
      <c r="K83" s="59">
        <f>IFERROR(VLOOKUP($A83&amp;"-"&amp;TEXT($B83+19,0),md[[routeC]:[boarding_EV]],4,FALSE),"")</f>
        <v>0</v>
      </c>
      <c r="L83" s="59">
        <f>IFERROR(VLOOKUP($A83&amp;"-"&amp;TEXT($B83+19,0),md[[routeC]:[boarding_EV]],5,FALSE),"")</f>
        <v>0</v>
      </c>
      <c r="M83" s="59">
        <f>IFERROR(VLOOKUP($A83&amp;"-"&amp;TEXT($B83+19,0),md[[routeC]:[boarding_EV]],6,FALSE),"")</f>
        <v>0</v>
      </c>
      <c r="N83" s="59">
        <f>IFERROR(VLOOKUP($A83&amp;"-"&amp;TEXT($B83+19,0),md[[routeC]:[boarding_EV]],7,FALSE),"")</f>
        <v>0</v>
      </c>
      <c r="O83" s="59">
        <f>IFERROR(VLOOKUP($A83&amp;"-"&amp;TEXT($B83+19,0),md[[routeC]:[boarding_EV]],8,FALSE),"")</f>
        <v>0</v>
      </c>
      <c r="P83" s="59">
        <f t="shared" si="13"/>
        <v>0</v>
      </c>
      <c r="Q83" s="288">
        <f t="shared" si="14"/>
        <v>-1</v>
      </c>
      <c r="R83" s="287">
        <f t="shared" si="15"/>
        <v>24102.5625</v>
      </c>
    </row>
    <row r="84" spans="1:18" x14ac:dyDescent="0.3">
      <c r="A84" s="47">
        <v>392</v>
      </c>
      <c r="B84" s="47">
        <v>10</v>
      </c>
      <c r="C84" s="47" t="s">
        <v>0</v>
      </c>
      <c r="D84" s="47">
        <v>5</v>
      </c>
      <c r="E84" s="48">
        <f>VLOOKUP($A84,observed!$C$2:$K$139,5,FALSE)</f>
        <v>0.86599999999999733</v>
      </c>
      <c r="F84" s="48">
        <f>VLOOKUP($A84,observed!$C$2:$K$139,6,FALSE)</f>
        <v>64.164000000000001</v>
      </c>
      <c r="G84" s="48">
        <f>VLOOKUP($A84,observed!$C$2:$K$139,7,FALSE)</f>
        <v>75.983157894736721</v>
      </c>
      <c r="H84" s="48">
        <f>VLOOKUP($A84,observed!$C$2:$K$139,8,FALSE)</f>
        <v>29.916842105263278</v>
      </c>
      <c r="I84" s="48">
        <f>VLOOKUP($A84,observed!$C$2:$K$139,9,FALSE)</f>
        <v>0</v>
      </c>
      <c r="J84" s="48">
        <f t="shared" si="12"/>
        <v>170.92999999999998</v>
      </c>
      <c r="K84" s="59">
        <f>IFERROR(VLOOKUP($A84&amp;"-"&amp;TEXT($B84+19,0),md[[routeC]:[boarding_EV]],4,FALSE),"")</f>
        <v>0</v>
      </c>
      <c r="L84" s="59">
        <f>IFERROR(VLOOKUP($A84&amp;"-"&amp;TEXT($B84+19,0),md[[routeC]:[boarding_EV]],5,FALSE),"")</f>
        <v>0</v>
      </c>
      <c r="M84" s="59">
        <f>IFERROR(VLOOKUP($A84&amp;"-"&amp;TEXT($B84+19,0),md[[routeC]:[boarding_EV]],6,FALSE),"")</f>
        <v>0</v>
      </c>
      <c r="N84" s="59">
        <f>IFERROR(VLOOKUP($A84&amp;"-"&amp;TEXT($B84+19,0),md[[routeC]:[boarding_EV]],7,FALSE),"")</f>
        <v>0</v>
      </c>
      <c r="O84" s="59">
        <f>IFERROR(VLOOKUP($A84&amp;"-"&amp;TEXT($B84+19,0),md[[routeC]:[boarding_EV]],8,FALSE),"")</f>
        <v>0</v>
      </c>
      <c r="P84" s="59">
        <f t="shared" si="13"/>
        <v>0</v>
      </c>
      <c r="Q84" s="288">
        <f t="shared" si="14"/>
        <v>-1</v>
      </c>
      <c r="R84" s="287">
        <f t="shared" si="15"/>
        <v>29217.064899999994</v>
      </c>
    </row>
    <row r="85" spans="1:18" x14ac:dyDescent="0.3">
      <c r="A85" s="47">
        <v>395</v>
      </c>
      <c r="B85" s="47">
        <v>10</v>
      </c>
      <c r="C85" s="47" t="s">
        <v>0</v>
      </c>
      <c r="D85" s="47">
        <v>5</v>
      </c>
      <c r="E85" s="48">
        <f>VLOOKUP($A85,observed!$C$2:$K$139,5,FALSE)</f>
        <v>0</v>
      </c>
      <c r="F85" s="48">
        <f>VLOOKUP($A85,observed!$C$2:$K$139,6,FALSE)</f>
        <v>13.521038961038961</v>
      </c>
      <c r="G85" s="48">
        <f>VLOOKUP($A85,observed!$C$2:$K$139,7,FALSE)</f>
        <v>56.334545454545385</v>
      </c>
      <c r="H85" s="48">
        <f>VLOOKUP($A85,observed!$C$2:$K$139,8,FALSE)</f>
        <v>70.013257948947796</v>
      </c>
      <c r="I85" s="48">
        <f>VLOOKUP($A85,observed!$C$2:$K$139,9,FALSE)</f>
        <v>51.311157635467843</v>
      </c>
      <c r="J85" s="48">
        <f t="shared" si="12"/>
        <v>191.18</v>
      </c>
      <c r="K85" s="59">
        <f>IFERROR(VLOOKUP($A85&amp;"-"&amp;TEXT($B85+19,0),md[[routeC]:[boarding_EV]],4,FALSE),"")</f>
        <v>0</v>
      </c>
      <c r="L85" s="59">
        <f>IFERROR(VLOOKUP($A85&amp;"-"&amp;TEXT($B85+19,0),md[[routeC]:[boarding_EV]],5,FALSE),"")</f>
        <v>0</v>
      </c>
      <c r="M85" s="59">
        <f>IFERROR(VLOOKUP($A85&amp;"-"&amp;TEXT($B85+19,0),md[[routeC]:[boarding_EV]],6,FALSE),"")</f>
        <v>0</v>
      </c>
      <c r="N85" s="59">
        <f>IFERROR(VLOOKUP($A85&amp;"-"&amp;TEXT($B85+19,0),md[[routeC]:[boarding_EV]],7,FALSE),"")</f>
        <v>0</v>
      </c>
      <c r="O85" s="59">
        <f>IFERROR(VLOOKUP($A85&amp;"-"&amp;TEXT($B85+19,0),md[[routeC]:[boarding_EV]],8,FALSE),"")</f>
        <v>0</v>
      </c>
      <c r="P85" s="59">
        <f t="shared" si="13"/>
        <v>0</v>
      </c>
      <c r="Q85" s="288">
        <f t="shared" si="14"/>
        <v>-1</v>
      </c>
      <c r="R85" s="287">
        <f t="shared" si="15"/>
        <v>36549.792400000006</v>
      </c>
    </row>
    <row r="86" spans="1:18" x14ac:dyDescent="0.3">
      <c r="A86" s="47">
        <v>444</v>
      </c>
      <c r="B86" s="47">
        <v>10</v>
      </c>
      <c r="C86" s="47" t="s">
        <v>0</v>
      </c>
      <c r="D86" s="47">
        <v>5</v>
      </c>
      <c r="E86" s="48">
        <f>VLOOKUP($A86,observed!$C$2:$K$139,5,FALSE)</f>
        <v>0</v>
      </c>
      <c r="F86" s="48">
        <f>VLOOKUP($A86,observed!$C$2:$K$139,6,FALSE)</f>
        <v>33.165384615384589</v>
      </c>
      <c r="G86" s="48">
        <f>VLOOKUP($A86,observed!$C$2:$K$139,7,FALSE)</f>
        <v>2.6346153846154099</v>
      </c>
      <c r="H86" s="48">
        <f>VLOOKUP($A86,observed!$C$2:$K$139,8,FALSE)</f>
        <v>39.6</v>
      </c>
      <c r="I86" s="48">
        <f>VLOOKUP($A86,observed!$C$2:$K$139,9,FALSE)</f>
        <v>0</v>
      </c>
      <c r="J86" s="48">
        <f t="shared" si="12"/>
        <v>75.400000000000006</v>
      </c>
      <c r="K86" s="59">
        <f>IFERROR(VLOOKUP($A86&amp;"-"&amp;TEXT($B86+19,0),md[[routeC]:[boarding_EV]],4,FALSE),"")</f>
        <v>0</v>
      </c>
      <c r="L86" s="59">
        <f>IFERROR(VLOOKUP($A86&amp;"-"&amp;TEXT($B86+19,0),md[[routeC]:[boarding_EV]],5,FALSE),"")</f>
        <v>0</v>
      </c>
      <c r="M86" s="59">
        <f>IFERROR(VLOOKUP($A86&amp;"-"&amp;TEXT($B86+19,0),md[[routeC]:[boarding_EV]],6,FALSE),"")</f>
        <v>0</v>
      </c>
      <c r="N86" s="59">
        <f>IFERROR(VLOOKUP($A86&amp;"-"&amp;TEXT($B86+19,0),md[[routeC]:[boarding_EV]],7,FALSE),"")</f>
        <v>0</v>
      </c>
      <c r="O86" s="59">
        <f>IFERROR(VLOOKUP($A86&amp;"-"&amp;TEXT($B86+19,0),md[[routeC]:[boarding_EV]],8,FALSE),"")</f>
        <v>0</v>
      </c>
      <c r="P86" s="59">
        <f t="shared" si="13"/>
        <v>0</v>
      </c>
      <c r="Q86" s="288">
        <f t="shared" si="14"/>
        <v>-1</v>
      </c>
      <c r="R86" s="287">
        <f t="shared" si="15"/>
        <v>5685.1600000000008</v>
      </c>
    </row>
    <row r="87" spans="1:18" x14ac:dyDescent="0.3">
      <c r="A87" s="47">
        <v>445</v>
      </c>
      <c r="B87" s="47">
        <v>10</v>
      </c>
      <c r="C87" s="47" t="s">
        <v>0</v>
      </c>
      <c r="D87" s="47">
        <v>5</v>
      </c>
      <c r="E87" s="48">
        <f>VLOOKUP($A87,observed!$C$2:$K$139,5,FALSE)</f>
        <v>0</v>
      </c>
      <c r="F87" s="48">
        <f>VLOOKUP($A87,observed!$C$2:$K$139,6,FALSE)</f>
        <v>61.569200000000009</v>
      </c>
      <c r="G87" s="48">
        <f>VLOOKUP($A87,observed!$C$2:$K$139,7,FALSE)</f>
        <v>1.300799999999996</v>
      </c>
      <c r="H87" s="48">
        <f>VLOOKUP($A87,observed!$C$2:$K$139,8,FALSE)</f>
        <v>47.980000000000004</v>
      </c>
      <c r="I87" s="48">
        <f>VLOOKUP($A87,observed!$C$2:$K$139,9,FALSE)</f>
        <v>0</v>
      </c>
      <c r="J87" s="48">
        <f t="shared" si="12"/>
        <v>110.85000000000001</v>
      </c>
      <c r="K87" s="59">
        <f>IFERROR(VLOOKUP($A87&amp;"-"&amp;TEXT($B87+19,0),md[[routeC]:[boarding_EV]],4,FALSE),"")</f>
        <v>0</v>
      </c>
      <c r="L87" s="59">
        <f>IFERROR(VLOOKUP($A87&amp;"-"&amp;TEXT($B87+19,0),md[[routeC]:[boarding_EV]],5,FALSE),"")</f>
        <v>0</v>
      </c>
      <c r="M87" s="59">
        <f>IFERROR(VLOOKUP($A87&amp;"-"&amp;TEXT($B87+19,0),md[[routeC]:[boarding_EV]],6,FALSE),"")</f>
        <v>0</v>
      </c>
      <c r="N87" s="59">
        <f>IFERROR(VLOOKUP($A87&amp;"-"&amp;TEXT($B87+19,0),md[[routeC]:[boarding_EV]],7,FALSE),"")</f>
        <v>0</v>
      </c>
      <c r="O87" s="59">
        <f>IFERROR(VLOOKUP($A87&amp;"-"&amp;TEXT($B87+19,0),md[[routeC]:[boarding_EV]],8,FALSE),"")</f>
        <v>0</v>
      </c>
      <c r="P87" s="59">
        <f t="shared" si="13"/>
        <v>0</v>
      </c>
      <c r="Q87" s="288">
        <f t="shared" si="14"/>
        <v>-1</v>
      </c>
      <c r="R87" s="287">
        <f t="shared" si="15"/>
        <v>12287.722500000002</v>
      </c>
    </row>
    <row r="88" spans="1:18" x14ac:dyDescent="0.3">
      <c r="A88" s="47">
        <v>446</v>
      </c>
      <c r="B88" s="47">
        <v>10</v>
      </c>
      <c r="C88" s="47" t="s">
        <v>0</v>
      </c>
      <c r="D88" s="47">
        <v>5</v>
      </c>
      <c r="E88" s="48">
        <f>VLOOKUP($A88,observed!$C$2:$K$139,5,FALSE)</f>
        <v>0</v>
      </c>
      <c r="F88" s="48">
        <f>VLOOKUP($A88,observed!$C$2:$K$139,6,FALSE)</f>
        <v>7.2</v>
      </c>
      <c r="G88" s="48">
        <f>VLOOKUP($A88,observed!$C$2:$K$139,7,FALSE)</f>
        <v>0</v>
      </c>
      <c r="H88" s="48">
        <f>VLOOKUP($A88,observed!$C$2:$K$139,8,FALSE)</f>
        <v>8.33</v>
      </c>
      <c r="I88" s="48">
        <f>VLOOKUP($A88,observed!$C$2:$K$139,9,FALSE)</f>
        <v>0</v>
      </c>
      <c r="J88" s="48">
        <f t="shared" si="12"/>
        <v>15.530000000000001</v>
      </c>
      <c r="K88" s="59">
        <f>IFERROR(VLOOKUP($A88&amp;"-"&amp;TEXT($B88+19,0),md[[routeC]:[boarding_EV]],4,FALSE),"")</f>
        <v>0</v>
      </c>
      <c r="L88" s="59">
        <f>IFERROR(VLOOKUP($A88&amp;"-"&amp;TEXT($B88+19,0),md[[routeC]:[boarding_EV]],5,FALSE),"")</f>
        <v>0</v>
      </c>
      <c r="M88" s="59">
        <f>IFERROR(VLOOKUP($A88&amp;"-"&amp;TEXT($B88+19,0),md[[routeC]:[boarding_EV]],6,FALSE),"")</f>
        <v>0</v>
      </c>
      <c r="N88" s="59">
        <f>IFERROR(VLOOKUP($A88&amp;"-"&amp;TEXT($B88+19,0),md[[routeC]:[boarding_EV]],7,FALSE),"")</f>
        <v>0</v>
      </c>
      <c r="O88" s="59">
        <f>IFERROR(VLOOKUP($A88&amp;"-"&amp;TEXT($B88+19,0),md[[routeC]:[boarding_EV]],8,FALSE),"")</f>
        <v>0</v>
      </c>
      <c r="P88" s="59">
        <f t="shared" si="13"/>
        <v>0</v>
      </c>
      <c r="Q88" s="288">
        <f t="shared" si="14"/>
        <v>-1</v>
      </c>
      <c r="R88" s="287">
        <f t="shared" si="15"/>
        <v>241.18090000000004</v>
      </c>
    </row>
    <row r="89" spans="1:18" x14ac:dyDescent="0.3">
      <c r="A89" s="47">
        <v>701</v>
      </c>
      <c r="B89" s="47">
        <v>10</v>
      </c>
      <c r="C89" s="47" t="s">
        <v>0</v>
      </c>
      <c r="D89" s="47">
        <v>5</v>
      </c>
      <c r="E89" s="48">
        <f>VLOOKUP($A89,observed!$C$2:$K$139,5,FALSE)</f>
        <v>21.358571428571409</v>
      </c>
      <c r="F89" s="48">
        <f>VLOOKUP($A89,observed!$C$2:$K$139,6,FALSE)</f>
        <v>492.26638211382124</v>
      </c>
      <c r="G89" s="48">
        <f>VLOOKUP($A89,observed!$C$2:$K$139,7,FALSE)</f>
        <v>1173.9583234132083</v>
      </c>
      <c r="H89" s="48">
        <f>VLOOKUP($A89,observed!$C$2:$K$139,8,FALSE)</f>
        <v>434.02201716204644</v>
      </c>
      <c r="I89" s="48">
        <f>VLOOKUP($A89,observed!$C$2:$K$139,9,FALSE)</f>
        <v>102.59470588235263</v>
      </c>
      <c r="J89" s="48">
        <f t="shared" si="12"/>
        <v>2224.1999999999998</v>
      </c>
      <c r="K89" s="59">
        <f>IFERROR(VLOOKUP($A89&amp;"-"&amp;TEXT($B89+19,0),md[[routeC]:[boarding_EV]],4,FALSE),"")</f>
        <v>0</v>
      </c>
      <c r="L89" s="59">
        <f>IFERROR(VLOOKUP($A89&amp;"-"&amp;TEXT($B89+19,0),md[[routeC]:[boarding_EV]],5,FALSE),"")</f>
        <v>0</v>
      </c>
      <c r="M89" s="59">
        <f>IFERROR(VLOOKUP($A89&amp;"-"&amp;TEXT($B89+19,0),md[[routeC]:[boarding_EV]],6,FALSE),"")</f>
        <v>0</v>
      </c>
      <c r="N89" s="59">
        <f>IFERROR(VLOOKUP($A89&amp;"-"&amp;TEXT($B89+19,0),md[[routeC]:[boarding_EV]],7,FALSE),"")</f>
        <v>0</v>
      </c>
      <c r="O89" s="59">
        <f>IFERROR(VLOOKUP($A89&amp;"-"&amp;TEXT($B89+19,0),md[[routeC]:[boarding_EV]],8,FALSE),"")</f>
        <v>0</v>
      </c>
      <c r="P89" s="59">
        <f t="shared" si="13"/>
        <v>0</v>
      </c>
      <c r="Q89" s="288">
        <f t="shared" si="14"/>
        <v>-1</v>
      </c>
      <c r="R89" s="287">
        <f t="shared" si="15"/>
        <v>4947065.6399999987</v>
      </c>
    </row>
    <row r="90" spans="1:18" x14ac:dyDescent="0.3">
      <c r="A90" s="47">
        <v>704</v>
      </c>
      <c r="B90" s="47">
        <v>10</v>
      </c>
      <c r="C90" s="47" t="s">
        <v>0</v>
      </c>
      <c r="D90" s="47">
        <v>5</v>
      </c>
      <c r="E90" s="48">
        <f>VLOOKUP($A90,observed!$C$2:$K$139,5,FALSE)</f>
        <v>52.40588235294117</v>
      </c>
      <c r="F90" s="48">
        <f>VLOOKUP($A90,observed!$C$2:$K$139,6,FALSE)</f>
        <v>389.49519662369954</v>
      </c>
      <c r="G90" s="48">
        <f>VLOOKUP($A90,observed!$C$2:$K$139,7,FALSE)</f>
        <v>845.81859135302807</v>
      </c>
      <c r="H90" s="48">
        <f>VLOOKUP($A90,observed!$C$2:$K$139,8,FALSE)</f>
        <v>406.38578601953799</v>
      </c>
      <c r="I90" s="48">
        <f>VLOOKUP($A90,observed!$C$2:$K$139,9,FALSE)</f>
        <v>100.77454365079331</v>
      </c>
      <c r="J90" s="48">
        <f t="shared" si="12"/>
        <v>1794.88</v>
      </c>
      <c r="K90" s="59">
        <f>IFERROR(VLOOKUP($A90&amp;"-"&amp;TEXT($B90+19,0),md[[routeC]:[boarding_EV]],4,FALSE),"")</f>
        <v>0</v>
      </c>
      <c r="L90" s="59">
        <f>IFERROR(VLOOKUP($A90&amp;"-"&amp;TEXT($B90+19,0),md[[routeC]:[boarding_EV]],5,FALSE),"")</f>
        <v>0</v>
      </c>
      <c r="M90" s="59">
        <f>IFERROR(VLOOKUP($A90&amp;"-"&amp;TEXT($B90+19,0),md[[routeC]:[boarding_EV]],6,FALSE),"")</f>
        <v>0</v>
      </c>
      <c r="N90" s="59">
        <f>IFERROR(VLOOKUP($A90&amp;"-"&amp;TEXT($B90+19,0),md[[routeC]:[boarding_EV]],7,FALSE),"")</f>
        <v>0</v>
      </c>
      <c r="O90" s="59">
        <f>IFERROR(VLOOKUP($A90&amp;"-"&amp;TEXT($B90+19,0),md[[routeC]:[boarding_EV]],8,FALSE),"")</f>
        <v>0</v>
      </c>
      <c r="P90" s="59">
        <f t="shared" si="13"/>
        <v>0</v>
      </c>
      <c r="Q90" s="288">
        <f t="shared" si="14"/>
        <v>-1</v>
      </c>
      <c r="R90" s="287">
        <f t="shared" si="15"/>
        <v>3221594.2144000004</v>
      </c>
    </row>
    <row r="91" spans="1:18" x14ac:dyDescent="0.3">
      <c r="A91" s="47">
        <v>705</v>
      </c>
      <c r="B91" s="47">
        <v>10</v>
      </c>
      <c r="C91" s="47" t="s">
        <v>0</v>
      </c>
      <c r="D91" s="47">
        <v>5</v>
      </c>
      <c r="E91" s="48">
        <f>VLOOKUP($A91,observed!$C$2:$K$139,5,FALSE)</f>
        <v>0</v>
      </c>
      <c r="F91" s="48">
        <f>VLOOKUP($A91,observed!$C$2:$K$139,6,FALSE)</f>
        <v>202.73999999999998</v>
      </c>
      <c r="G91" s="48">
        <f>VLOOKUP($A91,observed!$C$2:$K$139,7,FALSE)</f>
        <v>561.22448717948635</v>
      </c>
      <c r="H91" s="48">
        <f>VLOOKUP($A91,observed!$C$2:$K$139,8,FALSE)</f>
        <v>263.97551282051364</v>
      </c>
      <c r="I91" s="48">
        <f>VLOOKUP($A91,observed!$C$2:$K$139,9,FALSE)</f>
        <v>57.230000000000004</v>
      </c>
      <c r="J91" s="48">
        <f t="shared" si="12"/>
        <v>1085.17</v>
      </c>
      <c r="K91" s="59">
        <f>IFERROR(VLOOKUP($A91&amp;"-"&amp;TEXT($B91+19,0),md[[routeC]:[boarding_EV]],4,FALSE),"")</f>
        <v>0</v>
      </c>
      <c r="L91" s="59">
        <f>IFERROR(VLOOKUP($A91&amp;"-"&amp;TEXT($B91+19,0),md[[routeC]:[boarding_EV]],5,FALSE),"")</f>
        <v>0</v>
      </c>
      <c r="M91" s="59">
        <f>IFERROR(VLOOKUP($A91&amp;"-"&amp;TEXT($B91+19,0),md[[routeC]:[boarding_EV]],6,FALSE),"")</f>
        <v>0</v>
      </c>
      <c r="N91" s="59">
        <f>IFERROR(VLOOKUP($A91&amp;"-"&amp;TEXT($B91+19,0),md[[routeC]:[boarding_EV]],7,FALSE),"")</f>
        <v>0</v>
      </c>
      <c r="O91" s="59">
        <f>IFERROR(VLOOKUP($A91&amp;"-"&amp;TEXT($B91+19,0),md[[routeC]:[boarding_EV]],8,FALSE),"")</f>
        <v>0</v>
      </c>
      <c r="P91" s="59">
        <f t="shared" si="13"/>
        <v>0</v>
      </c>
      <c r="Q91" s="288">
        <f t="shared" si="14"/>
        <v>-1</v>
      </c>
      <c r="R91" s="287">
        <f t="shared" si="15"/>
        <v>1177593.9289000002</v>
      </c>
    </row>
    <row r="92" spans="1:18" x14ac:dyDescent="0.3">
      <c r="A92" s="47">
        <v>707</v>
      </c>
      <c r="B92" s="47">
        <v>10</v>
      </c>
      <c r="C92" s="47" t="s">
        <v>0</v>
      </c>
      <c r="D92" s="47">
        <v>5</v>
      </c>
      <c r="E92" s="48">
        <f>VLOOKUP($A92,observed!$C$2:$K$139,5,FALSE)</f>
        <v>0</v>
      </c>
      <c r="F92" s="48">
        <f>VLOOKUP($A92,observed!$C$2:$K$139,6,FALSE)</f>
        <v>8</v>
      </c>
      <c r="G92" s="48">
        <f>VLOOKUP($A92,observed!$C$2:$K$139,7,FALSE)</f>
        <v>221.3</v>
      </c>
      <c r="H92" s="48">
        <f>VLOOKUP($A92,observed!$C$2:$K$139,8,FALSE)</f>
        <v>51.720000000000006</v>
      </c>
      <c r="I92" s="48">
        <f>VLOOKUP($A92,observed!$C$2:$K$139,9,FALSE)</f>
        <v>6.06</v>
      </c>
      <c r="J92" s="48">
        <f t="shared" si="12"/>
        <v>287.08000000000004</v>
      </c>
      <c r="K92" s="59">
        <f>IFERROR(VLOOKUP($A92&amp;"-"&amp;TEXT($B92+19,0),md[[routeC]:[boarding_EV]],4,FALSE),"")</f>
        <v>0</v>
      </c>
      <c r="L92" s="59">
        <f>IFERROR(VLOOKUP($A92&amp;"-"&amp;TEXT($B92+19,0),md[[routeC]:[boarding_EV]],5,FALSE),"")</f>
        <v>0</v>
      </c>
      <c r="M92" s="59">
        <f>IFERROR(VLOOKUP($A92&amp;"-"&amp;TEXT($B92+19,0),md[[routeC]:[boarding_EV]],6,FALSE),"")</f>
        <v>0</v>
      </c>
      <c r="N92" s="59">
        <f>IFERROR(VLOOKUP($A92&amp;"-"&amp;TEXT($B92+19,0),md[[routeC]:[boarding_EV]],7,FALSE),"")</f>
        <v>0</v>
      </c>
      <c r="O92" s="59">
        <f>IFERROR(VLOOKUP($A92&amp;"-"&amp;TEXT($B92+19,0),md[[routeC]:[boarding_EV]],8,FALSE),"")</f>
        <v>0</v>
      </c>
      <c r="P92" s="59">
        <f t="shared" si="13"/>
        <v>0</v>
      </c>
      <c r="Q92" s="288">
        <f t="shared" si="14"/>
        <v>-1</v>
      </c>
      <c r="R92" s="287">
        <f t="shared" si="15"/>
        <v>82414.926400000026</v>
      </c>
    </row>
    <row r="93" spans="1:18" x14ac:dyDescent="0.3">
      <c r="A93" s="1">
        <v>709</v>
      </c>
      <c r="B93" s="1">
        <v>10</v>
      </c>
      <c r="C93" s="1" t="s">
        <v>0</v>
      </c>
      <c r="D93" s="1">
        <v>5</v>
      </c>
      <c r="E93" s="225">
        <v>57.806094202898507</v>
      </c>
      <c r="F93" s="225">
        <v>783.85600730086105</v>
      </c>
      <c r="G93" s="225">
        <v>1686.8470291677447</v>
      </c>
      <c r="H93" s="225">
        <v>810.06140351653153</v>
      </c>
      <c r="I93" s="225">
        <v>212.76946581196455</v>
      </c>
      <c r="J93" s="225">
        <f t="shared" si="12"/>
        <v>3551.34</v>
      </c>
      <c r="K93" s="226">
        <f>IFERROR(VLOOKUP($A93&amp;"-"&amp;TEXT($B93+19,0),md[[routeC]:[boarding_EV]],4,FALSE),"")</f>
        <v>0</v>
      </c>
      <c r="L93" s="226">
        <f>IFERROR(VLOOKUP($A93&amp;"-"&amp;TEXT($B93+19,0),md[[routeC]:[boarding_EV]],5,FALSE),"")</f>
        <v>0</v>
      </c>
      <c r="M93" s="226">
        <f>IFERROR(VLOOKUP($A93&amp;"-"&amp;TEXT($B93+19,0),md[[routeC]:[boarding_EV]],6,FALSE),"")</f>
        <v>0</v>
      </c>
      <c r="N93" s="226">
        <f>IFERROR(VLOOKUP($A93&amp;"-"&amp;TEXT($B93+19,0),md[[routeC]:[boarding_EV]],7,FALSE),"")</f>
        <v>0</v>
      </c>
      <c r="O93" s="226">
        <f>IFERROR(VLOOKUP($A93&amp;"-"&amp;TEXT($B93+19,0),md[[routeC]:[boarding_EV]],8,FALSE),"")</f>
        <v>0</v>
      </c>
      <c r="P93" s="226">
        <f t="shared" si="13"/>
        <v>0</v>
      </c>
      <c r="Q93" s="293">
        <f t="shared" si="14"/>
        <v>-1</v>
      </c>
      <c r="R93" s="287">
        <f t="shared" si="15"/>
        <v>12612015.795600001</v>
      </c>
    </row>
    <row r="94" spans="1:18" x14ac:dyDescent="0.3">
      <c r="A94" s="47">
        <v>712</v>
      </c>
      <c r="B94" s="47">
        <v>10</v>
      </c>
      <c r="C94" s="47" t="s">
        <v>0</v>
      </c>
      <c r="D94" s="47">
        <v>5</v>
      </c>
      <c r="E94" s="48">
        <f>VLOOKUP($A94,observed!$C$2:$K$139,5,FALSE)</f>
        <v>35.05733455882352</v>
      </c>
      <c r="F94" s="48">
        <f>VLOOKUP($A94,observed!$C$2:$K$139,6,FALSE)</f>
        <v>549.15376769258341</v>
      </c>
      <c r="G94" s="48">
        <f>VLOOKUP($A94,observed!$C$2:$K$139,7,FALSE)</f>
        <v>1385.9538977485906</v>
      </c>
      <c r="H94" s="48">
        <f>VLOOKUP($A94,observed!$C$2:$K$139,8,FALSE)</f>
        <v>571.27763157895072</v>
      </c>
      <c r="I94" s="48">
        <f>VLOOKUP($A94,observed!$C$2:$K$139,9,FALSE)</f>
        <v>169.82736842105169</v>
      </c>
      <c r="J94" s="48">
        <f t="shared" si="12"/>
        <v>2711.27</v>
      </c>
      <c r="K94" s="59">
        <f>IFERROR(VLOOKUP($A94&amp;"-"&amp;TEXT($B94+19,0),md[[routeC]:[boarding_EV]],4,FALSE),"")</f>
        <v>0</v>
      </c>
      <c r="L94" s="59">
        <f>IFERROR(VLOOKUP($A94&amp;"-"&amp;TEXT($B94+19,0),md[[routeC]:[boarding_EV]],5,FALSE),"")</f>
        <v>0</v>
      </c>
      <c r="M94" s="59">
        <f>IFERROR(VLOOKUP($A94&amp;"-"&amp;TEXT($B94+19,0),md[[routeC]:[boarding_EV]],6,FALSE),"")</f>
        <v>0</v>
      </c>
      <c r="N94" s="59">
        <f>IFERROR(VLOOKUP($A94&amp;"-"&amp;TEXT($B94+19,0),md[[routeC]:[boarding_EV]],7,FALSE),"")</f>
        <v>0</v>
      </c>
      <c r="O94" s="59">
        <f>IFERROR(VLOOKUP($A94&amp;"-"&amp;TEXT($B94+19,0),md[[routeC]:[boarding_EV]],8,FALSE),"")</f>
        <v>0</v>
      </c>
      <c r="P94" s="59">
        <f t="shared" si="13"/>
        <v>0</v>
      </c>
      <c r="Q94" s="288">
        <f t="shared" si="14"/>
        <v>-1</v>
      </c>
      <c r="R94" s="287">
        <f t="shared" si="15"/>
        <v>7350985.0128999995</v>
      </c>
    </row>
    <row r="95" spans="1:18" x14ac:dyDescent="0.3">
      <c r="A95" s="47">
        <v>815</v>
      </c>
      <c r="B95" s="47">
        <v>10</v>
      </c>
      <c r="C95" s="47" t="s">
        <v>0</v>
      </c>
      <c r="D95" s="47">
        <v>5</v>
      </c>
      <c r="E95" s="48">
        <f>VLOOKUP($A95,observed!$C$2:$K$139,5,FALSE)</f>
        <v>29.979199999999977</v>
      </c>
      <c r="F95" s="48">
        <f>VLOOKUP($A95,observed!$C$2:$K$139,6,FALSE)</f>
        <v>170.4208000000001</v>
      </c>
      <c r="G95" s="48">
        <f>VLOOKUP($A95,observed!$C$2:$K$139,7,FALSE)</f>
        <v>540.62219780219698</v>
      </c>
      <c r="H95" s="48">
        <f>VLOOKUP($A95,observed!$C$2:$K$139,8,FALSE)</f>
        <v>208.15780219780302</v>
      </c>
      <c r="I95" s="48">
        <f>VLOOKUP($A95,observed!$C$2:$K$139,9,FALSE)</f>
        <v>82.4</v>
      </c>
      <c r="J95" s="48">
        <f t="shared" si="12"/>
        <v>1031.5800000000002</v>
      </c>
      <c r="K95" s="59">
        <f>IFERROR(VLOOKUP($A95&amp;"-"&amp;TEXT($B95+19,0),md[[routeC]:[boarding_EV]],4,FALSE),"")</f>
        <v>0</v>
      </c>
      <c r="L95" s="59">
        <f>IFERROR(VLOOKUP($A95&amp;"-"&amp;TEXT($B95+19,0),md[[routeC]:[boarding_EV]],5,FALSE),"")</f>
        <v>0</v>
      </c>
      <c r="M95" s="59">
        <f>IFERROR(VLOOKUP($A95&amp;"-"&amp;TEXT($B95+19,0),md[[routeC]:[boarding_EV]],6,FALSE),"")</f>
        <v>0</v>
      </c>
      <c r="N95" s="59">
        <f>IFERROR(VLOOKUP($A95&amp;"-"&amp;TEXT($B95+19,0),md[[routeC]:[boarding_EV]],7,FALSE),"")</f>
        <v>0</v>
      </c>
      <c r="O95" s="59">
        <f>IFERROR(VLOOKUP($A95&amp;"-"&amp;TEXT($B95+19,0),md[[routeC]:[boarding_EV]],8,FALSE),"")</f>
        <v>0</v>
      </c>
      <c r="P95" s="59">
        <f t="shared" si="13"/>
        <v>0</v>
      </c>
      <c r="Q95" s="288">
        <f t="shared" si="14"/>
        <v>-1</v>
      </c>
      <c r="R95" s="287">
        <f t="shared" si="15"/>
        <v>1064157.2964000003</v>
      </c>
    </row>
    <row r="96" spans="1:18" x14ac:dyDescent="0.3">
      <c r="A96" s="47">
        <v>816</v>
      </c>
      <c r="B96" s="47">
        <v>10</v>
      </c>
      <c r="C96" s="47" t="s">
        <v>0</v>
      </c>
      <c r="D96" s="47">
        <v>5</v>
      </c>
      <c r="E96" s="48">
        <f>VLOOKUP($A96,observed!$C$2:$K$139,5,FALSE)</f>
        <v>38.570937499999999</v>
      </c>
      <c r="F96" s="48">
        <f>VLOOKUP($A96,observed!$C$2:$K$139,6,FALSE)</f>
        <v>225.57801971925133</v>
      </c>
      <c r="G96" s="48">
        <f>VLOOKUP($A96,observed!$C$2:$K$139,7,FALSE)</f>
        <v>671.1741176470581</v>
      </c>
      <c r="H96" s="48">
        <f>VLOOKUP($A96,observed!$C$2:$K$139,8,FALSE)</f>
        <v>286.6678626336909</v>
      </c>
      <c r="I96" s="48">
        <f>VLOOKUP($A96,observed!$C$2:$K$139,9,FALSE)</f>
        <v>12.609062499999705</v>
      </c>
      <c r="J96" s="48">
        <f t="shared" si="12"/>
        <v>1234.5999999999999</v>
      </c>
      <c r="K96" s="59">
        <f>IFERROR(VLOOKUP($A96&amp;"-"&amp;TEXT($B96+19,0),md[[routeC]:[boarding_EV]],4,FALSE),"")</f>
        <v>0</v>
      </c>
      <c r="L96" s="59">
        <f>IFERROR(VLOOKUP($A96&amp;"-"&amp;TEXT($B96+19,0),md[[routeC]:[boarding_EV]],5,FALSE),"")</f>
        <v>0</v>
      </c>
      <c r="M96" s="59">
        <f>IFERROR(VLOOKUP($A96&amp;"-"&amp;TEXT($B96+19,0),md[[routeC]:[boarding_EV]],6,FALSE),"")</f>
        <v>0</v>
      </c>
      <c r="N96" s="59">
        <f>IFERROR(VLOOKUP($A96&amp;"-"&amp;TEXT($B96+19,0),md[[routeC]:[boarding_EV]],7,FALSE),"")</f>
        <v>0</v>
      </c>
      <c r="O96" s="59">
        <f>IFERROR(VLOOKUP($A96&amp;"-"&amp;TEXT($B96+19,0),md[[routeC]:[boarding_EV]],8,FALSE),"")</f>
        <v>0</v>
      </c>
      <c r="P96" s="59">
        <f t="shared" si="13"/>
        <v>0</v>
      </c>
      <c r="Q96" s="288">
        <f t="shared" si="14"/>
        <v>-1</v>
      </c>
      <c r="R96" s="287">
        <f t="shared" si="15"/>
        <v>1524237.1599999997</v>
      </c>
    </row>
    <row r="97" spans="1:18" x14ac:dyDescent="0.3">
      <c r="A97" s="47">
        <v>832</v>
      </c>
      <c r="B97" s="47">
        <v>10</v>
      </c>
      <c r="C97" s="47" t="s">
        <v>0</v>
      </c>
      <c r="D97" s="47">
        <v>5</v>
      </c>
      <c r="E97" s="48">
        <f>VLOOKUP($A97,observed!$C$2:$K$139,5,FALSE)</f>
        <v>0</v>
      </c>
      <c r="F97" s="48">
        <f>VLOOKUP($A97,observed!$C$2:$K$139,6,FALSE)</f>
        <v>75.849999999999994</v>
      </c>
      <c r="G97" s="48">
        <f>VLOOKUP($A97,observed!$C$2:$K$139,7,FALSE)</f>
        <v>132.05000000000001</v>
      </c>
      <c r="H97" s="48">
        <f>VLOOKUP($A97,observed!$C$2:$K$139,8,FALSE)</f>
        <v>58.31</v>
      </c>
      <c r="I97" s="48">
        <f>VLOOKUP($A97,observed!$C$2:$K$139,9,FALSE)</f>
        <v>0</v>
      </c>
      <c r="J97" s="48">
        <f t="shared" si="12"/>
        <v>266.21000000000004</v>
      </c>
      <c r="K97" s="59">
        <f>IFERROR(VLOOKUP($A97&amp;"-"&amp;TEXT($B97+19,0),md[[routeC]:[boarding_EV]],4,FALSE),"")</f>
        <v>0</v>
      </c>
      <c r="L97" s="59">
        <f>IFERROR(VLOOKUP($A97&amp;"-"&amp;TEXT($B97+19,0),md[[routeC]:[boarding_EV]],5,FALSE),"")</f>
        <v>0</v>
      </c>
      <c r="M97" s="59">
        <f>IFERROR(VLOOKUP($A97&amp;"-"&amp;TEXT($B97+19,0),md[[routeC]:[boarding_EV]],6,FALSE),"")</f>
        <v>0</v>
      </c>
      <c r="N97" s="59">
        <f>IFERROR(VLOOKUP($A97&amp;"-"&amp;TEXT($B97+19,0),md[[routeC]:[boarding_EV]],7,FALSE),"")</f>
        <v>0</v>
      </c>
      <c r="O97" s="59">
        <f>IFERROR(VLOOKUP($A97&amp;"-"&amp;TEXT($B97+19,0),md[[routeC]:[boarding_EV]],8,FALSE),"")</f>
        <v>0</v>
      </c>
      <c r="P97" s="59">
        <f t="shared" si="13"/>
        <v>0</v>
      </c>
      <c r="Q97" s="288">
        <f t="shared" si="14"/>
        <v>-1</v>
      </c>
      <c r="R97" s="287">
        <f t="shared" si="15"/>
        <v>70867.764100000015</v>
      </c>
    </row>
    <row r="98" spans="1:18" x14ac:dyDescent="0.3">
      <c r="A98" s="47">
        <v>833</v>
      </c>
      <c r="B98" s="47">
        <v>10</v>
      </c>
      <c r="C98" s="47" t="s">
        <v>0</v>
      </c>
      <c r="D98" s="47">
        <v>5</v>
      </c>
      <c r="E98" s="48">
        <f>VLOOKUP($A98,observed!$C$2:$K$139,5,FALSE)</f>
        <v>13.333333333333311</v>
      </c>
      <c r="F98" s="48">
        <f>VLOOKUP($A98,observed!$C$2:$K$139,6,FALSE)</f>
        <v>113.9569892473118</v>
      </c>
      <c r="G98" s="48">
        <f>VLOOKUP($A98,observed!$C$2:$K$139,7,FALSE)</f>
        <v>258.86432637571119</v>
      </c>
      <c r="H98" s="48">
        <f>VLOOKUP($A98,observed!$C$2:$K$139,8,FALSE)</f>
        <v>129.84535104364372</v>
      </c>
      <c r="I98" s="48">
        <f>VLOOKUP($A98,observed!$C$2:$K$139,9,FALSE)</f>
        <v>0</v>
      </c>
      <c r="J98" s="48">
        <f t="shared" si="12"/>
        <v>516</v>
      </c>
      <c r="K98" s="59">
        <f>IFERROR(VLOOKUP($A98&amp;"-"&amp;TEXT($B98+19,0),md[[routeC]:[boarding_EV]],4,FALSE),"")</f>
        <v>0</v>
      </c>
      <c r="L98" s="59">
        <f>IFERROR(VLOOKUP($A98&amp;"-"&amp;TEXT($B98+19,0),md[[routeC]:[boarding_EV]],5,FALSE),"")</f>
        <v>0</v>
      </c>
      <c r="M98" s="59">
        <f>IFERROR(VLOOKUP($A98&amp;"-"&amp;TEXT($B98+19,0),md[[routeC]:[boarding_EV]],6,FALSE),"")</f>
        <v>0</v>
      </c>
      <c r="N98" s="59">
        <f>IFERROR(VLOOKUP($A98&amp;"-"&amp;TEXT($B98+19,0),md[[routeC]:[boarding_EV]],7,FALSE),"")</f>
        <v>0</v>
      </c>
      <c r="O98" s="59">
        <f>IFERROR(VLOOKUP($A98&amp;"-"&amp;TEXT($B98+19,0),md[[routeC]:[boarding_EV]],8,FALSE),"")</f>
        <v>0</v>
      </c>
      <c r="P98" s="59">
        <f t="shared" si="13"/>
        <v>0</v>
      </c>
      <c r="Q98" s="288">
        <f t="shared" si="14"/>
        <v>-1</v>
      </c>
      <c r="R98" s="287">
        <f t="shared" si="15"/>
        <v>266256</v>
      </c>
    </row>
    <row r="99" spans="1:18" x14ac:dyDescent="0.3">
      <c r="A99" s="47">
        <v>834</v>
      </c>
      <c r="B99" s="47">
        <v>10</v>
      </c>
      <c r="C99" s="47" t="s">
        <v>0</v>
      </c>
      <c r="D99" s="47">
        <v>5</v>
      </c>
      <c r="E99" s="48">
        <f>VLOOKUP($A99,observed!$C$2:$K$139,5,FALSE)</f>
        <v>0</v>
      </c>
      <c r="F99" s="48">
        <f>VLOOKUP($A99,observed!$C$2:$K$139,6,FALSE)</f>
        <v>39.549999999999997</v>
      </c>
      <c r="G99" s="48">
        <f>VLOOKUP($A99,observed!$C$2:$K$139,7,FALSE)</f>
        <v>54.499999999999837</v>
      </c>
      <c r="H99" s="48">
        <f>VLOOKUP($A99,observed!$C$2:$K$139,8,FALSE)</f>
        <v>1.6059265028900427E-13</v>
      </c>
      <c r="I99" s="48">
        <f>VLOOKUP($A99,observed!$C$2:$K$139,9,FALSE)</f>
        <v>0</v>
      </c>
      <c r="J99" s="48">
        <f t="shared" si="12"/>
        <v>94.05</v>
      </c>
      <c r="K99" s="59">
        <f>IFERROR(VLOOKUP($A99&amp;"-"&amp;TEXT($B99+19,0),md[[routeC]:[boarding_EV]],4,FALSE),"")</f>
        <v>0</v>
      </c>
      <c r="L99" s="59">
        <f>IFERROR(VLOOKUP($A99&amp;"-"&amp;TEXT($B99+19,0),md[[routeC]:[boarding_EV]],5,FALSE),"")</f>
        <v>0</v>
      </c>
      <c r="M99" s="59">
        <f>IFERROR(VLOOKUP($A99&amp;"-"&amp;TEXT($B99+19,0),md[[routeC]:[boarding_EV]],6,FALSE),"")</f>
        <v>0</v>
      </c>
      <c r="N99" s="59">
        <f>IFERROR(VLOOKUP($A99&amp;"-"&amp;TEXT($B99+19,0),md[[routeC]:[boarding_EV]],7,FALSE),"")</f>
        <v>0</v>
      </c>
      <c r="O99" s="59">
        <f>IFERROR(VLOOKUP($A99&amp;"-"&amp;TEXT($B99+19,0),md[[routeC]:[boarding_EV]],8,FALSE),"")</f>
        <v>0</v>
      </c>
      <c r="P99" s="59">
        <f t="shared" si="13"/>
        <v>0</v>
      </c>
      <c r="Q99" s="288">
        <f t="shared" si="14"/>
        <v>-1</v>
      </c>
      <c r="R99" s="287">
        <f t="shared" si="15"/>
        <v>8845.4025000000001</v>
      </c>
    </row>
    <row r="100" spans="1:18" x14ac:dyDescent="0.3">
      <c r="A100" s="47">
        <v>848</v>
      </c>
      <c r="B100" s="47">
        <v>10</v>
      </c>
      <c r="C100" s="47" t="s">
        <v>0</v>
      </c>
      <c r="D100" s="47">
        <v>5</v>
      </c>
      <c r="E100" s="48">
        <f>VLOOKUP($A100,observed!$C$2:$K$139,5,FALSE)</f>
        <v>54.963003337041137</v>
      </c>
      <c r="F100" s="48">
        <f>VLOOKUP($A100,observed!$C$2:$K$139,6,FALSE)</f>
        <v>271.60200102215674</v>
      </c>
      <c r="G100" s="48">
        <f>VLOOKUP($A100,observed!$C$2:$K$139,7,FALSE)</f>
        <v>612.6350982049039</v>
      </c>
      <c r="H100" s="48">
        <f>VLOOKUP($A100,observed!$C$2:$K$139,8,FALSE)</f>
        <v>304.89725576196662</v>
      </c>
      <c r="I100" s="48">
        <f>VLOOKUP($A100,observed!$C$2:$K$139,9,FALSE)</f>
        <v>123.87264167393148</v>
      </c>
      <c r="J100" s="48">
        <f t="shared" si="12"/>
        <v>1367.9699999999998</v>
      </c>
      <c r="K100" s="59">
        <f>IFERROR(VLOOKUP($A100&amp;"-"&amp;TEXT($B100+19,0),md[[routeC]:[boarding_EV]],4,FALSE),"")</f>
        <v>0</v>
      </c>
      <c r="L100" s="59">
        <f>IFERROR(VLOOKUP($A100&amp;"-"&amp;TEXT($B100+19,0),md[[routeC]:[boarding_EV]],5,FALSE),"")</f>
        <v>0</v>
      </c>
      <c r="M100" s="59">
        <f>IFERROR(VLOOKUP($A100&amp;"-"&amp;TEXT($B100+19,0),md[[routeC]:[boarding_EV]],6,FALSE),"")</f>
        <v>0</v>
      </c>
      <c r="N100" s="59">
        <f>IFERROR(VLOOKUP($A100&amp;"-"&amp;TEXT($B100+19,0),md[[routeC]:[boarding_EV]],7,FALSE),"")</f>
        <v>0</v>
      </c>
      <c r="O100" s="59">
        <f>IFERROR(VLOOKUP($A100&amp;"-"&amp;TEXT($B100+19,0),md[[routeC]:[boarding_EV]],8,FALSE),"")</f>
        <v>0</v>
      </c>
      <c r="P100" s="59">
        <f t="shared" si="13"/>
        <v>0</v>
      </c>
      <c r="Q100" s="288">
        <f t="shared" si="14"/>
        <v>-1</v>
      </c>
      <c r="R100" s="287">
        <f t="shared" si="15"/>
        <v>1871341.9208999996</v>
      </c>
    </row>
    <row r="101" spans="1:18" x14ac:dyDescent="0.3">
      <c r="A101" s="47">
        <v>851</v>
      </c>
      <c r="B101" s="47">
        <v>10</v>
      </c>
      <c r="C101" s="47" t="s">
        <v>0</v>
      </c>
      <c r="D101" s="47">
        <v>5</v>
      </c>
      <c r="E101" s="48">
        <f>VLOOKUP($A101,observed!$C$2:$K$139,5,FALSE)</f>
        <v>7.3333333333333393</v>
      </c>
      <c r="F101" s="48">
        <f>VLOOKUP($A101,observed!$C$2:$K$139,6,FALSE)</f>
        <v>80.851851851851862</v>
      </c>
      <c r="G101" s="48">
        <f>VLOOKUP($A101,observed!$C$2:$K$139,7,FALSE)</f>
        <v>132.81481481481481</v>
      </c>
      <c r="H101" s="48">
        <f>VLOOKUP($A101,observed!$C$2:$K$139,8,FALSE)</f>
        <v>158</v>
      </c>
      <c r="I101" s="48">
        <f>VLOOKUP($A101,observed!$C$2:$K$139,9,FALSE)</f>
        <v>0</v>
      </c>
      <c r="J101" s="48">
        <f t="shared" si="12"/>
        <v>379</v>
      </c>
      <c r="K101" s="59">
        <f>IFERROR(VLOOKUP($A101&amp;"-"&amp;TEXT($B101+19,0),md[[routeC]:[boarding_EV]],4,FALSE),"")</f>
        <v>0</v>
      </c>
      <c r="L101" s="59">
        <f>IFERROR(VLOOKUP($A101&amp;"-"&amp;TEXT($B101+19,0),md[[routeC]:[boarding_EV]],5,FALSE),"")</f>
        <v>0</v>
      </c>
      <c r="M101" s="59">
        <f>IFERROR(VLOOKUP($A101&amp;"-"&amp;TEXT($B101+19,0),md[[routeC]:[boarding_EV]],6,FALSE),"")</f>
        <v>0</v>
      </c>
      <c r="N101" s="59">
        <f>IFERROR(VLOOKUP($A101&amp;"-"&amp;TEXT($B101+19,0),md[[routeC]:[boarding_EV]],7,FALSE),"")</f>
        <v>0</v>
      </c>
      <c r="O101" s="59">
        <f>IFERROR(VLOOKUP($A101&amp;"-"&amp;TEXT($B101+19,0),md[[routeC]:[boarding_EV]],8,FALSE),"")</f>
        <v>0</v>
      </c>
      <c r="P101" s="59">
        <f t="shared" si="13"/>
        <v>0</v>
      </c>
      <c r="Q101" s="288">
        <f t="shared" si="14"/>
        <v>-1</v>
      </c>
      <c r="R101" s="287">
        <f t="shared" si="15"/>
        <v>143641</v>
      </c>
    </row>
    <row r="102" spans="1:18" x14ac:dyDescent="0.3">
      <c r="A102" s="47">
        <v>854</v>
      </c>
      <c r="B102" s="47">
        <v>10</v>
      </c>
      <c r="C102" s="47" t="s">
        <v>0</v>
      </c>
      <c r="D102" s="47">
        <v>5</v>
      </c>
      <c r="E102" s="48">
        <f>VLOOKUP($A102,observed!$C$2:$K$139,5,FALSE)</f>
        <v>9.8610000000000007</v>
      </c>
      <c r="F102" s="48">
        <f>VLOOKUP($A102,observed!$C$2:$K$139,6,FALSE)</f>
        <v>149.34672727272726</v>
      </c>
      <c r="G102" s="48">
        <f>VLOOKUP($A102,observed!$C$2:$K$139,7,FALSE)</f>
        <v>486.42909090909069</v>
      </c>
      <c r="H102" s="48">
        <f>VLOOKUP($A102,observed!$C$2:$K$139,8,FALSE)</f>
        <v>185.16318181818232</v>
      </c>
      <c r="I102" s="48">
        <f>VLOOKUP($A102,observed!$C$2:$K$139,9,FALSE)</f>
        <v>56.959999999999745</v>
      </c>
      <c r="J102" s="48">
        <f t="shared" si="12"/>
        <v>887.76</v>
      </c>
      <c r="K102" s="59">
        <f>IFERROR(VLOOKUP($A102&amp;"-"&amp;TEXT($B102+19,0),md[[routeC]:[boarding_EV]],4,FALSE),"")</f>
        <v>0</v>
      </c>
      <c r="L102" s="59">
        <f>IFERROR(VLOOKUP($A102&amp;"-"&amp;TEXT($B102+19,0),md[[routeC]:[boarding_EV]],5,FALSE),"")</f>
        <v>0</v>
      </c>
      <c r="M102" s="59">
        <f>IFERROR(VLOOKUP($A102&amp;"-"&amp;TEXT($B102+19,0),md[[routeC]:[boarding_EV]],6,FALSE),"")</f>
        <v>0</v>
      </c>
      <c r="N102" s="59">
        <f>IFERROR(VLOOKUP($A102&amp;"-"&amp;TEXT($B102+19,0),md[[routeC]:[boarding_EV]],7,FALSE),"")</f>
        <v>0</v>
      </c>
      <c r="O102" s="59">
        <f>IFERROR(VLOOKUP($A102&amp;"-"&amp;TEXT($B102+19,0),md[[routeC]:[boarding_EV]],8,FALSE),"")</f>
        <v>0</v>
      </c>
      <c r="P102" s="59">
        <f t="shared" si="13"/>
        <v>0</v>
      </c>
      <c r="Q102" s="288">
        <f t="shared" si="14"/>
        <v>-1</v>
      </c>
      <c r="R102" s="287">
        <f t="shared" si="15"/>
        <v>788117.81759999995</v>
      </c>
    </row>
    <row r="103" spans="1:18" x14ac:dyDescent="0.3">
      <c r="A103" s="47">
        <v>855</v>
      </c>
      <c r="B103" s="47">
        <v>10</v>
      </c>
      <c r="C103" s="47" t="s">
        <v>0</v>
      </c>
      <c r="D103" s="47">
        <v>5</v>
      </c>
      <c r="E103" s="48">
        <f>VLOOKUP($A103,observed!$C$2:$K$139,5,FALSE)</f>
        <v>22.990000000000002</v>
      </c>
      <c r="F103" s="48">
        <f>VLOOKUP($A103,observed!$C$2:$K$139,6,FALSE)</f>
        <v>242.21999999999997</v>
      </c>
      <c r="G103" s="48">
        <f>VLOOKUP($A103,observed!$C$2:$K$139,7,FALSE)</f>
        <v>431.09000000000003</v>
      </c>
      <c r="H103" s="48">
        <f>VLOOKUP($A103,observed!$C$2:$K$139,8,FALSE)</f>
        <v>229.45</v>
      </c>
      <c r="I103" s="48">
        <f>VLOOKUP($A103,observed!$C$2:$K$139,9,FALSE)</f>
        <v>95.99</v>
      </c>
      <c r="J103" s="48">
        <f t="shared" si="12"/>
        <v>1021.74</v>
      </c>
      <c r="K103" s="59">
        <f>IFERROR(VLOOKUP($A103&amp;"-"&amp;TEXT($B103+19,0),md[[routeC]:[boarding_EV]],4,FALSE),"")</f>
        <v>0</v>
      </c>
      <c r="L103" s="59">
        <f>IFERROR(VLOOKUP($A103&amp;"-"&amp;TEXT($B103+19,0),md[[routeC]:[boarding_EV]],5,FALSE),"")</f>
        <v>0</v>
      </c>
      <c r="M103" s="59">
        <f>IFERROR(VLOOKUP($A103&amp;"-"&amp;TEXT($B103+19,0),md[[routeC]:[boarding_EV]],6,FALSE),"")</f>
        <v>0</v>
      </c>
      <c r="N103" s="59">
        <f>IFERROR(VLOOKUP($A103&amp;"-"&amp;TEXT($B103+19,0),md[[routeC]:[boarding_EV]],7,FALSE),"")</f>
        <v>0</v>
      </c>
      <c r="O103" s="59">
        <f>IFERROR(VLOOKUP($A103&amp;"-"&amp;TEXT($B103+19,0),md[[routeC]:[boarding_EV]],8,FALSE),"")</f>
        <v>0</v>
      </c>
      <c r="P103" s="59">
        <f t="shared" si="13"/>
        <v>0</v>
      </c>
      <c r="Q103" s="288">
        <f t="shared" si="14"/>
        <v>-1</v>
      </c>
      <c r="R103" s="287">
        <f t="shared" si="15"/>
        <v>1043952.6276</v>
      </c>
    </row>
    <row r="104" spans="1:18" x14ac:dyDescent="0.3">
      <c r="A104" s="47">
        <v>856</v>
      </c>
      <c r="B104" s="47">
        <v>10</v>
      </c>
      <c r="C104" s="47" t="s">
        <v>0</v>
      </c>
      <c r="D104" s="47">
        <v>5</v>
      </c>
      <c r="E104" s="48">
        <f>VLOOKUP($A104,observed!$C$2:$K$139,5,FALSE)</f>
        <v>83.765500210172362</v>
      </c>
      <c r="F104" s="48">
        <f>VLOOKUP($A104,observed!$C$2:$K$139,6,FALSE)</f>
        <v>539.19695383394514</v>
      </c>
      <c r="G104" s="48">
        <f>VLOOKUP($A104,observed!$C$2:$K$139,7,FALSE)</f>
        <v>1160.870617160889</v>
      </c>
      <c r="H104" s="48">
        <f>VLOOKUP($A104,observed!$C$2:$K$139,8,FALSE)</f>
        <v>642.12644755580322</v>
      </c>
      <c r="I104" s="48">
        <f>VLOOKUP($A104,observed!$C$2:$K$139,9,FALSE)</f>
        <v>228.80048123919028</v>
      </c>
      <c r="J104" s="48">
        <f t="shared" si="12"/>
        <v>2654.76</v>
      </c>
      <c r="K104" s="59">
        <f>IFERROR(VLOOKUP($A104&amp;"-"&amp;TEXT($B104+19,0),md[[routeC]:[boarding_EV]],4,FALSE),"")</f>
        <v>0</v>
      </c>
      <c r="L104" s="59">
        <f>IFERROR(VLOOKUP($A104&amp;"-"&amp;TEXT($B104+19,0),md[[routeC]:[boarding_EV]],5,FALSE),"")</f>
        <v>0</v>
      </c>
      <c r="M104" s="59">
        <f>IFERROR(VLOOKUP($A104&amp;"-"&amp;TEXT($B104+19,0),md[[routeC]:[boarding_EV]],6,FALSE),"")</f>
        <v>0</v>
      </c>
      <c r="N104" s="59">
        <f>IFERROR(VLOOKUP($A104&amp;"-"&amp;TEXT($B104+19,0),md[[routeC]:[boarding_EV]],7,FALSE),"")</f>
        <v>0</v>
      </c>
      <c r="O104" s="59">
        <f>IFERROR(VLOOKUP($A104&amp;"-"&amp;TEXT($B104+19,0),md[[routeC]:[boarding_EV]],8,FALSE),"")</f>
        <v>0</v>
      </c>
      <c r="P104" s="59">
        <f t="shared" si="13"/>
        <v>0</v>
      </c>
      <c r="Q104" s="288">
        <f t="shared" si="14"/>
        <v>-1</v>
      </c>
      <c r="R104" s="287">
        <f t="shared" si="15"/>
        <v>7047750.6576000014</v>
      </c>
    </row>
    <row r="105" spans="1:18" x14ac:dyDescent="0.3">
      <c r="A105" s="47">
        <v>864</v>
      </c>
      <c r="B105" s="47">
        <v>10</v>
      </c>
      <c r="C105" s="47" t="s">
        <v>0</v>
      </c>
      <c r="D105" s="47">
        <v>5</v>
      </c>
      <c r="E105" s="48">
        <f>VLOOKUP($A105,observed!$C$2:$K$139,5,FALSE)</f>
        <v>35.943157894736856</v>
      </c>
      <c r="F105" s="48">
        <f>VLOOKUP($A105,observed!$C$2:$K$139,6,FALSE)</f>
        <v>292.85465162907269</v>
      </c>
      <c r="G105" s="48">
        <f>VLOOKUP($A105,observed!$C$2:$K$139,7,FALSE)</f>
        <v>620.00697026813532</v>
      </c>
      <c r="H105" s="48">
        <f>VLOOKUP($A105,observed!$C$2:$K$139,8,FALSE)</f>
        <v>318.38400982073165</v>
      </c>
      <c r="I105" s="48">
        <f>VLOOKUP($A105,observed!$C$2:$K$139,9,FALSE)</f>
        <v>189.87121038732352</v>
      </c>
      <c r="J105" s="48">
        <f t="shared" si="12"/>
        <v>1457.06</v>
      </c>
      <c r="K105" s="59">
        <f>IFERROR(VLOOKUP($A105&amp;"-"&amp;TEXT($B105+19,0),md[[routeC]:[boarding_EV]],4,FALSE),"")</f>
        <v>0</v>
      </c>
      <c r="L105" s="59">
        <f>IFERROR(VLOOKUP($A105&amp;"-"&amp;TEXT($B105+19,0),md[[routeC]:[boarding_EV]],5,FALSE),"")</f>
        <v>0</v>
      </c>
      <c r="M105" s="59">
        <f>IFERROR(VLOOKUP($A105&amp;"-"&amp;TEXT($B105+19,0),md[[routeC]:[boarding_EV]],6,FALSE),"")</f>
        <v>0</v>
      </c>
      <c r="N105" s="59">
        <f>IFERROR(VLOOKUP($A105&amp;"-"&amp;TEXT($B105+19,0),md[[routeC]:[boarding_EV]],7,FALSE),"")</f>
        <v>0</v>
      </c>
      <c r="O105" s="59">
        <f>IFERROR(VLOOKUP($A105&amp;"-"&amp;TEXT($B105+19,0),md[[routeC]:[boarding_EV]],8,FALSE),"")</f>
        <v>0</v>
      </c>
      <c r="P105" s="59">
        <f t="shared" si="13"/>
        <v>0</v>
      </c>
      <c r="Q105" s="288">
        <f t="shared" si="14"/>
        <v>-1</v>
      </c>
      <c r="R105" s="287">
        <f t="shared" si="15"/>
        <v>2123023.8435999998</v>
      </c>
    </row>
    <row r="106" spans="1:18" x14ac:dyDescent="0.3">
      <c r="A106" s="47">
        <v>871</v>
      </c>
      <c r="B106" s="47">
        <v>10</v>
      </c>
      <c r="C106" s="47" t="s">
        <v>0</v>
      </c>
      <c r="D106" s="47">
        <v>5</v>
      </c>
      <c r="E106" s="48">
        <f>VLOOKUP($A106,observed!$C$2:$K$139,5,FALSE)</f>
        <v>5.75</v>
      </c>
      <c r="F106" s="48">
        <f>VLOOKUP($A106,observed!$C$2:$K$139,6,FALSE)</f>
        <v>35.549999999999997</v>
      </c>
      <c r="G106" s="48">
        <f>VLOOKUP($A106,observed!$C$2:$K$139,7,FALSE)</f>
        <v>111.53666666666641</v>
      </c>
      <c r="H106" s="48">
        <f>VLOOKUP($A106,observed!$C$2:$K$139,8,FALSE)</f>
        <v>53.91333333333359</v>
      </c>
      <c r="I106" s="48">
        <f>VLOOKUP($A106,observed!$C$2:$K$139,9,FALSE)</f>
        <v>31.64</v>
      </c>
      <c r="J106" s="48">
        <f t="shared" si="12"/>
        <v>238.39</v>
      </c>
      <c r="K106" s="59">
        <f>IFERROR(VLOOKUP($A106&amp;"-"&amp;TEXT($B106+19,0),md[[routeC]:[boarding_EV]],4,FALSE),"")</f>
        <v>0</v>
      </c>
      <c r="L106" s="59">
        <f>IFERROR(VLOOKUP($A106&amp;"-"&amp;TEXT($B106+19,0),md[[routeC]:[boarding_EV]],5,FALSE),"")</f>
        <v>0</v>
      </c>
      <c r="M106" s="59">
        <f>IFERROR(VLOOKUP($A106&amp;"-"&amp;TEXT($B106+19,0),md[[routeC]:[boarding_EV]],6,FALSE),"")</f>
        <v>0</v>
      </c>
      <c r="N106" s="59">
        <f>IFERROR(VLOOKUP($A106&amp;"-"&amp;TEXT($B106+19,0),md[[routeC]:[boarding_EV]],7,FALSE),"")</f>
        <v>0</v>
      </c>
      <c r="O106" s="59">
        <f>IFERROR(VLOOKUP($A106&amp;"-"&amp;TEXT($B106+19,0),md[[routeC]:[boarding_EV]],8,FALSE),"")</f>
        <v>0</v>
      </c>
      <c r="P106" s="59">
        <f t="shared" si="13"/>
        <v>0</v>
      </c>
      <c r="Q106" s="288">
        <f t="shared" si="14"/>
        <v>-1</v>
      </c>
      <c r="R106" s="287">
        <f t="shared" si="15"/>
        <v>56829.792099999991</v>
      </c>
    </row>
    <row r="107" spans="1:18" x14ac:dyDescent="0.3">
      <c r="A107" s="47">
        <v>872</v>
      </c>
      <c r="B107" s="47">
        <v>10</v>
      </c>
      <c r="C107" s="47" t="s">
        <v>0</v>
      </c>
      <c r="D107" s="47">
        <v>5</v>
      </c>
      <c r="E107" s="48">
        <f>VLOOKUP($A107,observed!$C$2:$K$139,5,FALSE)</f>
        <v>0</v>
      </c>
      <c r="F107" s="48">
        <f>VLOOKUP($A107,observed!$C$2:$K$139,6,FALSE)</f>
        <v>23.40666666666668</v>
      </c>
      <c r="G107" s="48">
        <f>VLOOKUP($A107,observed!$C$2:$K$139,7,FALSE)</f>
        <v>87.453333333333319</v>
      </c>
      <c r="H107" s="48">
        <f>VLOOKUP($A107,observed!$C$2:$K$139,8,FALSE)</f>
        <v>41.735217391304502</v>
      </c>
      <c r="I107" s="48">
        <f>VLOOKUP($A107,observed!$C$2:$K$139,9,FALSE)</f>
        <v>37.304782608695504</v>
      </c>
      <c r="J107" s="48">
        <f t="shared" si="12"/>
        <v>189.90000000000003</v>
      </c>
      <c r="K107" s="59">
        <f>IFERROR(VLOOKUP($A107&amp;"-"&amp;TEXT($B107+19,0),md[[routeC]:[boarding_EV]],4,FALSE),"")</f>
        <v>0</v>
      </c>
      <c r="L107" s="59">
        <f>IFERROR(VLOOKUP($A107&amp;"-"&amp;TEXT($B107+19,0),md[[routeC]:[boarding_EV]],5,FALSE),"")</f>
        <v>0</v>
      </c>
      <c r="M107" s="59">
        <f>IFERROR(VLOOKUP($A107&amp;"-"&amp;TEXT($B107+19,0),md[[routeC]:[boarding_EV]],6,FALSE),"")</f>
        <v>0</v>
      </c>
      <c r="N107" s="59">
        <f>IFERROR(VLOOKUP($A107&amp;"-"&amp;TEXT($B107+19,0),md[[routeC]:[boarding_EV]],7,FALSE),"")</f>
        <v>0</v>
      </c>
      <c r="O107" s="59">
        <f>IFERROR(VLOOKUP($A107&amp;"-"&amp;TEXT($B107+19,0),md[[routeC]:[boarding_EV]],8,FALSE),"")</f>
        <v>0</v>
      </c>
      <c r="P107" s="59">
        <f t="shared" si="13"/>
        <v>0</v>
      </c>
      <c r="Q107" s="288">
        <f t="shared" si="14"/>
        <v>-1</v>
      </c>
      <c r="R107" s="287">
        <f t="shared" si="15"/>
        <v>36062.010000000017</v>
      </c>
    </row>
    <row r="108" spans="1:18" x14ac:dyDescent="0.3">
      <c r="A108" s="47">
        <v>874</v>
      </c>
      <c r="B108" s="47">
        <v>10</v>
      </c>
      <c r="C108" s="47" t="s">
        <v>0</v>
      </c>
      <c r="D108" s="47">
        <v>5</v>
      </c>
      <c r="E108" s="48">
        <f>VLOOKUP($A108,observed!$C$2:$K$139,5,FALSE)</f>
        <v>23.102727272727257</v>
      </c>
      <c r="F108" s="48">
        <f>VLOOKUP($A108,observed!$C$2:$K$139,6,FALSE)</f>
        <v>171.64786096256688</v>
      </c>
      <c r="G108" s="48">
        <f>VLOOKUP($A108,observed!$C$2:$K$139,7,FALSE)</f>
        <v>449.29700435729785</v>
      </c>
      <c r="H108" s="48">
        <f>VLOOKUP($A108,observed!$C$2:$K$139,8,FALSE)</f>
        <v>201.84090740740828</v>
      </c>
      <c r="I108" s="48">
        <f>VLOOKUP($A108,observed!$C$2:$K$139,9,FALSE)</f>
        <v>73.821499999999787</v>
      </c>
      <c r="J108" s="48">
        <f t="shared" si="12"/>
        <v>919.71</v>
      </c>
      <c r="K108" s="59">
        <f>IFERROR(VLOOKUP($A108&amp;"-"&amp;TEXT($B108+19,0),md[[routeC]:[boarding_EV]],4,FALSE),"")</f>
        <v>0</v>
      </c>
      <c r="L108" s="59">
        <f>IFERROR(VLOOKUP($A108&amp;"-"&amp;TEXT($B108+19,0),md[[routeC]:[boarding_EV]],5,FALSE),"")</f>
        <v>0</v>
      </c>
      <c r="M108" s="59">
        <f>IFERROR(VLOOKUP($A108&amp;"-"&amp;TEXT($B108+19,0),md[[routeC]:[boarding_EV]],6,FALSE),"")</f>
        <v>0</v>
      </c>
      <c r="N108" s="59">
        <f>IFERROR(VLOOKUP($A108&amp;"-"&amp;TEXT($B108+19,0),md[[routeC]:[boarding_EV]],7,FALSE),"")</f>
        <v>0</v>
      </c>
      <c r="O108" s="59">
        <f>IFERROR(VLOOKUP($A108&amp;"-"&amp;TEXT($B108+19,0),md[[routeC]:[boarding_EV]],8,FALSE),"")</f>
        <v>0</v>
      </c>
      <c r="P108" s="59">
        <f t="shared" si="13"/>
        <v>0</v>
      </c>
      <c r="Q108" s="288">
        <f t="shared" si="14"/>
        <v>-1</v>
      </c>
      <c r="R108" s="287">
        <f t="shared" si="15"/>
        <v>845866.48410000012</v>
      </c>
    </row>
    <row r="109" spans="1:18" x14ac:dyDescent="0.3">
      <c r="A109" s="47">
        <v>875</v>
      </c>
      <c r="B109" s="47">
        <v>10</v>
      </c>
      <c r="C109" s="47" t="s">
        <v>0</v>
      </c>
      <c r="D109" s="47">
        <v>5</v>
      </c>
      <c r="E109" s="48">
        <f>VLOOKUP($A109,observed!$C$2:$K$139,5,FALSE)</f>
        <v>0</v>
      </c>
      <c r="F109" s="48">
        <f>VLOOKUP($A109,observed!$C$2:$K$139,6,FALSE)</f>
        <v>128.2258823529412</v>
      </c>
      <c r="G109" s="48">
        <f>VLOOKUP($A109,observed!$C$2:$K$139,7,FALSE)</f>
        <v>395.70306501547941</v>
      </c>
      <c r="H109" s="48">
        <f>VLOOKUP($A109,observed!$C$2:$K$139,8,FALSE)</f>
        <v>216.68533834586566</v>
      </c>
      <c r="I109" s="48">
        <f>VLOOKUP($A109,observed!$C$2:$K$139,9,FALSE)</f>
        <v>73.5457142857137</v>
      </c>
      <c r="J109" s="48">
        <f t="shared" si="12"/>
        <v>814.16000000000008</v>
      </c>
      <c r="K109" s="59">
        <f>IFERROR(VLOOKUP($A109&amp;"-"&amp;TEXT($B109+19,0),md[[routeC]:[boarding_EV]],4,FALSE),"")</f>
        <v>0</v>
      </c>
      <c r="L109" s="59">
        <f>IFERROR(VLOOKUP($A109&amp;"-"&amp;TEXT($B109+19,0),md[[routeC]:[boarding_EV]],5,FALSE),"")</f>
        <v>0</v>
      </c>
      <c r="M109" s="59">
        <f>IFERROR(VLOOKUP($A109&amp;"-"&amp;TEXT($B109+19,0),md[[routeC]:[boarding_EV]],6,FALSE),"")</f>
        <v>0</v>
      </c>
      <c r="N109" s="59">
        <f>IFERROR(VLOOKUP($A109&amp;"-"&amp;TEXT($B109+19,0),md[[routeC]:[boarding_EV]],7,FALSE),"")</f>
        <v>0</v>
      </c>
      <c r="O109" s="59">
        <f>IFERROR(VLOOKUP($A109&amp;"-"&amp;TEXT($B109+19,0),md[[routeC]:[boarding_EV]],8,FALSE),"")</f>
        <v>0</v>
      </c>
      <c r="P109" s="59">
        <f t="shared" si="13"/>
        <v>0</v>
      </c>
      <c r="Q109" s="288">
        <f t="shared" si="14"/>
        <v>-1</v>
      </c>
      <c r="R109" s="287">
        <f t="shared" si="15"/>
        <v>662856.50560000015</v>
      </c>
    </row>
    <row r="110" spans="1:18" x14ac:dyDescent="0.3">
      <c r="A110" s="47">
        <v>901</v>
      </c>
      <c r="B110" s="47">
        <v>10</v>
      </c>
      <c r="C110" s="47" t="s">
        <v>0</v>
      </c>
      <c r="D110" s="47">
        <v>5</v>
      </c>
      <c r="E110" s="48">
        <f>VLOOKUP($A110,observed!$C$2:$K$139,5,FALSE)</f>
        <v>124.60270773243533</v>
      </c>
      <c r="F110" s="48">
        <f>VLOOKUP($A110,observed!$C$2:$K$139,6,FALSE)</f>
        <v>583.26600034209878</v>
      </c>
      <c r="G110" s="48">
        <f>VLOOKUP($A110,observed!$C$2:$K$139,7,FALSE)</f>
        <v>1209.4413941649964</v>
      </c>
      <c r="H110" s="48">
        <f>VLOOKUP($A110,observed!$C$2:$K$139,8,FALSE)</f>
        <v>732.54333978945567</v>
      </c>
      <c r="I110" s="48">
        <f>VLOOKUP($A110,observed!$C$2:$K$139,9,FALSE)</f>
        <v>306.31655797101394</v>
      </c>
      <c r="J110" s="48">
        <f t="shared" si="12"/>
        <v>2956.17</v>
      </c>
      <c r="K110" s="59">
        <f>IFERROR(VLOOKUP($A110&amp;"-"&amp;TEXT($B110+19,0),md[[routeC]:[boarding_EV]],4,FALSE),"")</f>
        <v>0</v>
      </c>
      <c r="L110" s="59">
        <f>IFERROR(VLOOKUP($A110&amp;"-"&amp;TEXT($B110+19,0),md[[routeC]:[boarding_EV]],5,FALSE),"")</f>
        <v>0</v>
      </c>
      <c r="M110" s="59">
        <f>IFERROR(VLOOKUP($A110&amp;"-"&amp;TEXT($B110+19,0),md[[routeC]:[boarding_EV]],6,FALSE),"")</f>
        <v>0</v>
      </c>
      <c r="N110" s="59">
        <f>IFERROR(VLOOKUP($A110&amp;"-"&amp;TEXT($B110+19,0),md[[routeC]:[boarding_EV]],7,FALSE),"")</f>
        <v>0</v>
      </c>
      <c r="O110" s="59">
        <f>IFERROR(VLOOKUP($A110&amp;"-"&amp;TEXT($B110+19,0),md[[routeC]:[boarding_EV]],8,FALSE),"")</f>
        <v>0</v>
      </c>
      <c r="P110" s="59">
        <f t="shared" si="13"/>
        <v>0</v>
      </c>
      <c r="Q110" s="288">
        <f t="shared" si="14"/>
        <v>-1</v>
      </c>
      <c r="R110" s="287">
        <f t="shared" si="15"/>
        <v>8738941.0689000003</v>
      </c>
    </row>
    <row r="111" spans="1:18" x14ac:dyDescent="0.3">
      <c r="A111" s="47">
        <v>904</v>
      </c>
      <c r="B111" s="47">
        <v>10</v>
      </c>
      <c r="C111" s="47" t="s">
        <v>0</v>
      </c>
      <c r="D111" s="47">
        <v>5</v>
      </c>
      <c r="E111" s="48">
        <f>VLOOKUP($A111,observed!$C$2:$K$139,5,FALSE)</f>
        <v>0</v>
      </c>
      <c r="F111" s="48">
        <f>VLOOKUP($A111,observed!$C$2:$K$139,6,FALSE)</f>
        <v>0</v>
      </c>
      <c r="G111" s="48">
        <f>VLOOKUP($A111,observed!$C$2:$K$139,7,FALSE)</f>
        <v>75.957272727272581</v>
      </c>
      <c r="H111" s="48">
        <f>VLOOKUP($A111,observed!$C$2:$K$139,8,FALSE)</f>
        <v>32.062727272727408</v>
      </c>
      <c r="I111" s="48">
        <f>VLOOKUP($A111,observed!$C$2:$K$139,9,FALSE)</f>
        <v>0</v>
      </c>
      <c r="J111" s="48">
        <f t="shared" si="12"/>
        <v>108.01999999999998</v>
      </c>
      <c r="K111" s="59">
        <f>IFERROR(VLOOKUP($A111&amp;"-"&amp;TEXT($B111+19,0),md[[routeC]:[boarding_EV]],4,FALSE),"")</f>
        <v>0</v>
      </c>
      <c r="L111" s="59">
        <f>IFERROR(VLOOKUP($A111&amp;"-"&amp;TEXT($B111+19,0),md[[routeC]:[boarding_EV]],5,FALSE),"")</f>
        <v>0</v>
      </c>
      <c r="M111" s="59">
        <f>IFERROR(VLOOKUP($A111&amp;"-"&amp;TEXT($B111+19,0),md[[routeC]:[boarding_EV]],6,FALSE),"")</f>
        <v>0</v>
      </c>
      <c r="N111" s="59">
        <f>IFERROR(VLOOKUP($A111&amp;"-"&amp;TEXT($B111+19,0),md[[routeC]:[boarding_EV]],7,FALSE),"")</f>
        <v>0</v>
      </c>
      <c r="O111" s="59">
        <f>IFERROR(VLOOKUP($A111&amp;"-"&amp;TEXT($B111+19,0),md[[routeC]:[boarding_EV]],8,FALSE),"")</f>
        <v>0</v>
      </c>
      <c r="P111" s="59">
        <f t="shared" si="13"/>
        <v>0</v>
      </c>
      <c r="Q111" s="288">
        <f t="shared" si="14"/>
        <v>-1</v>
      </c>
      <c r="R111" s="287">
        <f t="shared" si="15"/>
        <v>11668.320399999997</v>
      </c>
    </row>
    <row r="112" spans="1:18" x14ac:dyDescent="0.3">
      <c r="A112" s="47">
        <v>905</v>
      </c>
      <c r="B112" s="47">
        <v>10</v>
      </c>
      <c r="C112" s="47" t="s">
        <v>0</v>
      </c>
      <c r="D112" s="47">
        <v>5</v>
      </c>
      <c r="E112" s="48">
        <f>VLOOKUP($A112,observed!$C$2:$K$139,5,FALSE)</f>
        <v>172.98142857142852</v>
      </c>
      <c r="F112" s="48">
        <f>VLOOKUP($A112,observed!$C$2:$K$139,6,FALSE)</f>
        <v>553.08999999999992</v>
      </c>
      <c r="G112" s="48">
        <f>VLOOKUP($A112,observed!$C$2:$K$139,7,FALSE)</f>
        <v>852.71264550264414</v>
      </c>
      <c r="H112" s="48">
        <f>VLOOKUP($A112,observed!$C$2:$K$139,8,FALSE)</f>
        <v>549.08111111111339</v>
      </c>
      <c r="I112" s="48">
        <f>VLOOKUP($A112,observed!$C$2:$K$139,9,FALSE)</f>
        <v>123.65481481481392</v>
      </c>
      <c r="J112" s="48">
        <f t="shared" si="12"/>
        <v>2251.52</v>
      </c>
      <c r="K112" s="59">
        <f>IFERROR(VLOOKUP($A112&amp;"-"&amp;TEXT($B112+19,0),md[[routeC]:[boarding_EV]],4,FALSE),"")</f>
        <v>0</v>
      </c>
      <c r="L112" s="59">
        <f>IFERROR(VLOOKUP($A112&amp;"-"&amp;TEXT($B112+19,0),md[[routeC]:[boarding_EV]],5,FALSE),"")</f>
        <v>0</v>
      </c>
      <c r="M112" s="59">
        <f>IFERROR(VLOOKUP($A112&amp;"-"&amp;TEXT($B112+19,0),md[[routeC]:[boarding_EV]],6,FALSE),"")</f>
        <v>0</v>
      </c>
      <c r="N112" s="59">
        <f>IFERROR(VLOOKUP($A112&amp;"-"&amp;TEXT($B112+19,0),md[[routeC]:[boarding_EV]],7,FALSE),"")</f>
        <v>0</v>
      </c>
      <c r="O112" s="59">
        <f>IFERROR(VLOOKUP($A112&amp;"-"&amp;TEXT($B112+19,0),md[[routeC]:[boarding_EV]],8,FALSE),"")</f>
        <v>0</v>
      </c>
      <c r="P112" s="59">
        <f t="shared" si="13"/>
        <v>0</v>
      </c>
      <c r="Q112" s="288">
        <f t="shared" si="14"/>
        <v>-1</v>
      </c>
      <c r="R112" s="287">
        <f t="shared" si="15"/>
        <v>5069342.3103999998</v>
      </c>
    </row>
    <row r="113" spans="1:18" x14ac:dyDescent="0.3">
      <c r="A113" s="47">
        <v>906</v>
      </c>
      <c r="B113" s="47">
        <v>10</v>
      </c>
      <c r="C113" s="47" t="s">
        <v>0</v>
      </c>
      <c r="D113" s="47">
        <v>5</v>
      </c>
      <c r="E113" s="48">
        <f>VLOOKUP($A113,observed!$C$2:$K$139,5,FALSE)</f>
        <v>135.85357142857143</v>
      </c>
      <c r="F113" s="48">
        <f>VLOOKUP($A113,observed!$C$2:$K$139,6,FALSE)</f>
        <v>319.94229813664589</v>
      </c>
      <c r="G113" s="48">
        <f>VLOOKUP($A113,observed!$C$2:$K$139,7,FALSE)</f>
        <v>1289.8882329988837</v>
      </c>
      <c r="H113" s="48">
        <f>VLOOKUP($A113,observed!$C$2:$K$139,8,FALSE)</f>
        <v>652.93839743589956</v>
      </c>
      <c r="I113" s="48">
        <f>VLOOKUP($A113,observed!$C$2:$K$139,9,FALSE)</f>
        <v>246.86749999999944</v>
      </c>
      <c r="J113" s="48">
        <f t="shared" si="12"/>
        <v>2645.49</v>
      </c>
      <c r="K113" s="59">
        <f>IFERROR(VLOOKUP($A113&amp;"-"&amp;TEXT($B113+19,0),md[[routeC]:[boarding_EV]],4,FALSE),"")</f>
        <v>0</v>
      </c>
      <c r="L113" s="59">
        <f>IFERROR(VLOOKUP($A113&amp;"-"&amp;TEXT($B113+19,0),md[[routeC]:[boarding_EV]],5,FALSE),"")</f>
        <v>0</v>
      </c>
      <c r="M113" s="59">
        <f>IFERROR(VLOOKUP($A113&amp;"-"&amp;TEXT($B113+19,0),md[[routeC]:[boarding_EV]],6,FALSE),"")</f>
        <v>0</v>
      </c>
      <c r="N113" s="59">
        <f>IFERROR(VLOOKUP($A113&amp;"-"&amp;TEXT($B113+19,0),md[[routeC]:[boarding_EV]],7,FALSE),"")</f>
        <v>0</v>
      </c>
      <c r="O113" s="59">
        <f>IFERROR(VLOOKUP($A113&amp;"-"&amp;TEXT($B113+19,0),md[[routeC]:[boarding_EV]],8,FALSE),"")</f>
        <v>0</v>
      </c>
      <c r="P113" s="59">
        <f t="shared" si="13"/>
        <v>0</v>
      </c>
      <c r="Q113" s="288">
        <f t="shared" si="14"/>
        <v>-1</v>
      </c>
      <c r="R113" s="287">
        <f t="shared" si="15"/>
        <v>6998617.3400999987</v>
      </c>
    </row>
    <row r="114" spans="1:18" x14ac:dyDescent="0.3">
      <c r="A114" s="47">
        <v>907</v>
      </c>
      <c r="B114" s="47">
        <v>10</v>
      </c>
      <c r="C114" s="47" t="s">
        <v>0</v>
      </c>
      <c r="D114" s="47">
        <v>5</v>
      </c>
      <c r="E114" s="48">
        <f>VLOOKUP($A114,observed!$C$2:$K$139,5,FALSE)</f>
        <v>118.1875</v>
      </c>
      <c r="F114" s="48">
        <f>VLOOKUP($A114,observed!$C$2:$K$139,6,FALSE)</f>
        <v>291.71659090909088</v>
      </c>
      <c r="G114" s="48">
        <f>VLOOKUP($A114,observed!$C$2:$K$139,7,FALSE)</f>
        <v>1303.7515440115424</v>
      </c>
      <c r="H114" s="48">
        <f>VLOOKUP($A114,observed!$C$2:$K$139,8,FALSE)</f>
        <v>733.2224808688419</v>
      </c>
      <c r="I114" s="48">
        <f>VLOOKUP($A114,observed!$C$2:$K$139,9,FALSE)</f>
        <v>237.21188421052517</v>
      </c>
      <c r="J114" s="48">
        <f t="shared" si="12"/>
        <v>2684.09</v>
      </c>
      <c r="K114" s="59">
        <f>IFERROR(VLOOKUP($A114&amp;"-"&amp;TEXT($B114+19,0),md[[routeC]:[boarding_EV]],4,FALSE),"")</f>
        <v>0</v>
      </c>
      <c r="L114" s="59">
        <f>IFERROR(VLOOKUP($A114&amp;"-"&amp;TEXT($B114+19,0),md[[routeC]:[boarding_EV]],5,FALSE),"")</f>
        <v>0</v>
      </c>
      <c r="M114" s="59">
        <f>IFERROR(VLOOKUP($A114&amp;"-"&amp;TEXT($B114+19,0),md[[routeC]:[boarding_EV]],6,FALSE),"")</f>
        <v>0</v>
      </c>
      <c r="N114" s="59">
        <f>IFERROR(VLOOKUP($A114&amp;"-"&amp;TEXT($B114+19,0),md[[routeC]:[boarding_EV]],7,FALSE),"")</f>
        <v>0</v>
      </c>
      <c r="O114" s="59">
        <f>IFERROR(VLOOKUP($A114&amp;"-"&amp;TEXT($B114+19,0),md[[routeC]:[boarding_EV]],8,FALSE),"")</f>
        <v>0</v>
      </c>
      <c r="P114" s="59">
        <f t="shared" si="13"/>
        <v>0</v>
      </c>
      <c r="Q114" s="288">
        <f t="shared" si="14"/>
        <v>-1</v>
      </c>
      <c r="R114" s="287">
        <f t="shared" si="15"/>
        <v>7204339.1281000003</v>
      </c>
    </row>
    <row r="115" spans="1:18" x14ac:dyDescent="0.3">
      <c r="A115" s="47">
        <v>916</v>
      </c>
      <c r="B115" s="47">
        <v>10</v>
      </c>
      <c r="C115" s="47" t="s">
        <v>0</v>
      </c>
      <c r="D115" s="47">
        <v>5</v>
      </c>
      <c r="E115" s="48">
        <f>VLOOKUP($A115,observed!$C$2:$K$139,5,FALSE)</f>
        <v>5.52</v>
      </c>
      <c r="F115" s="48">
        <f>VLOOKUP($A115,observed!$C$2:$K$139,6,FALSE)</f>
        <v>84.260217391304366</v>
      </c>
      <c r="G115" s="48">
        <f>VLOOKUP($A115,observed!$C$2:$K$139,7,FALSE)</f>
        <v>179.54930641821883</v>
      </c>
      <c r="H115" s="48">
        <f>VLOOKUP($A115,observed!$C$2:$K$139,8,FALSE)</f>
        <v>130.50086080586155</v>
      </c>
      <c r="I115" s="48">
        <f>VLOOKUP($A115,observed!$C$2:$K$139,9,FALSE)</f>
        <v>41.389615384615219</v>
      </c>
      <c r="J115" s="48">
        <f t="shared" si="12"/>
        <v>441.22</v>
      </c>
      <c r="K115" s="59">
        <f>IFERROR(VLOOKUP($A115&amp;"-"&amp;TEXT($B115+19,0),md[[routeC]:[boarding_EV]],4,FALSE),"")</f>
        <v>0</v>
      </c>
      <c r="L115" s="59">
        <f>IFERROR(VLOOKUP($A115&amp;"-"&amp;TEXT($B115+19,0),md[[routeC]:[boarding_EV]],5,FALSE),"")</f>
        <v>0</v>
      </c>
      <c r="M115" s="59">
        <f>IFERROR(VLOOKUP($A115&amp;"-"&amp;TEXT($B115+19,0),md[[routeC]:[boarding_EV]],6,FALSE),"")</f>
        <v>0</v>
      </c>
      <c r="N115" s="59">
        <f>IFERROR(VLOOKUP($A115&amp;"-"&amp;TEXT($B115+19,0),md[[routeC]:[boarding_EV]],7,FALSE),"")</f>
        <v>0</v>
      </c>
      <c r="O115" s="59">
        <f>IFERROR(VLOOKUP($A115&amp;"-"&amp;TEXT($B115+19,0),md[[routeC]:[boarding_EV]],8,FALSE),"")</f>
        <v>0</v>
      </c>
      <c r="P115" s="59">
        <f t="shared" si="13"/>
        <v>0</v>
      </c>
      <c r="Q115" s="288">
        <f t="shared" si="14"/>
        <v>-1</v>
      </c>
      <c r="R115" s="287">
        <f t="shared" si="15"/>
        <v>194675.08840000004</v>
      </c>
    </row>
    <row r="116" spans="1:18" x14ac:dyDescent="0.3">
      <c r="A116" s="47">
        <v>917</v>
      </c>
      <c r="B116" s="47">
        <v>10</v>
      </c>
      <c r="C116" s="47" t="s">
        <v>0</v>
      </c>
      <c r="D116" s="47">
        <v>5</v>
      </c>
      <c r="E116" s="48">
        <f>VLOOKUP($A116,observed!$C$2:$K$139,5,FALSE)</f>
        <v>6.25</v>
      </c>
      <c r="F116" s="48">
        <f>VLOOKUP($A116,observed!$C$2:$K$139,6,FALSE)</f>
        <v>98.339999999999989</v>
      </c>
      <c r="G116" s="48">
        <f>VLOOKUP($A116,observed!$C$2:$K$139,7,FALSE)</f>
        <v>155.01509433962244</v>
      </c>
      <c r="H116" s="48">
        <f>VLOOKUP($A116,observed!$C$2:$K$139,8,FALSE)</f>
        <v>114.51641509434</v>
      </c>
      <c r="I116" s="48">
        <f>VLOOKUP($A116,observed!$C$2:$K$139,9,FALSE)</f>
        <v>52.738490566037576</v>
      </c>
      <c r="J116" s="48">
        <f t="shared" si="12"/>
        <v>426.86</v>
      </c>
      <c r="K116" s="59">
        <f>IFERROR(VLOOKUP($A116&amp;"-"&amp;TEXT($B116+19,0),md[[routeC]:[boarding_EV]],4,FALSE),"")</f>
        <v>0</v>
      </c>
      <c r="L116" s="59">
        <f>IFERROR(VLOOKUP($A116&amp;"-"&amp;TEXT($B116+19,0),md[[routeC]:[boarding_EV]],5,FALSE),"")</f>
        <v>0</v>
      </c>
      <c r="M116" s="59">
        <f>IFERROR(VLOOKUP($A116&amp;"-"&amp;TEXT($B116+19,0),md[[routeC]:[boarding_EV]],6,FALSE),"")</f>
        <v>0</v>
      </c>
      <c r="N116" s="59">
        <f>IFERROR(VLOOKUP($A116&amp;"-"&amp;TEXT($B116+19,0),md[[routeC]:[boarding_EV]],7,FALSE),"")</f>
        <v>0</v>
      </c>
      <c r="O116" s="59">
        <f>IFERROR(VLOOKUP($A116&amp;"-"&amp;TEXT($B116+19,0),md[[routeC]:[boarding_EV]],8,FALSE),"")</f>
        <v>0</v>
      </c>
      <c r="P116" s="59">
        <f t="shared" si="13"/>
        <v>0</v>
      </c>
      <c r="Q116" s="288">
        <f t="shared" si="14"/>
        <v>-1</v>
      </c>
      <c r="R116" s="287">
        <f t="shared" si="15"/>
        <v>182209.4596</v>
      </c>
    </row>
    <row r="117" spans="1:18" x14ac:dyDescent="0.3">
      <c r="A117" s="47">
        <v>921</v>
      </c>
      <c r="B117" s="47">
        <v>10</v>
      </c>
      <c r="C117" s="47" t="s">
        <v>0</v>
      </c>
      <c r="D117" s="47">
        <v>5</v>
      </c>
      <c r="E117" s="48">
        <f>VLOOKUP($A117,observed!$C$2:$K$139,5,FALSE)</f>
        <v>3.8374999999999981</v>
      </c>
      <c r="F117" s="48">
        <f>VLOOKUP($A117,observed!$C$2:$K$139,6,FALSE)</f>
        <v>199.52796213476444</v>
      </c>
      <c r="G117" s="48">
        <f>VLOOKUP($A117,observed!$C$2:$K$139,7,FALSE)</f>
        <v>513.23032733891944</v>
      </c>
      <c r="H117" s="48">
        <f>VLOOKUP($A117,observed!$C$2:$K$139,8,FALSE)</f>
        <v>270.38541963015717</v>
      </c>
      <c r="I117" s="48">
        <f>VLOOKUP($A117,observed!$C$2:$K$139,9,FALSE)</f>
        <v>31.648790896158939</v>
      </c>
      <c r="J117" s="48">
        <f t="shared" si="12"/>
        <v>1018.6300000000001</v>
      </c>
      <c r="K117" s="59">
        <f>IFERROR(VLOOKUP($A117&amp;"-"&amp;TEXT($B117+19,0),md[[routeC]:[boarding_EV]],4,FALSE),"")</f>
        <v>0</v>
      </c>
      <c r="L117" s="59">
        <f>IFERROR(VLOOKUP($A117&amp;"-"&amp;TEXT($B117+19,0),md[[routeC]:[boarding_EV]],5,FALSE),"")</f>
        <v>0</v>
      </c>
      <c r="M117" s="59">
        <f>IFERROR(VLOOKUP($A117&amp;"-"&amp;TEXT($B117+19,0),md[[routeC]:[boarding_EV]],6,FALSE),"")</f>
        <v>0</v>
      </c>
      <c r="N117" s="59">
        <f>IFERROR(VLOOKUP($A117&amp;"-"&amp;TEXT($B117+19,0),md[[routeC]:[boarding_EV]],7,FALSE),"")</f>
        <v>0</v>
      </c>
      <c r="O117" s="59">
        <f>IFERROR(VLOOKUP($A117&amp;"-"&amp;TEXT($B117+19,0),md[[routeC]:[boarding_EV]],8,FALSE),"")</f>
        <v>0</v>
      </c>
      <c r="P117" s="59">
        <f t="shared" si="13"/>
        <v>0</v>
      </c>
      <c r="Q117" s="288">
        <f t="shared" si="14"/>
        <v>-1</v>
      </c>
      <c r="R117" s="287">
        <f t="shared" si="15"/>
        <v>1037607.0769000002</v>
      </c>
    </row>
    <row r="118" spans="1:18" x14ac:dyDescent="0.3">
      <c r="A118" s="47">
        <v>923</v>
      </c>
      <c r="B118" s="47">
        <v>10</v>
      </c>
      <c r="C118" s="47" t="s">
        <v>0</v>
      </c>
      <c r="D118" s="47">
        <v>5</v>
      </c>
      <c r="E118" s="48">
        <f>VLOOKUP($A118,observed!$C$2:$K$139,5,FALSE)</f>
        <v>17.015555555555544</v>
      </c>
      <c r="F118" s="48">
        <f>VLOOKUP($A118,observed!$C$2:$K$139,6,FALSE)</f>
        <v>259.16683343756517</v>
      </c>
      <c r="G118" s="48">
        <f>VLOOKUP($A118,observed!$C$2:$K$139,7,FALSE)</f>
        <v>438.64302767354548</v>
      </c>
      <c r="H118" s="48">
        <f>VLOOKUP($A118,observed!$C$2:$K$139,8,FALSE)</f>
        <v>290.30051670856972</v>
      </c>
      <c r="I118" s="48">
        <f>VLOOKUP($A118,observed!$C$2:$K$139,9,FALSE)</f>
        <v>10.274066624764018</v>
      </c>
      <c r="J118" s="48">
        <f t="shared" si="12"/>
        <v>1015.3999999999999</v>
      </c>
      <c r="K118" s="59">
        <f>IFERROR(VLOOKUP($A118&amp;"-"&amp;TEXT($B118+19,0),md[[routeC]:[boarding_EV]],4,FALSE),"")</f>
        <v>0</v>
      </c>
      <c r="L118" s="59">
        <f>IFERROR(VLOOKUP($A118&amp;"-"&amp;TEXT($B118+19,0),md[[routeC]:[boarding_EV]],5,FALSE),"")</f>
        <v>0</v>
      </c>
      <c r="M118" s="59">
        <f>IFERROR(VLOOKUP($A118&amp;"-"&amp;TEXT($B118+19,0),md[[routeC]:[boarding_EV]],6,FALSE),"")</f>
        <v>0</v>
      </c>
      <c r="N118" s="59">
        <f>IFERROR(VLOOKUP($A118&amp;"-"&amp;TEXT($B118+19,0),md[[routeC]:[boarding_EV]],7,FALSE),"")</f>
        <v>0</v>
      </c>
      <c r="O118" s="59">
        <f>IFERROR(VLOOKUP($A118&amp;"-"&amp;TEXT($B118+19,0),md[[routeC]:[boarding_EV]],8,FALSE),"")</f>
        <v>0</v>
      </c>
      <c r="P118" s="59">
        <f t="shared" si="13"/>
        <v>0</v>
      </c>
      <c r="Q118" s="288">
        <f t="shared" si="14"/>
        <v>-1</v>
      </c>
      <c r="R118" s="287">
        <f t="shared" si="15"/>
        <v>1031037.1599999997</v>
      </c>
    </row>
    <row r="119" spans="1:18" x14ac:dyDescent="0.3">
      <c r="A119" s="47">
        <v>928</v>
      </c>
      <c r="B119" s="47">
        <v>10</v>
      </c>
      <c r="C119" s="47" t="s">
        <v>0</v>
      </c>
      <c r="D119" s="47">
        <v>5</v>
      </c>
      <c r="E119" s="48">
        <f>VLOOKUP($A119,observed!$C$2:$K$139,5,FALSE)</f>
        <v>19.214166666666657</v>
      </c>
      <c r="F119" s="48">
        <f>VLOOKUP($A119,observed!$C$2:$K$139,6,FALSE)</f>
        <v>251.0036111111111</v>
      </c>
      <c r="G119" s="48">
        <f>VLOOKUP($A119,observed!$C$2:$K$139,7,FALSE)</f>
        <v>575.21358850129116</v>
      </c>
      <c r="H119" s="48">
        <f>VLOOKUP($A119,observed!$C$2:$K$139,8,FALSE)</f>
        <v>271.64817319461577</v>
      </c>
      <c r="I119" s="48">
        <f>VLOOKUP($A119,observed!$C$2:$K$139,9,FALSE)</f>
        <v>72.150460526315385</v>
      </c>
      <c r="J119" s="48">
        <f t="shared" si="12"/>
        <v>1189.23</v>
      </c>
      <c r="K119" s="59">
        <f>IFERROR(VLOOKUP($A119&amp;"-"&amp;TEXT($B119+19,0),md[[routeC]:[boarding_EV]],4,FALSE),"")</f>
        <v>0</v>
      </c>
      <c r="L119" s="59">
        <f>IFERROR(VLOOKUP($A119&amp;"-"&amp;TEXT($B119+19,0),md[[routeC]:[boarding_EV]],5,FALSE),"")</f>
        <v>0</v>
      </c>
      <c r="M119" s="59">
        <f>IFERROR(VLOOKUP($A119&amp;"-"&amp;TEXT($B119+19,0),md[[routeC]:[boarding_EV]],6,FALSE),"")</f>
        <v>0</v>
      </c>
      <c r="N119" s="59">
        <f>IFERROR(VLOOKUP($A119&amp;"-"&amp;TEXT($B119+19,0),md[[routeC]:[boarding_EV]],7,FALSE),"")</f>
        <v>0</v>
      </c>
      <c r="O119" s="59">
        <f>IFERROR(VLOOKUP($A119&amp;"-"&amp;TEXT($B119+19,0),md[[routeC]:[boarding_EV]],8,FALSE),"")</f>
        <v>0</v>
      </c>
      <c r="P119" s="59">
        <f t="shared" si="13"/>
        <v>0</v>
      </c>
      <c r="Q119" s="288">
        <f t="shared" si="14"/>
        <v>-1</v>
      </c>
      <c r="R119" s="287">
        <f t="shared" si="15"/>
        <v>1414267.9929</v>
      </c>
    </row>
    <row r="120" spans="1:18" x14ac:dyDescent="0.3">
      <c r="A120" s="47">
        <v>929</v>
      </c>
      <c r="B120" s="47">
        <v>10</v>
      </c>
      <c r="C120" s="47" t="s">
        <v>0</v>
      </c>
      <c r="D120" s="47">
        <v>5</v>
      </c>
      <c r="E120" s="48">
        <f>VLOOKUP($A120,observed!$C$2:$K$139,5,FALSE)</f>
        <v>163.07693719452595</v>
      </c>
      <c r="F120" s="48">
        <f>VLOOKUP($A120,observed!$C$2:$K$139,6,FALSE)</f>
        <v>1337.0327861523022</v>
      </c>
      <c r="G120" s="48">
        <f>VLOOKUP($A120,observed!$C$2:$K$139,7,FALSE)</f>
        <v>4074.6663070583108</v>
      </c>
      <c r="H120" s="48">
        <f>VLOOKUP($A120,observed!$C$2:$K$139,8,FALSE)</f>
        <v>1804.1678124656928</v>
      </c>
      <c r="I120" s="48">
        <f>VLOOKUP($A120,observed!$C$2:$K$139,9,FALSE)</f>
        <v>820.98615712916705</v>
      </c>
      <c r="J120" s="48">
        <f t="shared" si="12"/>
        <v>8199.9299999999985</v>
      </c>
      <c r="K120" s="59">
        <f>IFERROR(VLOOKUP($A120&amp;"-"&amp;TEXT($B120+19,0),md[[routeC]:[boarding_EV]],4,FALSE),"")</f>
        <v>0</v>
      </c>
      <c r="L120" s="59">
        <f>IFERROR(VLOOKUP($A120&amp;"-"&amp;TEXT($B120+19,0),md[[routeC]:[boarding_EV]],5,FALSE),"")</f>
        <v>0</v>
      </c>
      <c r="M120" s="59">
        <f>IFERROR(VLOOKUP($A120&amp;"-"&amp;TEXT($B120+19,0),md[[routeC]:[boarding_EV]],6,FALSE),"")</f>
        <v>0</v>
      </c>
      <c r="N120" s="59">
        <f>IFERROR(VLOOKUP($A120&amp;"-"&amp;TEXT($B120+19,0),md[[routeC]:[boarding_EV]],7,FALSE),"")</f>
        <v>0</v>
      </c>
      <c r="O120" s="59">
        <f>IFERROR(VLOOKUP($A120&amp;"-"&amp;TEXT($B120+19,0),md[[routeC]:[boarding_EV]],8,FALSE),"")</f>
        <v>0</v>
      </c>
      <c r="P120" s="59">
        <f t="shared" si="13"/>
        <v>0</v>
      </c>
      <c r="Q120" s="288">
        <f t="shared" si="14"/>
        <v>-1</v>
      </c>
      <c r="R120" s="287">
        <f t="shared" si="15"/>
        <v>67238852.004899979</v>
      </c>
    </row>
    <row r="121" spans="1:18" x14ac:dyDescent="0.3">
      <c r="A121" s="47">
        <v>932</v>
      </c>
      <c r="B121" s="47">
        <v>10</v>
      </c>
      <c r="C121" s="47" t="s">
        <v>0</v>
      </c>
      <c r="D121" s="47">
        <v>5</v>
      </c>
      <c r="E121" s="48">
        <f>VLOOKUP($A121,observed!$C$2:$K$139,5,FALSE)</f>
        <v>100.83612836438922</v>
      </c>
      <c r="F121" s="48">
        <f>VLOOKUP($A121,observed!$C$2:$K$139,6,FALSE)</f>
        <v>636.06439204377421</v>
      </c>
      <c r="G121" s="48">
        <f>VLOOKUP($A121,observed!$C$2:$K$139,7,FALSE)</f>
        <v>2357.2320923737893</v>
      </c>
      <c r="H121" s="48">
        <f>VLOOKUP($A121,observed!$C$2:$K$139,8,FALSE)</f>
        <v>1038.2602836470787</v>
      </c>
      <c r="I121" s="48">
        <f>VLOOKUP($A121,observed!$C$2:$K$139,9,FALSE)</f>
        <v>316.27710357096919</v>
      </c>
      <c r="J121" s="48">
        <f t="shared" si="12"/>
        <v>4448.670000000001</v>
      </c>
      <c r="K121" s="59">
        <f>IFERROR(VLOOKUP($A121&amp;"-"&amp;TEXT($B121+19,0),md[[routeC]:[boarding_EV]],4,FALSE),"")</f>
        <v>0</v>
      </c>
      <c r="L121" s="59">
        <f>IFERROR(VLOOKUP($A121&amp;"-"&amp;TEXT($B121+19,0),md[[routeC]:[boarding_EV]],5,FALSE),"")</f>
        <v>0</v>
      </c>
      <c r="M121" s="59">
        <f>IFERROR(VLOOKUP($A121&amp;"-"&amp;TEXT($B121+19,0),md[[routeC]:[boarding_EV]],6,FALSE),"")</f>
        <v>0</v>
      </c>
      <c r="N121" s="59">
        <f>IFERROR(VLOOKUP($A121&amp;"-"&amp;TEXT($B121+19,0),md[[routeC]:[boarding_EV]],7,FALSE),"")</f>
        <v>0</v>
      </c>
      <c r="O121" s="59">
        <f>IFERROR(VLOOKUP($A121&amp;"-"&amp;TEXT($B121+19,0),md[[routeC]:[boarding_EV]],8,FALSE),"")</f>
        <v>0</v>
      </c>
      <c r="P121" s="59">
        <f t="shared" si="13"/>
        <v>0</v>
      </c>
      <c r="Q121" s="288">
        <f t="shared" si="14"/>
        <v>-1</v>
      </c>
      <c r="R121" s="287">
        <f t="shared" si="15"/>
        <v>19790664.768900007</v>
      </c>
    </row>
    <row r="122" spans="1:18" x14ac:dyDescent="0.3">
      <c r="A122" s="47">
        <v>933</v>
      </c>
      <c r="B122" s="47">
        <v>10</v>
      </c>
      <c r="C122" s="47" t="s">
        <v>0</v>
      </c>
      <c r="D122" s="47">
        <v>5</v>
      </c>
      <c r="E122" s="48">
        <f>VLOOKUP($A122,observed!$C$2:$K$139,5,FALSE)</f>
        <v>97.112319131161229</v>
      </c>
      <c r="F122" s="48">
        <f>VLOOKUP($A122,observed!$C$2:$K$139,6,FALSE)</f>
        <v>562.31904450520233</v>
      </c>
      <c r="G122" s="48">
        <f>VLOOKUP($A122,observed!$C$2:$K$139,7,FALSE)</f>
        <v>1531.177814445826</v>
      </c>
      <c r="H122" s="48">
        <f>VLOOKUP($A122,observed!$C$2:$K$139,8,FALSE)</f>
        <v>790.37616803005938</v>
      </c>
      <c r="I122" s="48">
        <f>VLOOKUP($A122,observed!$C$2:$K$139,9,FALSE)</f>
        <v>289.77465388775107</v>
      </c>
      <c r="J122" s="48">
        <f t="shared" si="12"/>
        <v>3270.76</v>
      </c>
      <c r="K122" s="59">
        <f>IFERROR(VLOOKUP($A122&amp;"-"&amp;TEXT($B122+19,0),md[[routeC]:[boarding_EV]],4,FALSE),"")</f>
        <v>0</v>
      </c>
      <c r="L122" s="59">
        <f>IFERROR(VLOOKUP($A122&amp;"-"&amp;TEXT($B122+19,0),md[[routeC]:[boarding_EV]],5,FALSE),"")</f>
        <v>0</v>
      </c>
      <c r="M122" s="59">
        <f>IFERROR(VLOOKUP($A122&amp;"-"&amp;TEXT($B122+19,0),md[[routeC]:[boarding_EV]],6,FALSE),"")</f>
        <v>0</v>
      </c>
      <c r="N122" s="59">
        <f>IFERROR(VLOOKUP($A122&amp;"-"&amp;TEXT($B122+19,0),md[[routeC]:[boarding_EV]],7,FALSE),"")</f>
        <v>0</v>
      </c>
      <c r="O122" s="59">
        <f>IFERROR(VLOOKUP($A122&amp;"-"&amp;TEXT($B122+19,0),md[[routeC]:[boarding_EV]],8,FALSE),"")</f>
        <v>0</v>
      </c>
      <c r="P122" s="59">
        <f t="shared" si="13"/>
        <v>0</v>
      </c>
      <c r="Q122" s="288">
        <f t="shared" si="14"/>
        <v>-1</v>
      </c>
      <c r="R122" s="287">
        <f t="shared" si="15"/>
        <v>10697870.977600001</v>
      </c>
    </row>
    <row r="123" spans="1:18" x14ac:dyDescent="0.3">
      <c r="A123" s="47">
        <v>934</v>
      </c>
      <c r="B123" s="47">
        <v>10</v>
      </c>
      <c r="C123" s="47" t="s">
        <v>0</v>
      </c>
      <c r="D123" s="47">
        <v>5</v>
      </c>
      <c r="E123" s="48">
        <f>VLOOKUP($A123,observed!$C$2:$K$139,5,FALSE)</f>
        <v>92.524642857142823</v>
      </c>
      <c r="F123" s="48">
        <f>VLOOKUP($A123,observed!$C$2:$K$139,6,FALSE)</f>
        <v>681.81604048840961</v>
      </c>
      <c r="G123" s="48">
        <f>VLOOKUP($A123,observed!$C$2:$K$139,7,FALSE)</f>
        <v>1337.4654171110667</v>
      </c>
      <c r="H123" s="48">
        <f>VLOOKUP($A123,observed!$C$2:$K$139,8,FALSE)</f>
        <v>716.56762414300806</v>
      </c>
      <c r="I123" s="48">
        <f>VLOOKUP($A123,observed!$C$2:$K$139,9,FALSE)</f>
        <v>274.07627540037271</v>
      </c>
      <c r="J123" s="48">
        <f t="shared" si="12"/>
        <v>3102.45</v>
      </c>
      <c r="K123" s="59">
        <f>IFERROR(VLOOKUP($A123&amp;"-"&amp;TEXT($B123+19,0),md[[routeC]:[boarding_EV]],4,FALSE),"")</f>
        <v>0</v>
      </c>
      <c r="L123" s="59">
        <f>IFERROR(VLOOKUP($A123&amp;"-"&amp;TEXT($B123+19,0),md[[routeC]:[boarding_EV]],5,FALSE),"")</f>
        <v>0</v>
      </c>
      <c r="M123" s="59">
        <f>IFERROR(VLOOKUP($A123&amp;"-"&amp;TEXT($B123+19,0),md[[routeC]:[boarding_EV]],6,FALSE),"")</f>
        <v>0</v>
      </c>
      <c r="N123" s="59">
        <f>IFERROR(VLOOKUP($A123&amp;"-"&amp;TEXT($B123+19,0),md[[routeC]:[boarding_EV]],7,FALSE),"")</f>
        <v>0</v>
      </c>
      <c r="O123" s="59">
        <f>IFERROR(VLOOKUP($A123&amp;"-"&amp;TEXT($B123+19,0),md[[routeC]:[boarding_EV]],8,FALSE),"")</f>
        <v>0</v>
      </c>
      <c r="P123" s="59">
        <f t="shared" si="13"/>
        <v>0</v>
      </c>
      <c r="Q123" s="288">
        <f t="shared" si="14"/>
        <v>-1</v>
      </c>
      <c r="R123" s="287">
        <f t="shared" si="15"/>
        <v>9625196.0024999995</v>
      </c>
    </row>
    <row r="124" spans="1:18" x14ac:dyDescent="0.3">
      <c r="A124" s="47">
        <v>936</v>
      </c>
      <c r="B124" s="47">
        <v>10</v>
      </c>
      <c r="C124" s="47" t="s">
        <v>0</v>
      </c>
      <c r="D124" s="47">
        <v>5</v>
      </c>
      <c r="E124" s="48">
        <f>VLOOKUP($A124,observed!$C$2:$K$139,5,FALSE)</f>
        <v>27.005961538461548</v>
      </c>
      <c r="F124" s="48">
        <f>VLOOKUP($A124,observed!$C$2:$K$139,6,FALSE)</f>
        <v>333.17114042933798</v>
      </c>
      <c r="G124" s="48">
        <f>VLOOKUP($A124,observed!$C$2:$K$139,7,FALSE)</f>
        <v>931.20615384615223</v>
      </c>
      <c r="H124" s="48">
        <f>VLOOKUP($A124,observed!$C$2:$K$139,8,FALSE)</f>
        <v>498.15470930232829</v>
      </c>
      <c r="I124" s="48">
        <f>VLOOKUP($A124,observed!$C$2:$K$139,9,FALSE)</f>
        <v>190.9220348837201</v>
      </c>
      <c r="J124" s="48">
        <f t="shared" si="12"/>
        <v>1980.46</v>
      </c>
      <c r="K124" s="59">
        <f>IFERROR(VLOOKUP($A124&amp;"-"&amp;TEXT($B124+19,0),md[[routeC]:[boarding_EV]],4,FALSE),"")</f>
        <v>0</v>
      </c>
      <c r="L124" s="59">
        <f>IFERROR(VLOOKUP($A124&amp;"-"&amp;TEXT($B124+19,0),md[[routeC]:[boarding_EV]],5,FALSE),"")</f>
        <v>0</v>
      </c>
      <c r="M124" s="59">
        <f>IFERROR(VLOOKUP($A124&amp;"-"&amp;TEXT($B124+19,0),md[[routeC]:[boarding_EV]],6,FALSE),"")</f>
        <v>0</v>
      </c>
      <c r="N124" s="59">
        <f>IFERROR(VLOOKUP($A124&amp;"-"&amp;TEXT($B124+19,0),md[[routeC]:[boarding_EV]],7,FALSE),"")</f>
        <v>0</v>
      </c>
      <c r="O124" s="59">
        <f>IFERROR(VLOOKUP($A124&amp;"-"&amp;TEXT($B124+19,0),md[[routeC]:[boarding_EV]],8,FALSE),"")</f>
        <v>0</v>
      </c>
      <c r="P124" s="59">
        <f t="shared" si="13"/>
        <v>0</v>
      </c>
      <c r="Q124" s="288">
        <f t="shared" si="14"/>
        <v>-1</v>
      </c>
      <c r="R124" s="287">
        <f t="shared" si="15"/>
        <v>3922221.8116000001</v>
      </c>
    </row>
    <row r="125" spans="1:18" x14ac:dyDescent="0.3">
      <c r="A125" s="47">
        <v>944</v>
      </c>
      <c r="B125" s="47">
        <v>10</v>
      </c>
      <c r="C125" s="47" t="s">
        <v>0</v>
      </c>
      <c r="D125" s="47">
        <v>5</v>
      </c>
      <c r="E125" s="48">
        <f>VLOOKUP($A125,observed!$C$2:$K$139,5,FALSE)</f>
        <v>9</v>
      </c>
      <c r="F125" s="48">
        <f>VLOOKUP($A125,observed!$C$2:$K$139,6,FALSE)</f>
        <v>74</v>
      </c>
      <c r="G125" s="48">
        <f>VLOOKUP($A125,observed!$C$2:$K$139,7,FALSE)</f>
        <v>131.70833333333309</v>
      </c>
      <c r="H125" s="48">
        <f>VLOOKUP($A125,observed!$C$2:$K$139,8,FALSE)</f>
        <v>83.291666666666998</v>
      </c>
      <c r="I125" s="48">
        <f>VLOOKUP($A125,observed!$C$2:$K$139,9,FALSE)</f>
        <v>4.9999999999999085</v>
      </c>
      <c r="J125" s="48">
        <f t="shared" si="12"/>
        <v>303</v>
      </c>
      <c r="K125" s="59">
        <f>IFERROR(VLOOKUP($A125&amp;"-"&amp;TEXT($B125+19,0),md[[routeC]:[boarding_EV]],4,FALSE),"")</f>
        <v>0</v>
      </c>
      <c r="L125" s="59">
        <f>IFERROR(VLOOKUP($A125&amp;"-"&amp;TEXT($B125+19,0),md[[routeC]:[boarding_EV]],5,FALSE),"")</f>
        <v>0</v>
      </c>
      <c r="M125" s="59">
        <f>IFERROR(VLOOKUP($A125&amp;"-"&amp;TEXT($B125+19,0),md[[routeC]:[boarding_EV]],6,FALSE),"")</f>
        <v>0</v>
      </c>
      <c r="N125" s="59">
        <f>IFERROR(VLOOKUP($A125&amp;"-"&amp;TEXT($B125+19,0),md[[routeC]:[boarding_EV]],7,FALSE),"")</f>
        <v>0</v>
      </c>
      <c r="O125" s="59">
        <f>IFERROR(VLOOKUP($A125&amp;"-"&amp;TEXT($B125+19,0),md[[routeC]:[boarding_EV]],8,FALSE),"")</f>
        <v>0</v>
      </c>
      <c r="P125" s="59">
        <f t="shared" si="13"/>
        <v>0</v>
      </c>
      <c r="Q125" s="288">
        <f t="shared" si="14"/>
        <v>-1</v>
      </c>
      <c r="R125" s="287">
        <f t="shared" si="15"/>
        <v>91809</v>
      </c>
    </row>
    <row r="126" spans="1:18" x14ac:dyDescent="0.3">
      <c r="A126" s="47">
        <v>945</v>
      </c>
      <c r="B126" s="47">
        <v>10</v>
      </c>
      <c r="C126" s="47" t="s">
        <v>0</v>
      </c>
      <c r="D126" s="47">
        <v>5</v>
      </c>
      <c r="E126" s="48">
        <f>VLOOKUP($A126,observed!$C$2:$K$139,5,FALSE)</f>
        <v>4.7792207792207764</v>
      </c>
      <c r="F126" s="48">
        <f>VLOOKUP($A126,observed!$C$2:$K$139,6,FALSE)</f>
        <v>229.70198222829799</v>
      </c>
      <c r="G126" s="48">
        <f>VLOOKUP($A126,observed!$C$2:$K$139,7,FALSE)</f>
        <v>337.05435887014806</v>
      </c>
      <c r="H126" s="48">
        <f>VLOOKUP($A126,observed!$C$2:$K$139,8,FALSE)</f>
        <v>137.65199793094575</v>
      </c>
      <c r="I126" s="48">
        <f>VLOOKUP($A126,observed!$C$2:$K$139,9,FALSE)</f>
        <v>4.8124401913874166</v>
      </c>
      <c r="J126" s="48">
        <f t="shared" si="12"/>
        <v>714</v>
      </c>
      <c r="K126" s="59">
        <f>IFERROR(VLOOKUP($A126&amp;"-"&amp;TEXT($B126+19,0),md[[routeC]:[boarding_EV]],4,FALSE),"")</f>
        <v>0</v>
      </c>
      <c r="L126" s="59">
        <f>IFERROR(VLOOKUP($A126&amp;"-"&amp;TEXT($B126+19,0),md[[routeC]:[boarding_EV]],5,FALSE),"")</f>
        <v>0</v>
      </c>
      <c r="M126" s="59">
        <f>IFERROR(VLOOKUP($A126&amp;"-"&amp;TEXT($B126+19,0),md[[routeC]:[boarding_EV]],6,FALSE),"")</f>
        <v>0</v>
      </c>
      <c r="N126" s="59">
        <f>IFERROR(VLOOKUP($A126&amp;"-"&amp;TEXT($B126+19,0),md[[routeC]:[boarding_EV]],7,FALSE),"")</f>
        <v>0</v>
      </c>
      <c r="O126" s="59">
        <f>IFERROR(VLOOKUP($A126&amp;"-"&amp;TEXT($B126+19,0),md[[routeC]:[boarding_EV]],8,FALSE),"")</f>
        <v>0</v>
      </c>
      <c r="P126" s="59">
        <f t="shared" si="13"/>
        <v>0</v>
      </c>
      <c r="Q126" s="288">
        <f t="shared" si="14"/>
        <v>-1</v>
      </c>
      <c r="R126" s="287">
        <f t="shared" si="15"/>
        <v>509796</v>
      </c>
    </row>
    <row r="127" spans="1:18" x14ac:dyDescent="0.3">
      <c r="A127" s="47">
        <v>955</v>
      </c>
      <c r="B127" s="47">
        <v>10</v>
      </c>
      <c r="C127" s="47" t="s">
        <v>0</v>
      </c>
      <c r="D127" s="47">
        <v>5</v>
      </c>
      <c r="E127" s="48">
        <f>VLOOKUP($A127,observed!$C$2:$K$139,5,FALSE)</f>
        <v>104.25992451342692</v>
      </c>
      <c r="F127" s="48">
        <f>VLOOKUP($A127,observed!$C$2:$K$139,6,FALSE)</f>
        <v>976.64186978919975</v>
      </c>
      <c r="G127" s="48">
        <f>VLOOKUP($A127,observed!$C$2:$K$139,7,FALSE)</f>
        <v>2423.325514535502</v>
      </c>
      <c r="H127" s="48">
        <f>VLOOKUP($A127,observed!$C$2:$K$139,8,FALSE)</f>
        <v>1234.8721966563776</v>
      </c>
      <c r="I127" s="48">
        <f>VLOOKUP($A127,observed!$C$2:$K$139,9,FALSE)</f>
        <v>516.35049450549286</v>
      </c>
      <c r="J127" s="48">
        <f t="shared" si="12"/>
        <v>5255.45</v>
      </c>
      <c r="K127" s="59">
        <f>IFERROR(VLOOKUP($A127&amp;"-"&amp;TEXT($B127+19,0),md[[routeC]:[boarding_EV]],4,FALSE),"")</f>
        <v>0</v>
      </c>
      <c r="L127" s="59">
        <f>IFERROR(VLOOKUP($A127&amp;"-"&amp;TEXT($B127+19,0),md[[routeC]:[boarding_EV]],5,FALSE),"")</f>
        <v>0</v>
      </c>
      <c r="M127" s="59">
        <f>IFERROR(VLOOKUP($A127&amp;"-"&amp;TEXT($B127+19,0),md[[routeC]:[boarding_EV]],6,FALSE),"")</f>
        <v>0</v>
      </c>
      <c r="N127" s="59">
        <f>IFERROR(VLOOKUP($A127&amp;"-"&amp;TEXT($B127+19,0),md[[routeC]:[boarding_EV]],7,FALSE),"")</f>
        <v>0</v>
      </c>
      <c r="O127" s="59">
        <f>IFERROR(VLOOKUP($A127&amp;"-"&amp;TEXT($B127+19,0),md[[routeC]:[boarding_EV]],8,FALSE),"")</f>
        <v>0</v>
      </c>
      <c r="P127" s="59">
        <f t="shared" si="13"/>
        <v>0</v>
      </c>
      <c r="Q127" s="288">
        <f t="shared" si="14"/>
        <v>-1</v>
      </c>
      <c r="R127" s="287">
        <f t="shared" si="15"/>
        <v>27619754.702499997</v>
      </c>
    </row>
    <row r="128" spans="1:18" x14ac:dyDescent="0.3">
      <c r="A128" s="47">
        <v>961</v>
      </c>
      <c r="B128" s="47">
        <v>10</v>
      </c>
      <c r="C128" s="47" t="s">
        <v>0</v>
      </c>
      <c r="D128" s="47">
        <v>5</v>
      </c>
      <c r="E128" s="48">
        <f>VLOOKUP($A128,observed!$C$2:$K$139,5,FALSE)</f>
        <v>64.318432900432882</v>
      </c>
      <c r="F128" s="48">
        <f>VLOOKUP($A128,observed!$C$2:$K$139,6,FALSE)</f>
        <v>453.84737754564077</v>
      </c>
      <c r="G128" s="48">
        <f>VLOOKUP($A128,observed!$C$2:$K$139,7,FALSE)</f>
        <v>1026.4367685012933</v>
      </c>
      <c r="H128" s="48">
        <f>VLOOKUP($A128,observed!$C$2:$K$139,8,FALSE)</f>
        <v>579.25581487502825</v>
      </c>
      <c r="I128" s="48">
        <f>VLOOKUP($A128,observed!$C$2:$K$139,9,FALSE)</f>
        <v>164.42160617760536</v>
      </c>
      <c r="J128" s="48">
        <f t="shared" si="12"/>
        <v>2288.2800000000007</v>
      </c>
      <c r="K128" s="59">
        <f>IFERROR(VLOOKUP($A128&amp;"-"&amp;TEXT($B128+19,0),md[[routeC]:[boarding_EV]],4,FALSE),"")</f>
        <v>0</v>
      </c>
      <c r="L128" s="59">
        <f>IFERROR(VLOOKUP($A128&amp;"-"&amp;TEXT($B128+19,0),md[[routeC]:[boarding_EV]],5,FALSE),"")</f>
        <v>0</v>
      </c>
      <c r="M128" s="59">
        <f>IFERROR(VLOOKUP($A128&amp;"-"&amp;TEXT($B128+19,0),md[[routeC]:[boarding_EV]],6,FALSE),"")</f>
        <v>0</v>
      </c>
      <c r="N128" s="59">
        <f>IFERROR(VLOOKUP($A128&amp;"-"&amp;TEXT($B128+19,0),md[[routeC]:[boarding_EV]],7,FALSE),"")</f>
        <v>0</v>
      </c>
      <c r="O128" s="59">
        <f>IFERROR(VLOOKUP($A128&amp;"-"&amp;TEXT($B128+19,0),md[[routeC]:[boarding_EV]],8,FALSE),"")</f>
        <v>0</v>
      </c>
      <c r="P128" s="59">
        <f t="shared" si="13"/>
        <v>0</v>
      </c>
      <c r="Q128" s="288">
        <f t="shared" si="14"/>
        <v>-1</v>
      </c>
      <c r="R128" s="287">
        <f t="shared" si="15"/>
        <v>5236225.3584000031</v>
      </c>
    </row>
    <row r="129" spans="1:18" x14ac:dyDescent="0.3">
      <c r="A129" s="47">
        <v>962</v>
      </c>
      <c r="B129" s="47">
        <v>10</v>
      </c>
      <c r="C129" s="47" t="s">
        <v>0</v>
      </c>
      <c r="D129" s="47">
        <v>5</v>
      </c>
      <c r="E129" s="48">
        <f>VLOOKUP($A129,observed!$C$2:$K$139,5,FALSE)</f>
        <v>36.767499999999984</v>
      </c>
      <c r="F129" s="48">
        <f>VLOOKUP($A129,observed!$C$2:$K$139,6,FALSE)</f>
        <v>344.60806703762603</v>
      </c>
      <c r="G129" s="48">
        <f>VLOOKUP($A129,observed!$C$2:$K$139,7,FALSE)</f>
        <v>823.15127506763554</v>
      </c>
      <c r="H129" s="48">
        <f>VLOOKUP($A129,observed!$C$2:$K$139,8,FALSE)</f>
        <v>396.9837552973363</v>
      </c>
      <c r="I129" s="48">
        <f>VLOOKUP($A129,observed!$C$2:$K$139,9,FALSE)</f>
        <v>116.15940259740226</v>
      </c>
      <c r="J129" s="48">
        <f t="shared" si="12"/>
        <v>1717.67</v>
      </c>
      <c r="K129" s="59">
        <f>IFERROR(VLOOKUP($A129&amp;"-"&amp;TEXT($B129+19,0),md[[routeC]:[boarding_EV]],4,FALSE),"")</f>
        <v>0</v>
      </c>
      <c r="L129" s="59">
        <f>IFERROR(VLOOKUP($A129&amp;"-"&amp;TEXT($B129+19,0),md[[routeC]:[boarding_EV]],5,FALSE),"")</f>
        <v>0</v>
      </c>
      <c r="M129" s="59">
        <f>IFERROR(VLOOKUP($A129&amp;"-"&amp;TEXT($B129+19,0),md[[routeC]:[boarding_EV]],6,FALSE),"")</f>
        <v>0</v>
      </c>
      <c r="N129" s="59">
        <f>IFERROR(VLOOKUP($A129&amp;"-"&amp;TEXT($B129+19,0),md[[routeC]:[boarding_EV]],7,FALSE),"")</f>
        <v>0</v>
      </c>
      <c r="O129" s="59">
        <f>IFERROR(VLOOKUP($A129&amp;"-"&amp;TEXT($B129+19,0),md[[routeC]:[boarding_EV]],8,FALSE),"")</f>
        <v>0</v>
      </c>
      <c r="P129" s="59">
        <f t="shared" si="13"/>
        <v>0</v>
      </c>
      <c r="Q129" s="288">
        <f t="shared" si="14"/>
        <v>-1</v>
      </c>
      <c r="R129" s="287">
        <f t="shared" si="15"/>
        <v>2950390.2289000005</v>
      </c>
    </row>
    <row r="130" spans="1:18" x14ac:dyDescent="0.3">
      <c r="A130" s="47">
        <v>963</v>
      </c>
      <c r="B130" s="47">
        <v>10</v>
      </c>
      <c r="C130" s="47" t="s">
        <v>0</v>
      </c>
      <c r="D130" s="47">
        <v>5</v>
      </c>
      <c r="E130" s="48">
        <f>VLOOKUP($A130,observed!$C$2:$K$139,5,FALSE)</f>
        <v>12.467066666666661</v>
      </c>
      <c r="F130" s="48">
        <f>VLOOKUP($A130,observed!$C$2:$K$139,6,FALSE)</f>
        <v>154.05290227743276</v>
      </c>
      <c r="G130" s="48">
        <f>VLOOKUP($A130,observed!$C$2:$K$139,7,FALSE)</f>
        <v>436.25203105589986</v>
      </c>
      <c r="H130" s="48">
        <f>VLOOKUP($A130,observed!$C$2:$K$139,8,FALSE)</f>
        <v>230.00241077441189</v>
      </c>
      <c r="I130" s="48">
        <f>VLOOKUP($A130,observed!$C$2:$K$139,9,FALSE)</f>
        <v>68.815589225588852</v>
      </c>
      <c r="J130" s="48">
        <f t="shared" si="12"/>
        <v>901.58999999999992</v>
      </c>
      <c r="K130" s="59">
        <f>IFERROR(VLOOKUP($A130&amp;"-"&amp;TEXT($B130+19,0),md[[routeC]:[boarding_EV]],4,FALSE),"")</f>
        <v>0</v>
      </c>
      <c r="L130" s="59">
        <f>IFERROR(VLOOKUP($A130&amp;"-"&amp;TEXT($B130+19,0),md[[routeC]:[boarding_EV]],5,FALSE),"")</f>
        <v>0</v>
      </c>
      <c r="M130" s="59">
        <f>IFERROR(VLOOKUP($A130&amp;"-"&amp;TEXT($B130+19,0),md[[routeC]:[boarding_EV]],6,FALSE),"")</f>
        <v>0</v>
      </c>
      <c r="N130" s="59">
        <f>IFERROR(VLOOKUP($A130&amp;"-"&amp;TEXT($B130+19,0),md[[routeC]:[boarding_EV]],7,FALSE),"")</f>
        <v>0</v>
      </c>
      <c r="O130" s="59">
        <f>IFERROR(VLOOKUP($A130&amp;"-"&amp;TEXT($B130+19,0),md[[routeC]:[boarding_EV]],8,FALSE),"")</f>
        <v>0</v>
      </c>
      <c r="P130" s="59">
        <f t="shared" si="13"/>
        <v>0</v>
      </c>
      <c r="Q130" s="288">
        <f t="shared" si="14"/>
        <v>-1</v>
      </c>
      <c r="R130" s="287">
        <f t="shared" si="15"/>
        <v>812864.52809999988</v>
      </c>
    </row>
    <row r="131" spans="1:18" x14ac:dyDescent="0.3">
      <c r="A131" s="47">
        <v>964</v>
      </c>
      <c r="B131" s="47">
        <v>10</v>
      </c>
      <c r="C131" s="47" t="s">
        <v>0</v>
      </c>
      <c r="D131" s="47">
        <v>5</v>
      </c>
      <c r="E131" s="48">
        <f>VLOOKUP($A131,observed!$C$2:$K$139,5,FALSE)</f>
        <v>8.6896551724137758</v>
      </c>
      <c r="F131" s="48">
        <f>VLOOKUP($A131,observed!$C$2:$K$139,6,FALSE)</f>
        <v>198.24137931034483</v>
      </c>
      <c r="G131" s="48">
        <f>VLOOKUP($A131,observed!$C$2:$K$139,7,FALSE)</f>
        <v>379.86896551724112</v>
      </c>
      <c r="H131" s="48">
        <f>VLOOKUP($A131,observed!$C$2:$K$139,8,FALSE)</f>
        <v>194.86666666666719</v>
      </c>
      <c r="I131" s="48">
        <f>VLOOKUP($A131,observed!$C$2:$K$139,9,FALSE)</f>
        <v>37.333333333333101</v>
      </c>
      <c r="J131" s="48">
        <f t="shared" si="12"/>
        <v>819.00000000000011</v>
      </c>
      <c r="K131" s="59">
        <f>IFERROR(VLOOKUP($A131&amp;"-"&amp;TEXT($B131+19,0),md[[routeC]:[boarding_EV]],4,FALSE),"")</f>
        <v>0</v>
      </c>
      <c r="L131" s="59">
        <f>IFERROR(VLOOKUP($A131&amp;"-"&amp;TEXT($B131+19,0),md[[routeC]:[boarding_EV]],5,FALSE),"")</f>
        <v>0</v>
      </c>
      <c r="M131" s="59">
        <f>IFERROR(VLOOKUP($A131&amp;"-"&amp;TEXT($B131+19,0),md[[routeC]:[boarding_EV]],6,FALSE),"")</f>
        <v>0</v>
      </c>
      <c r="N131" s="59">
        <f>IFERROR(VLOOKUP($A131&amp;"-"&amp;TEXT($B131+19,0),md[[routeC]:[boarding_EV]],7,FALSE),"")</f>
        <v>0</v>
      </c>
      <c r="O131" s="59">
        <f>IFERROR(VLOOKUP($A131&amp;"-"&amp;TEXT($B131+19,0),md[[routeC]:[boarding_EV]],8,FALSE),"")</f>
        <v>0</v>
      </c>
      <c r="P131" s="59">
        <f t="shared" si="13"/>
        <v>0</v>
      </c>
      <c r="Q131" s="288">
        <f t="shared" si="14"/>
        <v>-1</v>
      </c>
      <c r="R131" s="287">
        <f t="shared" si="15"/>
        <v>670761.00000000023</v>
      </c>
    </row>
    <row r="132" spans="1:18" x14ac:dyDescent="0.3">
      <c r="A132" s="47">
        <v>965</v>
      </c>
      <c r="B132" s="47">
        <v>10</v>
      </c>
      <c r="C132" s="47" t="s">
        <v>0</v>
      </c>
      <c r="D132" s="47">
        <v>5</v>
      </c>
      <c r="E132" s="48">
        <f>VLOOKUP($A132,observed!$C$2:$K$139,5,FALSE)</f>
        <v>18</v>
      </c>
      <c r="F132" s="48">
        <f>VLOOKUP($A132,observed!$C$2:$K$139,6,FALSE)</f>
        <v>49.291666666666686</v>
      </c>
      <c r="G132" s="48">
        <f>VLOOKUP($A132,observed!$C$2:$K$139,7,FALSE)</f>
        <v>82.922619047618809</v>
      </c>
      <c r="H132" s="48">
        <f>VLOOKUP($A132,observed!$C$2:$K$139,8,FALSE)</f>
        <v>68.131868131868515</v>
      </c>
      <c r="I132" s="48">
        <f>VLOOKUP($A132,observed!$C$2:$K$139,9,FALSE)</f>
        <v>24.65384615384599</v>
      </c>
      <c r="J132" s="48">
        <f t="shared" si="12"/>
        <v>243</v>
      </c>
      <c r="K132" s="59">
        <f>IFERROR(VLOOKUP($A132&amp;"-"&amp;TEXT($B132+19,0),md[[routeC]:[boarding_EV]],4,FALSE),"")</f>
        <v>0</v>
      </c>
      <c r="L132" s="59">
        <f>IFERROR(VLOOKUP($A132&amp;"-"&amp;TEXT($B132+19,0),md[[routeC]:[boarding_EV]],5,FALSE),"")</f>
        <v>0</v>
      </c>
      <c r="M132" s="59">
        <f>IFERROR(VLOOKUP($A132&amp;"-"&amp;TEXT($B132+19,0),md[[routeC]:[boarding_EV]],6,FALSE),"")</f>
        <v>0</v>
      </c>
      <c r="N132" s="59">
        <f>IFERROR(VLOOKUP($A132&amp;"-"&amp;TEXT($B132+19,0),md[[routeC]:[boarding_EV]],7,FALSE),"")</f>
        <v>0</v>
      </c>
      <c r="O132" s="59">
        <f>IFERROR(VLOOKUP($A132&amp;"-"&amp;TEXT($B132+19,0),md[[routeC]:[boarding_EV]],8,FALSE),"")</f>
        <v>0</v>
      </c>
      <c r="P132" s="59">
        <f t="shared" si="13"/>
        <v>0</v>
      </c>
      <c r="Q132" s="288">
        <f t="shared" si="14"/>
        <v>-1</v>
      </c>
      <c r="R132" s="287">
        <f t="shared" si="15"/>
        <v>59049</v>
      </c>
    </row>
    <row r="133" spans="1:18" x14ac:dyDescent="0.3">
      <c r="A133" s="47">
        <v>967</v>
      </c>
      <c r="B133" s="47">
        <v>10</v>
      </c>
      <c r="C133" s="47" t="s">
        <v>0</v>
      </c>
      <c r="D133" s="47">
        <v>5</v>
      </c>
      <c r="E133" s="48">
        <f>VLOOKUP($A133,observed!$C$2:$K$139,5,FALSE)</f>
        <v>4.4400000000000004</v>
      </c>
      <c r="F133" s="48">
        <f>VLOOKUP($A133,observed!$C$2:$K$139,6,FALSE)</f>
        <v>44.83</v>
      </c>
      <c r="G133" s="48">
        <f>VLOOKUP($A133,observed!$C$2:$K$139,7,FALSE)</f>
        <v>105.94860465116261</v>
      </c>
      <c r="H133" s="48">
        <f>VLOOKUP($A133,observed!$C$2:$K$139,8,FALSE)</f>
        <v>50.821395348837385</v>
      </c>
      <c r="I133" s="48">
        <f>VLOOKUP($A133,observed!$C$2:$K$139,9,FALSE)</f>
        <v>15.66</v>
      </c>
      <c r="J133" s="48">
        <f>SUM(E133:I133)</f>
        <v>221.69999999999996</v>
      </c>
      <c r="K133" s="59">
        <f>IFERROR(VLOOKUP($A133&amp;"-"&amp;TEXT($B133+19,0),md[[routeC]:[boarding_EV]],4,FALSE),"")</f>
        <v>0</v>
      </c>
      <c r="L133" s="59">
        <f>IFERROR(VLOOKUP($A133&amp;"-"&amp;TEXT($B133+19,0),md[[routeC]:[boarding_EV]],5,FALSE),"")</f>
        <v>0</v>
      </c>
      <c r="M133" s="59">
        <f>IFERROR(VLOOKUP($A133&amp;"-"&amp;TEXT($B133+19,0),md[[routeC]:[boarding_EV]],6,FALSE),"")</f>
        <v>0</v>
      </c>
      <c r="N133" s="59">
        <f>IFERROR(VLOOKUP($A133&amp;"-"&amp;TEXT($B133+19,0),md[[routeC]:[boarding_EV]],7,FALSE),"")</f>
        <v>0</v>
      </c>
      <c r="O133" s="59">
        <f>IFERROR(VLOOKUP($A133&amp;"-"&amp;TEXT($B133+19,0),md[[routeC]:[boarding_EV]],8,FALSE),"")</f>
        <v>0</v>
      </c>
      <c r="P133" s="59">
        <f>SUM(K133:O133)</f>
        <v>0</v>
      </c>
      <c r="Q133" s="288">
        <f t="shared" ref="Q133:Q137" si="16">P133/J133-1</f>
        <v>-1</v>
      </c>
      <c r="R133" s="287">
        <f t="shared" ref="R133:R137" si="17">POWER((P133-J133),2)</f>
        <v>49150.889999999985</v>
      </c>
    </row>
    <row r="134" spans="1:18" x14ac:dyDescent="0.3">
      <c r="A134" s="47">
        <v>968</v>
      </c>
      <c r="B134" s="47">
        <v>10</v>
      </c>
      <c r="C134" s="47" t="s">
        <v>0</v>
      </c>
      <c r="D134" s="47">
        <v>5</v>
      </c>
      <c r="E134" s="48">
        <f>VLOOKUP($A134,observed!$C$2:$K$139,5,FALSE)</f>
        <v>16.040232558139532</v>
      </c>
      <c r="F134" s="48">
        <f>VLOOKUP($A134,observed!$C$2:$K$139,6,FALSE)</f>
        <v>56.421256803562585</v>
      </c>
      <c r="G134" s="48">
        <f>VLOOKUP($A134,observed!$C$2:$K$139,7,FALSE)</f>
        <v>93.948510638297876</v>
      </c>
      <c r="H134" s="48">
        <f>VLOOKUP($A134,observed!$C$2:$K$139,8,FALSE)</f>
        <v>48.974090909090989</v>
      </c>
      <c r="I134" s="48">
        <f>VLOOKUP($A134,observed!$C$2:$K$139,9,FALSE)</f>
        <v>18.685909090909014</v>
      </c>
      <c r="J134" s="48">
        <f>SUM(E134:I134)</f>
        <v>234.07</v>
      </c>
      <c r="K134" s="59">
        <f>IFERROR(VLOOKUP($A134&amp;"-"&amp;TEXT($B134+19,0),md[[routeC]:[boarding_EV]],4,FALSE),"")</f>
        <v>0</v>
      </c>
      <c r="L134" s="59">
        <f>IFERROR(VLOOKUP($A134&amp;"-"&amp;TEXT($B134+19,0),md[[routeC]:[boarding_EV]],5,FALSE),"")</f>
        <v>0</v>
      </c>
      <c r="M134" s="59">
        <f>IFERROR(VLOOKUP($A134&amp;"-"&amp;TEXT($B134+19,0),md[[routeC]:[boarding_EV]],6,FALSE),"")</f>
        <v>0</v>
      </c>
      <c r="N134" s="59">
        <f>IFERROR(VLOOKUP($A134&amp;"-"&amp;TEXT($B134+19,0),md[[routeC]:[boarding_EV]],7,FALSE),"")</f>
        <v>0</v>
      </c>
      <c r="O134" s="59">
        <f>IFERROR(VLOOKUP($A134&amp;"-"&amp;TEXT($B134+19,0),md[[routeC]:[boarding_EV]],8,FALSE),"")</f>
        <v>0</v>
      </c>
      <c r="P134" s="59">
        <f>SUM(K134:O134)</f>
        <v>0</v>
      </c>
      <c r="Q134" s="288">
        <f t="shared" si="16"/>
        <v>-1</v>
      </c>
      <c r="R134" s="287">
        <f t="shared" si="17"/>
        <v>54788.764899999995</v>
      </c>
    </row>
    <row r="135" spans="1:18" x14ac:dyDescent="0.3">
      <c r="A135" s="47">
        <v>972</v>
      </c>
      <c r="B135" s="47">
        <v>10</v>
      </c>
      <c r="C135" s="47" t="s">
        <v>0</v>
      </c>
      <c r="D135" s="47">
        <v>5</v>
      </c>
      <c r="E135" s="48">
        <f>VLOOKUP($A135,observed!$C$2:$K$139,5,FALSE)</f>
        <v>0</v>
      </c>
      <c r="F135" s="48">
        <f>VLOOKUP($A135,observed!$C$2:$K$139,6,FALSE)</f>
        <v>77.428571428571416</v>
      </c>
      <c r="G135" s="48">
        <f>VLOOKUP($A135,observed!$C$2:$K$139,7,FALSE)</f>
        <v>3.5714285714285765</v>
      </c>
      <c r="H135" s="48">
        <f>VLOOKUP($A135,observed!$C$2:$K$139,8,FALSE)</f>
        <v>52</v>
      </c>
      <c r="I135" s="48">
        <f>VLOOKUP($A135,observed!$C$2:$K$139,9,FALSE)</f>
        <v>0</v>
      </c>
      <c r="J135" s="48">
        <f>SUM(E135:I135)</f>
        <v>133</v>
      </c>
      <c r="K135" s="59">
        <f>IFERROR(VLOOKUP($A135&amp;"-"&amp;TEXT($B135+19,0),md[[routeC]:[boarding_EV]],4,FALSE),"")</f>
        <v>0</v>
      </c>
      <c r="L135" s="59">
        <f>IFERROR(VLOOKUP($A135&amp;"-"&amp;TEXT($B135+19,0),md[[routeC]:[boarding_EV]],5,FALSE),"")</f>
        <v>0</v>
      </c>
      <c r="M135" s="59">
        <f>IFERROR(VLOOKUP($A135&amp;"-"&amp;TEXT($B135+19,0),md[[routeC]:[boarding_EV]],6,FALSE),"")</f>
        <v>0</v>
      </c>
      <c r="N135" s="59">
        <f>IFERROR(VLOOKUP($A135&amp;"-"&amp;TEXT($B135+19,0),md[[routeC]:[boarding_EV]],7,FALSE),"")</f>
        <v>0</v>
      </c>
      <c r="O135" s="59">
        <f>IFERROR(VLOOKUP($A135&amp;"-"&amp;TEXT($B135+19,0),md[[routeC]:[boarding_EV]],8,FALSE),"")</f>
        <v>0</v>
      </c>
      <c r="P135" s="59">
        <f>SUM(K135:O135)</f>
        <v>0</v>
      </c>
      <c r="Q135" s="288">
        <f t="shared" si="16"/>
        <v>-1</v>
      </c>
      <c r="R135" s="287">
        <f t="shared" si="17"/>
        <v>17689</v>
      </c>
    </row>
    <row r="136" spans="1:18" x14ac:dyDescent="0.3">
      <c r="A136" s="47">
        <v>973</v>
      </c>
      <c r="B136" s="47">
        <v>10</v>
      </c>
      <c r="C136" s="47" t="s">
        <v>0</v>
      </c>
      <c r="D136" s="47">
        <v>5</v>
      </c>
      <c r="E136" s="48">
        <f>VLOOKUP($A136,observed!$C$2:$K$139,5,FALSE)</f>
        <v>0</v>
      </c>
      <c r="F136" s="48">
        <f>VLOOKUP($A136,observed!$C$2:$K$139,6,FALSE)</f>
        <v>58</v>
      </c>
      <c r="G136" s="48">
        <f>VLOOKUP($A136,observed!$C$2:$K$139,7,FALSE)</f>
        <v>0</v>
      </c>
      <c r="H136" s="48">
        <f>VLOOKUP($A136,observed!$C$2:$K$139,8,FALSE)</f>
        <v>55</v>
      </c>
      <c r="I136" s="48">
        <f>VLOOKUP($A136,observed!$C$2:$K$139,9,FALSE)</f>
        <v>0</v>
      </c>
      <c r="J136" s="48">
        <f>SUM(E136:I136)</f>
        <v>113</v>
      </c>
      <c r="K136" s="59">
        <f>IFERROR(VLOOKUP($A136&amp;"-"&amp;TEXT($B136+19,0),md[[routeC]:[boarding_EV]],4,FALSE),"")</f>
        <v>0</v>
      </c>
      <c r="L136" s="59">
        <f>IFERROR(VLOOKUP($A136&amp;"-"&amp;TEXT($B136+19,0),md[[routeC]:[boarding_EV]],5,FALSE),"")</f>
        <v>0</v>
      </c>
      <c r="M136" s="59">
        <f>IFERROR(VLOOKUP($A136&amp;"-"&amp;TEXT($B136+19,0),md[[routeC]:[boarding_EV]],6,FALSE),"")</f>
        <v>0</v>
      </c>
      <c r="N136" s="59">
        <f>IFERROR(VLOOKUP($A136&amp;"-"&amp;TEXT($B136+19,0),md[[routeC]:[boarding_EV]],7,FALSE),"")</f>
        <v>0</v>
      </c>
      <c r="O136" s="59">
        <f>IFERROR(VLOOKUP($A136&amp;"-"&amp;TEXT($B136+19,0),md[[routeC]:[boarding_EV]],8,FALSE),"")</f>
        <v>0</v>
      </c>
      <c r="P136" s="59">
        <f>SUM(K136:O136)</f>
        <v>0</v>
      </c>
      <c r="Q136" s="288">
        <f t="shared" si="16"/>
        <v>-1</v>
      </c>
      <c r="R136" s="287">
        <f t="shared" si="17"/>
        <v>12769</v>
      </c>
    </row>
    <row r="137" spans="1:18" x14ac:dyDescent="0.3">
      <c r="A137" s="47">
        <v>978</v>
      </c>
      <c r="B137" s="47">
        <v>10</v>
      </c>
      <c r="C137" s="47" t="s">
        <v>0</v>
      </c>
      <c r="D137" s="47">
        <v>5</v>
      </c>
      <c r="E137" s="48">
        <f>VLOOKUP($A137,observed!$C$2:$K$139,5,FALSE)</f>
        <v>0</v>
      </c>
      <c r="F137" s="48">
        <f>VLOOKUP($A137,observed!$C$2:$K$139,6,FALSE)</f>
        <v>54</v>
      </c>
      <c r="G137" s="48">
        <f>VLOOKUP($A137,observed!$C$2:$K$139,7,FALSE)</f>
        <v>0</v>
      </c>
      <c r="H137" s="48">
        <f>VLOOKUP($A137,observed!$C$2:$K$139,8,FALSE)</f>
        <v>38</v>
      </c>
      <c r="I137" s="48">
        <f>VLOOKUP($A137,observed!$C$2:$K$139,9,FALSE)</f>
        <v>0</v>
      </c>
      <c r="J137" s="48">
        <f>SUM(E137:I137)</f>
        <v>92</v>
      </c>
      <c r="K137" s="59">
        <f>IFERROR(VLOOKUP($A137&amp;"-"&amp;TEXT($B137+19,0),md[[routeC]:[boarding_EV]],4,FALSE),"")</f>
        <v>0</v>
      </c>
      <c r="L137" s="59">
        <f>IFERROR(VLOOKUP($A137&amp;"-"&amp;TEXT($B137+19,0),md[[routeC]:[boarding_EV]],5,FALSE),"")</f>
        <v>0</v>
      </c>
      <c r="M137" s="59">
        <f>IFERROR(VLOOKUP($A137&amp;"-"&amp;TEXT($B137+19,0),md[[routeC]:[boarding_EV]],6,FALSE),"")</f>
        <v>0</v>
      </c>
      <c r="N137" s="59">
        <f>IFERROR(VLOOKUP($A137&amp;"-"&amp;TEXT($B137+19,0),md[[routeC]:[boarding_EV]],7,FALSE),"")</f>
        <v>0</v>
      </c>
      <c r="O137" s="59">
        <f>IFERROR(VLOOKUP($A137&amp;"-"&amp;TEXT($B137+19,0),md[[routeC]:[boarding_EV]],8,FALSE),"")</f>
        <v>0</v>
      </c>
      <c r="P137" s="59">
        <f>SUM(K137:O137)</f>
        <v>0</v>
      </c>
      <c r="Q137" s="288">
        <f t="shared" si="16"/>
        <v>-1</v>
      </c>
      <c r="R137" s="287">
        <f t="shared" si="17"/>
        <v>8464</v>
      </c>
    </row>
    <row r="138" spans="1:18" x14ac:dyDescent="0.3">
      <c r="A138" s="47">
        <v>979</v>
      </c>
      <c r="B138" s="47">
        <v>10</v>
      </c>
      <c r="C138" s="47" t="s">
        <v>0</v>
      </c>
      <c r="D138" s="47">
        <v>5</v>
      </c>
      <c r="E138" s="48">
        <f>VLOOKUP($A138,observed!$C$2:$K$139,5,FALSE)</f>
        <v>0</v>
      </c>
      <c r="F138" s="48">
        <f>VLOOKUP($A138,observed!$C$2:$K$139,6,FALSE)</f>
        <v>47</v>
      </c>
      <c r="G138" s="48">
        <f>VLOOKUP($A138,observed!$C$2:$K$139,7,FALSE)</f>
        <v>0</v>
      </c>
      <c r="H138" s="48">
        <f>VLOOKUP($A138,observed!$C$2:$K$139,8,FALSE)</f>
        <v>57</v>
      </c>
      <c r="I138" s="48">
        <f>VLOOKUP($A138,observed!$C$2:$K$139,9,FALSE)</f>
        <v>0</v>
      </c>
      <c r="J138" s="48">
        <f t="shared" ref="J138:J139" si="18">SUM(E138:I138)</f>
        <v>104</v>
      </c>
      <c r="K138" s="59">
        <f>IFERROR(VLOOKUP($A138&amp;"-"&amp;TEXT($B138+19,0),md[[routeC]:[boarding_EV]],4,FALSE),"")</f>
        <v>0</v>
      </c>
      <c r="L138" s="59">
        <f>IFERROR(VLOOKUP($A138&amp;"-"&amp;TEXT($B138+19,0),md[[routeC]:[boarding_EV]],5,FALSE),"")</f>
        <v>0</v>
      </c>
      <c r="M138" s="59">
        <f>IFERROR(VLOOKUP($A138&amp;"-"&amp;TEXT($B138+19,0),md[[routeC]:[boarding_EV]],6,FALSE),"")</f>
        <v>0</v>
      </c>
      <c r="N138" s="59">
        <f>IFERROR(VLOOKUP($A138&amp;"-"&amp;TEXT($B138+19,0),md[[routeC]:[boarding_EV]],7,FALSE),"")</f>
        <v>0</v>
      </c>
      <c r="O138" s="59">
        <f>IFERROR(VLOOKUP($A138&amp;"-"&amp;TEXT($B138+19,0),md[[routeC]:[boarding_EV]],8,FALSE),"")</f>
        <v>0</v>
      </c>
      <c r="P138" s="59">
        <f t="shared" ref="P138:P139" si="19">SUM(K138:O138)</f>
        <v>0</v>
      </c>
      <c r="Q138" s="288">
        <f t="shared" ref="Q138:Q139" si="20">P138/J138-1</f>
        <v>-1</v>
      </c>
      <c r="R138" s="287">
        <f t="shared" ref="R138:R139" si="21">POWER((P138-J138),2)</f>
        <v>10816</v>
      </c>
    </row>
    <row r="139" spans="1:18" x14ac:dyDescent="0.3">
      <c r="A139" s="47">
        <v>992</v>
      </c>
      <c r="B139" s="47">
        <v>10</v>
      </c>
      <c r="C139" s="47" t="s">
        <v>0</v>
      </c>
      <c r="D139" s="47">
        <v>5</v>
      </c>
      <c r="E139" s="48">
        <f>VLOOKUP($A139,observed!$C$2:$K$139,5,FALSE)</f>
        <v>41.745000000000005</v>
      </c>
      <c r="F139" s="48">
        <f>VLOOKUP($A139,observed!$C$2:$K$139,6,FALSE)</f>
        <v>115.21840425531917</v>
      </c>
      <c r="G139" s="48">
        <f>VLOOKUP($A139,observed!$C$2:$K$139,7,FALSE)</f>
        <v>399.80659574468041</v>
      </c>
      <c r="H139" s="48">
        <f>VLOOKUP($A139,observed!$C$2:$K$139,8,FALSE)</f>
        <v>164.05200000000059</v>
      </c>
      <c r="I139" s="48">
        <f>VLOOKUP($A139,observed!$C$2:$K$139,9,FALSE)</f>
        <v>164.83799999999988</v>
      </c>
      <c r="J139" s="48">
        <f t="shared" si="18"/>
        <v>885.66</v>
      </c>
      <c r="K139" s="59">
        <f>IFERROR(VLOOKUP($A139&amp;"-"&amp;TEXT($B139+19,0),md[[routeC]:[boarding_EV]],4,FALSE),"")</f>
        <v>0</v>
      </c>
      <c r="L139" s="59">
        <f>IFERROR(VLOOKUP($A139&amp;"-"&amp;TEXT($B139+19,0),md[[routeC]:[boarding_EV]],5,FALSE),"")</f>
        <v>0</v>
      </c>
      <c r="M139" s="59">
        <f>IFERROR(VLOOKUP($A139&amp;"-"&amp;TEXT($B139+19,0),md[[routeC]:[boarding_EV]],6,FALSE),"")</f>
        <v>0</v>
      </c>
      <c r="N139" s="59">
        <f>IFERROR(VLOOKUP($A139&amp;"-"&amp;TEXT($B139+19,0),md[[routeC]:[boarding_EV]],7,FALSE),"")</f>
        <v>0</v>
      </c>
      <c r="O139" s="59">
        <f>IFERROR(VLOOKUP($A139&amp;"-"&amp;TEXT($B139+19,0),md[[routeC]:[boarding_EV]],8,FALSE),"")</f>
        <v>0</v>
      </c>
      <c r="P139" s="59">
        <f t="shared" si="19"/>
        <v>0</v>
      </c>
      <c r="Q139" s="288">
        <f t="shared" si="20"/>
        <v>-1</v>
      </c>
      <c r="R139" s="287">
        <f t="shared" si="21"/>
        <v>784393.63559999992</v>
      </c>
    </row>
  </sheetData>
  <conditionalFormatting sqref="J1:J1048576">
    <cfRule type="cellIs" dxfId="2" priority="1" operator="lessThan">
      <formula>70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B1:P31"/>
  <sheetViews>
    <sheetView showGridLines="0" topLeftCell="A10" workbookViewId="0">
      <selection activeCell="M36" sqref="M36"/>
    </sheetView>
  </sheetViews>
  <sheetFormatPr defaultRowHeight="14.4" x14ac:dyDescent="0.3"/>
  <cols>
    <col min="2" max="3" width="9.109375" hidden="1" customWidth="1"/>
    <col min="4" max="4" width="14.109375" bestFit="1" customWidth="1"/>
    <col min="5" max="5" width="12.6640625" customWidth="1"/>
    <col min="6" max="8" width="11.88671875" customWidth="1"/>
    <col min="9" max="9" width="11.88671875" style="5" customWidth="1"/>
    <col min="10" max="10" width="11.88671875" customWidth="1"/>
    <col min="11" max="11" width="12.6640625" customWidth="1"/>
    <col min="12" max="14" width="11.88671875" customWidth="1"/>
    <col min="15" max="15" width="11.88671875" style="5" customWidth="1"/>
    <col min="16" max="16" width="11.88671875" customWidth="1"/>
  </cols>
  <sheetData>
    <row r="1" spans="2:16" ht="15" thickBot="1" x14ac:dyDescent="0.35">
      <c r="B1" s="128"/>
      <c r="C1" s="128"/>
      <c r="D1" s="5"/>
      <c r="E1" s="5"/>
      <c r="F1" s="5"/>
      <c r="G1" s="5"/>
      <c r="H1" s="5"/>
      <c r="J1" s="5"/>
      <c r="K1" s="5"/>
      <c r="L1" s="5"/>
      <c r="M1" s="5"/>
      <c r="N1" s="5"/>
      <c r="P1" s="5"/>
    </row>
    <row r="2" spans="2:16" x14ac:dyDescent="0.3">
      <c r="B2" s="128"/>
      <c r="C2" s="128"/>
      <c r="D2" s="391" t="s">
        <v>52</v>
      </c>
      <c r="E2" s="394" t="s">
        <v>83</v>
      </c>
      <c r="F2" s="395"/>
      <c r="G2" s="395"/>
      <c r="H2" s="395"/>
      <c r="I2" s="395"/>
      <c r="J2" s="395"/>
      <c r="K2" s="396" t="s">
        <v>53</v>
      </c>
      <c r="L2" s="395"/>
      <c r="M2" s="395"/>
      <c r="N2" s="395"/>
      <c r="O2" s="395"/>
      <c r="P2" s="397"/>
    </row>
    <row r="3" spans="2:16" x14ac:dyDescent="0.3">
      <c r="B3" s="128"/>
      <c r="C3" s="128"/>
      <c r="D3" s="392"/>
      <c r="E3" s="398" t="s">
        <v>84</v>
      </c>
      <c r="F3" s="399"/>
      <c r="G3" s="399"/>
      <c r="H3" s="399"/>
      <c r="I3" s="399"/>
      <c r="J3" s="399"/>
      <c r="K3" s="400" t="s">
        <v>84</v>
      </c>
      <c r="L3" s="399"/>
      <c r="M3" s="399"/>
      <c r="N3" s="399"/>
      <c r="O3" s="399"/>
      <c r="P3" s="401"/>
    </row>
    <row r="4" spans="2:16" x14ac:dyDescent="0.3">
      <c r="B4" s="128"/>
      <c r="C4" s="128"/>
      <c r="D4" s="392"/>
      <c r="E4" s="223" t="s">
        <v>12</v>
      </c>
      <c r="F4" s="223" t="s">
        <v>13</v>
      </c>
      <c r="G4" s="223" t="s">
        <v>9</v>
      </c>
      <c r="H4" s="223" t="s">
        <v>47</v>
      </c>
      <c r="I4" s="223" t="s">
        <v>0</v>
      </c>
      <c r="J4" s="216" t="s">
        <v>54</v>
      </c>
      <c r="K4" s="227" t="s">
        <v>12</v>
      </c>
      <c r="L4" s="223" t="s">
        <v>13</v>
      </c>
      <c r="M4" s="223" t="s">
        <v>9</v>
      </c>
      <c r="N4" s="223" t="s">
        <v>47</v>
      </c>
      <c r="O4" s="223" t="s">
        <v>0</v>
      </c>
      <c r="P4" s="217" t="s">
        <v>54</v>
      </c>
    </row>
    <row r="5" spans="2:16" x14ac:dyDescent="0.3">
      <c r="B5" s="128"/>
      <c r="C5" s="128"/>
      <c r="D5" s="393"/>
      <c r="E5" s="218">
        <v>1</v>
      </c>
      <c r="F5" s="219">
        <v>2</v>
      </c>
      <c r="G5" s="219">
        <v>3</v>
      </c>
      <c r="H5" s="219">
        <v>4</v>
      </c>
      <c r="I5" s="220">
        <v>5</v>
      </c>
      <c r="J5" s="220"/>
      <c r="K5" s="221">
        <v>1</v>
      </c>
      <c r="L5" s="219">
        <v>2</v>
      </c>
      <c r="M5" s="219">
        <v>3</v>
      </c>
      <c r="N5" s="219">
        <v>4</v>
      </c>
      <c r="O5" s="220">
        <v>5</v>
      </c>
      <c r="P5" s="222"/>
    </row>
    <row r="6" spans="2:16" x14ac:dyDescent="0.3">
      <c r="B6" s="129">
        <v>1</v>
      </c>
      <c r="C6" s="129">
        <f>MAX(bd!$Q$2:$Q$139)</f>
        <v>-1</v>
      </c>
      <c r="D6" s="130" t="s">
        <v>55</v>
      </c>
      <c r="E6" s="131">
        <f>COUNTIFS(bd!$D$2:$D$139,E$5,bd!$Q$2:$Q$139,"&gt;"&amp;$B6,bd!$Q$2:$Q$139,"&lt;="&amp;$C6)</f>
        <v>0</v>
      </c>
      <c r="F6" s="131">
        <f>COUNTIFS(bd!$D$2:$D$139,F$5,bd!$Q$2:$Q$139,"&gt;"&amp;$B6,bd!$Q$2:$Q$139,"&lt;="&amp;$C6)</f>
        <v>0</v>
      </c>
      <c r="G6" s="131">
        <f>COUNTIFS(bd!$D$2:$D$139,G$5,bd!$Q$2:$Q$139,"&gt;"&amp;$B6,bd!$Q$2:$Q$139,"&lt;="&amp;$C6)</f>
        <v>0</v>
      </c>
      <c r="H6" s="131">
        <f>COUNTIFS(bd!$D$2:$D$139,H$5,bd!$Q$2:$Q$139,"&gt;"&amp;$B6,bd!$Q$2:$Q$139,"&lt;="&amp;$C6)</f>
        <v>0</v>
      </c>
      <c r="I6" s="208">
        <f>COUNTIFS(bd!$D$2:$D$139,I$5,bd!$Q$2:$Q$139,"&gt;"&amp;$B6,bd!$Q$2:$Q$139,"&lt;="&amp;$C6)</f>
        <v>0</v>
      </c>
      <c r="J6" s="132">
        <f>SUM(E6:I6)</f>
        <v>0</v>
      </c>
      <c r="K6" s="133">
        <f>E6/E$23</f>
        <v>0</v>
      </c>
      <c r="L6" s="134">
        <f t="shared" ref="L6:L16" si="0">F6/F$23</f>
        <v>0</v>
      </c>
      <c r="M6" s="134">
        <f t="shared" ref="M6:M16" si="1">G6/G$23</f>
        <v>0</v>
      </c>
      <c r="N6" s="134">
        <f t="shared" ref="N6:N16" si="2">H6/H$23</f>
        <v>0</v>
      </c>
      <c r="O6" s="210">
        <f>I6/I$23</f>
        <v>0</v>
      </c>
      <c r="P6" s="135">
        <f>J6/J$23</f>
        <v>0</v>
      </c>
    </row>
    <row r="7" spans="2:16" x14ac:dyDescent="0.3">
      <c r="B7" s="129">
        <v>0.5</v>
      </c>
      <c r="C7" s="129">
        <v>1</v>
      </c>
      <c r="D7" s="130" t="s">
        <v>56</v>
      </c>
      <c r="E7" s="136">
        <f>COUNTIFS(bd!$D$2:$D$139,E$5,bd!$Q$2:$Q$139,"&gt;"&amp;$B7,bd!$Q$2:$Q$139,"&lt;="&amp;$C7)</f>
        <v>0</v>
      </c>
      <c r="F7" s="136">
        <f>COUNTIFS(bd!$D$2:$D$139,F$5,bd!$Q$2:$Q$139,"&gt;"&amp;$B7,bd!$Q$2:$Q$139,"&lt;="&amp;$C7)</f>
        <v>0</v>
      </c>
      <c r="G7" s="136">
        <f>COUNTIFS(bd!$D$2:$D$139,G$5,bd!$Q$2:$Q$139,"&gt;"&amp;$B7,bd!$Q$2:$Q$139,"&lt;="&amp;$C7)</f>
        <v>0</v>
      </c>
      <c r="H7" s="136">
        <f>COUNTIFS(bd!$D$2:$D$139,H$5,bd!$Q$2:$Q$139,"&gt;"&amp;$B7,bd!$Q$2:$Q$139,"&lt;="&amp;$C7)</f>
        <v>0</v>
      </c>
      <c r="I7" s="208">
        <f>COUNTIFS(bd!$D$2:$D$139,I$5,bd!$Q$2:$Q$139,"&gt;"&amp;$B7,bd!$Q$2:$Q$139,"&lt;="&amp;$C7)</f>
        <v>0</v>
      </c>
      <c r="J7" s="132">
        <f t="shared" ref="J7:J19" si="3">SUM(E7:I7)</f>
        <v>0</v>
      </c>
      <c r="K7" s="137">
        <f t="shared" ref="K7:K15" si="4">E7/E$23</f>
        <v>0</v>
      </c>
      <c r="L7" s="138">
        <f t="shared" si="0"/>
        <v>0</v>
      </c>
      <c r="M7" s="138">
        <f t="shared" si="1"/>
        <v>0</v>
      </c>
      <c r="N7" s="138">
        <f t="shared" si="2"/>
        <v>0</v>
      </c>
      <c r="O7" s="210">
        <f t="shared" ref="O7:P16" si="5">I7/I$23</f>
        <v>0</v>
      </c>
      <c r="P7" s="135">
        <f t="shared" si="5"/>
        <v>0</v>
      </c>
    </row>
    <row r="8" spans="2:16" x14ac:dyDescent="0.3">
      <c r="B8" s="129">
        <v>0.30000000000000004</v>
      </c>
      <c r="C8" s="129">
        <v>0.5</v>
      </c>
      <c r="D8" s="130" t="s">
        <v>57</v>
      </c>
      <c r="E8" s="136">
        <f>COUNTIFS(bd!$D$2:$D$139,E$5,bd!$Q$2:$Q$139,"&gt;"&amp;$B8,bd!$Q$2:$Q$139,"&lt;="&amp;$C8)</f>
        <v>0</v>
      </c>
      <c r="F8" s="136">
        <f>COUNTIFS(bd!$D$2:$D$139,F$5,bd!$Q$2:$Q$139,"&gt;"&amp;$B8,bd!$Q$2:$Q$139,"&lt;="&amp;$C8)</f>
        <v>0</v>
      </c>
      <c r="G8" s="136">
        <f>COUNTIFS(bd!$D$2:$D$139,G$5,bd!$Q$2:$Q$139,"&gt;"&amp;$B8,bd!$Q$2:$Q$139,"&lt;="&amp;$C8)</f>
        <v>0</v>
      </c>
      <c r="H8" s="136">
        <f>COUNTIFS(bd!$D$2:$D$139,H$5,bd!$Q$2:$Q$139,"&gt;"&amp;$B8,bd!$Q$2:$Q$139,"&lt;="&amp;$C8)</f>
        <v>0</v>
      </c>
      <c r="I8" s="208">
        <f>COUNTIFS(bd!$D$2:$D$139,I$5,bd!$Q$2:$Q$139,"&gt;"&amp;$B8,bd!$Q$2:$Q$139,"&lt;="&amp;$C8)</f>
        <v>0</v>
      </c>
      <c r="J8" s="132">
        <f t="shared" si="3"/>
        <v>0</v>
      </c>
      <c r="K8" s="137">
        <f t="shared" si="4"/>
        <v>0</v>
      </c>
      <c r="L8" s="138">
        <f t="shared" si="0"/>
        <v>0</v>
      </c>
      <c r="M8" s="138">
        <f t="shared" si="1"/>
        <v>0</v>
      </c>
      <c r="N8" s="138">
        <f t="shared" si="2"/>
        <v>0</v>
      </c>
      <c r="O8" s="210">
        <f t="shared" si="5"/>
        <v>0</v>
      </c>
      <c r="P8" s="135">
        <f t="shared" si="5"/>
        <v>0</v>
      </c>
    </row>
    <row r="9" spans="2:16" x14ac:dyDescent="0.3">
      <c r="B9" s="129">
        <v>0.2</v>
      </c>
      <c r="C9" s="129">
        <v>0.30000000000000004</v>
      </c>
      <c r="D9" s="139" t="s">
        <v>58</v>
      </c>
      <c r="E9" s="140">
        <f>COUNTIFS(bd!$D$2:$D$139,E$5,bd!$Q$2:$Q$139,"&gt;"&amp;$B9,bd!$Q$2:$Q$139,"&lt;="&amp;$C9)</f>
        <v>0</v>
      </c>
      <c r="F9" s="140">
        <f>COUNTIFS(bd!$D$2:$D$139,F$5,bd!$Q$2:$Q$139,"&gt;"&amp;$B9,bd!$Q$2:$Q$139,"&lt;="&amp;$C9)</f>
        <v>0</v>
      </c>
      <c r="G9" s="140">
        <f>COUNTIFS(bd!$D$2:$D$139,G$5,bd!$Q$2:$Q$139,"&gt;"&amp;$B9,bd!$Q$2:$Q$139,"&lt;="&amp;$C9)</f>
        <v>0</v>
      </c>
      <c r="H9" s="140">
        <f>COUNTIFS(bd!$D$2:$D$139,H$5,bd!$Q$2:$Q$139,"&gt;"&amp;$B9,bd!$Q$2:$Q$139,"&lt;="&amp;$C9)</f>
        <v>0</v>
      </c>
      <c r="I9" s="141">
        <f>COUNTIFS(bd!$D$2:$D$139,I$5,bd!$Q$2:$Q$139,"&gt;"&amp;$B9,bd!$Q$2:$Q$139,"&lt;="&amp;$C9)</f>
        <v>0</v>
      </c>
      <c r="J9" s="141">
        <f t="shared" si="3"/>
        <v>0</v>
      </c>
      <c r="K9" s="142">
        <f t="shared" si="4"/>
        <v>0</v>
      </c>
      <c r="L9" s="143">
        <f t="shared" si="0"/>
        <v>0</v>
      </c>
      <c r="M9" s="143">
        <f t="shared" si="1"/>
        <v>0</v>
      </c>
      <c r="N9" s="143">
        <f t="shared" si="2"/>
        <v>0</v>
      </c>
      <c r="O9" s="211">
        <f t="shared" si="5"/>
        <v>0</v>
      </c>
      <c r="P9" s="144">
        <f t="shared" si="5"/>
        <v>0</v>
      </c>
    </row>
    <row r="10" spans="2:16" x14ac:dyDescent="0.3">
      <c r="B10" s="129">
        <v>0.1</v>
      </c>
      <c r="C10" s="129">
        <v>0.2</v>
      </c>
      <c r="D10" s="139" t="s">
        <v>59</v>
      </c>
      <c r="E10" s="140">
        <f>COUNTIFS(bd!$D$2:$D$139,E$5,bd!$Q$2:$Q$139,"&gt;"&amp;$B10,bd!$Q$2:$Q$139,"&lt;="&amp;$C10)</f>
        <v>0</v>
      </c>
      <c r="F10" s="140">
        <f>COUNTIFS(bd!$D$2:$D$139,F$5,bd!$Q$2:$Q$139,"&gt;"&amp;$B10,bd!$Q$2:$Q$139,"&lt;="&amp;$C10)</f>
        <v>0</v>
      </c>
      <c r="G10" s="140">
        <f>COUNTIFS(bd!$D$2:$D$139,G$5,bd!$Q$2:$Q$139,"&gt;"&amp;$B10,bd!$Q$2:$Q$139,"&lt;="&amp;$C10)</f>
        <v>0</v>
      </c>
      <c r="H10" s="140">
        <f>COUNTIFS(bd!$D$2:$D$139,H$5,bd!$Q$2:$Q$139,"&gt;"&amp;$B10,bd!$Q$2:$Q$139,"&lt;="&amp;$C10)</f>
        <v>0</v>
      </c>
      <c r="I10" s="141">
        <f>COUNTIFS(bd!$D$2:$D$139,I$5,bd!$Q$2:$Q$139,"&gt;"&amp;$B10,bd!$Q$2:$Q$139,"&lt;="&amp;$C10)</f>
        <v>0</v>
      </c>
      <c r="J10" s="141">
        <f t="shared" si="3"/>
        <v>0</v>
      </c>
      <c r="K10" s="142">
        <f t="shared" si="4"/>
        <v>0</v>
      </c>
      <c r="L10" s="143">
        <f t="shared" si="0"/>
        <v>0</v>
      </c>
      <c r="M10" s="143">
        <f t="shared" si="1"/>
        <v>0</v>
      </c>
      <c r="N10" s="143">
        <f t="shared" si="2"/>
        <v>0</v>
      </c>
      <c r="O10" s="211">
        <f t="shared" si="5"/>
        <v>0</v>
      </c>
      <c r="P10" s="144">
        <f t="shared" si="5"/>
        <v>0</v>
      </c>
    </row>
    <row r="11" spans="2:16" x14ac:dyDescent="0.3">
      <c r="B11" s="129">
        <v>0</v>
      </c>
      <c r="C11" s="129">
        <v>0.1</v>
      </c>
      <c r="D11" s="139" t="s">
        <v>60</v>
      </c>
      <c r="E11" s="140">
        <f>COUNTIFS(bd!$D$2:$D$139,E$5,bd!$Q$2:$Q$139,"&gt;"&amp;$B11,bd!$Q$2:$Q$139,"&lt;="&amp;$C11)</f>
        <v>0</v>
      </c>
      <c r="F11" s="140">
        <f>COUNTIFS(bd!$D$2:$D$139,F$5,bd!$Q$2:$Q$139,"&gt;"&amp;$B11,bd!$Q$2:$Q$139,"&lt;="&amp;$C11)</f>
        <v>0</v>
      </c>
      <c r="G11" s="140">
        <f>COUNTIFS(bd!$D$2:$D$139,G$5,bd!$Q$2:$Q$139,"&gt;"&amp;$B11,bd!$Q$2:$Q$139,"&lt;="&amp;$C11)</f>
        <v>0</v>
      </c>
      <c r="H11" s="140">
        <f>COUNTIFS(bd!$D$2:$D$139,H$5,bd!$Q$2:$Q$139,"&gt;"&amp;$B11,bd!$Q$2:$Q$139,"&lt;="&amp;$C11)</f>
        <v>0</v>
      </c>
      <c r="I11" s="141">
        <f>COUNTIFS(bd!$D$2:$D$139,I$5,bd!$Q$2:$Q$139,"&gt;"&amp;$B11,bd!$Q$2:$Q$139,"&lt;="&amp;$C11)</f>
        <v>0</v>
      </c>
      <c r="J11" s="141">
        <f t="shared" si="3"/>
        <v>0</v>
      </c>
      <c r="K11" s="142">
        <f t="shared" si="4"/>
        <v>0</v>
      </c>
      <c r="L11" s="143">
        <f t="shared" si="0"/>
        <v>0</v>
      </c>
      <c r="M11" s="143">
        <f t="shared" si="1"/>
        <v>0</v>
      </c>
      <c r="N11" s="143">
        <f t="shared" si="2"/>
        <v>0</v>
      </c>
      <c r="O11" s="211">
        <f t="shared" si="5"/>
        <v>0</v>
      </c>
      <c r="P11" s="144">
        <f t="shared" si="5"/>
        <v>0</v>
      </c>
    </row>
    <row r="12" spans="2:16" x14ac:dyDescent="0.3">
      <c r="B12" s="129">
        <v>-0.1</v>
      </c>
      <c r="C12" s="129">
        <v>0</v>
      </c>
      <c r="D12" s="145" t="s">
        <v>61</v>
      </c>
      <c r="E12" s="146">
        <f>COUNTIFS(bd!$D$2:$D$139,E$5,bd!$Q$2:$Q$139,"&gt;"&amp;$B12,bd!$Q$2:$Q$139,"&lt;="&amp;$C12)</f>
        <v>0</v>
      </c>
      <c r="F12" s="146">
        <f>COUNTIFS(bd!$D$2:$D$139,F$5,bd!$Q$2:$Q$139,"&gt;"&amp;$B12,bd!$Q$2:$Q$139,"&lt;="&amp;$C12)</f>
        <v>0</v>
      </c>
      <c r="G12" s="146">
        <f>COUNTIFS(bd!$D$2:$D$139,G$5,bd!$Q$2:$Q$139,"&gt;"&amp;$B12,bd!$Q$2:$Q$139,"&lt;="&amp;$C12)</f>
        <v>0</v>
      </c>
      <c r="H12" s="146">
        <f>COUNTIFS(bd!$D$2:$D$139,H$5,bd!$Q$2:$Q$139,"&gt;"&amp;$B12,bd!$Q$2:$Q$139,"&lt;="&amp;$C12)</f>
        <v>0</v>
      </c>
      <c r="I12" s="147">
        <f>COUNTIFS(bd!$D$2:$D$139,I$5,bd!$Q$2:$Q$139,"&gt;"&amp;$B12,bd!$Q$2:$Q$139,"&lt;="&amp;$C12)</f>
        <v>0</v>
      </c>
      <c r="J12" s="147">
        <f t="shared" si="3"/>
        <v>0</v>
      </c>
      <c r="K12" s="148">
        <f t="shared" si="4"/>
        <v>0</v>
      </c>
      <c r="L12" s="149">
        <f t="shared" si="0"/>
        <v>0</v>
      </c>
      <c r="M12" s="149">
        <f t="shared" si="1"/>
        <v>0</v>
      </c>
      <c r="N12" s="149">
        <f t="shared" si="2"/>
        <v>0</v>
      </c>
      <c r="O12" s="212">
        <f t="shared" si="5"/>
        <v>0</v>
      </c>
      <c r="P12" s="150">
        <f t="shared" si="5"/>
        <v>0</v>
      </c>
    </row>
    <row r="13" spans="2:16" x14ac:dyDescent="0.3">
      <c r="B13" s="129">
        <v>-0.2</v>
      </c>
      <c r="C13" s="129">
        <v>-0.1</v>
      </c>
      <c r="D13" s="151" t="s">
        <v>62</v>
      </c>
      <c r="E13" s="152">
        <f>COUNTIFS(bd!$D$2:$D$139,E$5,bd!$Q$2:$Q$139,"&gt;"&amp;$B13,bd!$Q$2:$Q$139,"&lt;="&amp;$C13)</f>
        <v>0</v>
      </c>
      <c r="F13" s="152">
        <f>COUNTIFS(bd!$D$2:$D$139,F$5,bd!$Q$2:$Q$139,"&gt;"&amp;$B13,bd!$Q$2:$Q$139,"&lt;="&amp;$C13)</f>
        <v>0</v>
      </c>
      <c r="G13" s="152">
        <f>COUNTIFS(bd!$D$2:$D$139,G$5,bd!$Q$2:$Q$139,"&gt;"&amp;$B13,bd!$Q$2:$Q$139,"&lt;="&amp;$C13)</f>
        <v>0</v>
      </c>
      <c r="H13" s="152">
        <f>COUNTIFS(bd!$D$2:$D$139,H$5,bd!$Q$2:$Q$139,"&gt;"&amp;$B13,bd!$Q$2:$Q$139,"&lt;="&amp;$C13)</f>
        <v>0</v>
      </c>
      <c r="I13" s="153">
        <f>COUNTIFS(bd!$D$2:$D$139,I$5,bd!$Q$2:$Q$139,"&gt;"&amp;$B13,bd!$Q$2:$Q$139,"&lt;="&amp;$C13)</f>
        <v>0</v>
      </c>
      <c r="J13" s="153">
        <f t="shared" si="3"/>
        <v>0</v>
      </c>
      <c r="K13" s="154">
        <f t="shared" si="4"/>
        <v>0</v>
      </c>
      <c r="L13" s="155">
        <f t="shared" si="0"/>
        <v>0</v>
      </c>
      <c r="M13" s="155">
        <f t="shared" si="1"/>
        <v>0</v>
      </c>
      <c r="N13" s="155">
        <f t="shared" si="2"/>
        <v>0</v>
      </c>
      <c r="O13" s="213">
        <f t="shared" si="5"/>
        <v>0</v>
      </c>
      <c r="P13" s="156">
        <f t="shared" si="5"/>
        <v>0</v>
      </c>
    </row>
    <row r="14" spans="2:16" x14ac:dyDescent="0.3">
      <c r="B14" s="129">
        <v>-0.30000000000000004</v>
      </c>
      <c r="C14" s="129">
        <v>-0.2</v>
      </c>
      <c r="D14" s="151" t="s">
        <v>63</v>
      </c>
      <c r="E14" s="152">
        <f>COUNTIFS(bd!$D$2:$D$139,E$5,bd!$Q$2:$Q$139,"&gt;"&amp;$B14,bd!$Q$2:$Q$139,"&lt;="&amp;$C14)</f>
        <v>0</v>
      </c>
      <c r="F14" s="152">
        <f>COUNTIFS(bd!$D$2:$D$139,F$5,bd!$Q$2:$Q$139,"&gt;"&amp;$B14,bd!$Q$2:$Q$139,"&lt;="&amp;$C14)</f>
        <v>0</v>
      </c>
      <c r="G14" s="152">
        <f>COUNTIFS(bd!$D$2:$D$139,G$5,bd!$Q$2:$Q$139,"&gt;"&amp;$B14,bd!$Q$2:$Q$139,"&lt;="&amp;$C14)</f>
        <v>0</v>
      </c>
      <c r="H14" s="152">
        <f>COUNTIFS(bd!$D$2:$D$139,H$5,bd!$Q$2:$Q$139,"&gt;"&amp;$B14,bd!$Q$2:$Q$139,"&lt;="&amp;$C14)</f>
        <v>0</v>
      </c>
      <c r="I14" s="153">
        <f>COUNTIFS(bd!$D$2:$D$139,I$5,bd!$Q$2:$Q$139,"&gt;"&amp;$B14,bd!$Q$2:$Q$139,"&lt;="&amp;$C14)</f>
        <v>0</v>
      </c>
      <c r="J14" s="153">
        <f t="shared" si="3"/>
        <v>0</v>
      </c>
      <c r="K14" s="154">
        <f t="shared" si="4"/>
        <v>0</v>
      </c>
      <c r="L14" s="155">
        <f t="shared" si="0"/>
        <v>0</v>
      </c>
      <c r="M14" s="155">
        <f t="shared" si="1"/>
        <v>0</v>
      </c>
      <c r="N14" s="155">
        <f t="shared" si="2"/>
        <v>0</v>
      </c>
      <c r="O14" s="213">
        <f t="shared" si="5"/>
        <v>0</v>
      </c>
      <c r="P14" s="156">
        <f t="shared" si="5"/>
        <v>0</v>
      </c>
    </row>
    <row r="15" spans="2:16" x14ac:dyDescent="0.3">
      <c r="B15" s="129">
        <v>-0.5</v>
      </c>
      <c r="C15" s="129">
        <v>-0.30000000000000004</v>
      </c>
      <c r="D15" s="157" t="s">
        <v>64</v>
      </c>
      <c r="E15" s="158">
        <f>COUNTIFS(bd!$D$2:$D$139,E$5,bd!$Q$2:$Q$139,"&gt;"&amp;$B15,bd!$Q$2:$Q$139,"&lt;="&amp;$C15)</f>
        <v>0</v>
      </c>
      <c r="F15" s="158">
        <f>COUNTIFS(bd!$D$2:$D$139,F$5,bd!$Q$2:$Q$139,"&gt;"&amp;$B15,bd!$Q$2:$Q$139,"&lt;="&amp;$C15)</f>
        <v>0</v>
      </c>
      <c r="G15" s="158">
        <f>COUNTIFS(bd!$D$2:$D$139,G$5,bd!$Q$2:$Q$139,"&gt;"&amp;$B15,bd!$Q$2:$Q$139,"&lt;="&amp;$C15)</f>
        <v>0</v>
      </c>
      <c r="H15" s="158">
        <f>COUNTIFS(bd!$D$2:$D$139,H$5,bd!$Q$2:$Q$139,"&gt;"&amp;$B15,bd!$Q$2:$Q$139,"&lt;="&amp;$C15)</f>
        <v>0</v>
      </c>
      <c r="I15" s="209">
        <f>COUNTIFS(bd!$D$2:$D$139,I$5,bd!$Q$2:$Q$139,"&gt;"&amp;$B15,bd!$Q$2:$Q$139,"&lt;="&amp;$C15)</f>
        <v>0</v>
      </c>
      <c r="J15" s="159">
        <f t="shared" si="3"/>
        <v>0</v>
      </c>
      <c r="K15" s="160">
        <f t="shared" si="4"/>
        <v>0</v>
      </c>
      <c r="L15" s="161">
        <f t="shared" si="0"/>
        <v>0</v>
      </c>
      <c r="M15" s="161">
        <f t="shared" si="1"/>
        <v>0</v>
      </c>
      <c r="N15" s="161">
        <f t="shared" si="2"/>
        <v>0</v>
      </c>
      <c r="O15" s="214">
        <f t="shared" si="5"/>
        <v>0</v>
      </c>
      <c r="P15" s="162">
        <f t="shared" si="5"/>
        <v>0</v>
      </c>
    </row>
    <row r="16" spans="2:16" x14ac:dyDescent="0.3">
      <c r="B16" s="129">
        <f>MIN(bd!Q2:Q139)</f>
        <v>-1</v>
      </c>
      <c r="C16" s="129">
        <v>-0.5</v>
      </c>
      <c r="D16" s="157" t="s">
        <v>65</v>
      </c>
      <c r="E16" s="158">
        <f>COUNTIFS(bd!$D$2:$D$139,E$5,bd!$Q$2:$Q$139,"&gt;"&amp;$B16,bd!$Q$2:$Q$139,"&lt;="&amp;$C16)</f>
        <v>0</v>
      </c>
      <c r="F16" s="158">
        <f>COUNTIFS(bd!$D$2:$D$139,F$5,bd!$Q$2:$Q$139,"&gt;"&amp;$B16,bd!$Q$2:$Q$139,"&lt;="&amp;$C16)</f>
        <v>0</v>
      </c>
      <c r="G16" s="158">
        <f>COUNTIFS(bd!$D$2:$D$139,G$5,bd!$Q$2:$Q$139,"&gt;"&amp;$B16,bd!$Q$2:$Q$139,"&lt;="&amp;$C16)</f>
        <v>0</v>
      </c>
      <c r="H16" s="158">
        <f>COUNTIFS(bd!$D$2:$D$139,H$5,bd!$Q$2:$Q$139,"&gt;"&amp;$B16,bd!$Q$2:$Q$139,"&lt;="&amp;$C16)</f>
        <v>0</v>
      </c>
      <c r="I16" s="209">
        <f>COUNTIFS(bd!$D$2:$D$139,I$5,bd!$Q$2:$Q$139,"&gt;"&amp;$B16,bd!$Q$2:$Q$139,"&lt;="&amp;$C16)</f>
        <v>0</v>
      </c>
      <c r="J16" s="159">
        <f t="shared" si="3"/>
        <v>0</v>
      </c>
      <c r="K16" s="160">
        <f>E16/E$23</f>
        <v>0</v>
      </c>
      <c r="L16" s="161">
        <f t="shared" si="0"/>
        <v>0</v>
      </c>
      <c r="M16" s="161">
        <f t="shared" si="1"/>
        <v>0</v>
      </c>
      <c r="N16" s="161">
        <f t="shared" si="2"/>
        <v>0</v>
      </c>
      <c r="O16" s="214">
        <f t="shared" si="5"/>
        <v>0</v>
      </c>
      <c r="P16" s="162">
        <f t="shared" si="5"/>
        <v>0</v>
      </c>
    </row>
    <row r="17" spans="2:16" x14ac:dyDescent="0.3">
      <c r="B17" s="128"/>
      <c r="C17" s="128"/>
      <c r="D17" s="163" t="s">
        <v>66</v>
      </c>
      <c r="E17" s="164">
        <f>SUM(E11:E12)</f>
        <v>0</v>
      </c>
      <c r="F17" s="164">
        <f t="shared" ref="F17:I17" si="6">SUM(F11:F12)</f>
        <v>0</v>
      </c>
      <c r="G17" s="164">
        <f t="shared" si="6"/>
        <v>0</v>
      </c>
      <c r="H17" s="165">
        <f t="shared" si="6"/>
        <v>0</v>
      </c>
      <c r="I17" s="165">
        <f t="shared" si="6"/>
        <v>0</v>
      </c>
      <c r="J17" s="165">
        <f t="shared" si="3"/>
        <v>0</v>
      </c>
      <c r="K17" s="166">
        <f>SUM(K11:K12)</f>
        <v>0</v>
      </c>
      <c r="L17" s="167">
        <f t="shared" ref="L17:O17" si="7">SUM(L11:L12)</f>
        <v>0</v>
      </c>
      <c r="M17" s="167">
        <f t="shared" si="7"/>
        <v>0</v>
      </c>
      <c r="N17" s="168">
        <f t="shared" si="7"/>
        <v>0</v>
      </c>
      <c r="O17" s="168">
        <f t="shared" si="7"/>
        <v>0</v>
      </c>
      <c r="P17" s="169">
        <f t="shared" ref="P17" si="8">SUM(P11:P12)</f>
        <v>0</v>
      </c>
    </row>
    <row r="18" spans="2:16" x14ac:dyDescent="0.3">
      <c r="B18" s="128"/>
      <c r="C18" s="128"/>
      <c r="D18" s="170" t="s">
        <v>67</v>
      </c>
      <c r="E18" s="171">
        <f>SUM(E10:E13)</f>
        <v>0</v>
      </c>
      <c r="F18" s="171">
        <f t="shared" ref="F18:I18" si="9">SUM(F10:F13)</f>
        <v>0</v>
      </c>
      <c r="G18" s="171">
        <f t="shared" si="9"/>
        <v>0</v>
      </c>
      <c r="H18" s="172">
        <f t="shared" si="9"/>
        <v>0</v>
      </c>
      <c r="I18" s="172">
        <f t="shared" si="9"/>
        <v>0</v>
      </c>
      <c r="J18" s="172">
        <f t="shared" si="3"/>
        <v>0</v>
      </c>
      <c r="K18" s="173">
        <f>SUM(K10:K13)</f>
        <v>0</v>
      </c>
      <c r="L18" s="174">
        <f t="shared" ref="L18:O18" si="10">SUM(L10:L13)</f>
        <v>0</v>
      </c>
      <c r="M18" s="174">
        <f t="shared" si="10"/>
        <v>0</v>
      </c>
      <c r="N18" s="175">
        <f t="shared" si="10"/>
        <v>0</v>
      </c>
      <c r="O18" s="175">
        <f t="shared" si="10"/>
        <v>0</v>
      </c>
      <c r="P18" s="176">
        <f t="shared" ref="P18" si="11">SUM(P10:P13)</f>
        <v>0</v>
      </c>
    </row>
    <row r="19" spans="2:16" ht="15" thickBot="1" x14ac:dyDescent="0.35">
      <c r="B19" s="128"/>
      <c r="C19" s="128"/>
      <c r="D19" s="177" t="s">
        <v>68</v>
      </c>
      <c r="E19" s="178">
        <f>SUM(E9:E14)</f>
        <v>0</v>
      </c>
      <c r="F19" s="178">
        <f t="shared" ref="F19:I19" si="12">SUM(F9:F14)</f>
        <v>0</v>
      </c>
      <c r="G19" s="178">
        <f t="shared" si="12"/>
        <v>0</v>
      </c>
      <c r="H19" s="179">
        <f t="shared" si="12"/>
        <v>0</v>
      </c>
      <c r="I19" s="179">
        <f t="shared" si="12"/>
        <v>0</v>
      </c>
      <c r="J19" s="179">
        <f t="shared" si="3"/>
        <v>0</v>
      </c>
      <c r="K19" s="180">
        <f>SUM(K9:K14)</f>
        <v>0</v>
      </c>
      <c r="L19" s="181">
        <f t="shared" ref="L19:O19" si="13">SUM(L9:L14)</f>
        <v>0</v>
      </c>
      <c r="M19" s="181">
        <f t="shared" si="13"/>
        <v>0</v>
      </c>
      <c r="N19" s="182">
        <f t="shared" si="13"/>
        <v>0</v>
      </c>
      <c r="O19" s="182">
        <f t="shared" si="13"/>
        <v>0</v>
      </c>
      <c r="P19" s="183">
        <f t="shared" ref="P19" si="14">SUM(P9:P14)</f>
        <v>0</v>
      </c>
    </row>
    <row r="20" spans="2:16" x14ac:dyDescent="0.3">
      <c r="B20" s="128"/>
      <c r="C20" s="128"/>
      <c r="D20" s="402" t="s">
        <v>69</v>
      </c>
      <c r="E20" s="403"/>
      <c r="F20" s="403"/>
      <c r="G20" s="403"/>
      <c r="H20" s="403"/>
      <c r="I20" s="403"/>
      <c r="J20" s="403"/>
      <c r="K20" s="404" t="s">
        <v>70</v>
      </c>
      <c r="L20" s="405"/>
      <c r="M20" s="405"/>
      <c r="N20" s="405"/>
      <c r="O20" s="405"/>
      <c r="P20" s="406"/>
    </row>
    <row r="21" spans="2:16" x14ac:dyDescent="0.3">
      <c r="B21" s="184"/>
      <c r="C21" s="184"/>
      <c r="D21" s="185" t="s">
        <v>80</v>
      </c>
      <c r="E21" s="186">
        <f>COUNTIFS(bd!$D$2:$D$139,E$5,bd!$Q$2:$Q$139,"&gt;0")</f>
        <v>0</v>
      </c>
      <c r="F21" s="186">
        <f>COUNTIFS(bd!$D$2:$D$139,F$5,bd!$Q$2:$Q$139,"&gt;0")</f>
        <v>0</v>
      </c>
      <c r="G21" s="186">
        <f>COUNTIFS(bd!$D$2:$D$139,G$5,bd!$Q$2:$Q$139,"&gt;0")</f>
        <v>0</v>
      </c>
      <c r="H21" s="186">
        <f>COUNTIFS(bd!$D$2:$D$139,H$5,bd!$Q$2:$Q$139,"&gt;0")</f>
        <v>0</v>
      </c>
      <c r="I21" s="187">
        <f>COUNTIFS(bd!$D$2:$D$139,I$5,bd!$Q$2:$Q$139,"&gt;0")</f>
        <v>0</v>
      </c>
      <c r="J21" s="187">
        <f>SUM(E21:I21)</f>
        <v>0</v>
      </c>
      <c r="K21" s="188">
        <f>E21/E$23</f>
        <v>0</v>
      </c>
      <c r="L21" s="189">
        <f t="shared" ref="L21:P22" si="15">F21/F$23</f>
        <v>0</v>
      </c>
      <c r="M21" s="189">
        <f t="shared" si="15"/>
        <v>0</v>
      </c>
      <c r="N21" s="189">
        <f t="shared" si="15"/>
        <v>0</v>
      </c>
      <c r="O21" s="192">
        <f t="shared" si="15"/>
        <v>0</v>
      </c>
      <c r="P21" s="190">
        <f t="shared" si="15"/>
        <v>0</v>
      </c>
    </row>
    <row r="22" spans="2:16" x14ac:dyDescent="0.3">
      <c r="B22" s="184"/>
      <c r="C22" s="184"/>
      <c r="D22" s="191" t="s">
        <v>81</v>
      </c>
      <c r="E22" s="186">
        <f>COUNTIFS(bd!$D$2:$D$139,E$5,bd!$Q$2:$Q$139,"&lt;0")</f>
        <v>1</v>
      </c>
      <c r="F22" s="186">
        <f>COUNTIFS(bd!$D$2:$D$139,F$5,bd!$Q$2:$Q$139,"&lt;0")</f>
        <v>4</v>
      </c>
      <c r="G22" s="186">
        <f>COUNTIFS(bd!$D$2:$D$139,G$5,bd!$Q$2:$Q$139,"&lt;0")</f>
        <v>10</v>
      </c>
      <c r="H22" s="187">
        <f>COUNTIFS(bd!$D$2:$D$139,H$5,bd!$Q$2:$Q$139,"&lt;0")</f>
        <v>9</v>
      </c>
      <c r="I22" s="187">
        <f>COUNTIFS(bd!$D$2:$D$139,I$5,bd!$Q$2:$Q$139,"&lt;0")</f>
        <v>114</v>
      </c>
      <c r="J22" s="187">
        <f>SUM(E22:I22)</f>
        <v>138</v>
      </c>
      <c r="K22" s="188">
        <f>E22/E$23</f>
        <v>1</v>
      </c>
      <c r="L22" s="189">
        <f t="shared" si="15"/>
        <v>1</v>
      </c>
      <c r="M22" s="189">
        <f t="shared" si="15"/>
        <v>1</v>
      </c>
      <c r="N22" s="192">
        <f t="shared" si="15"/>
        <v>1</v>
      </c>
      <c r="O22" s="192">
        <f t="shared" si="15"/>
        <v>1</v>
      </c>
      <c r="P22" s="190">
        <f t="shared" si="15"/>
        <v>1</v>
      </c>
    </row>
    <row r="23" spans="2:16" ht="15" thickBot="1" x14ac:dyDescent="0.35">
      <c r="B23" s="184"/>
      <c r="C23" s="184"/>
      <c r="D23" s="193" t="s">
        <v>82</v>
      </c>
      <c r="E23" s="194">
        <f>E21+E22</f>
        <v>1</v>
      </c>
      <c r="F23" s="194">
        <f t="shared" ref="F23:I23" si="16">F21+F22</f>
        <v>4</v>
      </c>
      <c r="G23" s="194">
        <f t="shared" si="16"/>
        <v>10</v>
      </c>
      <c r="H23" s="194">
        <f t="shared" si="16"/>
        <v>9</v>
      </c>
      <c r="I23" s="195">
        <f t="shared" si="16"/>
        <v>114</v>
      </c>
      <c r="J23" s="195">
        <f>J21+J22</f>
        <v>138</v>
      </c>
      <c r="K23" s="196">
        <f>SUM(K21:K22)</f>
        <v>1</v>
      </c>
      <c r="L23" s="197">
        <f t="shared" ref="L23:P23" si="17">SUM(L21:L22)</f>
        <v>1</v>
      </c>
      <c r="M23" s="197">
        <f t="shared" si="17"/>
        <v>1</v>
      </c>
      <c r="N23" s="197">
        <f t="shared" si="17"/>
        <v>1</v>
      </c>
      <c r="O23" s="215">
        <f t="shared" si="17"/>
        <v>1</v>
      </c>
      <c r="P23" s="198">
        <f t="shared" si="17"/>
        <v>1</v>
      </c>
    </row>
    <row r="24" spans="2:16" x14ac:dyDescent="0.3">
      <c r="B24" s="184"/>
      <c r="C24" s="184"/>
      <c r="D24" s="381" t="s">
        <v>71</v>
      </c>
      <c r="E24" s="382"/>
      <c r="F24" s="382"/>
      <c r="G24" s="382"/>
      <c r="H24" s="382"/>
      <c r="I24" s="382"/>
      <c r="J24" s="383"/>
      <c r="K24" s="384"/>
      <c r="L24" s="385"/>
      <c r="M24" s="385"/>
      <c r="N24" s="385"/>
      <c r="O24" s="385"/>
      <c r="P24" s="385"/>
    </row>
    <row r="25" spans="2:16" x14ac:dyDescent="0.3">
      <c r="B25" s="184"/>
      <c r="C25" s="184"/>
      <c r="D25" s="238" t="s">
        <v>72</v>
      </c>
      <c r="E25" s="239" t="str">
        <f>IFERROR(AVERAGEIFS(bd!$Q$2:$Q$139,bd!$D$2:$D$139,E$5,bd!$Q$2:$Q$139,"&gt;=0"),"")</f>
        <v/>
      </c>
      <c r="F25" s="239" t="str">
        <f>IFERROR(AVERAGEIFS(bd!$Q$2:$Q$139,bd!$D$2:$D$139,F$5,bd!$Q$2:$Q$139,"&gt;=0"),"")</f>
        <v/>
      </c>
      <c r="G25" s="239" t="str">
        <f>IFERROR(AVERAGEIFS(bd!$Q$2:$Q$139,bd!$D$2:$D$139,G$5,bd!$Q$2:$Q$139,"&gt;=0"),"")</f>
        <v/>
      </c>
      <c r="H25" s="240" t="str">
        <f>IFERROR(AVERAGEIFS(bd!$Q$2:$Q$139,bd!$D$2:$D$139,H$5,bd!$Q$2:$Q$139,"&gt;=0"),"")</f>
        <v/>
      </c>
      <c r="I25" s="240" t="str">
        <f>IFERROR(AVERAGEIFS(bd!$Q$2:$Q$139,bd!$D$2:$D$139,I$5,bd!$Q$2:$Q$139,"&gt;=0"),"")</f>
        <v/>
      </c>
      <c r="J25" s="240" t="e">
        <f>AVERAGEIFS(bd!$Q$2:$Q$139,bd!$Q$2:$Q$139,"&gt;=0")</f>
        <v>#DIV/0!</v>
      </c>
      <c r="K25" s="199"/>
      <c r="L25" s="200"/>
      <c r="M25" s="200"/>
      <c r="N25" s="200"/>
      <c r="O25" s="200"/>
      <c r="P25" s="200"/>
    </row>
    <row r="26" spans="2:16" x14ac:dyDescent="0.3">
      <c r="B26" s="184"/>
      <c r="C26" s="184"/>
      <c r="D26" s="241" t="s">
        <v>73</v>
      </c>
      <c r="E26" s="242">
        <f>IFERROR(AVERAGEIFS(bd!$Q$2:$Q$139,bd!$D$2:$D$139,E$5,bd!$Q$2:$Q$139,"&lt;0"),"")</f>
        <v>-1</v>
      </c>
      <c r="F26" s="242">
        <f>IFERROR(AVERAGEIFS(bd!$Q$2:$Q$139,bd!$D$2:$D$139,F$5,bd!$Q$2:$Q$139,"&lt;0"),"")</f>
        <v>-1</v>
      </c>
      <c r="G26" s="242">
        <f>IFERROR(AVERAGEIFS(bd!$Q$2:$Q$139,bd!$D$2:$D$139,G$5,bd!$Q$2:$Q$139,"&lt;0"),"")</f>
        <v>-1</v>
      </c>
      <c r="H26" s="243">
        <f>IFERROR(AVERAGEIFS(bd!$Q$2:$Q$139,bd!$D$2:$D$139,H$5,bd!$Q$2:$Q$139,"&lt;0"),"")</f>
        <v>-1</v>
      </c>
      <c r="I26" s="243">
        <f>IFERROR(AVERAGEIFS(bd!$Q$2:$Q$139,bd!$D$2:$D$139,I$5,bd!$Q$2:$Q$139,"&lt;0"),"")</f>
        <v>-1</v>
      </c>
      <c r="J26" s="243">
        <f>AVERAGEIFS(bd!$Q$2:$Q$139,bd!$Q$2:$Q$139,"&lt;0")</f>
        <v>-1</v>
      </c>
      <c r="K26" s="199"/>
      <c r="L26" s="200"/>
      <c r="M26" s="200"/>
      <c r="N26" s="200"/>
      <c r="O26" s="200"/>
      <c r="P26" s="200"/>
    </row>
    <row r="27" spans="2:16" ht="15" thickBot="1" x14ac:dyDescent="0.35">
      <c r="B27" s="184"/>
      <c r="C27" s="184"/>
      <c r="D27" s="185" t="s">
        <v>74</v>
      </c>
      <c r="E27" s="189">
        <f>AVERAGEIFS(bd!$Q$2:$Q$139,bd!$D$2:$D$139,E$5)</f>
        <v>-1</v>
      </c>
      <c r="F27" s="189">
        <f>AVERAGEIFS(bd!$Q$2:$Q$139,bd!$D$2:$D$139,F$5)</f>
        <v>-1</v>
      </c>
      <c r="G27" s="189">
        <f>AVERAGEIFS(bd!$Q$2:$Q$139,bd!$D$2:$D$139,G$5)</f>
        <v>-1</v>
      </c>
      <c r="H27" s="189">
        <f>AVERAGEIFS(bd!$Q$2:$Q$139,bd!$D$2:$D$139,H$5)</f>
        <v>-1</v>
      </c>
      <c r="I27" s="192">
        <f>AVERAGEIFS(bd!$Q$2:$Q$139,bd!$D$2:$D$139,I$5)</f>
        <v>-1</v>
      </c>
      <c r="J27" s="192">
        <f>AVERAGE(bd!Q2:Q139)</f>
        <v>-1</v>
      </c>
      <c r="K27" s="201"/>
      <c r="L27" s="202"/>
      <c r="M27" s="202"/>
      <c r="N27" s="202"/>
      <c r="O27" s="202"/>
      <c r="P27" s="202"/>
    </row>
    <row r="28" spans="2:16" x14ac:dyDescent="0.3">
      <c r="B28" s="128"/>
      <c r="C28" s="128"/>
      <c r="D28" s="386" t="s">
        <v>75</v>
      </c>
      <c r="E28" s="387"/>
      <c r="F28" s="387"/>
      <c r="G28" s="387"/>
      <c r="H28" s="387"/>
      <c r="I28" s="387"/>
      <c r="J28" s="388"/>
      <c r="K28" s="203"/>
      <c r="L28" s="7"/>
      <c r="M28" s="7"/>
      <c r="N28" s="7"/>
      <c r="O28" s="7"/>
      <c r="P28" s="7"/>
    </row>
    <row r="29" spans="2:16" x14ac:dyDescent="0.3">
      <c r="B29" s="128"/>
      <c r="C29" s="128"/>
      <c r="D29" s="204" t="s">
        <v>76</v>
      </c>
      <c r="E29" s="205">
        <f>SQRT(AVERAGE(bd!$R2))/AVERAGE(bd!$J2)</f>
        <v>1</v>
      </c>
      <c r="F29" s="205">
        <f>SQRT(AVERAGE(bd!$R3:'bd'!$R6))/AVERAGE(bd!$J3:'bd'!$J6)</f>
        <v>1.1179894226214966</v>
      </c>
      <c r="G29" s="205">
        <f>SQRT(AVERAGE(bd!$R7:'bd'!$R16))/AVERAGE(bd!$J7:'bd'!$J16)</f>
        <v>1.3590344490854245</v>
      </c>
      <c r="H29" s="205">
        <f>SQRT(AVERAGE(bd!$R17:'bd'!$R25))/AVERAGE(bd!$J17:'bd'!$J25)</f>
        <v>1.3038035368080318</v>
      </c>
      <c r="I29" s="205">
        <f>SQRT(AVERAGE(bd!$R26:'bd'!$R139))/AVERAGE(bd!$J26:'bd'!$J139)</f>
        <v>1.5698657650578203</v>
      </c>
      <c r="J29" s="205">
        <f>SQRT(AVERAGE(bd!$R2:'bd'!$R139))/AVERAGE(bd!$J2:'bd'!$J139)</f>
        <v>2.611271800690198</v>
      </c>
      <c r="K29" s="203"/>
      <c r="L29" s="7"/>
      <c r="M29" s="7"/>
      <c r="N29" s="7"/>
      <c r="O29" s="7"/>
      <c r="P29" s="7"/>
    </row>
    <row r="30" spans="2:16" x14ac:dyDescent="0.3">
      <c r="B30" s="128"/>
      <c r="C30" s="128"/>
      <c r="D30" s="389" t="s">
        <v>77</v>
      </c>
      <c r="E30" s="390"/>
      <c r="F30" s="390"/>
      <c r="G30" s="390"/>
      <c r="H30" s="390"/>
      <c r="I30" s="390"/>
      <c r="J30" s="390"/>
      <c r="K30" s="203"/>
      <c r="L30" s="7"/>
      <c r="M30" s="7"/>
      <c r="N30" s="7"/>
      <c r="O30" s="7"/>
      <c r="P30" s="7"/>
    </row>
    <row r="31" spans="2:16" ht="15" thickBot="1" x14ac:dyDescent="0.35">
      <c r="B31" s="128"/>
      <c r="C31" s="128"/>
      <c r="D31" s="206" t="s">
        <v>78</v>
      </c>
      <c r="E31" s="207">
        <f>LINEST(bd!$P2:'bd'!$P2,bd!J$2:'bd'!J$2,FALSE)</f>
        <v>0</v>
      </c>
      <c r="F31" s="207">
        <f>LINEST(bd!$P3:'bd'!$P6,bd!J$3:'bd'!J$6,FALSE)</f>
        <v>0</v>
      </c>
      <c r="G31" s="207">
        <f>LINEST(bd!$P7:'bd'!$P16,bd!J$7:'bd'!J$16,FALSE)</f>
        <v>0</v>
      </c>
      <c r="H31" s="207">
        <f>LINEST(bd!$P17:'bd'!$P25,bd!J$17:'bd'!J$25,FALSE)</f>
        <v>0</v>
      </c>
      <c r="I31" s="207">
        <f>LINEST(bd!$P26:'bd'!$P139,bd!J$26:'bd'!J$139,FALSE)</f>
        <v>0</v>
      </c>
      <c r="J31" s="207">
        <f>LINEST(bd!$P2:'bd'!$P139,bd!J$2:'bd'!J$139,FALSE)</f>
        <v>0</v>
      </c>
      <c r="K31" s="203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"/>
  <sheetViews>
    <sheetView showGridLines="0" workbookViewId="0">
      <selection activeCell="S32" sqref="S3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7" tint="0.39997558519241921"/>
  </sheetPr>
  <dimension ref="B1:P31"/>
  <sheetViews>
    <sheetView showGridLines="0" workbookViewId="0">
      <selection activeCell="Q36" sqref="Q36"/>
    </sheetView>
  </sheetViews>
  <sheetFormatPr defaultColWidth="9.109375" defaultRowHeight="14.4" x14ac:dyDescent="0.3"/>
  <cols>
    <col min="1" max="1" width="9.109375" style="5"/>
    <col min="2" max="3" width="9.109375" style="5" hidden="1" customWidth="1"/>
    <col min="4" max="4" width="14.109375" style="5" customWidth="1"/>
    <col min="5" max="5" width="12.6640625" style="5" customWidth="1"/>
    <col min="6" max="10" width="11.88671875" style="5" customWidth="1"/>
    <col min="11" max="11" width="12.6640625" style="5" customWidth="1"/>
    <col min="12" max="16" width="11.88671875" style="5" customWidth="1"/>
    <col min="17" max="16384" width="9.109375" style="5"/>
  </cols>
  <sheetData>
    <row r="1" spans="2:16" ht="15" thickBot="1" x14ac:dyDescent="0.35">
      <c r="B1" s="128"/>
      <c r="C1" s="128"/>
    </row>
    <row r="2" spans="2:16" x14ac:dyDescent="0.3">
      <c r="B2" s="128"/>
      <c r="C2" s="128"/>
      <c r="D2" s="391" t="s">
        <v>52</v>
      </c>
      <c r="E2" s="394" t="s">
        <v>83</v>
      </c>
      <c r="F2" s="395"/>
      <c r="G2" s="395"/>
      <c r="H2" s="395"/>
      <c r="I2" s="395"/>
      <c r="J2" s="395"/>
      <c r="K2" s="396" t="s">
        <v>53</v>
      </c>
      <c r="L2" s="395"/>
      <c r="M2" s="395"/>
      <c r="N2" s="395"/>
      <c r="O2" s="395"/>
      <c r="P2" s="397"/>
    </row>
    <row r="3" spans="2:16" x14ac:dyDescent="0.3">
      <c r="B3" s="128"/>
      <c r="C3" s="128"/>
      <c r="D3" s="392"/>
      <c r="E3" s="398" t="s">
        <v>84</v>
      </c>
      <c r="F3" s="399"/>
      <c r="G3" s="399"/>
      <c r="H3" s="399"/>
      <c r="I3" s="399"/>
      <c r="J3" s="399"/>
      <c r="K3" s="400" t="s">
        <v>84</v>
      </c>
      <c r="L3" s="399"/>
      <c r="M3" s="399"/>
      <c r="N3" s="399"/>
      <c r="O3" s="399"/>
      <c r="P3" s="401"/>
    </row>
    <row r="4" spans="2:16" x14ac:dyDescent="0.3">
      <c r="B4" s="128"/>
      <c r="C4" s="128"/>
      <c r="D4" s="392"/>
      <c r="E4" s="223" t="s">
        <v>12</v>
      </c>
      <c r="F4" s="223" t="s">
        <v>13</v>
      </c>
      <c r="G4" s="223" t="s">
        <v>9</v>
      </c>
      <c r="H4" s="223" t="s">
        <v>47</v>
      </c>
      <c r="I4" s="223" t="s">
        <v>0</v>
      </c>
      <c r="J4" s="216" t="s">
        <v>54</v>
      </c>
      <c r="K4" s="227" t="s">
        <v>12</v>
      </c>
      <c r="L4" s="223" t="s">
        <v>13</v>
      </c>
      <c r="M4" s="223" t="s">
        <v>9</v>
      </c>
      <c r="N4" s="223" t="s">
        <v>47</v>
      </c>
      <c r="O4" s="223" t="s">
        <v>0</v>
      </c>
      <c r="P4" s="217" t="s">
        <v>54</v>
      </c>
    </row>
    <row r="5" spans="2:16" x14ac:dyDescent="0.3">
      <c r="B5" s="128"/>
      <c r="C5" s="128"/>
      <c r="D5" s="393"/>
      <c r="E5" s="218">
        <v>1</v>
      </c>
      <c r="F5" s="219">
        <v>2</v>
      </c>
      <c r="G5" s="219">
        <v>3</v>
      </c>
      <c r="H5" s="219">
        <v>4</v>
      </c>
      <c r="I5" s="220">
        <v>5</v>
      </c>
      <c r="J5" s="220"/>
      <c r="K5" s="221">
        <v>1</v>
      </c>
      <c r="L5" s="219">
        <v>2</v>
      </c>
      <c r="M5" s="219">
        <v>3</v>
      </c>
      <c r="N5" s="219">
        <v>4</v>
      </c>
      <c r="O5" s="220">
        <v>5</v>
      </c>
      <c r="P5" s="222"/>
    </row>
    <row r="6" spans="2:16" x14ac:dyDescent="0.3">
      <c r="B6" s="129">
        <v>1</v>
      </c>
      <c r="C6" s="129">
        <f>MAX(bd!$Q$2:$Q$139)</f>
        <v>-1</v>
      </c>
      <c r="D6" s="130" t="s">
        <v>55</v>
      </c>
      <c r="E6" s="131">
        <f>COUNTIFS(pm!$D$2:$D$139,E$5,pm!$Q$2:$Q$139,"&gt;"&amp;$B6,pm!$Q$2:$Q$139,"&lt;="&amp;$C6)</f>
        <v>0</v>
      </c>
      <c r="F6" s="131">
        <f>COUNTIFS(pm!$D$2:$D$139,F$5,pm!$Q$2:$Q$139,"&gt;"&amp;$B6,pm!$Q$2:$Q$139,"&lt;="&amp;$C6)</f>
        <v>0</v>
      </c>
      <c r="G6" s="131">
        <f>COUNTIFS(pm!$D$2:$D$139,G$5,pm!$Q$2:$Q$139,"&gt;"&amp;$B6,pm!$Q$2:$Q$139,"&lt;="&amp;$C6)</f>
        <v>0</v>
      </c>
      <c r="H6" s="131">
        <f>COUNTIFS(pm!$D$2:$D$139,H$5,pm!$Q$2:$Q$139,"&gt;"&amp;$B6,pm!$Q$2:$Q$139,"&lt;="&amp;$C6)</f>
        <v>0</v>
      </c>
      <c r="I6" s="208">
        <f>COUNTIFS(pm!$D$2:$D$139,I$5,pm!$Q$2:$Q$139,"&gt;"&amp;$B6,pm!$Q$2:$Q$139,"&lt;="&amp;$C6)</f>
        <v>0</v>
      </c>
      <c r="J6" s="132">
        <f>SUM(E6:I6)</f>
        <v>0</v>
      </c>
      <c r="K6" s="133">
        <f>E6/E$23</f>
        <v>0</v>
      </c>
      <c r="L6" s="134">
        <f t="shared" ref="L6:O16" si="0">F6/F$23</f>
        <v>0</v>
      </c>
      <c r="M6" s="134">
        <f t="shared" si="0"/>
        <v>0</v>
      </c>
      <c r="N6" s="134">
        <f t="shared" si="0"/>
        <v>0</v>
      </c>
      <c r="O6" s="210">
        <f t="shared" si="0"/>
        <v>0</v>
      </c>
      <c r="P6" s="135">
        <f>SUM(K6:O6)</f>
        <v>0</v>
      </c>
    </row>
    <row r="7" spans="2:16" x14ac:dyDescent="0.3">
      <c r="B7" s="129">
        <v>0.5</v>
      </c>
      <c r="C7" s="129">
        <v>1</v>
      </c>
      <c r="D7" s="130" t="s">
        <v>56</v>
      </c>
      <c r="E7" s="136">
        <f>COUNTIFS(pm!$D$2:$D$139,E$5,pm!$Q$2:$Q$139,"&gt;"&amp;$B7,pm!$Q$2:$Q$139,"&lt;="&amp;$C7)</f>
        <v>0</v>
      </c>
      <c r="F7" s="136">
        <f>COUNTIFS(pm!$D$2:$D$139,F$5,pm!$Q$2:$Q$139,"&gt;"&amp;$B7,pm!$Q$2:$Q$139,"&lt;="&amp;$C7)</f>
        <v>0</v>
      </c>
      <c r="G7" s="136">
        <f>COUNTIFS(pm!$D$2:$D$139,G$5,pm!$Q$2:$Q$139,"&gt;"&amp;$B7,pm!$Q$2:$Q$139,"&lt;="&amp;$C7)</f>
        <v>0</v>
      </c>
      <c r="H7" s="136">
        <f>COUNTIFS(pm!$D$2:$D$139,H$5,pm!$Q$2:$Q$139,"&gt;"&amp;$B7,pm!$Q$2:$Q$139,"&lt;="&amp;$C7)</f>
        <v>0</v>
      </c>
      <c r="I7" s="208">
        <f>COUNTIFS(pm!$D$2:$D$139,I$5,pm!$Q$2:$Q$139,"&gt;"&amp;$B7,pm!$Q$2:$Q$139,"&lt;="&amp;$C7)</f>
        <v>0</v>
      </c>
      <c r="J7" s="132">
        <f t="shared" ref="J7:J19" si="1">SUM(E7:I7)</f>
        <v>0</v>
      </c>
      <c r="K7" s="137">
        <f t="shared" ref="K7:K16" si="2">E7/E$23</f>
        <v>0</v>
      </c>
      <c r="L7" s="138">
        <f t="shared" si="0"/>
        <v>0</v>
      </c>
      <c r="M7" s="138">
        <f t="shared" si="0"/>
        <v>0</v>
      </c>
      <c r="N7" s="138">
        <f t="shared" si="0"/>
        <v>0</v>
      </c>
      <c r="O7" s="210">
        <f t="shared" si="0"/>
        <v>0</v>
      </c>
      <c r="P7" s="135">
        <f t="shared" ref="P7:P19" si="3">SUM(K7:O7)</f>
        <v>0</v>
      </c>
    </row>
    <row r="8" spans="2:16" x14ac:dyDescent="0.3">
      <c r="B8" s="129">
        <v>0.30000000000000004</v>
      </c>
      <c r="C8" s="129">
        <v>0.5</v>
      </c>
      <c r="D8" s="130" t="s">
        <v>57</v>
      </c>
      <c r="E8" s="136">
        <f>COUNTIFS(pm!$D$2:$D$139,E$5,pm!$Q$2:$Q$139,"&gt;"&amp;$B8,pm!$Q$2:$Q$139,"&lt;="&amp;$C8)</f>
        <v>0</v>
      </c>
      <c r="F8" s="136">
        <f>COUNTIFS(pm!$D$2:$D$139,F$5,pm!$Q$2:$Q$139,"&gt;"&amp;$B8,pm!$Q$2:$Q$139,"&lt;="&amp;$C8)</f>
        <v>0</v>
      </c>
      <c r="G8" s="136">
        <f>COUNTIFS(pm!$D$2:$D$139,G$5,pm!$Q$2:$Q$139,"&gt;"&amp;$B8,pm!$Q$2:$Q$139,"&lt;="&amp;$C8)</f>
        <v>0</v>
      </c>
      <c r="H8" s="136">
        <f>COUNTIFS(pm!$D$2:$D$139,H$5,pm!$Q$2:$Q$139,"&gt;"&amp;$B8,pm!$Q$2:$Q$139,"&lt;="&amp;$C8)</f>
        <v>0</v>
      </c>
      <c r="I8" s="208">
        <f>COUNTIFS(pm!$D$2:$D$139,I$5,pm!$Q$2:$Q$139,"&gt;"&amp;$B8,pm!$Q$2:$Q$139,"&lt;="&amp;$C8)</f>
        <v>0</v>
      </c>
      <c r="J8" s="132">
        <f t="shared" si="1"/>
        <v>0</v>
      </c>
      <c r="K8" s="137">
        <f t="shared" si="2"/>
        <v>0</v>
      </c>
      <c r="L8" s="138">
        <f t="shared" si="0"/>
        <v>0</v>
      </c>
      <c r="M8" s="138">
        <f t="shared" si="0"/>
        <v>0</v>
      </c>
      <c r="N8" s="138">
        <f t="shared" si="0"/>
        <v>0</v>
      </c>
      <c r="O8" s="210">
        <f t="shared" si="0"/>
        <v>0</v>
      </c>
      <c r="P8" s="135">
        <f t="shared" si="3"/>
        <v>0</v>
      </c>
    </row>
    <row r="9" spans="2:16" x14ac:dyDescent="0.3">
      <c r="B9" s="129">
        <v>0.2</v>
      </c>
      <c r="C9" s="129">
        <v>0.30000000000000004</v>
      </c>
      <c r="D9" s="139" t="s">
        <v>58</v>
      </c>
      <c r="E9" s="140">
        <f>COUNTIFS(pm!$D$2:$D$139,E$5,pm!$Q$2:$Q$139,"&gt;"&amp;$B9,pm!$Q$2:$Q$139,"&lt;="&amp;$C9)</f>
        <v>0</v>
      </c>
      <c r="F9" s="140">
        <f>COUNTIFS(pm!$D$2:$D$139,F$5,pm!$Q$2:$Q$139,"&gt;"&amp;$B9,pm!$Q$2:$Q$139,"&lt;="&amp;$C9)</f>
        <v>0</v>
      </c>
      <c r="G9" s="140">
        <f>COUNTIFS(pm!$D$2:$D$139,G$5,pm!$Q$2:$Q$139,"&gt;"&amp;$B9,pm!$Q$2:$Q$139,"&lt;="&amp;$C9)</f>
        <v>0</v>
      </c>
      <c r="H9" s="140">
        <f>COUNTIFS(pm!$D$2:$D$139,H$5,pm!$Q$2:$Q$139,"&gt;"&amp;$B9,pm!$Q$2:$Q$139,"&lt;="&amp;$C9)</f>
        <v>0</v>
      </c>
      <c r="I9" s="141">
        <f>COUNTIFS(pm!$D$2:$D$139,I$5,pm!$Q$2:$Q$139,"&gt;"&amp;$B9,pm!$Q$2:$Q$139,"&lt;="&amp;$C9)</f>
        <v>0</v>
      </c>
      <c r="J9" s="141">
        <f t="shared" si="1"/>
        <v>0</v>
      </c>
      <c r="K9" s="142">
        <f t="shared" si="2"/>
        <v>0</v>
      </c>
      <c r="L9" s="143">
        <f t="shared" si="0"/>
        <v>0</v>
      </c>
      <c r="M9" s="143">
        <f t="shared" si="0"/>
        <v>0</v>
      </c>
      <c r="N9" s="143">
        <f t="shared" si="0"/>
        <v>0</v>
      </c>
      <c r="O9" s="211">
        <f t="shared" si="0"/>
        <v>0</v>
      </c>
      <c r="P9" s="144">
        <f t="shared" si="3"/>
        <v>0</v>
      </c>
    </row>
    <row r="10" spans="2:16" x14ac:dyDescent="0.3">
      <c r="B10" s="129">
        <v>0.1</v>
      </c>
      <c r="C10" s="129">
        <v>0.2</v>
      </c>
      <c r="D10" s="139" t="s">
        <v>59</v>
      </c>
      <c r="E10" s="140">
        <f>COUNTIFS(pm!$D$2:$D$139,E$5,pm!$Q$2:$Q$139,"&gt;"&amp;$B10,pm!$Q$2:$Q$139,"&lt;="&amp;$C10)</f>
        <v>0</v>
      </c>
      <c r="F10" s="140">
        <f>COUNTIFS(pm!$D$2:$D$139,F$5,pm!$Q$2:$Q$139,"&gt;"&amp;$B10,pm!$Q$2:$Q$139,"&lt;="&amp;$C10)</f>
        <v>0</v>
      </c>
      <c r="G10" s="140">
        <f>COUNTIFS(pm!$D$2:$D$139,G$5,pm!$Q$2:$Q$139,"&gt;"&amp;$B10,pm!$Q$2:$Q$139,"&lt;="&amp;$C10)</f>
        <v>0</v>
      </c>
      <c r="H10" s="140">
        <f>COUNTIFS(pm!$D$2:$D$139,H$5,pm!$Q$2:$Q$139,"&gt;"&amp;$B10,pm!$Q$2:$Q$139,"&lt;="&amp;$C10)</f>
        <v>0</v>
      </c>
      <c r="I10" s="141">
        <f>COUNTIFS(pm!$D$2:$D$139,I$5,pm!$Q$2:$Q$139,"&gt;"&amp;$B10,pm!$Q$2:$Q$139,"&lt;="&amp;$C10)</f>
        <v>0</v>
      </c>
      <c r="J10" s="141">
        <f t="shared" si="1"/>
        <v>0</v>
      </c>
      <c r="K10" s="142">
        <f t="shared" si="2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211">
        <f t="shared" si="0"/>
        <v>0</v>
      </c>
      <c r="P10" s="144">
        <f t="shared" si="3"/>
        <v>0</v>
      </c>
    </row>
    <row r="11" spans="2:16" x14ac:dyDescent="0.3">
      <c r="B11" s="129">
        <v>0</v>
      </c>
      <c r="C11" s="129">
        <v>0.1</v>
      </c>
      <c r="D11" s="139" t="s">
        <v>60</v>
      </c>
      <c r="E11" s="140">
        <f>COUNTIFS(pm!$D$2:$D$139,E$5,pm!$Q$2:$Q$139,"&gt;"&amp;$B11,pm!$Q$2:$Q$139,"&lt;="&amp;$C11)</f>
        <v>0</v>
      </c>
      <c r="F11" s="140">
        <f>COUNTIFS(pm!$D$2:$D$139,F$5,pm!$Q$2:$Q$139,"&gt;"&amp;$B11,pm!$Q$2:$Q$139,"&lt;="&amp;$C11)</f>
        <v>0</v>
      </c>
      <c r="G11" s="140">
        <f>COUNTIFS(pm!$D$2:$D$139,G$5,pm!$Q$2:$Q$139,"&gt;"&amp;$B11,pm!$Q$2:$Q$139,"&lt;="&amp;$C11)</f>
        <v>0</v>
      </c>
      <c r="H11" s="140">
        <f>COUNTIFS(pm!$D$2:$D$139,H$5,pm!$Q$2:$Q$139,"&gt;"&amp;$B11,pm!$Q$2:$Q$139,"&lt;="&amp;$C11)</f>
        <v>0</v>
      </c>
      <c r="I11" s="141">
        <f>COUNTIFS(pm!$D$2:$D$139,I$5,pm!$Q$2:$Q$139,"&gt;"&amp;$B11,pm!$Q$2:$Q$139,"&lt;="&amp;$C11)</f>
        <v>0</v>
      </c>
      <c r="J11" s="141">
        <f t="shared" si="1"/>
        <v>0</v>
      </c>
      <c r="K11" s="142">
        <f t="shared" si="2"/>
        <v>0</v>
      </c>
      <c r="L11" s="143">
        <f t="shared" si="0"/>
        <v>0</v>
      </c>
      <c r="M11" s="143">
        <f t="shared" si="0"/>
        <v>0</v>
      </c>
      <c r="N11" s="143">
        <f t="shared" si="0"/>
        <v>0</v>
      </c>
      <c r="O11" s="211">
        <f t="shared" si="0"/>
        <v>0</v>
      </c>
      <c r="P11" s="144">
        <f t="shared" si="3"/>
        <v>0</v>
      </c>
    </row>
    <row r="12" spans="2:16" x14ac:dyDescent="0.3">
      <c r="B12" s="129">
        <v>-0.1</v>
      </c>
      <c r="C12" s="129">
        <v>0</v>
      </c>
      <c r="D12" s="145" t="s">
        <v>61</v>
      </c>
      <c r="E12" s="146">
        <f>COUNTIFS(pm!$D$2:$D$139,E$5,pm!$Q$2:$Q$139,"&gt;"&amp;$B12,pm!$Q$2:$Q$139,"&lt;="&amp;$C12)</f>
        <v>0</v>
      </c>
      <c r="F12" s="146">
        <f>COUNTIFS(pm!$D$2:$D$139,F$5,pm!$Q$2:$Q$139,"&gt;"&amp;$B12,pm!$Q$2:$Q$139,"&lt;="&amp;$C12)</f>
        <v>0</v>
      </c>
      <c r="G12" s="146">
        <f>COUNTIFS(pm!$D$2:$D$139,G$5,pm!$Q$2:$Q$139,"&gt;"&amp;$B12,pm!$Q$2:$Q$139,"&lt;="&amp;$C12)</f>
        <v>0</v>
      </c>
      <c r="H12" s="146">
        <f>COUNTIFS(pm!$D$2:$D$139,H$5,pm!$Q$2:$Q$139,"&gt;"&amp;$B12,pm!$Q$2:$Q$139,"&lt;="&amp;$C12)</f>
        <v>0</v>
      </c>
      <c r="I12" s="147">
        <f>COUNTIFS(pm!$D$2:$D$139,I$5,pm!$Q$2:$Q$139,"&gt;"&amp;$B12,pm!$Q$2:$Q$139,"&lt;="&amp;$C12)</f>
        <v>0</v>
      </c>
      <c r="J12" s="147">
        <f t="shared" si="1"/>
        <v>0</v>
      </c>
      <c r="K12" s="148">
        <f t="shared" si="2"/>
        <v>0</v>
      </c>
      <c r="L12" s="149">
        <f t="shared" si="0"/>
        <v>0</v>
      </c>
      <c r="M12" s="149">
        <f t="shared" si="0"/>
        <v>0</v>
      </c>
      <c r="N12" s="149">
        <f t="shared" si="0"/>
        <v>0</v>
      </c>
      <c r="O12" s="212">
        <f t="shared" si="0"/>
        <v>0</v>
      </c>
      <c r="P12" s="150">
        <f t="shared" si="3"/>
        <v>0</v>
      </c>
    </row>
    <row r="13" spans="2:16" x14ac:dyDescent="0.3">
      <c r="B13" s="129">
        <v>-0.2</v>
      </c>
      <c r="C13" s="129">
        <v>-0.1</v>
      </c>
      <c r="D13" s="151" t="s">
        <v>62</v>
      </c>
      <c r="E13" s="152">
        <f>COUNTIFS(pm!$D$2:$D$139,E$5,pm!$Q$2:$Q$139,"&gt;"&amp;$B13,pm!$Q$2:$Q$139,"&lt;="&amp;$C13)</f>
        <v>0</v>
      </c>
      <c r="F13" s="152">
        <f>COUNTIFS(pm!$D$2:$D$139,F$5,pm!$Q$2:$Q$139,"&gt;"&amp;$B13,pm!$Q$2:$Q$139,"&lt;="&amp;$C13)</f>
        <v>0</v>
      </c>
      <c r="G13" s="152">
        <f>COUNTIFS(pm!$D$2:$D$139,G$5,pm!$Q$2:$Q$139,"&gt;"&amp;$B13,pm!$Q$2:$Q$139,"&lt;="&amp;$C13)</f>
        <v>0</v>
      </c>
      <c r="H13" s="152">
        <f>COUNTIFS(pm!$D$2:$D$139,H$5,pm!$Q$2:$Q$139,"&gt;"&amp;$B13,pm!$Q$2:$Q$139,"&lt;="&amp;$C13)</f>
        <v>0</v>
      </c>
      <c r="I13" s="153">
        <f>COUNTIFS(pm!$D$2:$D$139,I$5,pm!$Q$2:$Q$139,"&gt;"&amp;$B13,pm!$Q$2:$Q$139,"&lt;="&amp;$C13)</f>
        <v>0</v>
      </c>
      <c r="J13" s="153">
        <f t="shared" si="1"/>
        <v>0</v>
      </c>
      <c r="K13" s="154">
        <f t="shared" si="2"/>
        <v>0</v>
      </c>
      <c r="L13" s="155">
        <f t="shared" si="0"/>
        <v>0</v>
      </c>
      <c r="M13" s="155">
        <f t="shared" si="0"/>
        <v>0</v>
      </c>
      <c r="N13" s="155">
        <f t="shared" si="0"/>
        <v>0</v>
      </c>
      <c r="O13" s="213">
        <f t="shared" si="0"/>
        <v>0</v>
      </c>
      <c r="P13" s="156">
        <f t="shared" si="3"/>
        <v>0</v>
      </c>
    </row>
    <row r="14" spans="2:16" x14ac:dyDescent="0.3">
      <c r="B14" s="129">
        <v>-0.30000000000000004</v>
      </c>
      <c r="C14" s="129">
        <v>-0.2</v>
      </c>
      <c r="D14" s="151" t="s">
        <v>63</v>
      </c>
      <c r="E14" s="152">
        <f>COUNTIFS(pm!$D$2:$D$139,E$5,pm!$Q$2:$Q$139,"&gt;"&amp;$B14,pm!$Q$2:$Q$139,"&lt;="&amp;$C14)</f>
        <v>0</v>
      </c>
      <c r="F14" s="152">
        <f>COUNTIFS(pm!$D$2:$D$139,F$5,pm!$Q$2:$Q$139,"&gt;"&amp;$B14,pm!$Q$2:$Q$139,"&lt;="&amp;$C14)</f>
        <v>0</v>
      </c>
      <c r="G14" s="152">
        <f>COUNTIFS(pm!$D$2:$D$139,G$5,pm!$Q$2:$Q$139,"&gt;"&amp;$B14,pm!$Q$2:$Q$139,"&lt;="&amp;$C14)</f>
        <v>0</v>
      </c>
      <c r="H14" s="152">
        <f>COUNTIFS(pm!$D$2:$D$139,H$5,pm!$Q$2:$Q$139,"&gt;"&amp;$B14,pm!$Q$2:$Q$139,"&lt;="&amp;$C14)</f>
        <v>0</v>
      </c>
      <c r="I14" s="153">
        <f>COUNTIFS(pm!$D$2:$D$139,I$5,pm!$Q$2:$Q$139,"&gt;"&amp;$B14,pm!$Q$2:$Q$139,"&lt;="&amp;$C14)</f>
        <v>0</v>
      </c>
      <c r="J14" s="153">
        <f t="shared" si="1"/>
        <v>0</v>
      </c>
      <c r="K14" s="154">
        <f t="shared" si="2"/>
        <v>0</v>
      </c>
      <c r="L14" s="155">
        <f t="shared" si="0"/>
        <v>0</v>
      </c>
      <c r="M14" s="155">
        <f t="shared" si="0"/>
        <v>0</v>
      </c>
      <c r="N14" s="155">
        <f t="shared" si="0"/>
        <v>0</v>
      </c>
      <c r="O14" s="213">
        <f t="shared" si="0"/>
        <v>0</v>
      </c>
      <c r="P14" s="156">
        <f t="shared" si="3"/>
        <v>0</v>
      </c>
    </row>
    <row r="15" spans="2:16" x14ac:dyDescent="0.3">
      <c r="B15" s="129">
        <v>-0.5</v>
      </c>
      <c r="C15" s="129">
        <v>-0.30000000000000004</v>
      </c>
      <c r="D15" s="157" t="s">
        <v>64</v>
      </c>
      <c r="E15" s="158">
        <f>COUNTIFS(pm!$D$2:$D$139,E$5,pm!$Q$2:$Q$139,"&gt;"&amp;$B15,pm!$Q$2:$Q$139,"&lt;="&amp;$C15)</f>
        <v>0</v>
      </c>
      <c r="F15" s="158">
        <f>COUNTIFS(pm!$D$2:$D$139,F$5,pm!$Q$2:$Q$139,"&gt;"&amp;$B15,pm!$Q$2:$Q$139,"&lt;="&amp;$C15)</f>
        <v>0</v>
      </c>
      <c r="G15" s="158">
        <f>COUNTIFS(pm!$D$2:$D$139,G$5,pm!$Q$2:$Q$139,"&gt;"&amp;$B15,pm!$Q$2:$Q$139,"&lt;="&amp;$C15)</f>
        <v>0</v>
      </c>
      <c r="H15" s="158">
        <f>COUNTIFS(pm!$D$2:$D$139,H$5,pm!$Q$2:$Q$139,"&gt;"&amp;$B15,pm!$Q$2:$Q$139,"&lt;="&amp;$C15)</f>
        <v>0</v>
      </c>
      <c r="I15" s="209">
        <f>COUNTIFS(pm!$D$2:$D$139,I$5,pm!$Q$2:$Q$139,"&gt;"&amp;$B15,pm!$Q$2:$Q$139,"&lt;="&amp;$C15)</f>
        <v>0</v>
      </c>
      <c r="J15" s="159">
        <f t="shared" si="1"/>
        <v>0</v>
      </c>
      <c r="K15" s="160">
        <f t="shared" si="2"/>
        <v>0</v>
      </c>
      <c r="L15" s="161">
        <f t="shared" si="0"/>
        <v>0</v>
      </c>
      <c r="M15" s="161">
        <f t="shared" si="0"/>
        <v>0</v>
      </c>
      <c r="N15" s="161">
        <f t="shared" si="0"/>
        <v>0</v>
      </c>
      <c r="O15" s="214">
        <f t="shared" si="0"/>
        <v>0</v>
      </c>
      <c r="P15" s="162">
        <f t="shared" si="3"/>
        <v>0</v>
      </c>
    </row>
    <row r="16" spans="2:16" x14ac:dyDescent="0.3">
      <c r="B16" s="129">
        <f>MIN(bd!Q2:Q139)</f>
        <v>-1</v>
      </c>
      <c r="C16" s="129">
        <v>-0.5</v>
      </c>
      <c r="D16" s="157" t="s">
        <v>65</v>
      </c>
      <c r="E16" s="158">
        <f>COUNTIFS(pm!$D$2:$D$139,E$5,pm!$Q$2:$Q$139,"&gt;"&amp;$B16,pm!$Q$2:$Q$139,"&lt;="&amp;$C16)</f>
        <v>0</v>
      </c>
      <c r="F16" s="158">
        <f>COUNTIFS(pm!$D$2:$D$139,F$5,pm!$Q$2:$Q$139,"&gt;"&amp;$B16,pm!$Q$2:$Q$139,"&lt;="&amp;$C16)</f>
        <v>0</v>
      </c>
      <c r="G16" s="158">
        <f>COUNTIFS(pm!$D$2:$D$139,G$5,pm!$Q$2:$Q$139,"&gt;"&amp;$B16,pm!$Q$2:$Q$139,"&lt;="&amp;$C16)</f>
        <v>0</v>
      </c>
      <c r="H16" s="158">
        <f>COUNTIFS(pm!$D$2:$D$139,H$5,pm!$Q$2:$Q$139,"&gt;"&amp;$B16,pm!$Q$2:$Q$139,"&lt;="&amp;$C16)</f>
        <v>0</v>
      </c>
      <c r="I16" s="209">
        <f>COUNTIFS(pm!$D$2:$D$139,I$5,pm!$Q$2:$Q$139,"&gt;"&amp;$B16,pm!$Q$2:$Q$139,"&lt;="&amp;$C16)</f>
        <v>0</v>
      </c>
      <c r="J16" s="159">
        <f t="shared" si="1"/>
        <v>0</v>
      </c>
      <c r="K16" s="160">
        <f t="shared" si="2"/>
        <v>0</v>
      </c>
      <c r="L16" s="161">
        <f t="shared" si="0"/>
        <v>0</v>
      </c>
      <c r="M16" s="161">
        <f t="shared" si="0"/>
        <v>0</v>
      </c>
      <c r="N16" s="161">
        <f t="shared" si="0"/>
        <v>0</v>
      </c>
      <c r="O16" s="214">
        <f t="shared" si="0"/>
        <v>0</v>
      </c>
      <c r="P16" s="162">
        <f t="shared" si="3"/>
        <v>0</v>
      </c>
    </row>
    <row r="17" spans="2:16" x14ac:dyDescent="0.3">
      <c r="B17" s="128"/>
      <c r="C17" s="128"/>
      <c r="D17" s="163" t="s">
        <v>66</v>
      </c>
      <c r="E17" s="164">
        <f>SUM(E11:E12)</f>
        <v>0</v>
      </c>
      <c r="F17" s="164">
        <f t="shared" ref="F17:I17" si="4">SUM(F11:F12)</f>
        <v>0</v>
      </c>
      <c r="G17" s="164">
        <f t="shared" si="4"/>
        <v>0</v>
      </c>
      <c r="H17" s="165">
        <f t="shared" si="4"/>
        <v>0</v>
      </c>
      <c r="I17" s="165">
        <f t="shared" si="4"/>
        <v>0</v>
      </c>
      <c r="J17" s="165">
        <f t="shared" si="1"/>
        <v>0</v>
      </c>
      <c r="K17" s="166">
        <f>SUM(K11:K12)</f>
        <v>0</v>
      </c>
      <c r="L17" s="167">
        <f t="shared" ref="L17:O17" si="5">SUM(L11:L12)</f>
        <v>0</v>
      </c>
      <c r="M17" s="167">
        <f t="shared" si="5"/>
        <v>0</v>
      </c>
      <c r="N17" s="168">
        <f t="shared" si="5"/>
        <v>0</v>
      </c>
      <c r="O17" s="168">
        <f t="shared" si="5"/>
        <v>0</v>
      </c>
      <c r="P17" s="169">
        <f t="shared" si="3"/>
        <v>0</v>
      </c>
    </row>
    <row r="18" spans="2:16" x14ac:dyDescent="0.3">
      <c r="B18" s="128"/>
      <c r="C18" s="128"/>
      <c r="D18" s="170" t="s">
        <v>67</v>
      </c>
      <c r="E18" s="171">
        <f>SUM(E10:E13)</f>
        <v>0</v>
      </c>
      <c r="F18" s="171">
        <f t="shared" ref="F18:I18" si="6">SUM(F10:F13)</f>
        <v>0</v>
      </c>
      <c r="G18" s="171">
        <f t="shared" si="6"/>
        <v>0</v>
      </c>
      <c r="H18" s="172">
        <f t="shared" si="6"/>
        <v>0</v>
      </c>
      <c r="I18" s="172">
        <f t="shared" si="6"/>
        <v>0</v>
      </c>
      <c r="J18" s="172">
        <f t="shared" si="1"/>
        <v>0</v>
      </c>
      <c r="K18" s="173">
        <f>SUM(K10:K13)</f>
        <v>0</v>
      </c>
      <c r="L18" s="174">
        <f t="shared" ref="L18:O18" si="7">SUM(L10:L13)</f>
        <v>0</v>
      </c>
      <c r="M18" s="174">
        <f t="shared" si="7"/>
        <v>0</v>
      </c>
      <c r="N18" s="175">
        <f t="shared" si="7"/>
        <v>0</v>
      </c>
      <c r="O18" s="175">
        <f t="shared" si="7"/>
        <v>0</v>
      </c>
      <c r="P18" s="176">
        <f t="shared" si="3"/>
        <v>0</v>
      </c>
    </row>
    <row r="19" spans="2:16" ht="15" thickBot="1" x14ac:dyDescent="0.35">
      <c r="B19" s="128"/>
      <c r="C19" s="128"/>
      <c r="D19" s="177" t="s">
        <v>68</v>
      </c>
      <c r="E19" s="178">
        <f>SUM(E9:E14)</f>
        <v>0</v>
      </c>
      <c r="F19" s="178">
        <f t="shared" ref="F19:I19" si="8">SUM(F9:F14)</f>
        <v>0</v>
      </c>
      <c r="G19" s="178">
        <f t="shared" si="8"/>
        <v>0</v>
      </c>
      <c r="H19" s="179">
        <f t="shared" si="8"/>
        <v>0</v>
      </c>
      <c r="I19" s="179">
        <f t="shared" si="8"/>
        <v>0</v>
      </c>
      <c r="J19" s="179">
        <f t="shared" si="1"/>
        <v>0</v>
      </c>
      <c r="K19" s="180">
        <f>SUM(K9:K14)</f>
        <v>0</v>
      </c>
      <c r="L19" s="181">
        <f t="shared" ref="L19:O19" si="9">SUM(L9:L14)</f>
        <v>0</v>
      </c>
      <c r="M19" s="181">
        <f t="shared" si="9"/>
        <v>0</v>
      </c>
      <c r="N19" s="182">
        <f t="shared" si="9"/>
        <v>0</v>
      </c>
      <c r="O19" s="182">
        <f t="shared" si="9"/>
        <v>0</v>
      </c>
      <c r="P19" s="183">
        <f t="shared" si="3"/>
        <v>0</v>
      </c>
    </row>
    <row r="20" spans="2:16" x14ac:dyDescent="0.3">
      <c r="B20" s="128"/>
      <c r="C20" s="128"/>
      <c r="D20" s="402" t="s">
        <v>69</v>
      </c>
      <c r="E20" s="403"/>
      <c r="F20" s="403"/>
      <c r="G20" s="403"/>
      <c r="H20" s="403"/>
      <c r="I20" s="403"/>
      <c r="J20" s="403"/>
      <c r="K20" s="404" t="s">
        <v>70</v>
      </c>
      <c r="L20" s="405"/>
      <c r="M20" s="405"/>
      <c r="N20" s="405"/>
      <c r="O20" s="405"/>
      <c r="P20" s="406"/>
    </row>
    <row r="21" spans="2:16" x14ac:dyDescent="0.3">
      <c r="B21" s="184"/>
      <c r="C21" s="184"/>
      <c r="D21" s="185" t="s">
        <v>80</v>
      </c>
      <c r="E21" s="186">
        <f>COUNTIFS(pm!$D$2:$D$139,E$5,pm!$Q$2:$Q$139,"&gt;0")</f>
        <v>0</v>
      </c>
      <c r="F21" s="186">
        <f>COUNTIFS(pm!$D$2:$D$139,F$5,pm!$Q$2:$Q$139,"&gt;0")</f>
        <v>0</v>
      </c>
      <c r="G21" s="186">
        <f>COUNTIFS(pm!$D$2:$D$139,G$5,pm!$Q$2:$Q$139,"&gt;0")</f>
        <v>0</v>
      </c>
      <c r="H21" s="186">
        <f>COUNTIFS(pm!$D$2:$D$139,H$5,pm!$Q$2:$Q$139,"&gt;0")</f>
        <v>0</v>
      </c>
      <c r="I21" s="187">
        <f>COUNTIFS(pm!$D$2:$D$139,I$5,pm!$Q$2:$Q$139,"&gt;0")</f>
        <v>0</v>
      </c>
      <c r="J21" s="187">
        <f>SUM(E21:I21)</f>
        <v>0</v>
      </c>
      <c r="K21" s="188">
        <f>E21/E$23</f>
        <v>0</v>
      </c>
      <c r="L21" s="189">
        <f t="shared" ref="L21:P22" si="10">F21/F$23</f>
        <v>0</v>
      </c>
      <c r="M21" s="189">
        <f t="shared" si="10"/>
        <v>0</v>
      </c>
      <c r="N21" s="189">
        <f t="shared" si="10"/>
        <v>0</v>
      </c>
      <c r="O21" s="192">
        <f t="shared" si="10"/>
        <v>0</v>
      </c>
      <c r="P21" s="190">
        <f t="shared" si="10"/>
        <v>0</v>
      </c>
    </row>
    <row r="22" spans="2:16" x14ac:dyDescent="0.3">
      <c r="B22" s="184"/>
      <c r="C22" s="184"/>
      <c r="D22" s="191" t="s">
        <v>81</v>
      </c>
      <c r="E22" s="186">
        <f>COUNTIFS(pm!$D$2:$D$139,E$5,pm!$Q$2:$Q$139,"&lt;0")</f>
        <v>1</v>
      </c>
      <c r="F22" s="186">
        <f>COUNTIFS(pm!$D$2:$D$139,F$5,pm!$Q$2:$Q$139,"&lt;0")</f>
        <v>4</v>
      </c>
      <c r="G22" s="186">
        <f>COUNTIFS(pm!$D$2:$D$139,G$5,pm!$Q$2:$Q$139,"&lt;0")</f>
        <v>10</v>
      </c>
      <c r="H22" s="187">
        <f>COUNTIFS(pm!$D$2:$D$139,H$5,pm!$Q$2:$Q$139,"&lt;0")</f>
        <v>9</v>
      </c>
      <c r="I22" s="187">
        <f>COUNTIFS(pm!$D$2:$D$139,I$5,pm!$Q$2:$Q$139,"&lt;0")</f>
        <v>114</v>
      </c>
      <c r="J22" s="187">
        <f>SUM(E22:I22)</f>
        <v>138</v>
      </c>
      <c r="K22" s="188">
        <f>E22/E$23</f>
        <v>1</v>
      </c>
      <c r="L22" s="189">
        <f t="shared" si="10"/>
        <v>1</v>
      </c>
      <c r="M22" s="189">
        <f t="shared" si="10"/>
        <v>1</v>
      </c>
      <c r="N22" s="192">
        <f t="shared" si="10"/>
        <v>1</v>
      </c>
      <c r="O22" s="192">
        <f t="shared" si="10"/>
        <v>1</v>
      </c>
      <c r="P22" s="190">
        <f t="shared" si="10"/>
        <v>1</v>
      </c>
    </row>
    <row r="23" spans="2:16" ht="15" thickBot="1" x14ac:dyDescent="0.35">
      <c r="B23" s="184"/>
      <c r="C23" s="184"/>
      <c r="D23" s="193" t="s">
        <v>82</v>
      </c>
      <c r="E23" s="194">
        <f>E21+E22</f>
        <v>1</v>
      </c>
      <c r="F23" s="194">
        <f t="shared" ref="F23:I23" si="11">F21+F22</f>
        <v>4</v>
      </c>
      <c r="G23" s="194">
        <f t="shared" si="11"/>
        <v>10</v>
      </c>
      <c r="H23" s="194">
        <f t="shared" si="11"/>
        <v>9</v>
      </c>
      <c r="I23" s="195">
        <f t="shared" si="11"/>
        <v>114</v>
      </c>
      <c r="J23" s="195">
        <f>J21+J22</f>
        <v>138</v>
      </c>
      <c r="K23" s="196">
        <f>SUM(K21:K22)</f>
        <v>1</v>
      </c>
      <c r="L23" s="197">
        <f t="shared" ref="L23:P23" si="12">SUM(L21:L22)</f>
        <v>1</v>
      </c>
      <c r="M23" s="197">
        <f t="shared" si="12"/>
        <v>1</v>
      </c>
      <c r="N23" s="197">
        <f t="shared" si="12"/>
        <v>1</v>
      </c>
      <c r="O23" s="215">
        <f t="shared" si="12"/>
        <v>1</v>
      </c>
      <c r="P23" s="198">
        <f t="shared" si="12"/>
        <v>1</v>
      </c>
    </row>
    <row r="24" spans="2:16" x14ac:dyDescent="0.3">
      <c r="B24" s="184"/>
      <c r="C24" s="184"/>
      <c r="D24" s="381" t="s">
        <v>71</v>
      </c>
      <c r="E24" s="382"/>
      <c r="F24" s="382"/>
      <c r="G24" s="382"/>
      <c r="H24" s="382"/>
      <c r="I24" s="382"/>
      <c r="J24" s="383"/>
      <c r="K24" s="384"/>
      <c r="L24" s="385"/>
      <c r="M24" s="385"/>
      <c r="N24" s="385"/>
      <c r="O24" s="385"/>
      <c r="P24" s="385"/>
    </row>
    <row r="25" spans="2:16" x14ac:dyDescent="0.3">
      <c r="B25" s="184"/>
      <c r="C25" s="184"/>
      <c r="D25" s="238" t="s">
        <v>72</v>
      </c>
      <c r="E25" s="239" t="str">
        <f>IFERROR(AVERAGEIFS(pm!$Q$2:$Q$139,pm!$D$2:$D$139,E$5,pm!$Q$2:$Q$139,"&gt;0"),"")</f>
        <v/>
      </c>
      <c r="F25" s="239" t="str">
        <f>IFERROR(AVERAGEIFS(pm!$Q$2:$Q$139,pm!$D$2:$D$139,F$5,pm!$Q$2:$Q$139,"&gt;0"),"")</f>
        <v/>
      </c>
      <c r="G25" s="239" t="str">
        <f>IFERROR(AVERAGEIFS(pm!$Q$2:$Q$139,pm!$D$2:$D$139,G$5,pm!$Q$2:$Q$139,"&gt;0"),"")</f>
        <v/>
      </c>
      <c r="H25" s="240" t="str">
        <f>IFERROR(AVERAGEIFS(pm!$Q$2:$Q$139,pm!$D$2:$D$139,H$5,pm!$Q$2:$Q$139,"&gt;0"),"")</f>
        <v/>
      </c>
      <c r="I25" s="240" t="str">
        <f>IFERROR(AVERAGEIFS(pm!$Q$2:$Q$139,pm!$D$2:$D$139,I$5,pm!$Q$2:$Q$139,"&gt;0"),"")</f>
        <v/>
      </c>
      <c r="J25" s="240" t="e">
        <f>AVERAGEIFS(pm!$Q$2:$Q$139,pm!$Q$2:$Q$139,"&gt;=0")</f>
        <v>#DIV/0!</v>
      </c>
      <c r="K25" s="199"/>
      <c r="L25" s="200"/>
      <c r="M25" s="200"/>
      <c r="N25" s="200"/>
      <c r="O25" s="200"/>
      <c r="P25" s="200"/>
    </row>
    <row r="26" spans="2:16" x14ac:dyDescent="0.3">
      <c r="B26" s="184"/>
      <c r="C26" s="184"/>
      <c r="D26" s="241" t="s">
        <v>73</v>
      </c>
      <c r="E26" s="242">
        <f>IFERROR(AVERAGEIFS(pm!$Q$2:$Q$139,pm!$D$2:$D$139,E$5,pm!$Q$2:$Q$139,"&lt;0"),"")</f>
        <v>-1</v>
      </c>
      <c r="F26" s="242">
        <f>IFERROR(AVERAGEIFS(pm!$Q$2:$Q$139,pm!$D$2:$D$139,F$5,pm!$Q$2:$Q$139,"&lt;0"),"")</f>
        <v>-1</v>
      </c>
      <c r="G26" s="242">
        <f>IFERROR(AVERAGEIFS(pm!$Q$2:$Q$139,pm!$D$2:$D$139,G$5,pm!$Q$2:$Q$139,"&lt;0"),"")</f>
        <v>-1</v>
      </c>
      <c r="H26" s="243">
        <f>IFERROR(AVERAGEIFS(pm!$Q$2:$Q$139,pm!$D$2:$D$139,H$5,pm!$Q$2:$Q$139,"&lt;0"),"")</f>
        <v>-1</v>
      </c>
      <c r="I26" s="243">
        <f>IFERROR(AVERAGEIFS(pm!$Q$2:$Q$139,pm!$D$2:$D$139,I$5,pm!$Q$2:$Q$139,"&lt;0"),"")</f>
        <v>-1</v>
      </c>
      <c r="J26" s="243">
        <f>AVERAGEIFS(pm!$Q$2:$Q$139,pm!$Q$2:$Q$139,"&lt;0")</f>
        <v>-1</v>
      </c>
      <c r="K26" s="199"/>
      <c r="L26" s="200"/>
      <c r="M26" s="200"/>
      <c r="N26" s="200"/>
      <c r="O26" s="200"/>
      <c r="P26" s="200"/>
    </row>
    <row r="27" spans="2:16" ht="15" thickBot="1" x14ac:dyDescent="0.35">
      <c r="B27" s="184"/>
      <c r="C27" s="184"/>
      <c r="D27" s="185" t="s">
        <v>74</v>
      </c>
      <c r="E27" s="189">
        <f>AVERAGEIFS(pm!$Q$2:$Q$139,pm!$D$2:$D$139,E$5)</f>
        <v>-1</v>
      </c>
      <c r="F27" s="189">
        <f>AVERAGEIFS(pm!$Q$2:$Q$139,pm!$D$2:$D$139,F$5)</f>
        <v>-1</v>
      </c>
      <c r="G27" s="189">
        <f>AVERAGEIFS(pm!$Q$2:$Q$139,pm!$D$2:$D$139,G$5)</f>
        <v>-1</v>
      </c>
      <c r="H27" s="189">
        <f>AVERAGEIFS(pm!$Q$2:$Q$139,pm!$D$2:$D$139,H$5)</f>
        <v>-1</v>
      </c>
      <c r="I27" s="192">
        <f>AVERAGEIFS(pm!$Q$2:$Q$139,pm!$D$2:$D$139,I$5)</f>
        <v>-1</v>
      </c>
      <c r="J27" s="192">
        <f>AVERAGE(pm!Q2:Q139)</f>
        <v>-1</v>
      </c>
      <c r="K27" s="201"/>
      <c r="L27" s="202"/>
      <c r="M27" s="202"/>
      <c r="N27" s="202"/>
      <c r="O27" s="202"/>
      <c r="P27" s="202"/>
    </row>
    <row r="28" spans="2:16" x14ac:dyDescent="0.3">
      <c r="B28" s="128"/>
      <c r="C28" s="128"/>
      <c r="D28" s="386" t="s">
        <v>75</v>
      </c>
      <c r="E28" s="387"/>
      <c r="F28" s="387"/>
      <c r="G28" s="387"/>
      <c r="H28" s="387"/>
      <c r="I28" s="387"/>
      <c r="J28" s="388"/>
      <c r="K28" s="203"/>
      <c r="L28" s="7"/>
      <c r="M28" s="7"/>
      <c r="N28" s="7"/>
      <c r="O28" s="7"/>
      <c r="P28" s="7"/>
    </row>
    <row r="29" spans="2:16" x14ac:dyDescent="0.3">
      <c r="B29" s="128"/>
      <c r="C29" s="128"/>
      <c r="D29" s="204" t="s">
        <v>76</v>
      </c>
      <c r="E29" s="205">
        <f>SQRT(AVERAGE(pm!$R2))/AVERAGE(pm!$J2)</f>
        <v>1</v>
      </c>
      <c r="F29" s="205">
        <f>SQRT(AVERAGE(pm!$R3:'pm'!$R6))/AVERAGE(pm!$J3:'pm'!$J6)</f>
        <v>1.1255848640197887</v>
      </c>
      <c r="G29" s="205">
        <f>SQRT(AVERAGE(pm!$R7:'pm'!$R16))/AVERAGE(pm!$J7:'pm'!$J16)</f>
        <v>1.3026400730537737</v>
      </c>
      <c r="H29" s="205">
        <f>SQRT(AVERAGE(pm!$R17:'pm'!$R25))/AVERAGE(pm!$J17:'pm'!$J25)</f>
        <v>1.690949124424856</v>
      </c>
      <c r="I29" s="205">
        <f>SQRT(AVERAGE(pm!$R26:'pm'!$R139))/AVERAGE(pm!$J26:'pm'!$J139)</f>
        <v>1.6289519569319488</v>
      </c>
      <c r="J29" s="205">
        <f>SQRT(AVERAGE(pm!$R2:'pm'!$R139))/AVERAGE(pm!$J2:'pm'!$J139)</f>
        <v>3.118933126598519</v>
      </c>
      <c r="K29" s="203"/>
      <c r="L29" s="7"/>
      <c r="M29" s="7"/>
      <c r="N29" s="7"/>
      <c r="O29" s="7"/>
      <c r="P29" s="7"/>
    </row>
    <row r="30" spans="2:16" x14ac:dyDescent="0.3">
      <c r="B30" s="128"/>
      <c r="C30" s="128"/>
      <c r="D30" s="389" t="s">
        <v>77</v>
      </c>
      <c r="E30" s="390"/>
      <c r="F30" s="390"/>
      <c r="G30" s="390"/>
      <c r="H30" s="390"/>
      <c r="I30" s="390"/>
      <c r="J30" s="390"/>
      <c r="K30" s="203"/>
      <c r="L30" s="7"/>
      <c r="M30" s="7"/>
      <c r="N30" s="7"/>
      <c r="O30" s="7"/>
      <c r="P30" s="7"/>
    </row>
    <row r="31" spans="2:16" ht="15" thickBot="1" x14ac:dyDescent="0.35">
      <c r="B31" s="128"/>
      <c r="C31" s="128"/>
      <c r="D31" s="206" t="s">
        <v>78</v>
      </c>
      <c r="E31" s="207">
        <f>LINEST(pm!$P2:'pm'!$P2,pm!J$2:'pm'!J$2,FALSE)</f>
        <v>0</v>
      </c>
      <c r="F31" s="207">
        <f>LINEST(pm!$P3:'pm'!$P6,pm!J$3:'pm'!J$6,FALSE)</f>
        <v>0</v>
      </c>
      <c r="G31" s="207">
        <f>LINEST(pm!$P7:'pm'!$P16,pm!J$7:'pm'!J$16,FALSE)</f>
        <v>0</v>
      </c>
      <c r="H31" s="207">
        <f>LINEST(pm!$P17:'pm'!$P25,pm!J$17:'pm'!J$25,FALSE)</f>
        <v>0</v>
      </c>
      <c r="I31" s="207">
        <f>LINEST(pm!$P26:'pm'!$P139,pm!J$26:'pm'!J$139,FALSE)</f>
        <v>0</v>
      </c>
      <c r="J31" s="207">
        <f>LINEST(pm!$P2:'pm'!$P139,pm!J$2:'pm'!J$139,FALSE)</f>
        <v>0</v>
      </c>
      <c r="K31" s="203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7" tint="0.39997558519241921"/>
  </sheetPr>
  <dimension ref="A1"/>
  <sheetViews>
    <sheetView showGridLines="0" topLeftCell="A107" workbookViewId="0">
      <selection activeCell="Q148" sqref="Q14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rgb="FFFFFF00"/>
  </sheetPr>
  <dimension ref="A1:L139"/>
  <sheetViews>
    <sheetView workbookViewId="0">
      <pane ySplit="1" topLeftCell="A2" activePane="bottomLeft" state="frozen"/>
      <selection activeCell="K37" sqref="K37"/>
      <selection pane="bottomLeft" activeCell="K37" sqref="K37"/>
    </sheetView>
  </sheetViews>
  <sheetFormatPr defaultColWidth="9.109375" defaultRowHeight="14.4" x14ac:dyDescent="0.3"/>
  <cols>
    <col min="1" max="1" width="11.6640625" style="5" bestFit="1" customWidth="1"/>
    <col min="2" max="2" width="21.88671875" style="5" bestFit="1" customWidth="1"/>
    <col min="3" max="3" width="45" style="5" bestFit="1" customWidth="1"/>
    <col min="4" max="4" width="9.109375" style="5"/>
    <col min="5" max="5" width="45" style="5" bestFit="1" customWidth="1"/>
    <col min="6" max="6" width="14.33203125" style="5" bestFit="1" customWidth="1"/>
    <col min="7" max="8" width="9.109375" style="5"/>
    <col min="9" max="9" width="7" style="5" bestFit="1" customWidth="1"/>
    <col min="10" max="10" width="5.88671875" style="5" bestFit="1" customWidth="1"/>
    <col min="11" max="11" width="21.88671875" style="5" bestFit="1" customWidth="1"/>
    <col min="12" max="12" width="39.6640625" style="5" bestFit="1" customWidth="1"/>
    <col min="13" max="16384" width="9.109375" style="5"/>
  </cols>
  <sheetData>
    <row r="1" spans="1:12" x14ac:dyDescent="0.3">
      <c r="A1" s="5" t="s">
        <v>16</v>
      </c>
      <c r="B1" s="5" t="s">
        <v>94</v>
      </c>
      <c r="C1" s="5" t="s">
        <v>95</v>
      </c>
      <c r="E1" s="5" t="s">
        <v>95</v>
      </c>
      <c r="I1" s="5" t="s">
        <v>103</v>
      </c>
      <c r="J1" s="5" t="s">
        <v>16</v>
      </c>
      <c r="K1" s="5" t="s">
        <v>94</v>
      </c>
      <c r="L1" s="5" t="s">
        <v>95</v>
      </c>
    </row>
    <row r="2" spans="1:12" x14ac:dyDescent="0.3">
      <c r="A2" s="5">
        <v>398</v>
      </c>
      <c r="B2" s="5">
        <v>23</v>
      </c>
      <c r="C2" s="5" t="s">
        <v>100</v>
      </c>
      <c r="E2" s="5" t="s">
        <v>96</v>
      </c>
      <c r="F2" s="5" t="s">
        <v>0</v>
      </c>
      <c r="I2" s="5">
        <v>709118</v>
      </c>
      <c r="J2" s="5">
        <v>709</v>
      </c>
      <c r="K2" s="5">
        <v>28</v>
      </c>
      <c r="L2" s="5" t="s">
        <v>97</v>
      </c>
    </row>
    <row r="3" spans="1:12" x14ac:dyDescent="0.3">
      <c r="A3" s="5">
        <v>399</v>
      </c>
      <c r="B3" s="5">
        <v>24</v>
      </c>
      <c r="C3" s="5" t="s">
        <v>101</v>
      </c>
      <c r="E3" s="5" t="s">
        <v>97</v>
      </c>
      <c r="F3" s="5" t="s">
        <v>9</v>
      </c>
      <c r="I3" s="5">
        <v>709218</v>
      </c>
      <c r="J3" s="5">
        <v>709</v>
      </c>
      <c r="K3" s="5">
        <v>28</v>
      </c>
      <c r="L3" s="5" t="s">
        <v>97</v>
      </c>
    </row>
    <row r="4" spans="1:12" x14ac:dyDescent="0.3">
      <c r="A4" s="5">
        <v>510</v>
      </c>
      <c r="B4" s="5">
        <v>24</v>
      </c>
      <c r="C4" s="5" t="s">
        <v>101</v>
      </c>
      <c r="E4" s="5" t="s">
        <v>98</v>
      </c>
      <c r="F4" s="5" t="s">
        <v>10</v>
      </c>
      <c r="I4" s="5">
        <v>709104</v>
      </c>
      <c r="J4" s="5">
        <v>709</v>
      </c>
      <c r="K4" s="5">
        <v>29</v>
      </c>
      <c r="L4" s="5" t="s">
        <v>96</v>
      </c>
    </row>
    <row r="5" spans="1:12" x14ac:dyDescent="0.3">
      <c r="A5" s="5">
        <v>520</v>
      </c>
      <c r="B5" s="5">
        <v>24</v>
      </c>
      <c r="C5" s="5" t="s">
        <v>101</v>
      </c>
      <c r="E5" s="5" t="s">
        <v>99</v>
      </c>
      <c r="F5" s="5" t="s">
        <v>11</v>
      </c>
      <c r="I5" s="5">
        <v>709110</v>
      </c>
      <c r="J5" s="5">
        <v>709</v>
      </c>
      <c r="K5" s="5">
        <v>29</v>
      </c>
      <c r="L5" s="5" t="s">
        <v>96</v>
      </c>
    </row>
    <row r="6" spans="1:12" x14ac:dyDescent="0.3">
      <c r="A6" s="5">
        <v>530</v>
      </c>
      <c r="B6" s="5">
        <v>24</v>
      </c>
      <c r="C6" s="5" t="s">
        <v>101</v>
      </c>
      <c r="E6" s="5" t="s">
        <v>100</v>
      </c>
      <c r="F6" s="5" t="s">
        <v>12</v>
      </c>
      <c r="I6" s="5">
        <v>709114</v>
      </c>
      <c r="J6" s="5">
        <v>709</v>
      </c>
      <c r="K6" s="5">
        <v>29</v>
      </c>
      <c r="L6" s="5" t="s">
        <v>96</v>
      </c>
    </row>
    <row r="7" spans="1:12" x14ac:dyDescent="0.3">
      <c r="A7" s="5">
        <v>235</v>
      </c>
      <c r="B7" s="5">
        <v>25</v>
      </c>
      <c r="C7" s="5" t="s">
        <v>99</v>
      </c>
      <c r="E7" s="5" t="s">
        <v>101</v>
      </c>
      <c r="F7" s="5" t="s">
        <v>13</v>
      </c>
      <c r="I7" s="5">
        <v>709204</v>
      </c>
      <c r="J7" s="5">
        <v>709</v>
      </c>
      <c r="K7" s="5">
        <v>29</v>
      </c>
      <c r="L7" s="5" t="s">
        <v>96</v>
      </c>
    </row>
    <row r="8" spans="1:12" x14ac:dyDescent="0.3">
      <c r="A8" s="5">
        <v>237</v>
      </c>
      <c r="B8" s="5">
        <v>25</v>
      </c>
      <c r="C8" s="5" t="s">
        <v>99</v>
      </c>
      <c r="E8" s="5" t="s">
        <v>102</v>
      </c>
      <c r="I8" s="5">
        <v>709210</v>
      </c>
      <c r="J8" s="5">
        <v>709</v>
      </c>
      <c r="K8" s="5">
        <v>29</v>
      </c>
      <c r="L8" s="5" t="s">
        <v>96</v>
      </c>
    </row>
    <row r="9" spans="1:12" x14ac:dyDescent="0.3">
      <c r="A9" s="5">
        <v>280</v>
      </c>
      <c r="B9" s="5">
        <v>25</v>
      </c>
      <c r="C9" s="5" t="s">
        <v>99</v>
      </c>
      <c r="I9" s="5">
        <v>709214</v>
      </c>
      <c r="J9" s="5">
        <v>709</v>
      </c>
      <c r="K9" s="5">
        <v>29</v>
      </c>
      <c r="L9" s="5" t="s">
        <v>96</v>
      </c>
    </row>
    <row r="10" spans="1:12" x14ac:dyDescent="0.3">
      <c r="A10" s="5">
        <v>290</v>
      </c>
      <c r="B10" s="5">
        <v>25</v>
      </c>
      <c r="C10" s="5" t="s">
        <v>99</v>
      </c>
    </row>
    <row r="11" spans="1:12" x14ac:dyDescent="0.3">
      <c r="A11" s="5">
        <v>201</v>
      </c>
      <c r="B11" s="5">
        <v>26</v>
      </c>
      <c r="C11" s="5" t="s">
        <v>98</v>
      </c>
    </row>
    <row r="12" spans="1:12" x14ac:dyDescent="0.3">
      <c r="A12" s="5">
        <v>202</v>
      </c>
      <c r="B12" s="5">
        <v>26</v>
      </c>
      <c r="C12" s="5" t="s">
        <v>98</v>
      </c>
    </row>
    <row r="13" spans="1:12" x14ac:dyDescent="0.3">
      <c r="A13" s="5">
        <v>204</v>
      </c>
      <c r="B13" s="5">
        <v>26</v>
      </c>
      <c r="C13" s="5" t="s">
        <v>98</v>
      </c>
    </row>
    <row r="14" spans="1:12" x14ac:dyDescent="0.3">
      <c r="A14" s="5">
        <v>215</v>
      </c>
      <c r="B14" s="5">
        <v>26</v>
      </c>
      <c r="C14" s="5" t="s">
        <v>98</v>
      </c>
    </row>
    <row r="15" spans="1:12" x14ac:dyDescent="0.3">
      <c r="A15" s="5">
        <v>350</v>
      </c>
      <c r="B15" s="5">
        <v>26</v>
      </c>
      <c r="C15" s="5" t="s">
        <v>98</v>
      </c>
    </row>
    <row r="16" spans="1:12" x14ac:dyDescent="0.3">
      <c r="A16" s="5">
        <v>870</v>
      </c>
      <c r="B16" s="5">
        <v>27</v>
      </c>
      <c r="C16" s="5" t="s">
        <v>102</v>
      </c>
    </row>
    <row r="17" spans="1:3" x14ac:dyDescent="0.3">
      <c r="A17" s="5">
        <v>10</v>
      </c>
      <c r="B17" s="5">
        <v>28</v>
      </c>
      <c r="C17" s="5" t="s">
        <v>97</v>
      </c>
    </row>
    <row r="18" spans="1:3" x14ac:dyDescent="0.3">
      <c r="A18" s="5">
        <v>20</v>
      </c>
      <c r="B18" s="5">
        <v>28</v>
      </c>
      <c r="C18" s="5" t="s">
        <v>97</v>
      </c>
    </row>
    <row r="19" spans="1:3" x14ac:dyDescent="0.3">
      <c r="A19" s="5">
        <v>50</v>
      </c>
      <c r="B19" s="5">
        <v>28</v>
      </c>
      <c r="C19" s="5" t="s">
        <v>97</v>
      </c>
    </row>
    <row r="20" spans="1:3" x14ac:dyDescent="0.3">
      <c r="A20" s="5">
        <v>60</v>
      </c>
      <c r="B20" s="5">
        <v>28</v>
      </c>
      <c r="C20" s="5" t="s">
        <v>97</v>
      </c>
    </row>
    <row r="21" spans="1:3" x14ac:dyDescent="0.3">
      <c r="A21" s="5">
        <v>110</v>
      </c>
      <c r="B21" s="5">
        <v>28</v>
      </c>
      <c r="C21" s="5" t="s">
        <v>97</v>
      </c>
    </row>
    <row r="22" spans="1:3" x14ac:dyDescent="0.3">
      <c r="A22" s="5">
        <v>120</v>
      </c>
      <c r="B22" s="5">
        <v>28</v>
      </c>
      <c r="C22" s="5" t="s">
        <v>97</v>
      </c>
    </row>
    <row r="23" spans="1:3" x14ac:dyDescent="0.3">
      <c r="A23" s="5">
        <v>150</v>
      </c>
      <c r="B23" s="5">
        <v>28</v>
      </c>
      <c r="C23" s="5" t="s">
        <v>97</v>
      </c>
    </row>
    <row r="24" spans="1:3" x14ac:dyDescent="0.3">
      <c r="A24" s="1" t="s">
        <v>104</v>
      </c>
      <c r="B24" s="1">
        <v>28</v>
      </c>
      <c r="C24" s="1" t="s">
        <v>97</v>
      </c>
    </row>
    <row r="25" spans="1:3" x14ac:dyDescent="0.3">
      <c r="A25" s="5">
        <v>950</v>
      </c>
      <c r="B25" s="5">
        <v>28</v>
      </c>
      <c r="C25" s="5" t="s">
        <v>97</v>
      </c>
    </row>
    <row r="26" spans="1:3" x14ac:dyDescent="0.3">
      <c r="A26" s="5">
        <v>1</v>
      </c>
      <c r="B26" s="5">
        <v>29</v>
      </c>
      <c r="C26" s="5" t="s">
        <v>96</v>
      </c>
    </row>
    <row r="27" spans="1:3" x14ac:dyDescent="0.3">
      <c r="A27" s="5">
        <v>2</v>
      </c>
      <c r="B27" s="5">
        <v>29</v>
      </c>
      <c r="C27" s="5" t="s">
        <v>96</v>
      </c>
    </row>
    <row r="28" spans="1:3" x14ac:dyDescent="0.3">
      <c r="A28" s="5">
        <v>3</v>
      </c>
      <c r="B28" s="5">
        <v>29</v>
      </c>
      <c r="C28" s="5" t="s">
        <v>96</v>
      </c>
    </row>
    <row r="29" spans="1:3" x14ac:dyDescent="0.3">
      <c r="A29" s="5">
        <v>4</v>
      </c>
      <c r="B29" s="5">
        <v>29</v>
      </c>
      <c r="C29" s="5" t="s">
        <v>96</v>
      </c>
    </row>
    <row r="30" spans="1:3" x14ac:dyDescent="0.3">
      <c r="A30" s="5">
        <v>5</v>
      </c>
      <c r="B30" s="5">
        <v>29</v>
      </c>
      <c r="C30" s="5" t="s">
        <v>96</v>
      </c>
    </row>
    <row r="31" spans="1:3" x14ac:dyDescent="0.3">
      <c r="A31" s="5">
        <v>6</v>
      </c>
      <c r="B31" s="5">
        <v>29</v>
      </c>
      <c r="C31" s="5" t="s">
        <v>96</v>
      </c>
    </row>
    <row r="32" spans="1:3" x14ac:dyDescent="0.3">
      <c r="A32" s="5">
        <v>7</v>
      </c>
      <c r="B32" s="5">
        <v>29</v>
      </c>
      <c r="C32" s="5" t="s">
        <v>96</v>
      </c>
    </row>
    <row r="33" spans="1:3" x14ac:dyDescent="0.3">
      <c r="A33" s="5">
        <v>8</v>
      </c>
      <c r="B33" s="5">
        <v>29</v>
      </c>
      <c r="C33" s="5" t="s">
        <v>96</v>
      </c>
    </row>
    <row r="34" spans="1:3" x14ac:dyDescent="0.3">
      <c r="A34" s="5">
        <v>9</v>
      </c>
      <c r="B34" s="5">
        <v>29</v>
      </c>
      <c r="C34" s="5" t="s">
        <v>96</v>
      </c>
    </row>
    <row r="35" spans="1:3" x14ac:dyDescent="0.3">
      <c r="A35" s="5">
        <v>11</v>
      </c>
      <c r="B35" s="5">
        <v>29</v>
      </c>
      <c r="C35" s="5" t="s">
        <v>96</v>
      </c>
    </row>
    <row r="36" spans="1:3" x14ac:dyDescent="0.3">
      <c r="A36" s="5">
        <v>13</v>
      </c>
      <c r="B36" s="5">
        <v>29</v>
      </c>
      <c r="C36" s="5" t="s">
        <v>96</v>
      </c>
    </row>
    <row r="37" spans="1:3" x14ac:dyDescent="0.3">
      <c r="A37" s="5">
        <v>14</v>
      </c>
      <c r="B37" s="5">
        <v>29</v>
      </c>
      <c r="C37" s="5" t="s">
        <v>96</v>
      </c>
    </row>
    <row r="38" spans="1:3" x14ac:dyDescent="0.3">
      <c r="A38" s="5">
        <v>18</v>
      </c>
      <c r="B38" s="5">
        <v>29</v>
      </c>
      <c r="C38" s="5" t="s">
        <v>96</v>
      </c>
    </row>
    <row r="39" spans="1:3" x14ac:dyDescent="0.3">
      <c r="A39" s="5">
        <v>25</v>
      </c>
      <c r="B39" s="5">
        <v>29</v>
      </c>
      <c r="C39" s="5" t="s">
        <v>96</v>
      </c>
    </row>
    <row r="40" spans="1:3" x14ac:dyDescent="0.3">
      <c r="A40" s="5">
        <v>27</v>
      </c>
      <c r="B40" s="5">
        <v>29</v>
      </c>
      <c r="C40" s="5" t="s">
        <v>96</v>
      </c>
    </row>
    <row r="41" spans="1:3" x14ac:dyDescent="0.3">
      <c r="A41" s="5">
        <v>28</v>
      </c>
      <c r="B41" s="5">
        <v>29</v>
      </c>
      <c r="C41" s="5" t="s">
        <v>96</v>
      </c>
    </row>
    <row r="42" spans="1:3" x14ac:dyDescent="0.3">
      <c r="A42" s="5">
        <v>30</v>
      </c>
      <c r="B42" s="5">
        <v>29</v>
      </c>
      <c r="C42" s="5" t="s">
        <v>96</v>
      </c>
    </row>
    <row r="43" spans="1:3" x14ac:dyDescent="0.3">
      <c r="A43" s="5">
        <v>31</v>
      </c>
      <c r="B43" s="5">
        <v>29</v>
      </c>
      <c r="C43" s="5" t="s">
        <v>96</v>
      </c>
    </row>
    <row r="44" spans="1:3" x14ac:dyDescent="0.3">
      <c r="A44" s="5">
        <v>35</v>
      </c>
      <c r="B44" s="5">
        <v>29</v>
      </c>
      <c r="C44" s="5" t="s">
        <v>96</v>
      </c>
    </row>
    <row r="45" spans="1:3" x14ac:dyDescent="0.3">
      <c r="A45" s="5">
        <v>41</v>
      </c>
      <c r="B45" s="5">
        <v>29</v>
      </c>
      <c r="C45" s="5" t="s">
        <v>96</v>
      </c>
    </row>
    <row r="46" spans="1:3" x14ac:dyDescent="0.3">
      <c r="A46" s="5">
        <v>44</v>
      </c>
      <c r="B46" s="5">
        <v>29</v>
      </c>
      <c r="C46" s="5" t="s">
        <v>96</v>
      </c>
    </row>
    <row r="47" spans="1:3" x14ac:dyDescent="0.3">
      <c r="A47" s="5">
        <v>83</v>
      </c>
      <c r="B47" s="5">
        <v>29</v>
      </c>
      <c r="C47" s="5" t="s">
        <v>96</v>
      </c>
    </row>
    <row r="48" spans="1:3" x14ac:dyDescent="0.3">
      <c r="A48" s="5">
        <v>84</v>
      </c>
      <c r="B48" s="5">
        <v>29</v>
      </c>
      <c r="C48" s="5" t="s">
        <v>96</v>
      </c>
    </row>
    <row r="49" spans="1:3" x14ac:dyDescent="0.3">
      <c r="A49" s="5">
        <v>88</v>
      </c>
      <c r="B49" s="5">
        <v>29</v>
      </c>
      <c r="C49" s="5" t="s">
        <v>96</v>
      </c>
    </row>
    <row r="50" spans="1:3" x14ac:dyDescent="0.3">
      <c r="A50" s="5">
        <v>101</v>
      </c>
      <c r="B50" s="5">
        <v>29</v>
      </c>
      <c r="C50" s="5" t="s">
        <v>96</v>
      </c>
    </row>
    <row r="51" spans="1:3" x14ac:dyDescent="0.3">
      <c r="A51" s="5">
        <v>105</v>
      </c>
      <c r="B51" s="5">
        <v>29</v>
      </c>
      <c r="C51" s="5" t="s">
        <v>96</v>
      </c>
    </row>
    <row r="52" spans="1:3" x14ac:dyDescent="0.3">
      <c r="A52" s="5">
        <v>115</v>
      </c>
      <c r="B52" s="5">
        <v>29</v>
      </c>
      <c r="C52" s="5" t="s">
        <v>96</v>
      </c>
    </row>
    <row r="53" spans="1:3" x14ac:dyDescent="0.3">
      <c r="A53" s="5">
        <v>276</v>
      </c>
      <c r="B53" s="5">
        <v>29</v>
      </c>
      <c r="C53" s="5" t="s">
        <v>96</v>
      </c>
    </row>
    <row r="54" spans="1:3" x14ac:dyDescent="0.3">
      <c r="A54" s="5">
        <v>302</v>
      </c>
      <c r="B54" s="5">
        <v>29</v>
      </c>
      <c r="C54" s="5" t="s">
        <v>96</v>
      </c>
    </row>
    <row r="55" spans="1:3" x14ac:dyDescent="0.3">
      <c r="A55" s="5">
        <v>303</v>
      </c>
      <c r="B55" s="5">
        <v>29</v>
      </c>
      <c r="C55" s="5" t="s">
        <v>96</v>
      </c>
    </row>
    <row r="56" spans="1:3" x14ac:dyDescent="0.3">
      <c r="A56" s="5">
        <v>304</v>
      </c>
      <c r="B56" s="5">
        <v>29</v>
      </c>
      <c r="C56" s="5" t="s">
        <v>96</v>
      </c>
    </row>
    <row r="57" spans="1:3" x14ac:dyDescent="0.3">
      <c r="A57" s="5">
        <v>305</v>
      </c>
      <c r="B57" s="5">
        <v>29</v>
      </c>
      <c r="C57" s="5" t="s">
        <v>96</v>
      </c>
    </row>
    <row r="58" spans="1:3" x14ac:dyDescent="0.3">
      <c r="A58" s="5">
        <v>306</v>
      </c>
      <c r="B58" s="5">
        <v>29</v>
      </c>
      <c r="C58" s="5" t="s">
        <v>96</v>
      </c>
    </row>
    <row r="59" spans="1:3" x14ac:dyDescent="0.3">
      <c r="A59" s="5">
        <v>308</v>
      </c>
      <c r="B59" s="5">
        <v>29</v>
      </c>
      <c r="C59" s="5" t="s">
        <v>96</v>
      </c>
    </row>
    <row r="60" spans="1:3" x14ac:dyDescent="0.3">
      <c r="A60" s="5">
        <v>309</v>
      </c>
      <c r="B60" s="5">
        <v>29</v>
      </c>
      <c r="C60" s="5" t="s">
        <v>96</v>
      </c>
    </row>
    <row r="61" spans="1:3" x14ac:dyDescent="0.3">
      <c r="A61" s="5">
        <v>311</v>
      </c>
      <c r="B61" s="5">
        <v>29</v>
      </c>
      <c r="C61" s="5" t="s">
        <v>96</v>
      </c>
    </row>
    <row r="62" spans="1:3" x14ac:dyDescent="0.3">
      <c r="A62" s="5">
        <v>313</v>
      </c>
      <c r="B62" s="5">
        <v>29</v>
      </c>
      <c r="C62" s="5" t="s">
        <v>96</v>
      </c>
    </row>
    <row r="63" spans="1:3" x14ac:dyDescent="0.3">
      <c r="A63" s="5">
        <v>315</v>
      </c>
      <c r="B63" s="5">
        <v>29</v>
      </c>
      <c r="C63" s="5" t="s">
        <v>96</v>
      </c>
    </row>
    <row r="64" spans="1:3" x14ac:dyDescent="0.3">
      <c r="A64" s="5">
        <v>316</v>
      </c>
      <c r="B64" s="5">
        <v>29</v>
      </c>
      <c r="C64" s="5" t="s">
        <v>96</v>
      </c>
    </row>
    <row r="65" spans="1:3" x14ac:dyDescent="0.3">
      <c r="A65" s="5">
        <v>318</v>
      </c>
      <c r="B65" s="5">
        <v>29</v>
      </c>
      <c r="C65" s="5" t="s">
        <v>96</v>
      </c>
    </row>
    <row r="66" spans="1:3" x14ac:dyDescent="0.3">
      <c r="A66" s="5">
        <v>323</v>
      </c>
      <c r="B66" s="5">
        <v>29</v>
      </c>
      <c r="C66" s="5" t="s">
        <v>96</v>
      </c>
    </row>
    <row r="67" spans="1:3" x14ac:dyDescent="0.3">
      <c r="A67" s="5">
        <v>325</v>
      </c>
      <c r="B67" s="5">
        <v>29</v>
      </c>
      <c r="C67" s="5" t="s">
        <v>96</v>
      </c>
    </row>
    <row r="68" spans="1:3" x14ac:dyDescent="0.3">
      <c r="A68" s="5">
        <v>332</v>
      </c>
      <c r="B68" s="5">
        <v>29</v>
      </c>
      <c r="C68" s="5" t="s">
        <v>96</v>
      </c>
    </row>
    <row r="69" spans="1:3" x14ac:dyDescent="0.3">
      <c r="A69" s="5">
        <v>334</v>
      </c>
      <c r="B69" s="5">
        <v>29</v>
      </c>
      <c r="C69" s="5" t="s">
        <v>96</v>
      </c>
    </row>
    <row r="70" spans="1:3" x14ac:dyDescent="0.3">
      <c r="A70" s="5">
        <v>335</v>
      </c>
      <c r="B70" s="5">
        <v>29</v>
      </c>
      <c r="C70" s="5" t="s">
        <v>96</v>
      </c>
    </row>
    <row r="71" spans="1:3" x14ac:dyDescent="0.3">
      <c r="A71" s="5">
        <v>347</v>
      </c>
      <c r="B71" s="5">
        <v>29</v>
      </c>
      <c r="C71" s="5" t="s">
        <v>96</v>
      </c>
    </row>
    <row r="72" spans="1:3" x14ac:dyDescent="0.3">
      <c r="A72" s="5">
        <v>351</v>
      </c>
      <c r="B72" s="5">
        <v>29</v>
      </c>
      <c r="C72" s="5" t="s">
        <v>96</v>
      </c>
    </row>
    <row r="73" spans="1:3" x14ac:dyDescent="0.3">
      <c r="A73" s="5">
        <v>352</v>
      </c>
      <c r="B73" s="5">
        <v>29</v>
      </c>
      <c r="C73" s="5" t="s">
        <v>96</v>
      </c>
    </row>
    <row r="74" spans="1:3" x14ac:dyDescent="0.3">
      <c r="A74" s="5">
        <v>353</v>
      </c>
      <c r="B74" s="5">
        <v>29</v>
      </c>
      <c r="C74" s="5" t="s">
        <v>96</v>
      </c>
    </row>
    <row r="75" spans="1:3" x14ac:dyDescent="0.3">
      <c r="A75" s="5">
        <v>354</v>
      </c>
      <c r="B75" s="5">
        <v>29</v>
      </c>
      <c r="C75" s="5" t="s">
        <v>96</v>
      </c>
    </row>
    <row r="76" spans="1:3" x14ac:dyDescent="0.3">
      <c r="A76" s="5">
        <v>355</v>
      </c>
      <c r="B76" s="5">
        <v>29</v>
      </c>
      <c r="C76" s="5" t="s">
        <v>96</v>
      </c>
    </row>
    <row r="77" spans="1:3" x14ac:dyDescent="0.3">
      <c r="A77" s="5">
        <v>356</v>
      </c>
      <c r="B77" s="5">
        <v>29</v>
      </c>
      <c r="C77" s="5" t="s">
        <v>96</v>
      </c>
    </row>
    <row r="78" spans="1:3" x14ac:dyDescent="0.3">
      <c r="A78" s="5">
        <v>357</v>
      </c>
      <c r="B78" s="5">
        <v>29</v>
      </c>
      <c r="C78" s="5" t="s">
        <v>96</v>
      </c>
    </row>
    <row r="79" spans="1:3" x14ac:dyDescent="0.3">
      <c r="A79" s="5">
        <v>358</v>
      </c>
      <c r="B79" s="5">
        <v>29</v>
      </c>
      <c r="C79" s="5" t="s">
        <v>96</v>
      </c>
    </row>
    <row r="80" spans="1:3" x14ac:dyDescent="0.3">
      <c r="A80" s="5">
        <v>359</v>
      </c>
      <c r="B80" s="5">
        <v>29</v>
      </c>
      <c r="C80" s="5" t="s">
        <v>96</v>
      </c>
    </row>
    <row r="81" spans="1:3" x14ac:dyDescent="0.3">
      <c r="A81" s="5">
        <v>371</v>
      </c>
      <c r="B81" s="5">
        <v>29</v>
      </c>
      <c r="C81" s="5" t="s">
        <v>96</v>
      </c>
    </row>
    <row r="82" spans="1:3" x14ac:dyDescent="0.3">
      <c r="A82" s="5">
        <v>388</v>
      </c>
      <c r="B82" s="5">
        <v>29</v>
      </c>
      <c r="C82" s="5" t="s">
        <v>96</v>
      </c>
    </row>
    <row r="83" spans="1:3" x14ac:dyDescent="0.3">
      <c r="A83" s="5">
        <v>389</v>
      </c>
      <c r="B83" s="5">
        <v>29</v>
      </c>
      <c r="C83" s="5" t="s">
        <v>96</v>
      </c>
    </row>
    <row r="84" spans="1:3" x14ac:dyDescent="0.3">
      <c r="A84" s="5">
        <v>392</v>
      </c>
      <c r="B84" s="5">
        <v>29</v>
      </c>
      <c r="C84" s="5" t="s">
        <v>96</v>
      </c>
    </row>
    <row r="85" spans="1:3" x14ac:dyDescent="0.3">
      <c r="A85" s="5">
        <v>395</v>
      </c>
      <c r="B85" s="5">
        <v>29</v>
      </c>
      <c r="C85" s="5" t="s">
        <v>96</v>
      </c>
    </row>
    <row r="86" spans="1:3" x14ac:dyDescent="0.3">
      <c r="A86" s="5">
        <v>444</v>
      </c>
      <c r="B86" s="5">
        <v>29</v>
      </c>
      <c r="C86" s="5" t="s">
        <v>96</v>
      </c>
    </row>
    <row r="87" spans="1:3" x14ac:dyDescent="0.3">
      <c r="A87" s="5">
        <v>445</v>
      </c>
      <c r="B87" s="5">
        <v>29</v>
      </c>
      <c r="C87" s="5" t="s">
        <v>96</v>
      </c>
    </row>
    <row r="88" spans="1:3" x14ac:dyDescent="0.3">
      <c r="A88" s="5">
        <v>446</v>
      </c>
      <c r="B88" s="5">
        <v>29</v>
      </c>
      <c r="C88" s="5" t="s">
        <v>96</v>
      </c>
    </row>
    <row r="89" spans="1:3" x14ac:dyDescent="0.3">
      <c r="A89" s="5">
        <v>701</v>
      </c>
      <c r="B89" s="5">
        <v>29</v>
      </c>
      <c r="C89" s="5" t="s">
        <v>96</v>
      </c>
    </row>
    <row r="90" spans="1:3" x14ac:dyDescent="0.3">
      <c r="A90" s="5">
        <v>704</v>
      </c>
      <c r="B90" s="5">
        <v>29</v>
      </c>
      <c r="C90" s="5" t="s">
        <v>96</v>
      </c>
    </row>
    <row r="91" spans="1:3" x14ac:dyDescent="0.3">
      <c r="A91" s="5">
        <v>705</v>
      </c>
      <c r="B91" s="5">
        <v>29</v>
      </c>
      <c r="C91" s="5" t="s">
        <v>96</v>
      </c>
    </row>
    <row r="92" spans="1:3" x14ac:dyDescent="0.3">
      <c r="A92" s="5">
        <v>707</v>
      </c>
      <c r="B92" s="5">
        <v>29</v>
      </c>
      <c r="C92" s="5" t="s">
        <v>96</v>
      </c>
    </row>
    <row r="93" spans="1:3" x14ac:dyDescent="0.3">
      <c r="A93" s="1">
        <v>709</v>
      </c>
      <c r="B93" s="1">
        <v>29</v>
      </c>
      <c r="C93" s="1" t="s">
        <v>96</v>
      </c>
    </row>
    <row r="94" spans="1:3" x14ac:dyDescent="0.3">
      <c r="A94" s="5">
        <v>712</v>
      </c>
      <c r="B94" s="5">
        <v>29</v>
      </c>
      <c r="C94" s="5" t="s">
        <v>96</v>
      </c>
    </row>
    <row r="95" spans="1:3" x14ac:dyDescent="0.3">
      <c r="A95" s="5">
        <v>815</v>
      </c>
      <c r="B95" s="5">
        <v>29</v>
      </c>
      <c r="C95" s="5" t="s">
        <v>96</v>
      </c>
    </row>
    <row r="96" spans="1:3" x14ac:dyDescent="0.3">
      <c r="A96" s="5">
        <v>816</v>
      </c>
      <c r="B96" s="5">
        <v>29</v>
      </c>
      <c r="C96" s="5" t="s">
        <v>96</v>
      </c>
    </row>
    <row r="97" spans="1:3" x14ac:dyDescent="0.3">
      <c r="A97" s="5">
        <v>832</v>
      </c>
      <c r="B97" s="5">
        <v>29</v>
      </c>
      <c r="C97" s="5" t="s">
        <v>96</v>
      </c>
    </row>
    <row r="98" spans="1:3" x14ac:dyDescent="0.3">
      <c r="A98" s="5">
        <v>833</v>
      </c>
      <c r="B98" s="5">
        <v>29</v>
      </c>
      <c r="C98" s="5" t="s">
        <v>96</v>
      </c>
    </row>
    <row r="99" spans="1:3" x14ac:dyDescent="0.3">
      <c r="A99" s="5">
        <v>834</v>
      </c>
      <c r="B99" s="5">
        <v>29</v>
      </c>
      <c r="C99" s="5" t="s">
        <v>96</v>
      </c>
    </row>
    <row r="100" spans="1:3" x14ac:dyDescent="0.3">
      <c r="A100" s="5">
        <v>848</v>
      </c>
      <c r="B100" s="5">
        <v>29</v>
      </c>
      <c r="C100" s="5" t="s">
        <v>96</v>
      </c>
    </row>
    <row r="101" spans="1:3" x14ac:dyDescent="0.3">
      <c r="A101" s="5">
        <v>851</v>
      </c>
      <c r="B101" s="5">
        <v>29</v>
      </c>
      <c r="C101" s="5" t="s">
        <v>96</v>
      </c>
    </row>
    <row r="102" spans="1:3" x14ac:dyDescent="0.3">
      <c r="A102" s="5">
        <v>854</v>
      </c>
      <c r="B102" s="5">
        <v>29</v>
      </c>
      <c r="C102" s="5" t="s">
        <v>96</v>
      </c>
    </row>
    <row r="103" spans="1:3" x14ac:dyDescent="0.3">
      <c r="A103" s="5">
        <v>855</v>
      </c>
      <c r="B103" s="5">
        <v>29</v>
      </c>
      <c r="C103" s="5" t="s">
        <v>96</v>
      </c>
    </row>
    <row r="104" spans="1:3" x14ac:dyDescent="0.3">
      <c r="A104" s="5">
        <v>856</v>
      </c>
      <c r="B104" s="5">
        <v>29</v>
      </c>
      <c r="C104" s="5" t="s">
        <v>96</v>
      </c>
    </row>
    <row r="105" spans="1:3" x14ac:dyDescent="0.3">
      <c r="A105" s="5">
        <v>864</v>
      </c>
      <c r="B105" s="5">
        <v>29</v>
      </c>
      <c r="C105" s="5" t="s">
        <v>96</v>
      </c>
    </row>
    <row r="106" spans="1:3" x14ac:dyDescent="0.3">
      <c r="A106" s="5">
        <v>871</v>
      </c>
      <c r="B106" s="5">
        <v>29</v>
      </c>
      <c r="C106" s="5" t="s">
        <v>96</v>
      </c>
    </row>
    <row r="107" spans="1:3" x14ac:dyDescent="0.3">
      <c r="A107" s="5">
        <v>872</v>
      </c>
      <c r="B107" s="5">
        <v>29</v>
      </c>
      <c r="C107" s="5" t="s">
        <v>96</v>
      </c>
    </row>
    <row r="108" spans="1:3" x14ac:dyDescent="0.3">
      <c r="A108" s="5">
        <v>874</v>
      </c>
      <c r="B108" s="5">
        <v>29</v>
      </c>
      <c r="C108" s="5" t="s">
        <v>96</v>
      </c>
    </row>
    <row r="109" spans="1:3" x14ac:dyDescent="0.3">
      <c r="A109" s="5">
        <v>875</v>
      </c>
      <c r="B109" s="5">
        <v>29</v>
      </c>
      <c r="C109" s="5" t="s">
        <v>96</v>
      </c>
    </row>
    <row r="110" spans="1:3" x14ac:dyDescent="0.3">
      <c r="A110" s="5">
        <v>901</v>
      </c>
      <c r="B110" s="5">
        <v>29</v>
      </c>
      <c r="C110" s="5" t="s">
        <v>96</v>
      </c>
    </row>
    <row r="111" spans="1:3" x14ac:dyDescent="0.3">
      <c r="A111" s="5">
        <v>904</v>
      </c>
      <c r="B111" s="5">
        <v>29</v>
      </c>
      <c r="C111" s="5" t="s">
        <v>96</v>
      </c>
    </row>
    <row r="112" spans="1:3" x14ac:dyDescent="0.3">
      <c r="A112" s="5">
        <v>905</v>
      </c>
      <c r="B112" s="5">
        <v>29</v>
      </c>
      <c r="C112" s="5" t="s">
        <v>96</v>
      </c>
    </row>
    <row r="113" spans="1:3" x14ac:dyDescent="0.3">
      <c r="A113" s="5">
        <v>906</v>
      </c>
      <c r="B113" s="5">
        <v>29</v>
      </c>
      <c r="C113" s="5" t="s">
        <v>96</v>
      </c>
    </row>
    <row r="114" spans="1:3" x14ac:dyDescent="0.3">
      <c r="A114" s="5">
        <v>907</v>
      </c>
      <c r="B114" s="5">
        <v>29</v>
      </c>
      <c r="C114" s="5" t="s">
        <v>96</v>
      </c>
    </row>
    <row r="115" spans="1:3" x14ac:dyDescent="0.3">
      <c r="A115" s="5">
        <v>916</v>
      </c>
      <c r="B115" s="5">
        <v>29</v>
      </c>
      <c r="C115" s="5" t="s">
        <v>96</v>
      </c>
    </row>
    <row r="116" spans="1:3" x14ac:dyDescent="0.3">
      <c r="A116" s="5">
        <v>917</v>
      </c>
      <c r="B116" s="5">
        <v>29</v>
      </c>
      <c r="C116" s="5" t="s">
        <v>96</v>
      </c>
    </row>
    <row r="117" spans="1:3" x14ac:dyDescent="0.3">
      <c r="A117" s="5">
        <v>921</v>
      </c>
      <c r="B117" s="5">
        <v>29</v>
      </c>
      <c r="C117" s="5" t="s">
        <v>96</v>
      </c>
    </row>
    <row r="118" spans="1:3" x14ac:dyDescent="0.3">
      <c r="A118" s="5">
        <v>923</v>
      </c>
      <c r="B118" s="5">
        <v>29</v>
      </c>
      <c r="C118" s="5" t="s">
        <v>96</v>
      </c>
    </row>
    <row r="119" spans="1:3" x14ac:dyDescent="0.3">
      <c r="A119" s="5">
        <v>928</v>
      </c>
      <c r="B119" s="5">
        <v>29</v>
      </c>
      <c r="C119" s="5" t="s">
        <v>96</v>
      </c>
    </row>
    <row r="120" spans="1:3" x14ac:dyDescent="0.3">
      <c r="A120" s="5">
        <v>929</v>
      </c>
      <c r="B120" s="5">
        <v>29</v>
      </c>
      <c r="C120" s="5" t="s">
        <v>96</v>
      </c>
    </row>
    <row r="121" spans="1:3" x14ac:dyDescent="0.3">
      <c r="A121" s="5">
        <v>932</v>
      </c>
      <c r="B121" s="5">
        <v>29</v>
      </c>
      <c r="C121" s="5" t="s">
        <v>96</v>
      </c>
    </row>
    <row r="122" spans="1:3" x14ac:dyDescent="0.3">
      <c r="A122" s="5">
        <v>933</v>
      </c>
      <c r="B122" s="5">
        <v>29</v>
      </c>
      <c r="C122" s="5" t="s">
        <v>96</v>
      </c>
    </row>
    <row r="123" spans="1:3" x14ac:dyDescent="0.3">
      <c r="A123" s="5">
        <v>934</v>
      </c>
      <c r="B123" s="5">
        <v>29</v>
      </c>
      <c r="C123" s="5" t="s">
        <v>96</v>
      </c>
    </row>
    <row r="124" spans="1:3" x14ac:dyDescent="0.3">
      <c r="A124" s="5">
        <v>936</v>
      </c>
      <c r="B124" s="5">
        <v>29</v>
      </c>
      <c r="C124" s="5" t="s">
        <v>96</v>
      </c>
    </row>
    <row r="125" spans="1:3" x14ac:dyDescent="0.3">
      <c r="A125" s="5">
        <v>944</v>
      </c>
      <c r="B125" s="5">
        <v>29</v>
      </c>
      <c r="C125" s="5" t="s">
        <v>96</v>
      </c>
    </row>
    <row r="126" spans="1:3" x14ac:dyDescent="0.3">
      <c r="A126" s="5">
        <v>945</v>
      </c>
      <c r="B126" s="5">
        <v>29</v>
      </c>
      <c r="C126" s="5" t="s">
        <v>96</v>
      </c>
    </row>
    <row r="127" spans="1:3" x14ac:dyDescent="0.3">
      <c r="A127" s="5">
        <v>955</v>
      </c>
      <c r="B127" s="5">
        <v>29</v>
      </c>
      <c r="C127" s="5" t="s">
        <v>96</v>
      </c>
    </row>
    <row r="128" spans="1:3" x14ac:dyDescent="0.3">
      <c r="A128" s="5">
        <v>961</v>
      </c>
      <c r="B128" s="5">
        <v>29</v>
      </c>
      <c r="C128" s="5" t="s">
        <v>96</v>
      </c>
    </row>
    <row r="129" spans="1:3" x14ac:dyDescent="0.3">
      <c r="A129" s="5">
        <v>962</v>
      </c>
      <c r="B129" s="5">
        <v>29</v>
      </c>
      <c r="C129" s="5" t="s">
        <v>96</v>
      </c>
    </row>
    <row r="130" spans="1:3" x14ac:dyDescent="0.3">
      <c r="A130" s="5">
        <v>963</v>
      </c>
      <c r="B130" s="5">
        <v>29</v>
      </c>
      <c r="C130" s="5" t="s">
        <v>96</v>
      </c>
    </row>
    <row r="131" spans="1:3" x14ac:dyDescent="0.3">
      <c r="A131" s="5">
        <v>964</v>
      </c>
      <c r="B131" s="5">
        <v>29</v>
      </c>
      <c r="C131" s="5" t="s">
        <v>96</v>
      </c>
    </row>
    <row r="132" spans="1:3" x14ac:dyDescent="0.3">
      <c r="A132" s="5">
        <v>965</v>
      </c>
      <c r="B132" s="5">
        <v>29</v>
      </c>
      <c r="C132" s="5" t="s">
        <v>96</v>
      </c>
    </row>
    <row r="133" spans="1:3" x14ac:dyDescent="0.3">
      <c r="A133" s="5">
        <v>967</v>
      </c>
      <c r="B133" s="5">
        <v>29</v>
      </c>
      <c r="C133" s="5" t="s">
        <v>96</v>
      </c>
    </row>
    <row r="134" spans="1:3" x14ac:dyDescent="0.3">
      <c r="A134" s="5">
        <v>968</v>
      </c>
      <c r="B134" s="5">
        <v>29</v>
      </c>
      <c r="C134" s="5" t="s">
        <v>96</v>
      </c>
    </row>
    <row r="135" spans="1:3" x14ac:dyDescent="0.3">
      <c r="A135" s="5">
        <v>972</v>
      </c>
      <c r="B135" s="5">
        <v>29</v>
      </c>
      <c r="C135" s="5" t="s">
        <v>96</v>
      </c>
    </row>
    <row r="136" spans="1:3" x14ac:dyDescent="0.3">
      <c r="A136" s="5">
        <v>973</v>
      </c>
      <c r="B136" s="5">
        <v>29</v>
      </c>
      <c r="C136" s="5" t="s">
        <v>96</v>
      </c>
    </row>
    <row r="137" spans="1:3" x14ac:dyDescent="0.3">
      <c r="A137" s="5">
        <v>978</v>
      </c>
      <c r="B137" s="5">
        <v>29</v>
      </c>
      <c r="C137" s="5" t="s">
        <v>96</v>
      </c>
    </row>
    <row r="138" spans="1:3" x14ac:dyDescent="0.3">
      <c r="A138" s="5">
        <v>979</v>
      </c>
      <c r="B138" s="5">
        <v>29</v>
      </c>
      <c r="C138" s="5" t="s">
        <v>96</v>
      </c>
    </row>
    <row r="139" spans="1:3" x14ac:dyDescent="0.3">
      <c r="A139" s="5">
        <v>992</v>
      </c>
      <c r="B139" s="5">
        <v>29</v>
      </c>
      <c r="C139" s="5" t="s">
        <v>96</v>
      </c>
    </row>
  </sheetData>
  <sortState xmlns:xlrd2="http://schemas.microsoft.com/office/spreadsheetml/2017/richdata2" ref="I4:L9">
    <sortCondition ref="I4:I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U139"/>
  <sheetViews>
    <sheetView workbookViewId="0">
      <pane ySplit="1" topLeftCell="A2" activePane="bottomLeft" state="frozen"/>
      <selection activeCell="K37" sqref="K37"/>
      <selection pane="bottomLeft" activeCell="A2" sqref="A2"/>
    </sheetView>
  </sheetViews>
  <sheetFormatPr defaultColWidth="9.109375" defaultRowHeight="14.4" x14ac:dyDescent="0.3"/>
  <cols>
    <col min="1" max="2" width="9.109375" style="5"/>
    <col min="3" max="3" width="15" style="5" customWidth="1"/>
    <col min="4" max="4" width="9.109375" style="5"/>
    <col min="5" max="10" width="7.6640625" style="10" customWidth="1"/>
    <col min="11" max="15" width="7.6640625" style="57" customWidth="1"/>
    <col min="16" max="16" width="7.6640625" style="64" customWidth="1"/>
    <col min="17" max="17" width="9.109375" style="5"/>
    <col min="18" max="18" width="14.6640625" style="236" hidden="1" customWidth="1"/>
    <col min="19" max="16384" width="9.109375" style="5"/>
  </cols>
  <sheetData>
    <row r="1" spans="1:21" x14ac:dyDescent="0.3">
      <c r="A1" s="5" t="s">
        <v>1</v>
      </c>
      <c r="B1" s="5" t="s">
        <v>2</v>
      </c>
      <c r="C1" s="5" t="s">
        <v>3</v>
      </c>
      <c r="D1" s="5" t="s">
        <v>38</v>
      </c>
      <c r="E1" s="10" t="s">
        <v>39</v>
      </c>
      <c r="F1" s="10" t="s">
        <v>40</v>
      </c>
      <c r="G1" s="10" t="s">
        <v>41</v>
      </c>
      <c r="H1" s="10" t="s">
        <v>42</v>
      </c>
      <c r="I1" s="10" t="s">
        <v>43</v>
      </c>
      <c r="J1" s="10" t="s">
        <v>44</v>
      </c>
      <c r="K1" s="57" t="s">
        <v>39</v>
      </c>
      <c r="L1" s="57" t="s">
        <v>40</v>
      </c>
      <c r="M1" s="57" t="s">
        <v>41</v>
      </c>
      <c r="N1" s="57" t="s">
        <v>42</v>
      </c>
      <c r="O1" s="57" t="s">
        <v>43</v>
      </c>
      <c r="P1" s="57" t="s">
        <v>44</v>
      </c>
      <c r="Q1" s="2" t="s">
        <v>79</v>
      </c>
      <c r="R1" s="235" t="s">
        <v>85</v>
      </c>
      <c r="S1" s="2">
        <f>SUM(J2:J139)</f>
        <v>1736307.7632450771</v>
      </c>
      <c r="T1" s="2">
        <f>SUM(P2:P139)</f>
        <v>0</v>
      </c>
      <c r="U1" s="224">
        <f>T1/S1-1</f>
        <v>-1</v>
      </c>
    </row>
    <row r="2" spans="1:21" x14ac:dyDescent="0.3">
      <c r="A2" s="55">
        <v>398</v>
      </c>
      <c r="B2" s="55">
        <v>4</v>
      </c>
      <c r="C2" s="55" t="s">
        <v>12</v>
      </c>
      <c r="D2" s="55">
        <v>1</v>
      </c>
      <c r="E2" s="56">
        <f>VLOOKUP($A2,observed!$C$2:$P$139,10,FALSE)</f>
        <v>3523.3236666666644</v>
      </c>
      <c r="F2" s="56">
        <f>VLOOKUP($A2,observed!$C$2:$P$139,11,FALSE)</f>
        <v>40504.156333333332</v>
      </c>
      <c r="G2" s="56">
        <f>VLOOKUP($A2,observed!$C$2:$P$139,12,FALSE)</f>
        <v>20830.683437499982</v>
      </c>
      <c r="H2" s="56">
        <f>VLOOKUP($A2,observed!$C$2:$P$139,13,FALSE)</f>
        <v>50134.506117729783</v>
      </c>
      <c r="I2" s="56">
        <f>VLOOKUP($A2,observed!$C$2:$P$139,14,FALSE)</f>
        <v>7720.1904447702391</v>
      </c>
      <c r="J2" s="56">
        <f>SUM(E2:I2)</f>
        <v>122712.86</v>
      </c>
      <c r="K2" s="58">
        <f>IFERROR(VLOOKUP($A2&amp;"-"&amp;TEXT($B2+19,0),md[[routeC]:[passenger_mile_EV]],9,FALSE),"")</f>
        <v>0</v>
      </c>
      <c r="L2" s="58">
        <f>IFERROR(VLOOKUP($A2&amp;"-"&amp;TEXT($B2+19,0),md[[routeC]:[passenger_mile_EV]],10,FALSE),"")</f>
        <v>0</v>
      </c>
      <c r="M2" s="58">
        <f>IFERROR(VLOOKUP($A2&amp;"-"&amp;TEXT($B2+19,0),md[[routeC]:[passenger_mile_EV]],11,FALSE),"")</f>
        <v>0</v>
      </c>
      <c r="N2" s="58">
        <f>IFERROR(VLOOKUP($A2&amp;"-"&amp;TEXT($B2+19,0),md[[routeC]:[passenger_mile_EV]],12,FALSE),"")</f>
        <v>0</v>
      </c>
      <c r="O2" s="58">
        <f>IFERROR(VLOOKUP($A2&amp;"-"&amp;TEXT($B2+19,0),md[[routeC]:[passenger_mile_EV]],13,FALSE),"")</f>
        <v>0</v>
      </c>
      <c r="P2" s="58">
        <f>SUM(K2:O2)</f>
        <v>0</v>
      </c>
      <c r="Q2" s="224">
        <f>P2/J2-1</f>
        <v>-1</v>
      </c>
      <c r="R2" s="237">
        <f>POWER((P2-J2),2)</f>
        <v>15058446009.379601</v>
      </c>
    </row>
    <row r="3" spans="1:21" x14ac:dyDescent="0.3">
      <c r="A3" s="47">
        <v>399</v>
      </c>
      <c r="B3" s="47">
        <v>5</v>
      </c>
      <c r="C3" s="47" t="s">
        <v>13</v>
      </c>
      <c r="D3" s="47">
        <v>2</v>
      </c>
      <c r="E3" s="48">
        <f>VLOOKUP($A3,observed!$C$2:$P$139,10,FALSE)</f>
        <v>2717.5439622641516</v>
      </c>
      <c r="F3" s="48">
        <f>VLOOKUP($A3,observed!$C$2:$P$139,11,FALSE)</f>
        <v>16440.69886792453</v>
      </c>
      <c r="G3" s="48">
        <f>VLOOKUP($A3,observed!$C$2:$P$139,12,FALSE)</f>
        <v>31460.081320754685</v>
      </c>
      <c r="H3" s="48">
        <f>VLOOKUP($A3,observed!$C$2:$P$139,13,FALSE)</f>
        <v>20861.415849056644</v>
      </c>
      <c r="I3" s="48">
        <f>VLOOKUP($A3,observed!$C$2:$P$139,14,FALSE)</f>
        <v>4975.1599999999862</v>
      </c>
      <c r="J3" s="48">
        <f t="shared" ref="J3:J67" si="0">SUM(E3:I3)</f>
        <v>76454.900000000009</v>
      </c>
      <c r="K3" s="59">
        <f>IFERROR(VLOOKUP($A3&amp;"-"&amp;TEXT($B3+19,0),md[[routeC]:[passenger_mile_EV]],9,FALSE),"")</f>
        <v>0</v>
      </c>
      <c r="L3" s="59">
        <f>IFERROR(VLOOKUP($A3&amp;"-"&amp;TEXT($B3+19,0),md[[routeC]:[passenger_mile_EV]],10,FALSE),"")</f>
        <v>0</v>
      </c>
      <c r="M3" s="59">
        <f>IFERROR(VLOOKUP($A3&amp;"-"&amp;TEXT($B3+19,0),md[[routeC]:[passenger_mile_EV]],11,FALSE),"")</f>
        <v>0</v>
      </c>
      <c r="N3" s="59">
        <f>IFERROR(VLOOKUP($A3&amp;"-"&amp;TEXT($B3+19,0),md[[routeC]:[passenger_mile_EV]],12,FALSE),"")</f>
        <v>0</v>
      </c>
      <c r="O3" s="59">
        <f>IFERROR(VLOOKUP($A3&amp;"-"&amp;TEXT($B3+19,0),md[[routeC]:[passenger_mile_EV]],13,FALSE),"")</f>
        <v>0</v>
      </c>
      <c r="P3" s="59">
        <f t="shared" ref="P3:P68" si="1">SUM(K3:O3)</f>
        <v>0</v>
      </c>
      <c r="Q3" s="224">
        <f t="shared" ref="Q3:Q68" si="2">P3/J3-1</f>
        <v>-1</v>
      </c>
      <c r="R3" s="237">
        <f t="shared" ref="R3:R68" si="3">POWER((P3-J3),2)</f>
        <v>5845351734.0100012</v>
      </c>
    </row>
    <row r="4" spans="1:21" x14ac:dyDescent="0.3">
      <c r="A4" s="53">
        <v>510</v>
      </c>
      <c r="B4" s="53">
        <v>5</v>
      </c>
      <c r="C4" s="53" t="s">
        <v>13</v>
      </c>
      <c r="D4" s="53">
        <v>2</v>
      </c>
      <c r="E4" s="54">
        <f>VLOOKUP($A4,observed!$C$2:$P$139,10,FALSE)</f>
        <v>22943.627405017916</v>
      </c>
      <c r="F4" s="54">
        <f>VLOOKUP($A4,observed!$C$2:$P$139,11,FALSE)</f>
        <v>70803.065039426525</v>
      </c>
      <c r="G4" s="54">
        <f>VLOOKUP($A4,observed!$C$2:$P$139,12,FALSE)</f>
        <v>117702.22833333307</v>
      </c>
      <c r="H4" s="54">
        <f>VLOOKUP($A4,observed!$C$2:$P$139,13,FALSE)</f>
        <v>87062.974111111471</v>
      </c>
      <c r="I4" s="54">
        <f>VLOOKUP($A4,observed!$C$2:$P$139,14,FALSE)</f>
        <v>40477.005111110993</v>
      </c>
      <c r="J4" s="54">
        <f t="shared" si="0"/>
        <v>338988.89999999997</v>
      </c>
      <c r="K4" s="60">
        <f>IFERROR(VLOOKUP($A4&amp;"-"&amp;TEXT($B4+19,0),md[[routeC]:[passenger_mile_EV]],9,FALSE),"")</f>
        <v>0</v>
      </c>
      <c r="L4" s="60">
        <f>IFERROR(VLOOKUP($A4&amp;"-"&amp;TEXT($B4+19,0),md[[routeC]:[passenger_mile_EV]],10,FALSE),"")</f>
        <v>0</v>
      </c>
      <c r="M4" s="60">
        <f>IFERROR(VLOOKUP($A4&amp;"-"&amp;TEXT($B4+19,0),md[[routeC]:[passenger_mile_EV]],11,FALSE),"")</f>
        <v>0</v>
      </c>
      <c r="N4" s="60">
        <f>IFERROR(VLOOKUP($A4&amp;"-"&amp;TEXT($B4+19,0),md[[routeC]:[passenger_mile_EV]],12,FALSE),"")</f>
        <v>0</v>
      </c>
      <c r="O4" s="60">
        <f>IFERROR(VLOOKUP($A4&amp;"-"&amp;TEXT($B4+19,0),md[[routeC]:[passenger_mile_EV]],13,FALSE),"")</f>
        <v>0</v>
      </c>
      <c r="P4" s="60">
        <f t="shared" si="1"/>
        <v>0</v>
      </c>
      <c r="Q4" s="224">
        <f t="shared" si="2"/>
        <v>-1</v>
      </c>
      <c r="R4" s="237">
        <f t="shared" si="3"/>
        <v>114913474323.20998</v>
      </c>
    </row>
    <row r="5" spans="1:21" x14ac:dyDescent="0.3">
      <c r="A5" s="51">
        <v>520</v>
      </c>
      <c r="B5" s="51">
        <v>5</v>
      </c>
      <c r="C5" s="51" t="s">
        <v>13</v>
      </c>
      <c r="D5" s="51">
        <v>2</v>
      </c>
      <c r="E5" s="52">
        <f>VLOOKUP($A5,observed!$C$2:$P$139,10,FALSE)</f>
        <v>5506.5503773584906</v>
      </c>
      <c r="F5" s="52">
        <f>VLOOKUP($A5,observed!$C$2:$P$139,11,FALSE)</f>
        <v>28414.933962264153</v>
      </c>
      <c r="G5" s="52">
        <f>VLOOKUP($A5,observed!$C$2:$P$139,12,FALSE)</f>
        <v>53738.262641509362</v>
      </c>
      <c r="H5" s="52">
        <f>VLOOKUP($A5,observed!$C$2:$P$139,13,FALSE)</f>
        <v>36274.153584905776</v>
      </c>
      <c r="I5" s="52">
        <f>VLOOKUP($A5,observed!$C$2:$P$139,14,FALSE)</f>
        <v>17461.889433962224</v>
      </c>
      <c r="J5" s="52">
        <f t="shared" si="0"/>
        <v>141395.79</v>
      </c>
      <c r="K5" s="61">
        <f>IFERROR(VLOOKUP($A5&amp;"-"&amp;TEXT($B5+19,0),md[[routeC]:[passenger_mile_EV]],9,FALSE),"")</f>
        <v>0</v>
      </c>
      <c r="L5" s="61">
        <f>IFERROR(VLOOKUP($A5&amp;"-"&amp;TEXT($B5+19,0),md[[routeC]:[passenger_mile_EV]],10,FALSE),"")</f>
        <v>0</v>
      </c>
      <c r="M5" s="61">
        <f>IFERROR(VLOOKUP($A5&amp;"-"&amp;TEXT($B5+19,0),md[[routeC]:[passenger_mile_EV]],11,FALSE),"")</f>
        <v>0</v>
      </c>
      <c r="N5" s="61">
        <f>IFERROR(VLOOKUP($A5&amp;"-"&amp;TEXT($B5+19,0),md[[routeC]:[passenger_mile_EV]],12,FALSE),"")</f>
        <v>0</v>
      </c>
      <c r="O5" s="61">
        <f>IFERROR(VLOOKUP($A5&amp;"-"&amp;TEXT($B5+19,0),md[[routeC]:[passenger_mile_EV]],13,FALSE),"")</f>
        <v>0</v>
      </c>
      <c r="P5" s="61">
        <f t="shared" si="1"/>
        <v>0</v>
      </c>
      <c r="Q5" s="224">
        <f t="shared" si="2"/>
        <v>-1</v>
      </c>
      <c r="R5" s="237">
        <f t="shared" si="3"/>
        <v>19992769429.724102</v>
      </c>
    </row>
    <row r="6" spans="1:21" x14ac:dyDescent="0.3">
      <c r="A6" s="49">
        <v>530</v>
      </c>
      <c r="B6" s="49">
        <v>5</v>
      </c>
      <c r="C6" s="49" t="s">
        <v>13</v>
      </c>
      <c r="D6" s="49">
        <v>2</v>
      </c>
      <c r="E6" s="50">
        <f>VLOOKUP($A6,observed!$C$2:$P$139,10,FALSE)</f>
        <v>4998.9000000000005</v>
      </c>
      <c r="F6" s="50">
        <f>VLOOKUP($A6,observed!$C$2:$P$139,11,FALSE)</f>
        <v>36058.18925373134</v>
      </c>
      <c r="G6" s="50">
        <f>VLOOKUP($A6,observed!$C$2:$P$139,12,FALSE)</f>
        <v>76495.104179104412</v>
      </c>
      <c r="H6" s="50">
        <f>VLOOKUP($A6,observed!$C$2:$P$139,13,FALSE)</f>
        <v>50928.791194030004</v>
      </c>
      <c r="I6" s="50">
        <f>VLOOKUP($A6,observed!$C$2:$P$139,14,FALSE)</f>
        <v>23550.725373134264</v>
      </c>
      <c r="J6" s="50">
        <f t="shared" si="0"/>
        <v>192031.71000000002</v>
      </c>
      <c r="K6" s="62">
        <f>IFERROR(VLOOKUP($A6&amp;"-"&amp;TEXT($B6+19,0),md[[routeC]:[passenger_mile_EV]],9,FALSE),"")</f>
        <v>0</v>
      </c>
      <c r="L6" s="62">
        <f>IFERROR(VLOOKUP($A6&amp;"-"&amp;TEXT($B6+19,0),md[[routeC]:[passenger_mile_EV]],10,FALSE),"")</f>
        <v>0</v>
      </c>
      <c r="M6" s="62">
        <f>IFERROR(VLOOKUP($A6&amp;"-"&amp;TEXT($B6+19,0),md[[routeC]:[passenger_mile_EV]],11,FALSE),"")</f>
        <v>0</v>
      </c>
      <c r="N6" s="62">
        <f>IFERROR(VLOOKUP($A6&amp;"-"&amp;TEXT($B6+19,0),md[[routeC]:[passenger_mile_EV]],12,FALSE),"")</f>
        <v>0</v>
      </c>
      <c r="O6" s="62">
        <f>IFERROR(VLOOKUP($A6&amp;"-"&amp;TEXT($B6+19,0),md[[routeC]:[passenger_mile_EV]],13,FALSE),"")</f>
        <v>0</v>
      </c>
      <c r="P6" s="62">
        <f t="shared" si="1"/>
        <v>0</v>
      </c>
      <c r="Q6" s="224">
        <f t="shared" si="2"/>
        <v>-1</v>
      </c>
      <c r="R6" s="237">
        <f t="shared" si="3"/>
        <v>36876177645.524109</v>
      </c>
    </row>
    <row r="7" spans="1:21" x14ac:dyDescent="0.3">
      <c r="A7" s="5">
        <v>10</v>
      </c>
      <c r="B7" s="5">
        <v>9</v>
      </c>
      <c r="C7" s="5" t="s">
        <v>9</v>
      </c>
      <c r="D7" s="5">
        <v>3</v>
      </c>
      <c r="E7" s="10">
        <f>VLOOKUP($A7,observed!$C$2:$P$139,10,FALSE)</f>
        <v>323.45302819548863</v>
      </c>
      <c r="F7" s="10">
        <f>VLOOKUP($A7,observed!$C$2:$P$139,11,FALSE)</f>
        <v>3017.3862581681474</v>
      </c>
      <c r="G7" s="10">
        <f>VLOOKUP($A7,observed!$C$2:$P$139,12,FALSE)</f>
        <v>6365.7810208448718</v>
      </c>
      <c r="H7" s="10">
        <f>VLOOKUP($A7,observed!$C$2:$P$139,13,FALSE)</f>
        <v>3768.7908922595843</v>
      </c>
      <c r="I7" s="10">
        <f>VLOOKUP($A7,observed!$C$2:$P$139,14,FALSE)</f>
        <v>2000.6688005319081</v>
      </c>
      <c r="J7" s="10">
        <f t="shared" si="0"/>
        <v>15476.080000000002</v>
      </c>
      <c r="K7" s="57">
        <f>IFERROR(VLOOKUP($A7&amp;"-"&amp;TEXT($B7+19,0),md[[routeC]:[passenger_mile_EV]],9,FALSE),"")</f>
        <v>0</v>
      </c>
      <c r="L7" s="57">
        <f>IFERROR(VLOOKUP($A7&amp;"-"&amp;TEXT($B7+19,0),md[[routeC]:[passenger_mile_EV]],10,FALSE),"")</f>
        <v>0</v>
      </c>
      <c r="M7" s="57">
        <f>IFERROR(VLOOKUP($A7&amp;"-"&amp;TEXT($B7+19,0),md[[routeC]:[passenger_mile_EV]],11,FALSE),"")</f>
        <v>0</v>
      </c>
      <c r="N7" s="57">
        <f>IFERROR(VLOOKUP($A7&amp;"-"&amp;TEXT($B7+19,0),md[[routeC]:[passenger_mile_EV]],12,FALSE),"")</f>
        <v>0</v>
      </c>
      <c r="O7" s="57">
        <f>IFERROR(VLOOKUP($A7&amp;"-"&amp;TEXT($B7+19,0),md[[routeC]:[passenger_mile_EV]],13,FALSE),"")</f>
        <v>0</v>
      </c>
      <c r="P7" s="57">
        <f t="shared" si="1"/>
        <v>0</v>
      </c>
      <c r="Q7" s="224">
        <f t="shared" si="2"/>
        <v>-1</v>
      </c>
      <c r="R7" s="237">
        <f t="shared" si="3"/>
        <v>239509052.16640005</v>
      </c>
    </row>
    <row r="8" spans="1:21" x14ac:dyDescent="0.3">
      <c r="A8" s="5">
        <v>20</v>
      </c>
      <c r="B8" s="5">
        <v>9</v>
      </c>
      <c r="C8" s="5" t="s">
        <v>9</v>
      </c>
      <c r="D8" s="5">
        <v>3</v>
      </c>
      <c r="E8" s="10">
        <f>VLOOKUP($A8,observed!$C$2:$P$139,10,FALSE)</f>
        <v>697.63632917229597</v>
      </c>
      <c r="F8" s="10">
        <f>VLOOKUP($A8,observed!$C$2:$P$139,11,FALSE)</f>
        <v>5953.5926544615168</v>
      </c>
      <c r="G8" s="10">
        <f>VLOOKUP($A8,observed!$C$2:$P$139,12,FALSE)</f>
        <v>9244.1247061094582</v>
      </c>
      <c r="H8" s="10">
        <f>VLOOKUP($A8,observed!$C$2:$P$139,13,FALSE)</f>
        <v>5660.3278943724199</v>
      </c>
      <c r="I8" s="10">
        <f>VLOOKUP($A8,observed!$C$2:$P$139,14,FALSE)</f>
        <v>1938.3284158843103</v>
      </c>
      <c r="J8" s="10">
        <f t="shared" si="0"/>
        <v>23494.010000000002</v>
      </c>
      <c r="K8" s="57">
        <f>IFERROR(VLOOKUP($A8&amp;"-"&amp;TEXT($B8+19,0),md[[routeC]:[passenger_mile_EV]],9,FALSE),"")</f>
        <v>0</v>
      </c>
      <c r="L8" s="57">
        <f>IFERROR(VLOOKUP($A8&amp;"-"&amp;TEXT($B8+19,0),md[[routeC]:[passenger_mile_EV]],10,FALSE),"")</f>
        <v>0</v>
      </c>
      <c r="M8" s="57">
        <f>IFERROR(VLOOKUP($A8&amp;"-"&amp;TEXT($B8+19,0),md[[routeC]:[passenger_mile_EV]],11,FALSE),"")</f>
        <v>0</v>
      </c>
      <c r="N8" s="57">
        <f>IFERROR(VLOOKUP($A8&amp;"-"&amp;TEXT($B8+19,0),md[[routeC]:[passenger_mile_EV]],12,FALSE),"")</f>
        <v>0</v>
      </c>
      <c r="O8" s="57">
        <f>IFERROR(VLOOKUP($A8&amp;"-"&amp;TEXT($B8+19,0),md[[routeC]:[passenger_mile_EV]],13,FALSE),"")</f>
        <v>0</v>
      </c>
      <c r="P8" s="57">
        <f t="shared" si="1"/>
        <v>0</v>
      </c>
      <c r="Q8" s="224">
        <f t="shared" si="2"/>
        <v>-1</v>
      </c>
      <c r="R8" s="237">
        <f t="shared" si="3"/>
        <v>551968505.88010013</v>
      </c>
    </row>
    <row r="9" spans="1:21" x14ac:dyDescent="0.3">
      <c r="A9" s="5">
        <v>50</v>
      </c>
      <c r="B9" s="5">
        <v>9</v>
      </c>
      <c r="C9" s="5" t="s">
        <v>9</v>
      </c>
      <c r="D9" s="5">
        <v>3</v>
      </c>
      <c r="E9" s="10">
        <f>VLOOKUP($A9,observed!$C$2:$P$139,10,FALSE)</f>
        <v>450.0916396627693</v>
      </c>
      <c r="F9" s="10">
        <f>VLOOKUP($A9,observed!$C$2:$P$139,11,FALSE)</f>
        <v>2616.071880725598</v>
      </c>
      <c r="G9" s="10">
        <f>VLOOKUP($A9,observed!$C$2:$P$139,12,FALSE)</f>
        <v>2290.1544394778498</v>
      </c>
      <c r="H9" s="10">
        <f>VLOOKUP($A9,observed!$C$2:$P$139,13,FALSE)</f>
        <v>2323.0536680407622</v>
      </c>
      <c r="I9" s="10">
        <f>VLOOKUP($A9,observed!$C$2:$P$139,14,FALSE)</f>
        <v>63.368372093021655</v>
      </c>
      <c r="J9" s="10">
        <f t="shared" si="0"/>
        <v>7742.7400000000007</v>
      </c>
      <c r="K9" s="57">
        <f>IFERROR(VLOOKUP($A9&amp;"-"&amp;TEXT($B9+19,0),md[[routeC]:[passenger_mile_EV]],9,FALSE),"")</f>
        <v>0</v>
      </c>
      <c r="L9" s="57">
        <f>IFERROR(VLOOKUP($A9&amp;"-"&amp;TEXT($B9+19,0),md[[routeC]:[passenger_mile_EV]],10,FALSE),"")</f>
        <v>0</v>
      </c>
      <c r="M9" s="57">
        <f>IFERROR(VLOOKUP($A9&amp;"-"&amp;TEXT($B9+19,0),md[[routeC]:[passenger_mile_EV]],11,FALSE),"")</f>
        <v>0</v>
      </c>
      <c r="N9" s="57">
        <f>IFERROR(VLOOKUP($A9&amp;"-"&amp;TEXT($B9+19,0),md[[routeC]:[passenger_mile_EV]],12,FALSE),"")</f>
        <v>0</v>
      </c>
      <c r="O9" s="57">
        <f>IFERROR(VLOOKUP($A9&amp;"-"&amp;TEXT($B9+19,0),md[[routeC]:[passenger_mile_EV]],13,FALSE),"")</f>
        <v>0</v>
      </c>
      <c r="P9" s="57">
        <f t="shared" si="1"/>
        <v>0</v>
      </c>
      <c r="Q9" s="224">
        <f t="shared" si="2"/>
        <v>-1</v>
      </c>
      <c r="R9" s="237">
        <f t="shared" si="3"/>
        <v>59950022.707600012</v>
      </c>
    </row>
    <row r="10" spans="1:21" x14ac:dyDescent="0.3">
      <c r="A10" s="5">
        <v>60</v>
      </c>
      <c r="B10" s="5">
        <v>9</v>
      </c>
      <c r="C10" s="5" t="s">
        <v>9</v>
      </c>
      <c r="D10" s="5">
        <v>3</v>
      </c>
      <c r="E10" s="10">
        <f>VLOOKUP($A10,observed!$C$2:$P$139,10,FALSE)</f>
        <v>552.69100000000003</v>
      </c>
      <c r="F10" s="10">
        <f>VLOOKUP($A10,observed!$C$2:$P$139,11,FALSE)</f>
        <v>1426.7089999999998</v>
      </c>
      <c r="G10" s="10">
        <f>VLOOKUP($A10,observed!$C$2:$P$139,12,FALSE)</f>
        <v>22.555384615381843</v>
      </c>
      <c r="H10" s="10">
        <f>VLOOKUP($A10,observed!$C$2:$P$139,13,FALSE)</f>
        <v>1288.2846153846181</v>
      </c>
      <c r="I10" s="10">
        <f>VLOOKUP($A10,observed!$C$2:$P$139,14,FALSE)</f>
        <v>0</v>
      </c>
      <c r="J10" s="10">
        <f t="shared" si="0"/>
        <v>3290.24</v>
      </c>
      <c r="K10" s="57">
        <f>IFERROR(VLOOKUP($A10&amp;"-"&amp;TEXT($B10+19,0),md[[routeC]:[passenger_mile_EV]],9,FALSE),"")</f>
        <v>0</v>
      </c>
      <c r="L10" s="57">
        <f>IFERROR(VLOOKUP($A10&amp;"-"&amp;TEXT($B10+19,0),md[[routeC]:[passenger_mile_EV]],10,FALSE),"")</f>
        <v>0</v>
      </c>
      <c r="M10" s="57">
        <f>IFERROR(VLOOKUP($A10&amp;"-"&amp;TEXT($B10+19,0),md[[routeC]:[passenger_mile_EV]],11,FALSE),"")</f>
        <v>0</v>
      </c>
      <c r="N10" s="57">
        <f>IFERROR(VLOOKUP($A10&amp;"-"&amp;TEXT($B10+19,0),md[[routeC]:[passenger_mile_EV]],12,FALSE),"")</f>
        <v>0</v>
      </c>
      <c r="O10" s="57">
        <f>IFERROR(VLOOKUP($A10&amp;"-"&amp;TEXT($B10+19,0),md[[routeC]:[passenger_mile_EV]],13,FALSE),"")</f>
        <v>0</v>
      </c>
      <c r="P10" s="57">
        <f t="shared" si="1"/>
        <v>0</v>
      </c>
      <c r="Q10" s="224">
        <f t="shared" si="2"/>
        <v>-1</v>
      </c>
      <c r="R10" s="237">
        <f t="shared" si="3"/>
        <v>10825679.257599998</v>
      </c>
    </row>
    <row r="11" spans="1:21" x14ac:dyDescent="0.3">
      <c r="A11" s="5">
        <v>110</v>
      </c>
      <c r="B11" s="5">
        <v>9</v>
      </c>
      <c r="C11" s="5" t="s">
        <v>9</v>
      </c>
      <c r="D11" s="5">
        <v>3</v>
      </c>
      <c r="E11" s="10">
        <f>VLOOKUP($A11,observed!$C$2:$P$139,10,FALSE)</f>
        <v>0</v>
      </c>
      <c r="F11" s="10">
        <f>VLOOKUP($A11,observed!$C$2:$P$139,11,FALSE)</f>
        <v>1572.6799999999998</v>
      </c>
      <c r="G11" s="10">
        <f>VLOOKUP($A11,observed!$C$2:$P$139,12,FALSE)</f>
        <v>0</v>
      </c>
      <c r="H11" s="10">
        <f>VLOOKUP($A11,observed!$C$2:$P$139,13,FALSE)</f>
        <v>1663.27</v>
      </c>
      <c r="I11" s="10">
        <f>VLOOKUP($A11,observed!$C$2:$P$139,14,FALSE)</f>
        <v>0</v>
      </c>
      <c r="J11" s="10">
        <f t="shared" si="0"/>
        <v>3235.95</v>
      </c>
      <c r="K11" s="57">
        <f>IFERROR(VLOOKUP($A11&amp;"-"&amp;TEXT($B11+19,0),md[[routeC]:[passenger_mile_EV]],9,FALSE),"")</f>
        <v>0</v>
      </c>
      <c r="L11" s="57">
        <f>IFERROR(VLOOKUP($A11&amp;"-"&amp;TEXT($B11+19,0),md[[routeC]:[passenger_mile_EV]],10,FALSE),"")</f>
        <v>0</v>
      </c>
      <c r="M11" s="57">
        <f>IFERROR(VLOOKUP($A11&amp;"-"&amp;TEXT($B11+19,0),md[[routeC]:[passenger_mile_EV]],11,FALSE),"")</f>
        <v>0</v>
      </c>
      <c r="N11" s="57">
        <f>IFERROR(VLOOKUP($A11&amp;"-"&amp;TEXT($B11+19,0),md[[routeC]:[passenger_mile_EV]],12,FALSE),"")</f>
        <v>0</v>
      </c>
      <c r="O11" s="57">
        <f>IFERROR(VLOOKUP($A11&amp;"-"&amp;TEXT($B11+19,0),md[[routeC]:[passenger_mile_EV]],13,FALSE),"")</f>
        <v>0</v>
      </c>
      <c r="P11" s="57">
        <f t="shared" si="1"/>
        <v>0</v>
      </c>
      <c r="Q11" s="224">
        <f t="shared" si="2"/>
        <v>-1</v>
      </c>
      <c r="R11" s="237">
        <f t="shared" si="3"/>
        <v>10471372.402499998</v>
      </c>
    </row>
    <row r="12" spans="1:21" x14ac:dyDescent="0.3">
      <c r="A12" s="5">
        <v>120</v>
      </c>
      <c r="B12" s="5">
        <v>9</v>
      </c>
      <c r="C12" s="5" t="s">
        <v>9</v>
      </c>
      <c r="D12" s="5">
        <v>3</v>
      </c>
      <c r="E12" s="10">
        <f>VLOOKUP($A12,observed!$C$2:$P$139,10,FALSE)</f>
        <v>149.63631989907253</v>
      </c>
      <c r="F12" s="10">
        <f>VLOOKUP($A12,observed!$C$2:$P$139,11,FALSE)</f>
        <v>1958.3441748674122</v>
      </c>
      <c r="G12" s="10">
        <f>VLOOKUP($A12,observed!$C$2:$P$139,12,FALSE)</f>
        <v>4677.6988001053023</v>
      </c>
      <c r="H12" s="10">
        <f>VLOOKUP($A12,observed!$C$2:$P$139,13,FALSE)</f>
        <v>2250.4470078102063</v>
      </c>
      <c r="I12" s="10">
        <f>VLOOKUP($A12,observed!$C$2:$P$139,14,FALSE)</f>
        <v>1039.8636973180051</v>
      </c>
      <c r="J12" s="10">
        <f t="shared" si="0"/>
        <v>10075.989999999998</v>
      </c>
      <c r="K12" s="57">
        <f>IFERROR(VLOOKUP($A12&amp;"-"&amp;TEXT($B12+19,0),md[[routeC]:[passenger_mile_EV]],9,FALSE),"")</f>
        <v>0</v>
      </c>
      <c r="L12" s="57">
        <f>IFERROR(VLOOKUP($A12&amp;"-"&amp;TEXT($B12+19,0),md[[routeC]:[passenger_mile_EV]],10,FALSE),"")</f>
        <v>0</v>
      </c>
      <c r="M12" s="57">
        <f>IFERROR(VLOOKUP($A12&amp;"-"&amp;TEXT($B12+19,0),md[[routeC]:[passenger_mile_EV]],11,FALSE),"")</f>
        <v>0</v>
      </c>
      <c r="N12" s="57">
        <f>IFERROR(VLOOKUP($A12&amp;"-"&amp;TEXT($B12+19,0),md[[routeC]:[passenger_mile_EV]],12,FALSE),"")</f>
        <v>0</v>
      </c>
      <c r="O12" s="57">
        <f>IFERROR(VLOOKUP($A12&amp;"-"&amp;TEXT($B12+19,0),md[[routeC]:[passenger_mile_EV]],13,FALSE),"")</f>
        <v>0</v>
      </c>
      <c r="P12" s="57">
        <f t="shared" si="1"/>
        <v>0</v>
      </c>
      <c r="Q12" s="224">
        <f t="shared" si="2"/>
        <v>-1</v>
      </c>
      <c r="R12" s="237">
        <f t="shared" si="3"/>
        <v>101525574.48009996</v>
      </c>
    </row>
    <row r="13" spans="1:21" x14ac:dyDescent="0.3">
      <c r="A13" s="5">
        <v>150</v>
      </c>
      <c r="B13" s="5">
        <v>9</v>
      </c>
      <c r="C13" s="5" t="s">
        <v>9</v>
      </c>
      <c r="D13" s="5">
        <v>3</v>
      </c>
      <c r="E13" s="10">
        <f>VLOOKUP($A13,observed!$C$2:$P$139,10,FALSE)</f>
        <v>0</v>
      </c>
      <c r="F13" s="10">
        <f>VLOOKUP($A13,observed!$C$2:$P$139,11,FALSE)</f>
        <v>7757.0281953752128</v>
      </c>
      <c r="G13" s="10">
        <f>VLOOKUP($A13,observed!$C$2:$P$139,12,FALSE)</f>
        <v>10208.65177224734</v>
      </c>
      <c r="H13" s="10">
        <f>VLOOKUP($A13,observed!$C$2:$P$139,13,FALSE)</f>
        <v>7731.3480383151054</v>
      </c>
      <c r="I13" s="10">
        <f>VLOOKUP($A13,observed!$C$2:$P$139,14,FALSE)</f>
        <v>2141.6419940623405</v>
      </c>
      <c r="J13" s="10">
        <f t="shared" si="0"/>
        <v>27838.670000000002</v>
      </c>
      <c r="K13" s="57">
        <f>IFERROR(VLOOKUP($A13&amp;"-"&amp;TEXT($B13+19,0),md[[routeC]:[passenger_mile_EV]],9,FALSE),"")</f>
        <v>0</v>
      </c>
      <c r="L13" s="57">
        <f>IFERROR(VLOOKUP($A13&amp;"-"&amp;TEXT($B13+19,0),md[[routeC]:[passenger_mile_EV]],10,FALSE),"")</f>
        <v>0</v>
      </c>
      <c r="M13" s="57">
        <f>IFERROR(VLOOKUP($A13&amp;"-"&amp;TEXT($B13+19,0),md[[routeC]:[passenger_mile_EV]],11,FALSE),"")</f>
        <v>0</v>
      </c>
      <c r="N13" s="57">
        <f>IFERROR(VLOOKUP($A13&amp;"-"&amp;TEXT($B13+19,0),md[[routeC]:[passenger_mile_EV]],12,FALSE),"")</f>
        <v>0</v>
      </c>
      <c r="O13" s="57">
        <f>IFERROR(VLOOKUP($A13&amp;"-"&amp;TEXT($B13+19,0),md[[routeC]:[passenger_mile_EV]],13,FALSE),"")</f>
        <v>0</v>
      </c>
      <c r="P13" s="57">
        <f t="shared" si="1"/>
        <v>0</v>
      </c>
      <c r="Q13" s="224">
        <f t="shared" si="2"/>
        <v>-1</v>
      </c>
      <c r="R13" s="237">
        <f t="shared" si="3"/>
        <v>774991547.36890006</v>
      </c>
    </row>
    <row r="14" spans="1:21" x14ac:dyDescent="0.3">
      <c r="A14" s="5">
        <v>950</v>
      </c>
      <c r="B14" s="5">
        <v>9</v>
      </c>
      <c r="C14" s="5" t="s">
        <v>9</v>
      </c>
      <c r="D14" s="5">
        <v>3</v>
      </c>
      <c r="E14" s="10">
        <f>VLOOKUP($A14,observed!$C$2:$P$139,10,FALSE)</f>
        <v>1824.9064285714283</v>
      </c>
      <c r="F14" s="10">
        <f>VLOOKUP($A14,observed!$C$2:$P$139,11,FALSE)</f>
        <v>3737.2578571428571</v>
      </c>
      <c r="G14" s="10">
        <f>VLOOKUP($A14,observed!$C$2:$P$139,12,FALSE)</f>
        <v>2721.9321428571347</v>
      </c>
      <c r="H14" s="10">
        <f>VLOOKUP($A14,observed!$C$2:$P$139,13,FALSE)</f>
        <v>2089.9335714285799</v>
      </c>
      <c r="I14" s="10">
        <f>VLOOKUP($A14,observed!$C$2:$P$139,14,FALSE)</f>
        <v>196.61</v>
      </c>
      <c r="J14" s="10">
        <f t="shared" si="0"/>
        <v>10570.64</v>
      </c>
      <c r="K14" s="57">
        <f>IFERROR(VLOOKUP($A14&amp;"-"&amp;TEXT($B14+19,0),md[[routeC]:[passenger_mile_EV]],9,FALSE),"")</f>
        <v>0</v>
      </c>
      <c r="L14" s="57">
        <f>IFERROR(VLOOKUP($A14&amp;"-"&amp;TEXT($B14+19,0),md[[routeC]:[passenger_mile_EV]],10,FALSE),"")</f>
        <v>0</v>
      </c>
      <c r="M14" s="57">
        <f>IFERROR(VLOOKUP($A14&amp;"-"&amp;TEXT($B14+19,0),md[[routeC]:[passenger_mile_EV]],11,FALSE),"")</f>
        <v>0</v>
      </c>
      <c r="N14" s="57">
        <f>IFERROR(VLOOKUP($A14&amp;"-"&amp;TEXT($B14+19,0),md[[routeC]:[passenger_mile_EV]],12,FALSE),"")</f>
        <v>0</v>
      </c>
      <c r="O14" s="57">
        <f>IFERROR(VLOOKUP($A14&amp;"-"&amp;TEXT($B14+19,0),md[[routeC]:[passenger_mile_EV]],13,FALSE),"")</f>
        <v>0</v>
      </c>
      <c r="P14" s="57">
        <f t="shared" si="1"/>
        <v>0</v>
      </c>
      <c r="Q14" s="224">
        <f t="shared" si="2"/>
        <v>-1</v>
      </c>
      <c r="R14" s="237">
        <f t="shared" si="3"/>
        <v>111738430.00959998</v>
      </c>
    </row>
    <row r="15" spans="1:21" x14ac:dyDescent="0.3">
      <c r="A15" s="1">
        <v>709</v>
      </c>
      <c r="B15" s="1">
        <v>9</v>
      </c>
      <c r="C15" s="1" t="s">
        <v>9</v>
      </c>
      <c r="D15" s="1">
        <v>3</v>
      </c>
      <c r="E15" s="225">
        <v>0</v>
      </c>
      <c r="F15" s="225">
        <v>1189.0685714285712</v>
      </c>
      <c r="G15" s="225">
        <v>627.1614285714287</v>
      </c>
      <c r="H15" s="225">
        <v>680.41</v>
      </c>
      <c r="I15" s="225">
        <v>0</v>
      </c>
      <c r="J15" s="225">
        <f t="shared" si="0"/>
        <v>2496.64</v>
      </c>
      <c r="K15" s="226">
        <f>IFERROR(VLOOKUP($A15&amp;"-"&amp;TEXT($B15+19,0),md[[routeC]:[passenger_mile_EV]],9,FALSE),"")</f>
        <v>0</v>
      </c>
      <c r="L15" s="226">
        <f>IFERROR(VLOOKUP($A15&amp;"-"&amp;TEXT($B15+19,0),md[[routeC]:[passenger_mile_EV]],10,FALSE),"")</f>
        <v>0</v>
      </c>
      <c r="M15" s="226">
        <f>IFERROR(VLOOKUP($A15&amp;"-"&amp;TEXT($B15+19,0),md[[routeC]:[passenger_mile_EV]],11,FALSE),"")</f>
        <v>0</v>
      </c>
      <c r="N15" s="226">
        <f>IFERROR(VLOOKUP($A15&amp;"-"&amp;TEXT($B15+19,0),md[[routeC]:[passenger_mile_EV]],12,FALSE),"")</f>
        <v>0</v>
      </c>
      <c r="O15" s="226">
        <f>IFERROR(VLOOKUP($A15&amp;"-"&amp;TEXT($B15+19,0),md[[routeC]:[passenger_mile_EV]],13,FALSE),"")</f>
        <v>0</v>
      </c>
      <c r="P15" s="226">
        <f t="shared" ref="P15" si="4">SUM(K15:O15)</f>
        <v>0</v>
      </c>
      <c r="Q15" s="293">
        <f t="shared" ref="Q15" si="5">P15/J15-1</f>
        <v>-1</v>
      </c>
      <c r="R15" s="294">
        <f t="shared" ref="R15" si="6">POWER((P15-J15),2)</f>
        <v>6233211.2895999998</v>
      </c>
    </row>
    <row r="16" spans="1:21" x14ac:dyDescent="0.3">
      <c r="A16" s="5">
        <v>870</v>
      </c>
      <c r="B16" s="5">
        <v>8</v>
      </c>
      <c r="C16" s="5" t="s">
        <v>14</v>
      </c>
      <c r="D16" s="5">
        <v>3</v>
      </c>
      <c r="E16" s="10">
        <f>VLOOKUP($A16,observed!$C$2:$P$139,10,FALSE)</f>
        <v>0</v>
      </c>
      <c r="F16" s="10">
        <f>VLOOKUP($A16,observed!$C$2:$P$139,11,FALSE)</f>
        <v>352.63</v>
      </c>
      <c r="G16" s="10">
        <f>VLOOKUP($A16,observed!$C$2:$P$139,12,FALSE)</f>
        <v>0</v>
      </c>
      <c r="H16" s="10">
        <f>VLOOKUP($A16,observed!$C$2:$P$139,13,FALSE)</f>
        <v>339.14</v>
      </c>
      <c r="I16" s="10">
        <f>VLOOKUP($A16,observed!$C$2:$P$139,14,FALSE)</f>
        <v>0</v>
      </c>
      <c r="J16" s="10">
        <f t="shared" si="0"/>
        <v>691.77</v>
      </c>
      <c r="K16" s="57">
        <f>IFERROR(VLOOKUP($A16&amp;"-"&amp;TEXT($B16+19,0),md[[routeC]:[passenger_mile_EV]],9,FALSE),"")</f>
        <v>0</v>
      </c>
      <c r="L16" s="57">
        <f>IFERROR(VLOOKUP($A16&amp;"-"&amp;TEXT($B16+19,0),md[[routeC]:[passenger_mile_EV]],10,FALSE),"")</f>
        <v>0</v>
      </c>
      <c r="M16" s="57">
        <f>IFERROR(VLOOKUP($A16&amp;"-"&amp;TEXT($B16+19,0),md[[routeC]:[passenger_mile_EV]],11,FALSE),"")</f>
        <v>0</v>
      </c>
      <c r="N16" s="57">
        <f>IFERROR(VLOOKUP($A16&amp;"-"&amp;TEXT($B16+19,0),md[[routeC]:[passenger_mile_EV]],12,FALSE),"")</f>
        <v>0</v>
      </c>
      <c r="O16" s="57">
        <f>IFERROR(VLOOKUP($A16&amp;"-"&amp;TEXT($B16+19,0),md[[routeC]:[passenger_mile_EV]],13,FALSE),"")</f>
        <v>0</v>
      </c>
      <c r="P16" s="57">
        <f t="shared" si="1"/>
        <v>0</v>
      </c>
      <c r="Q16" s="224">
        <f t="shared" si="2"/>
        <v>-1</v>
      </c>
      <c r="R16" s="237">
        <f t="shared" si="3"/>
        <v>478545.7329</v>
      </c>
    </row>
    <row r="17" spans="1:18" x14ac:dyDescent="0.3">
      <c r="A17" s="11">
        <v>235</v>
      </c>
      <c r="B17" s="11">
        <v>6</v>
      </c>
      <c r="C17" s="11" t="s">
        <v>11</v>
      </c>
      <c r="D17" s="11">
        <v>4</v>
      </c>
      <c r="E17" s="12">
        <f>VLOOKUP($A17,observed!$C$2:$P$139,10,FALSE)</f>
        <v>3454.1738104013098</v>
      </c>
      <c r="F17" s="12">
        <f>VLOOKUP($A17,observed!$C$2:$P$139,11,FALSE)</f>
        <v>21468.882731861118</v>
      </c>
      <c r="G17" s="12">
        <f>VLOOKUP($A17,observed!$C$2:$P$139,12,FALSE)</f>
        <v>33406.01247128642</v>
      </c>
      <c r="H17" s="12">
        <f>VLOOKUP($A17,observed!$C$2:$P$139,13,FALSE)</f>
        <v>24729.847665543686</v>
      </c>
      <c r="I17" s="12">
        <f>VLOOKUP($A17,observed!$C$2:$P$139,14,FALSE)</f>
        <v>10586.253320907457</v>
      </c>
      <c r="J17" s="12">
        <f t="shared" si="0"/>
        <v>93645.17</v>
      </c>
      <c r="K17" s="63">
        <f>IFERROR(VLOOKUP($A17&amp;"-"&amp;TEXT($B17+19,0),md[[routeC]:[passenger_mile_EV]],9,FALSE),"")</f>
        <v>0</v>
      </c>
      <c r="L17" s="63">
        <f>IFERROR(VLOOKUP($A17&amp;"-"&amp;TEXT($B17+19,0),md[[routeC]:[passenger_mile_EV]],10,FALSE),"")</f>
        <v>0</v>
      </c>
      <c r="M17" s="63">
        <f>IFERROR(VLOOKUP($A17&amp;"-"&amp;TEXT($B17+19,0),md[[routeC]:[passenger_mile_EV]],11,FALSE),"")</f>
        <v>0</v>
      </c>
      <c r="N17" s="63">
        <f>IFERROR(VLOOKUP($A17&amp;"-"&amp;TEXT($B17+19,0),md[[routeC]:[passenger_mile_EV]],12,FALSE),"")</f>
        <v>0</v>
      </c>
      <c r="O17" s="63">
        <f>IFERROR(VLOOKUP($A17&amp;"-"&amp;TEXT($B17+19,0),md[[routeC]:[passenger_mile_EV]],13,FALSE),"")</f>
        <v>0</v>
      </c>
      <c r="P17" s="63">
        <f t="shared" si="1"/>
        <v>0</v>
      </c>
      <c r="Q17" s="224">
        <f t="shared" si="2"/>
        <v>-1</v>
      </c>
      <c r="R17" s="237">
        <f t="shared" si="3"/>
        <v>8769417864.3288994</v>
      </c>
    </row>
    <row r="18" spans="1:18" x14ac:dyDescent="0.3">
      <c r="A18" s="11">
        <v>237</v>
      </c>
      <c r="B18" s="11">
        <v>6</v>
      </c>
      <c r="C18" s="11" t="s">
        <v>11</v>
      </c>
      <c r="D18" s="11">
        <v>4</v>
      </c>
      <c r="E18" s="12">
        <f>VLOOKUP($A18,observed!$C$2:$P$139,10,FALSE)</f>
        <v>60.760112201963395</v>
      </c>
      <c r="F18" s="12">
        <f>VLOOKUP($A18,observed!$C$2:$P$139,11,FALSE)</f>
        <v>2847.7047779785375</v>
      </c>
      <c r="G18" s="12">
        <f>VLOOKUP($A18,observed!$C$2:$P$139,12,FALSE)</f>
        <v>1147.6562399821987</v>
      </c>
      <c r="H18" s="12">
        <f>VLOOKUP($A18,observed!$C$2:$P$139,13,FALSE)</f>
        <v>2914.5439025170417</v>
      </c>
      <c r="I18" s="12">
        <f>VLOOKUP($A18,observed!$C$2:$P$139,14,FALSE)</f>
        <v>426.16496732025769</v>
      </c>
      <c r="J18" s="12">
        <f t="shared" si="0"/>
        <v>7396.8299999999981</v>
      </c>
      <c r="K18" s="63">
        <f>IFERROR(VLOOKUP($A18&amp;"-"&amp;TEXT($B18+19,0),md[[routeC]:[passenger_mile_EV]],9,FALSE),"")</f>
        <v>0</v>
      </c>
      <c r="L18" s="63">
        <f>IFERROR(VLOOKUP($A18&amp;"-"&amp;TEXT($B18+19,0),md[[routeC]:[passenger_mile_EV]],10,FALSE),"")</f>
        <v>0</v>
      </c>
      <c r="M18" s="63">
        <f>IFERROR(VLOOKUP($A18&amp;"-"&amp;TEXT($B18+19,0),md[[routeC]:[passenger_mile_EV]],11,FALSE),"")</f>
        <v>0</v>
      </c>
      <c r="N18" s="63">
        <f>IFERROR(VLOOKUP($A18&amp;"-"&amp;TEXT($B18+19,0),md[[routeC]:[passenger_mile_EV]],12,FALSE),"")</f>
        <v>0</v>
      </c>
      <c r="O18" s="63">
        <f>IFERROR(VLOOKUP($A18&amp;"-"&amp;TEXT($B18+19,0),md[[routeC]:[passenger_mile_EV]],13,FALSE),"")</f>
        <v>0</v>
      </c>
      <c r="P18" s="63">
        <f t="shared" si="1"/>
        <v>0</v>
      </c>
      <c r="Q18" s="224">
        <f t="shared" si="2"/>
        <v>-1</v>
      </c>
      <c r="R18" s="237">
        <f t="shared" si="3"/>
        <v>54713094.048899971</v>
      </c>
    </row>
    <row r="19" spans="1:18" x14ac:dyDescent="0.3">
      <c r="A19" s="11">
        <v>288</v>
      </c>
      <c r="B19" s="11">
        <v>6</v>
      </c>
      <c r="C19" s="11" t="s">
        <v>11</v>
      </c>
      <c r="D19" s="11">
        <v>4</v>
      </c>
      <c r="E19" s="12">
        <f>VLOOKUP($A19,observed!$C$2:$P$139,10,FALSE)</f>
        <v>1095.3611111111113</v>
      </c>
      <c r="F19" s="12">
        <f>VLOOKUP($A19,observed!$C$2:$P$139,11,FALSE)</f>
        <v>7113.1488888888871</v>
      </c>
      <c r="G19" s="12">
        <f>VLOOKUP($A19,observed!$C$2:$P$139,12,FALSE)</f>
        <v>514.2057894736763</v>
      </c>
      <c r="H19" s="12">
        <f>VLOOKUP($A19,observed!$C$2:$P$139,13,FALSE)</f>
        <v>7129.9942105263253</v>
      </c>
      <c r="I19" s="12">
        <f>VLOOKUP($A19,observed!$C$2:$P$139,14,FALSE)</f>
        <v>0</v>
      </c>
      <c r="J19" s="12">
        <f t="shared" si="0"/>
        <v>15852.71</v>
      </c>
      <c r="K19" s="63">
        <f>IFERROR(VLOOKUP($A19&amp;"-"&amp;TEXT($B19+19,0),md[[routeC]:[passenger_mile_EV]],9,FALSE),"")</f>
        <v>0</v>
      </c>
      <c r="L19" s="63">
        <f>IFERROR(VLOOKUP($A19&amp;"-"&amp;TEXT($B19+19,0),md[[routeC]:[passenger_mile_EV]],10,FALSE),"")</f>
        <v>0</v>
      </c>
      <c r="M19" s="63">
        <f>IFERROR(VLOOKUP($A19&amp;"-"&amp;TEXT($B19+19,0),md[[routeC]:[passenger_mile_EV]],11,FALSE),"")</f>
        <v>0</v>
      </c>
      <c r="N19" s="63">
        <f>IFERROR(VLOOKUP($A19&amp;"-"&amp;TEXT($B19+19,0),md[[routeC]:[passenger_mile_EV]],12,FALSE),"")</f>
        <v>0</v>
      </c>
      <c r="O19" s="63">
        <f>IFERROR(VLOOKUP($A19&amp;"-"&amp;TEXT($B19+19,0),md[[routeC]:[passenger_mile_EV]],13,FALSE),"")</f>
        <v>0</v>
      </c>
      <c r="P19" s="63">
        <f t="shared" si="1"/>
        <v>0</v>
      </c>
      <c r="Q19" s="224">
        <f t="shared" si="2"/>
        <v>-1</v>
      </c>
      <c r="R19" s="237">
        <f t="shared" si="3"/>
        <v>251308414.34409997</v>
      </c>
    </row>
    <row r="20" spans="1:18" x14ac:dyDescent="0.3">
      <c r="A20" s="11">
        <v>290</v>
      </c>
      <c r="B20" s="11">
        <v>6</v>
      </c>
      <c r="C20" s="11" t="s">
        <v>11</v>
      </c>
      <c r="D20" s="11">
        <v>4</v>
      </c>
      <c r="E20" s="12">
        <f>VLOOKUP($A20,observed!$C$2:$P$139,10,FALSE)</f>
        <v>725.13586956521738</v>
      </c>
      <c r="F20" s="12">
        <f>VLOOKUP($A20,observed!$C$2:$P$139,11,FALSE)</f>
        <v>7062.9804049445847</v>
      </c>
      <c r="G20" s="12">
        <f>VLOOKUP($A20,observed!$C$2:$P$139,12,FALSE)</f>
        <v>474.76981244670895</v>
      </c>
      <c r="H20" s="12">
        <f>VLOOKUP($A20,observed!$C$2:$P$139,13,FALSE)</f>
        <v>6342.4739130434873</v>
      </c>
      <c r="I20" s="12">
        <f>VLOOKUP($A20,observed!$C$2:$P$139,14,FALSE)</f>
        <v>0</v>
      </c>
      <c r="J20" s="12">
        <f t="shared" si="0"/>
        <v>14605.359999999997</v>
      </c>
      <c r="K20" s="63">
        <f>IFERROR(VLOOKUP($A20&amp;"-"&amp;TEXT($B20+19,0),md[[routeC]:[passenger_mile_EV]],9,FALSE),"")</f>
        <v>0</v>
      </c>
      <c r="L20" s="63">
        <f>IFERROR(VLOOKUP($A20&amp;"-"&amp;TEXT($B20+19,0),md[[routeC]:[passenger_mile_EV]],10,FALSE),"")</f>
        <v>0</v>
      </c>
      <c r="M20" s="63">
        <f>IFERROR(VLOOKUP($A20&amp;"-"&amp;TEXT($B20+19,0),md[[routeC]:[passenger_mile_EV]],11,FALSE),"")</f>
        <v>0</v>
      </c>
      <c r="N20" s="63">
        <f>IFERROR(VLOOKUP($A20&amp;"-"&amp;TEXT($B20+19,0),md[[routeC]:[passenger_mile_EV]],12,FALSE),"")</f>
        <v>0</v>
      </c>
      <c r="O20" s="63">
        <f>IFERROR(VLOOKUP($A20&amp;"-"&amp;TEXT($B20+19,0),md[[routeC]:[passenger_mile_EV]],13,FALSE),"")</f>
        <v>0</v>
      </c>
      <c r="P20" s="63">
        <f t="shared" si="1"/>
        <v>0</v>
      </c>
      <c r="Q20" s="224">
        <f t="shared" si="2"/>
        <v>-1</v>
      </c>
      <c r="R20" s="237">
        <f t="shared" si="3"/>
        <v>213316540.72959992</v>
      </c>
    </row>
    <row r="21" spans="1:18" x14ac:dyDescent="0.3">
      <c r="A21" s="11">
        <v>201</v>
      </c>
      <c r="B21" s="11">
        <v>7</v>
      </c>
      <c r="C21" s="11" t="s">
        <v>10</v>
      </c>
      <c r="D21" s="11">
        <v>4</v>
      </c>
      <c r="E21" s="12">
        <f>VLOOKUP($A21,observed!$C$2:$P$139,10,FALSE)</f>
        <v>8.7879999999999932</v>
      </c>
      <c r="F21" s="12">
        <f>VLOOKUP($A21,observed!$C$2:$P$139,11,FALSE)</f>
        <v>277.42699999999979</v>
      </c>
      <c r="G21" s="12">
        <f>VLOOKUP($A21,observed!$C$2:$P$139,12,FALSE)</f>
        <v>2048.1667424242382</v>
      </c>
      <c r="H21" s="12">
        <f>VLOOKUP($A21,observed!$C$2:$P$139,13,FALSE)</f>
        <v>2781.4944648093924</v>
      </c>
      <c r="I21" s="12">
        <f>VLOOKUP($A21,observed!$C$2:$P$139,14,FALSE)</f>
        <v>1320.5537927663697</v>
      </c>
      <c r="J21" s="12">
        <f t="shared" si="0"/>
        <v>6436.43</v>
      </c>
      <c r="K21" s="63">
        <f>IFERROR(VLOOKUP($A21&amp;"-"&amp;TEXT($B21+19,0),md[[routeC]:[passenger_mile_EV]],9,FALSE),"")</f>
        <v>0</v>
      </c>
      <c r="L21" s="63">
        <f>IFERROR(VLOOKUP($A21&amp;"-"&amp;TEXT($B21+19,0),md[[routeC]:[passenger_mile_EV]],10,FALSE),"")</f>
        <v>0</v>
      </c>
      <c r="M21" s="63">
        <f>IFERROR(VLOOKUP($A21&amp;"-"&amp;TEXT($B21+19,0),md[[routeC]:[passenger_mile_EV]],11,FALSE),"")</f>
        <v>0</v>
      </c>
      <c r="N21" s="63">
        <f>IFERROR(VLOOKUP($A21&amp;"-"&amp;TEXT($B21+19,0),md[[routeC]:[passenger_mile_EV]],12,FALSE),"")</f>
        <v>0</v>
      </c>
      <c r="O21" s="63">
        <f>IFERROR(VLOOKUP($A21&amp;"-"&amp;TEXT($B21+19,0),md[[routeC]:[passenger_mile_EV]],13,FALSE),"")</f>
        <v>0</v>
      </c>
      <c r="P21" s="63">
        <f t="shared" si="1"/>
        <v>0</v>
      </c>
      <c r="Q21" s="224">
        <f t="shared" si="2"/>
        <v>-1</v>
      </c>
      <c r="R21" s="237">
        <f t="shared" si="3"/>
        <v>41427631.144900002</v>
      </c>
    </row>
    <row r="22" spans="1:18" x14ac:dyDescent="0.3">
      <c r="A22" s="11">
        <v>202</v>
      </c>
      <c r="B22" s="11">
        <v>7</v>
      </c>
      <c r="C22" s="11" t="s">
        <v>10</v>
      </c>
      <c r="D22" s="11">
        <v>4</v>
      </c>
      <c r="E22" s="12">
        <f>VLOOKUP($A22,observed!$C$2:$P$139,10,FALSE)</f>
        <v>6.3749999999999876</v>
      </c>
      <c r="F22" s="12">
        <f>VLOOKUP($A22,observed!$C$2:$P$139,11,FALSE)</f>
        <v>1789.1376881720428</v>
      </c>
      <c r="G22" s="12">
        <f>VLOOKUP($A22,observed!$C$2:$P$139,12,FALSE)</f>
        <v>5103.1185239491633</v>
      </c>
      <c r="H22" s="12">
        <f>VLOOKUP($A22,observed!$C$2:$P$139,13,FALSE)</f>
        <v>1628.8091104594396</v>
      </c>
      <c r="I22" s="12">
        <f>VLOOKUP($A22,observed!$C$2:$P$139,14,FALSE)</f>
        <v>699.76967741935255</v>
      </c>
      <c r="J22" s="12">
        <f t="shared" si="0"/>
        <v>9227.2099999999973</v>
      </c>
      <c r="K22" s="63">
        <f>IFERROR(VLOOKUP($A22&amp;"-"&amp;TEXT($B22+19,0),md[[routeC]:[passenger_mile_EV]],9,FALSE),"")</f>
        <v>0</v>
      </c>
      <c r="L22" s="63">
        <f>IFERROR(VLOOKUP($A22&amp;"-"&amp;TEXT($B22+19,0),md[[routeC]:[passenger_mile_EV]],10,FALSE),"")</f>
        <v>0</v>
      </c>
      <c r="M22" s="63">
        <f>IFERROR(VLOOKUP($A22&amp;"-"&amp;TEXT($B22+19,0),md[[routeC]:[passenger_mile_EV]],11,FALSE),"")</f>
        <v>0</v>
      </c>
      <c r="N22" s="63">
        <f>IFERROR(VLOOKUP($A22&amp;"-"&amp;TEXT($B22+19,0),md[[routeC]:[passenger_mile_EV]],12,FALSE),"")</f>
        <v>0</v>
      </c>
      <c r="O22" s="63">
        <f>IFERROR(VLOOKUP($A22&amp;"-"&amp;TEXT($B22+19,0),md[[routeC]:[passenger_mile_EV]],13,FALSE),"")</f>
        <v>0</v>
      </c>
      <c r="P22" s="63">
        <f t="shared" si="1"/>
        <v>0</v>
      </c>
      <c r="Q22" s="224">
        <f t="shared" si="2"/>
        <v>-1</v>
      </c>
      <c r="R22" s="237">
        <f t="shared" si="3"/>
        <v>85141404.384099945</v>
      </c>
    </row>
    <row r="23" spans="1:18" x14ac:dyDescent="0.3">
      <c r="A23" s="11">
        <v>204</v>
      </c>
      <c r="B23" s="11">
        <v>7</v>
      </c>
      <c r="C23" s="11" t="s">
        <v>10</v>
      </c>
      <c r="D23" s="11">
        <v>4</v>
      </c>
      <c r="E23" s="12">
        <f>VLOOKUP($A23,observed!$C$2:$P$139,10,FALSE)</f>
        <v>3.3</v>
      </c>
      <c r="F23" s="12">
        <f>VLOOKUP($A23,observed!$C$2:$P$139,11,FALSE)</f>
        <v>139.42399999999998</v>
      </c>
      <c r="G23" s="12">
        <f>VLOOKUP($A23,observed!$C$2:$P$139,12,FALSE)</f>
        <v>373.51866666666604</v>
      </c>
      <c r="H23" s="12">
        <f>VLOOKUP($A23,observed!$C$2:$P$139,13,FALSE)</f>
        <v>219.67579487179606</v>
      </c>
      <c r="I23" s="12">
        <f>VLOOKUP($A23,observed!$C$2:$P$139,14,FALSE)</f>
        <v>114.71153846153783</v>
      </c>
      <c r="J23" s="12">
        <f t="shared" si="0"/>
        <v>850.62999999999988</v>
      </c>
      <c r="K23" s="63">
        <f>IFERROR(VLOOKUP($A23&amp;"-"&amp;TEXT($B23+19,0),md[[routeC]:[passenger_mile_EV]],9,FALSE),"")</f>
        <v>0</v>
      </c>
      <c r="L23" s="63">
        <f>IFERROR(VLOOKUP($A23&amp;"-"&amp;TEXT($B23+19,0),md[[routeC]:[passenger_mile_EV]],10,FALSE),"")</f>
        <v>0</v>
      </c>
      <c r="M23" s="63">
        <f>IFERROR(VLOOKUP($A23&amp;"-"&amp;TEXT($B23+19,0),md[[routeC]:[passenger_mile_EV]],11,FALSE),"")</f>
        <v>0</v>
      </c>
      <c r="N23" s="63">
        <f>IFERROR(VLOOKUP($A23&amp;"-"&amp;TEXT($B23+19,0),md[[routeC]:[passenger_mile_EV]],12,FALSE),"")</f>
        <v>0</v>
      </c>
      <c r="O23" s="63">
        <f>IFERROR(VLOOKUP($A23&amp;"-"&amp;TEXT($B23+19,0),md[[routeC]:[passenger_mile_EV]],13,FALSE),"")</f>
        <v>0</v>
      </c>
      <c r="P23" s="63">
        <f t="shared" si="1"/>
        <v>0</v>
      </c>
      <c r="Q23" s="224">
        <f t="shared" si="2"/>
        <v>-1</v>
      </c>
      <c r="R23" s="237">
        <f t="shared" si="3"/>
        <v>723571.39689999982</v>
      </c>
    </row>
    <row r="24" spans="1:18" x14ac:dyDescent="0.3">
      <c r="A24" s="11">
        <v>215</v>
      </c>
      <c r="B24" s="11">
        <v>7</v>
      </c>
      <c r="C24" s="11" t="s">
        <v>10</v>
      </c>
      <c r="D24" s="11">
        <v>4</v>
      </c>
      <c r="E24" s="12">
        <f>VLOOKUP($A24,observed!$C$2:$P$139,10,FALSE)</f>
        <v>749.13004164437211</v>
      </c>
      <c r="F24" s="12">
        <f>VLOOKUP($A24,observed!$C$2:$P$139,11,FALSE)</f>
        <v>4600.0289379474652</v>
      </c>
      <c r="G24" s="12">
        <f>VLOOKUP($A24,observed!$C$2:$P$139,12,FALSE)</f>
        <v>10053.891583086208</v>
      </c>
      <c r="H24" s="12">
        <f>VLOOKUP($A24,observed!$C$2:$P$139,13,FALSE)</f>
        <v>6354.7671782947727</v>
      </c>
      <c r="I24" s="12">
        <f>VLOOKUP($A24,observed!$C$2:$P$139,14,FALSE)</f>
        <v>3671.6022590271768</v>
      </c>
      <c r="J24" s="12">
        <f t="shared" si="0"/>
        <v>25429.419999999991</v>
      </c>
      <c r="K24" s="63">
        <f>IFERROR(VLOOKUP($A24&amp;"-"&amp;TEXT($B24+19,0),md[[routeC]:[passenger_mile_EV]],9,FALSE),"")</f>
        <v>0</v>
      </c>
      <c r="L24" s="63">
        <f>IFERROR(VLOOKUP($A24&amp;"-"&amp;TEXT($B24+19,0),md[[routeC]:[passenger_mile_EV]],10,FALSE),"")</f>
        <v>0</v>
      </c>
      <c r="M24" s="63">
        <f>IFERROR(VLOOKUP($A24&amp;"-"&amp;TEXT($B24+19,0),md[[routeC]:[passenger_mile_EV]],11,FALSE),"")</f>
        <v>0</v>
      </c>
      <c r="N24" s="63">
        <f>IFERROR(VLOOKUP($A24&amp;"-"&amp;TEXT($B24+19,0),md[[routeC]:[passenger_mile_EV]],12,FALSE),"")</f>
        <v>0</v>
      </c>
      <c r="O24" s="63">
        <f>IFERROR(VLOOKUP($A24&amp;"-"&amp;TEXT($B24+19,0),md[[routeC]:[passenger_mile_EV]],13,FALSE),"")</f>
        <v>0</v>
      </c>
      <c r="P24" s="63">
        <f t="shared" si="1"/>
        <v>0</v>
      </c>
      <c r="Q24" s="224">
        <f t="shared" si="2"/>
        <v>-1</v>
      </c>
      <c r="R24" s="237">
        <f t="shared" si="3"/>
        <v>646655401.53639948</v>
      </c>
    </row>
    <row r="25" spans="1:18" x14ac:dyDescent="0.3">
      <c r="A25" s="11">
        <v>350</v>
      </c>
      <c r="B25" s="11">
        <v>7</v>
      </c>
      <c r="C25" s="11" t="s">
        <v>10</v>
      </c>
      <c r="D25" s="11">
        <v>4</v>
      </c>
      <c r="E25" s="12">
        <f>VLOOKUP($A25,observed!$C$2:$P$139,10,FALSE)</f>
        <v>84.54</v>
      </c>
      <c r="F25" s="12">
        <f>VLOOKUP($A25,observed!$C$2:$P$139,11,FALSE)</f>
        <v>967.18533333333323</v>
      </c>
      <c r="G25" s="12">
        <f>VLOOKUP($A25,observed!$C$2:$P$139,12,FALSE)</f>
        <v>2372.2590768300006</v>
      </c>
      <c r="H25" s="12">
        <f>VLOOKUP($A25,observed!$C$2:$P$139,13,FALSE)</f>
        <v>1029.2515898366669</v>
      </c>
      <c r="I25" s="12">
        <f>VLOOKUP($A25,observed!$C$2:$P$139,14,FALSE)</f>
        <v>270.75399999999917</v>
      </c>
      <c r="J25" s="12">
        <f t="shared" si="0"/>
        <v>4723.99</v>
      </c>
      <c r="K25" s="63">
        <f>IFERROR(VLOOKUP($A25&amp;"-"&amp;TEXT($B25+19,0),md[[routeC]:[passenger_mile_EV]],9,FALSE),"")</f>
        <v>0</v>
      </c>
      <c r="L25" s="63">
        <f>IFERROR(VLOOKUP($A25&amp;"-"&amp;TEXT($B25+19,0),md[[routeC]:[passenger_mile_EV]],10,FALSE),"")</f>
        <v>0</v>
      </c>
      <c r="M25" s="63">
        <f>IFERROR(VLOOKUP($A25&amp;"-"&amp;TEXT($B25+19,0),md[[routeC]:[passenger_mile_EV]],11,FALSE),"")</f>
        <v>0</v>
      </c>
      <c r="N25" s="63">
        <f>IFERROR(VLOOKUP($A25&amp;"-"&amp;TEXT($B25+19,0),md[[routeC]:[passenger_mile_EV]],12,FALSE),"")</f>
        <v>0</v>
      </c>
      <c r="O25" s="63">
        <f>IFERROR(VLOOKUP($A25&amp;"-"&amp;TEXT($B25+19,0),md[[routeC]:[passenger_mile_EV]],13,FALSE),"")</f>
        <v>0</v>
      </c>
      <c r="P25" s="63">
        <f t="shared" si="1"/>
        <v>0</v>
      </c>
      <c r="Q25" s="224">
        <f t="shared" si="2"/>
        <v>-1</v>
      </c>
      <c r="R25" s="237">
        <f t="shared" si="3"/>
        <v>22316081.520099998</v>
      </c>
    </row>
    <row r="26" spans="1:18" x14ac:dyDescent="0.3">
      <c r="A26" s="5">
        <v>1</v>
      </c>
      <c r="B26" s="5">
        <v>10</v>
      </c>
      <c r="C26" s="5" t="s">
        <v>0</v>
      </c>
      <c r="D26" s="5">
        <v>5</v>
      </c>
      <c r="E26" s="10">
        <f>VLOOKUP($A26,observed!$C$2:$P$139,10,FALSE)</f>
        <v>190.69981684643034</v>
      </c>
      <c r="F26" s="10">
        <f>VLOOKUP($A26,observed!$C$2:$P$139,11,FALSE)</f>
        <v>1613.818825206441</v>
      </c>
      <c r="G26" s="10">
        <f>VLOOKUP($A26,observed!$C$2:$P$139,12,FALSE)</f>
        <v>5265.7598450829046</v>
      </c>
      <c r="H26" s="10">
        <f>VLOOKUP($A26,observed!$C$2:$P$139,13,FALSE)</f>
        <v>2507.325380377667</v>
      </c>
      <c r="I26" s="10">
        <f>VLOOKUP($A26,observed!$C$2:$P$139,14,FALSE)</f>
        <v>1430.5361324865578</v>
      </c>
      <c r="J26" s="10">
        <f t="shared" si="0"/>
        <v>11008.140000000001</v>
      </c>
      <c r="K26" s="57">
        <f>IFERROR(VLOOKUP($A26&amp;"-"&amp;TEXT($B26+19,0),md[[routeC]:[passenger_mile_EV]],9,FALSE),"")</f>
        <v>0</v>
      </c>
      <c r="L26" s="57">
        <f>IFERROR(VLOOKUP($A26&amp;"-"&amp;TEXT($B26+19,0),md[[routeC]:[passenger_mile_EV]],10,FALSE),"")</f>
        <v>0</v>
      </c>
      <c r="M26" s="57">
        <f>IFERROR(VLOOKUP($A26&amp;"-"&amp;TEXT($B26+19,0),md[[routeC]:[passenger_mile_EV]],11,FALSE),"")</f>
        <v>0</v>
      </c>
      <c r="N26" s="57">
        <f>IFERROR(VLOOKUP($A26&amp;"-"&amp;TEXT($B26+19,0),md[[routeC]:[passenger_mile_EV]],12,FALSE),"")</f>
        <v>0</v>
      </c>
      <c r="O26" s="57">
        <f>IFERROR(VLOOKUP($A26&amp;"-"&amp;TEXT($B26+19,0),md[[routeC]:[passenger_mile_EV]],13,FALSE),"")</f>
        <v>0</v>
      </c>
      <c r="P26" s="57">
        <f t="shared" si="1"/>
        <v>0</v>
      </c>
      <c r="Q26" s="224">
        <f t="shared" si="2"/>
        <v>-1</v>
      </c>
      <c r="R26" s="237">
        <f t="shared" si="3"/>
        <v>121179146.25960003</v>
      </c>
    </row>
    <row r="27" spans="1:18" x14ac:dyDescent="0.3">
      <c r="A27" s="5">
        <v>2</v>
      </c>
      <c r="B27" s="5">
        <v>10</v>
      </c>
      <c r="C27" s="5" t="s">
        <v>0</v>
      </c>
      <c r="D27" s="5">
        <v>5</v>
      </c>
      <c r="E27" s="10">
        <f>VLOOKUP($A27,observed!$C$2:$P$139,10,FALSE)</f>
        <v>125.27300492610831</v>
      </c>
      <c r="F27" s="10">
        <f>VLOOKUP($A27,observed!$C$2:$P$139,11,FALSE)</f>
        <v>1349.5715896684862</v>
      </c>
      <c r="G27" s="10">
        <f>VLOOKUP($A27,observed!$C$2:$P$139,12,FALSE)</f>
        <v>2896.6355930226605</v>
      </c>
      <c r="H27" s="10">
        <f>VLOOKUP($A27,observed!$C$2:$P$139,13,FALSE)</f>
        <v>1813.4309576818916</v>
      </c>
      <c r="I27" s="10">
        <f>VLOOKUP($A27,observed!$C$2:$P$139,14,FALSE)</f>
        <v>780.05885470085173</v>
      </c>
      <c r="J27" s="10">
        <f t="shared" si="0"/>
        <v>6964.9699999999984</v>
      </c>
      <c r="K27" s="57">
        <f>IFERROR(VLOOKUP($A27&amp;"-"&amp;TEXT($B27+19,0),md[[routeC]:[passenger_mile_EV]],9,FALSE),"")</f>
        <v>0</v>
      </c>
      <c r="L27" s="57">
        <f>IFERROR(VLOOKUP($A27&amp;"-"&amp;TEXT($B27+19,0),md[[routeC]:[passenger_mile_EV]],10,FALSE),"")</f>
        <v>0</v>
      </c>
      <c r="M27" s="57">
        <f>IFERROR(VLOOKUP($A27&amp;"-"&amp;TEXT($B27+19,0),md[[routeC]:[passenger_mile_EV]],11,FALSE),"")</f>
        <v>0</v>
      </c>
      <c r="N27" s="57">
        <f>IFERROR(VLOOKUP($A27&amp;"-"&amp;TEXT($B27+19,0),md[[routeC]:[passenger_mile_EV]],12,FALSE),"")</f>
        <v>0</v>
      </c>
      <c r="O27" s="57">
        <f>IFERROR(VLOOKUP($A27&amp;"-"&amp;TEXT($B27+19,0),md[[routeC]:[passenger_mile_EV]],13,FALSE),"")</f>
        <v>0</v>
      </c>
      <c r="P27" s="57">
        <f t="shared" si="1"/>
        <v>0</v>
      </c>
      <c r="Q27" s="224">
        <f t="shared" si="2"/>
        <v>-1</v>
      </c>
      <c r="R27" s="237">
        <f t="shared" si="3"/>
        <v>48510807.100899979</v>
      </c>
    </row>
    <row r="28" spans="1:18" x14ac:dyDescent="0.3">
      <c r="A28" s="5">
        <v>3</v>
      </c>
      <c r="B28" s="5">
        <v>10</v>
      </c>
      <c r="C28" s="5" t="s">
        <v>0</v>
      </c>
      <c r="D28" s="5">
        <v>5</v>
      </c>
      <c r="E28" s="10">
        <f>VLOOKUP($A28,observed!$C$2:$P$139,10,FALSE)</f>
        <v>224.85074856439701</v>
      </c>
      <c r="F28" s="10">
        <f>VLOOKUP($A28,observed!$C$2:$P$139,11,FALSE)</f>
        <v>2134.2037523845725</v>
      </c>
      <c r="G28" s="10">
        <f>VLOOKUP($A28,observed!$C$2:$P$139,12,FALSE)</f>
        <v>5495.9742473027709</v>
      </c>
      <c r="H28" s="10">
        <f>VLOOKUP($A28,observed!$C$2:$P$139,13,FALSE)</f>
        <v>2849.6725274186047</v>
      </c>
      <c r="I28" s="10">
        <f>VLOOKUP($A28,observed!$C$2:$P$139,14,FALSE)</f>
        <v>1274.3087243296529</v>
      </c>
      <c r="J28" s="10">
        <f t="shared" si="0"/>
        <v>11979.009999999997</v>
      </c>
      <c r="K28" s="57">
        <f>IFERROR(VLOOKUP($A28&amp;"-"&amp;TEXT($B28+19,0),md[[routeC]:[passenger_mile_EV]],9,FALSE),"")</f>
        <v>0</v>
      </c>
      <c r="L28" s="57">
        <f>IFERROR(VLOOKUP($A28&amp;"-"&amp;TEXT($B28+19,0),md[[routeC]:[passenger_mile_EV]],10,FALSE),"")</f>
        <v>0</v>
      </c>
      <c r="M28" s="57">
        <f>IFERROR(VLOOKUP($A28&amp;"-"&amp;TEXT($B28+19,0),md[[routeC]:[passenger_mile_EV]],11,FALSE),"")</f>
        <v>0</v>
      </c>
      <c r="N28" s="57">
        <f>IFERROR(VLOOKUP($A28&amp;"-"&amp;TEXT($B28+19,0),md[[routeC]:[passenger_mile_EV]],12,FALSE),"")</f>
        <v>0</v>
      </c>
      <c r="O28" s="57">
        <f>IFERROR(VLOOKUP($A28&amp;"-"&amp;TEXT($B28+19,0),md[[routeC]:[passenger_mile_EV]],13,FALSE),"")</f>
        <v>0</v>
      </c>
      <c r="P28" s="57">
        <f t="shared" si="1"/>
        <v>0</v>
      </c>
      <c r="Q28" s="224">
        <f t="shared" si="2"/>
        <v>-1</v>
      </c>
      <c r="R28" s="237">
        <f t="shared" si="3"/>
        <v>143496680.58009991</v>
      </c>
    </row>
    <row r="29" spans="1:18" x14ac:dyDescent="0.3">
      <c r="A29" s="5">
        <v>4</v>
      </c>
      <c r="B29" s="5">
        <v>10</v>
      </c>
      <c r="C29" s="5" t="s">
        <v>0</v>
      </c>
      <c r="D29" s="5">
        <v>5</v>
      </c>
      <c r="E29" s="10">
        <f>VLOOKUP($A29,observed!$C$2:$P$139,10,FALSE)</f>
        <v>197.1575</v>
      </c>
      <c r="F29" s="10">
        <f>VLOOKUP($A29,observed!$C$2:$P$139,11,FALSE)</f>
        <v>1219.1794999999997</v>
      </c>
      <c r="G29" s="10">
        <f>VLOOKUP($A29,observed!$C$2:$P$139,12,FALSE)</f>
        <v>3013.828879410944</v>
      </c>
      <c r="H29" s="10">
        <f>VLOOKUP($A29,observed!$C$2:$P$139,13,FALSE)</f>
        <v>1995.1607202609207</v>
      </c>
      <c r="I29" s="10">
        <f>VLOOKUP($A29,observed!$C$2:$P$139,14,FALSE)</f>
        <v>1078.953400328136</v>
      </c>
      <c r="J29" s="10">
        <f t="shared" si="0"/>
        <v>7504.28</v>
      </c>
      <c r="K29" s="57">
        <f>IFERROR(VLOOKUP($A29&amp;"-"&amp;TEXT($B29+19,0),md[[routeC]:[passenger_mile_EV]],9,FALSE),"")</f>
        <v>0</v>
      </c>
      <c r="L29" s="57">
        <f>IFERROR(VLOOKUP($A29&amp;"-"&amp;TEXT($B29+19,0),md[[routeC]:[passenger_mile_EV]],10,FALSE),"")</f>
        <v>0</v>
      </c>
      <c r="M29" s="57">
        <f>IFERROR(VLOOKUP($A29&amp;"-"&amp;TEXT($B29+19,0),md[[routeC]:[passenger_mile_EV]],11,FALSE),"")</f>
        <v>0</v>
      </c>
      <c r="N29" s="57">
        <f>IFERROR(VLOOKUP($A29&amp;"-"&amp;TEXT($B29+19,0),md[[routeC]:[passenger_mile_EV]],12,FALSE),"")</f>
        <v>0</v>
      </c>
      <c r="O29" s="57">
        <f>IFERROR(VLOOKUP($A29&amp;"-"&amp;TEXT($B29+19,0),md[[routeC]:[passenger_mile_EV]],13,FALSE),"")</f>
        <v>0</v>
      </c>
      <c r="P29" s="57">
        <f t="shared" si="1"/>
        <v>0</v>
      </c>
      <c r="Q29" s="224">
        <f t="shared" si="2"/>
        <v>-1</v>
      </c>
      <c r="R29" s="237">
        <f t="shared" si="3"/>
        <v>56314218.318399996</v>
      </c>
    </row>
    <row r="30" spans="1:18" x14ac:dyDescent="0.3">
      <c r="A30" s="5">
        <v>5</v>
      </c>
      <c r="B30" s="5">
        <v>10</v>
      </c>
      <c r="C30" s="5" t="s">
        <v>0</v>
      </c>
      <c r="D30" s="5">
        <v>5</v>
      </c>
      <c r="E30" s="10">
        <f>VLOOKUP($A30,observed!$C$2:$P$139,10,FALSE)</f>
        <v>134.32081578947358</v>
      </c>
      <c r="F30" s="10">
        <f>VLOOKUP($A30,observed!$C$2:$P$139,11,FALSE)</f>
        <v>1183.3251008771933</v>
      </c>
      <c r="G30" s="10">
        <f>VLOOKUP($A30,observed!$C$2:$P$139,12,FALSE)</f>
        <v>2469.8199863433629</v>
      </c>
      <c r="H30" s="10">
        <f>VLOOKUP($A30,observed!$C$2:$P$139,13,FALSE)</f>
        <v>1462.2698112756862</v>
      </c>
      <c r="I30" s="10">
        <f>VLOOKUP($A30,observed!$C$2:$P$139,14,FALSE)</f>
        <v>476.36428571428439</v>
      </c>
      <c r="J30" s="10">
        <f t="shared" si="0"/>
        <v>5726.1</v>
      </c>
      <c r="K30" s="57">
        <f>IFERROR(VLOOKUP($A30&amp;"-"&amp;TEXT($B30+19,0),md[[routeC]:[passenger_mile_EV]],9,FALSE),"")</f>
        <v>0</v>
      </c>
      <c r="L30" s="57">
        <f>IFERROR(VLOOKUP($A30&amp;"-"&amp;TEXT($B30+19,0),md[[routeC]:[passenger_mile_EV]],10,FALSE),"")</f>
        <v>0</v>
      </c>
      <c r="M30" s="57">
        <f>IFERROR(VLOOKUP($A30&amp;"-"&amp;TEXT($B30+19,0),md[[routeC]:[passenger_mile_EV]],11,FALSE),"")</f>
        <v>0</v>
      </c>
      <c r="N30" s="57">
        <f>IFERROR(VLOOKUP($A30&amp;"-"&amp;TEXT($B30+19,0),md[[routeC]:[passenger_mile_EV]],12,FALSE),"")</f>
        <v>0</v>
      </c>
      <c r="O30" s="57">
        <f>IFERROR(VLOOKUP($A30&amp;"-"&amp;TEXT($B30+19,0),md[[routeC]:[passenger_mile_EV]],13,FALSE),"")</f>
        <v>0</v>
      </c>
      <c r="P30" s="57">
        <f t="shared" si="1"/>
        <v>0</v>
      </c>
      <c r="Q30" s="224">
        <f t="shared" si="2"/>
        <v>-1</v>
      </c>
      <c r="R30" s="237">
        <f t="shared" si="3"/>
        <v>32788221.210000005</v>
      </c>
    </row>
    <row r="31" spans="1:18" x14ac:dyDescent="0.3">
      <c r="A31" s="5">
        <v>6</v>
      </c>
      <c r="B31" s="5">
        <v>10</v>
      </c>
      <c r="C31" s="5" t="s">
        <v>0</v>
      </c>
      <c r="D31" s="5">
        <v>5</v>
      </c>
      <c r="E31" s="10">
        <f>VLOOKUP($A31,observed!$C$2:$P$139,10,FALSE)</f>
        <v>49.474736842105237</v>
      </c>
      <c r="F31" s="10">
        <f>VLOOKUP($A31,observed!$C$2:$P$139,11,FALSE)</f>
        <v>668.89613272311215</v>
      </c>
      <c r="G31" s="10">
        <f>VLOOKUP($A31,observed!$C$2:$P$139,12,FALSE)</f>
        <v>1806.1806821589189</v>
      </c>
      <c r="H31" s="10">
        <f>VLOOKUP($A31,observed!$C$2:$P$139,13,FALSE)</f>
        <v>942.59844827586403</v>
      </c>
      <c r="I31" s="10">
        <f>VLOOKUP($A31,observed!$C$2:$P$139,14,FALSE)</f>
        <v>447.21999999999997</v>
      </c>
      <c r="J31" s="10">
        <f t="shared" si="0"/>
        <v>3914.3700000000003</v>
      </c>
      <c r="K31" s="57">
        <f>IFERROR(VLOOKUP($A31&amp;"-"&amp;TEXT($B31+19,0),md[[routeC]:[passenger_mile_EV]],9,FALSE),"")</f>
        <v>0</v>
      </c>
      <c r="L31" s="57">
        <f>IFERROR(VLOOKUP($A31&amp;"-"&amp;TEXT($B31+19,0),md[[routeC]:[passenger_mile_EV]],10,FALSE),"")</f>
        <v>0</v>
      </c>
      <c r="M31" s="57">
        <f>IFERROR(VLOOKUP($A31&amp;"-"&amp;TEXT($B31+19,0),md[[routeC]:[passenger_mile_EV]],11,FALSE),"")</f>
        <v>0</v>
      </c>
      <c r="N31" s="57">
        <f>IFERROR(VLOOKUP($A31&amp;"-"&amp;TEXT($B31+19,0),md[[routeC]:[passenger_mile_EV]],12,FALSE),"")</f>
        <v>0</v>
      </c>
      <c r="O31" s="57">
        <f>IFERROR(VLOOKUP($A31&amp;"-"&amp;TEXT($B31+19,0),md[[routeC]:[passenger_mile_EV]],13,FALSE),"")</f>
        <v>0</v>
      </c>
      <c r="P31" s="57">
        <f t="shared" si="1"/>
        <v>0</v>
      </c>
      <c r="Q31" s="224">
        <f t="shared" si="2"/>
        <v>-1</v>
      </c>
      <c r="R31" s="237">
        <f t="shared" si="3"/>
        <v>15322292.496900003</v>
      </c>
    </row>
    <row r="32" spans="1:18" x14ac:dyDescent="0.3">
      <c r="A32" s="5">
        <v>7</v>
      </c>
      <c r="B32" s="5">
        <v>10</v>
      </c>
      <c r="C32" s="5" t="s">
        <v>0</v>
      </c>
      <c r="D32" s="5">
        <v>5</v>
      </c>
      <c r="E32" s="10">
        <f>VLOOKUP($A32,observed!$C$2:$P$139,10,FALSE)</f>
        <v>628.5845749529658</v>
      </c>
      <c r="F32" s="10">
        <f>VLOOKUP($A32,observed!$C$2:$P$139,11,FALSE)</f>
        <v>4278.5286947190007</v>
      </c>
      <c r="G32" s="10">
        <f>VLOOKUP($A32,observed!$C$2:$P$139,12,FALSE)</f>
        <v>10141.731913811203</v>
      </c>
      <c r="H32" s="10">
        <f>VLOOKUP($A32,observed!$C$2:$P$139,13,FALSE)</f>
        <v>5403.2718684387373</v>
      </c>
      <c r="I32" s="10">
        <f>VLOOKUP($A32,observed!$C$2:$P$139,14,FALSE)</f>
        <v>3187.6629480780912</v>
      </c>
      <c r="J32" s="10">
        <f t="shared" si="0"/>
        <v>23639.78</v>
      </c>
      <c r="K32" s="57">
        <f>IFERROR(VLOOKUP($A32&amp;"-"&amp;TEXT($B32+19,0),md[[routeC]:[passenger_mile_EV]],9,FALSE),"")</f>
        <v>0</v>
      </c>
      <c r="L32" s="57">
        <f>IFERROR(VLOOKUP($A32&amp;"-"&amp;TEXT($B32+19,0),md[[routeC]:[passenger_mile_EV]],10,FALSE),"")</f>
        <v>0</v>
      </c>
      <c r="M32" s="57">
        <f>IFERROR(VLOOKUP($A32&amp;"-"&amp;TEXT($B32+19,0),md[[routeC]:[passenger_mile_EV]],11,FALSE),"")</f>
        <v>0</v>
      </c>
      <c r="N32" s="57">
        <f>IFERROR(VLOOKUP($A32&amp;"-"&amp;TEXT($B32+19,0),md[[routeC]:[passenger_mile_EV]],12,FALSE),"")</f>
        <v>0</v>
      </c>
      <c r="O32" s="57">
        <f>IFERROR(VLOOKUP($A32&amp;"-"&amp;TEXT($B32+19,0),md[[routeC]:[passenger_mile_EV]],13,FALSE),"")</f>
        <v>0</v>
      </c>
      <c r="P32" s="57">
        <f t="shared" si="1"/>
        <v>0</v>
      </c>
      <c r="Q32" s="224">
        <f t="shared" si="2"/>
        <v>-1</v>
      </c>
      <c r="R32" s="237">
        <f t="shared" si="3"/>
        <v>558839198.4483999</v>
      </c>
    </row>
    <row r="33" spans="1:18" x14ac:dyDescent="0.3">
      <c r="A33" s="5">
        <v>8</v>
      </c>
      <c r="B33" s="5">
        <v>10</v>
      </c>
      <c r="C33" s="5" t="s">
        <v>0</v>
      </c>
      <c r="D33" s="5">
        <v>5</v>
      </c>
      <c r="E33" s="10">
        <f>VLOOKUP($A33,observed!$C$2:$P$139,10,FALSE)</f>
        <v>75.312631578947389</v>
      </c>
      <c r="F33" s="10">
        <f>VLOOKUP($A33,observed!$C$2:$P$139,11,FALSE)</f>
        <v>584.45820175438598</v>
      </c>
      <c r="G33" s="10">
        <f>VLOOKUP($A33,observed!$C$2:$P$139,12,FALSE)</f>
        <v>1806.7043666666632</v>
      </c>
      <c r="H33" s="10">
        <f>VLOOKUP($A33,observed!$C$2:$P$139,13,FALSE)</f>
        <v>1077.859800000004</v>
      </c>
      <c r="I33" s="10">
        <f>VLOOKUP($A33,observed!$C$2:$P$139,14,FALSE)</f>
        <v>508.77499999999895</v>
      </c>
      <c r="J33" s="10">
        <f t="shared" si="0"/>
        <v>4053.1099999999997</v>
      </c>
      <c r="K33" s="57">
        <f>IFERROR(VLOOKUP($A33&amp;"-"&amp;TEXT($B33+19,0),md[[routeC]:[passenger_mile_EV]],9,FALSE),"")</f>
        <v>0</v>
      </c>
      <c r="L33" s="57">
        <f>IFERROR(VLOOKUP($A33&amp;"-"&amp;TEXT($B33+19,0),md[[routeC]:[passenger_mile_EV]],10,FALSE),"")</f>
        <v>0</v>
      </c>
      <c r="M33" s="57">
        <f>IFERROR(VLOOKUP($A33&amp;"-"&amp;TEXT($B33+19,0),md[[routeC]:[passenger_mile_EV]],11,FALSE),"")</f>
        <v>0</v>
      </c>
      <c r="N33" s="57">
        <f>IFERROR(VLOOKUP($A33&amp;"-"&amp;TEXT($B33+19,0),md[[routeC]:[passenger_mile_EV]],12,FALSE),"")</f>
        <v>0</v>
      </c>
      <c r="O33" s="57">
        <f>IFERROR(VLOOKUP($A33&amp;"-"&amp;TEXT($B33+19,0),md[[routeC]:[passenger_mile_EV]],13,FALSE),"")</f>
        <v>0</v>
      </c>
      <c r="P33" s="57">
        <f t="shared" si="1"/>
        <v>0</v>
      </c>
      <c r="Q33" s="224">
        <f t="shared" si="2"/>
        <v>-1</v>
      </c>
      <c r="R33" s="237">
        <f t="shared" si="3"/>
        <v>16427700.672099998</v>
      </c>
    </row>
    <row r="34" spans="1:18" x14ac:dyDescent="0.3">
      <c r="A34" s="5">
        <v>9</v>
      </c>
      <c r="B34" s="5">
        <v>10</v>
      </c>
      <c r="C34" s="5" t="s">
        <v>0</v>
      </c>
      <c r="D34" s="5">
        <v>5</v>
      </c>
      <c r="E34" s="10">
        <f>VLOOKUP($A34,observed!$C$2:$P$139,10,FALSE)</f>
        <v>11.2164705882353</v>
      </c>
      <c r="F34" s="10">
        <f>VLOOKUP($A34,observed!$C$2:$P$139,11,FALSE)</f>
        <v>530.29948552461747</v>
      </c>
      <c r="G34" s="10">
        <f>VLOOKUP($A34,observed!$C$2:$P$139,12,FALSE)</f>
        <v>1773.420352767454</v>
      </c>
      <c r="H34" s="10">
        <f>VLOOKUP($A34,observed!$C$2:$P$139,13,FALSE)</f>
        <v>970.98143305517749</v>
      </c>
      <c r="I34" s="10">
        <f>VLOOKUP($A34,observed!$C$2:$P$139,14,FALSE)</f>
        <v>249.07225806451575</v>
      </c>
      <c r="J34" s="10">
        <f t="shared" si="0"/>
        <v>3534.99</v>
      </c>
      <c r="K34" s="57">
        <f>IFERROR(VLOOKUP($A34&amp;"-"&amp;TEXT($B34+19,0),md[[routeC]:[passenger_mile_EV]],9,FALSE),"")</f>
        <v>0</v>
      </c>
      <c r="L34" s="57">
        <f>IFERROR(VLOOKUP($A34&amp;"-"&amp;TEXT($B34+19,0),md[[routeC]:[passenger_mile_EV]],10,FALSE),"")</f>
        <v>0</v>
      </c>
      <c r="M34" s="57">
        <f>IFERROR(VLOOKUP($A34&amp;"-"&amp;TEXT($B34+19,0),md[[routeC]:[passenger_mile_EV]],11,FALSE),"")</f>
        <v>0</v>
      </c>
      <c r="N34" s="57">
        <f>IFERROR(VLOOKUP($A34&amp;"-"&amp;TEXT($B34+19,0),md[[routeC]:[passenger_mile_EV]],12,FALSE),"")</f>
        <v>0</v>
      </c>
      <c r="O34" s="57">
        <f>IFERROR(VLOOKUP($A34&amp;"-"&amp;TEXT($B34+19,0),md[[routeC]:[passenger_mile_EV]],13,FALSE),"")</f>
        <v>0</v>
      </c>
      <c r="P34" s="57">
        <f t="shared" si="1"/>
        <v>0</v>
      </c>
      <c r="Q34" s="224">
        <f t="shared" si="2"/>
        <v>-1</v>
      </c>
      <c r="R34" s="237">
        <f t="shared" si="3"/>
        <v>12496154.300099999</v>
      </c>
    </row>
    <row r="35" spans="1:18" x14ac:dyDescent="0.3">
      <c r="A35" s="5">
        <v>11</v>
      </c>
      <c r="B35" s="5">
        <v>10</v>
      </c>
      <c r="C35" s="5" t="s">
        <v>0</v>
      </c>
      <c r="D35" s="5">
        <v>5</v>
      </c>
      <c r="E35" s="10">
        <f>VLOOKUP($A35,observed!$C$2:$P$139,10,FALSE)</f>
        <v>712.30730136635998</v>
      </c>
      <c r="F35" s="10">
        <f>VLOOKUP($A35,observed!$C$2:$P$139,11,FALSE)</f>
        <v>5675.8485749079045</v>
      </c>
      <c r="G35" s="10">
        <f>VLOOKUP($A35,observed!$C$2:$P$139,12,FALSE)</f>
        <v>11061.171580431415</v>
      </c>
      <c r="H35" s="10">
        <f>VLOOKUP($A35,observed!$C$2:$P$139,13,FALSE)</f>
        <v>6650.0390362831995</v>
      </c>
      <c r="I35" s="10">
        <f>VLOOKUP($A35,observed!$C$2:$P$139,14,FALSE)</f>
        <v>2622.3735070111188</v>
      </c>
      <c r="J35" s="10">
        <f t="shared" si="0"/>
        <v>26721.739999999998</v>
      </c>
      <c r="K35" s="57">
        <f>IFERROR(VLOOKUP($A35&amp;"-"&amp;TEXT($B35+19,0),md[[routeC]:[passenger_mile_EV]],9,FALSE),"")</f>
        <v>0</v>
      </c>
      <c r="L35" s="57">
        <f>IFERROR(VLOOKUP($A35&amp;"-"&amp;TEXT($B35+19,0),md[[routeC]:[passenger_mile_EV]],10,FALSE),"")</f>
        <v>0</v>
      </c>
      <c r="M35" s="57">
        <f>IFERROR(VLOOKUP($A35&amp;"-"&amp;TEXT($B35+19,0),md[[routeC]:[passenger_mile_EV]],11,FALSE),"")</f>
        <v>0</v>
      </c>
      <c r="N35" s="57">
        <f>IFERROR(VLOOKUP($A35&amp;"-"&amp;TEXT($B35+19,0),md[[routeC]:[passenger_mile_EV]],12,FALSE),"")</f>
        <v>0</v>
      </c>
      <c r="O35" s="57">
        <f>IFERROR(VLOOKUP($A35&amp;"-"&amp;TEXT($B35+19,0),md[[routeC]:[passenger_mile_EV]],13,FALSE),"")</f>
        <v>0</v>
      </c>
      <c r="P35" s="57">
        <f t="shared" si="1"/>
        <v>0</v>
      </c>
      <c r="Q35" s="224">
        <f t="shared" si="2"/>
        <v>-1</v>
      </c>
      <c r="R35" s="237">
        <f t="shared" si="3"/>
        <v>714051388.62759984</v>
      </c>
    </row>
    <row r="36" spans="1:18" x14ac:dyDescent="0.3">
      <c r="A36" s="5">
        <v>13</v>
      </c>
      <c r="B36" s="5">
        <v>10</v>
      </c>
      <c r="C36" s="5" t="s">
        <v>0</v>
      </c>
      <c r="D36" s="5">
        <v>5</v>
      </c>
      <c r="E36" s="10">
        <f>VLOOKUP($A36,observed!$C$2:$P$139,10,FALSE)</f>
        <v>494.40483302072516</v>
      </c>
      <c r="F36" s="10">
        <f>VLOOKUP($A36,observed!$C$2:$P$139,11,FALSE)</f>
        <v>3706.2246742236703</v>
      </c>
      <c r="G36" s="10">
        <f>VLOOKUP($A36,observed!$C$2:$P$139,12,FALSE)</f>
        <v>8158.4943389094415</v>
      </c>
      <c r="H36" s="10">
        <f>VLOOKUP($A36,observed!$C$2:$P$139,13,FALSE)</f>
        <v>4385.881414213929</v>
      </c>
      <c r="I36" s="10">
        <f>VLOOKUP($A36,observed!$C$2:$P$139,14,FALSE)</f>
        <v>1648.924739632233</v>
      </c>
      <c r="J36" s="10">
        <f t="shared" si="0"/>
        <v>18393.93</v>
      </c>
      <c r="K36" s="57">
        <f>IFERROR(VLOOKUP($A36&amp;"-"&amp;TEXT($B36+19,0),md[[routeC]:[passenger_mile_EV]],9,FALSE),"")</f>
        <v>0</v>
      </c>
      <c r="L36" s="57">
        <f>IFERROR(VLOOKUP($A36&amp;"-"&amp;TEXT($B36+19,0),md[[routeC]:[passenger_mile_EV]],10,FALSE),"")</f>
        <v>0</v>
      </c>
      <c r="M36" s="57">
        <f>IFERROR(VLOOKUP($A36&amp;"-"&amp;TEXT($B36+19,0),md[[routeC]:[passenger_mile_EV]],11,FALSE),"")</f>
        <v>0</v>
      </c>
      <c r="N36" s="57">
        <f>IFERROR(VLOOKUP($A36&amp;"-"&amp;TEXT($B36+19,0),md[[routeC]:[passenger_mile_EV]],12,FALSE),"")</f>
        <v>0</v>
      </c>
      <c r="O36" s="57">
        <f>IFERROR(VLOOKUP($A36&amp;"-"&amp;TEXT($B36+19,0),md[[routeC]:[passenger_mile_EV]],13,FALSE),"")</f>
        <v>0</v>
      </c>
      <c r="P36" s="57">
        <f t="shared" si="1"/>
        <v>0</v>
      </c>
      <c r="Q36" s="224">
        <f t="shared" si="2"/>
        <v>-1</v>
      </c>
      <c r="R36" s="237">
        <f t="shared" si="3"/>
        <v>338336660.84490001</v>
      </c>
    </row>
    <row r="37" spans="1:18" x14ac:dyDescent="0.3">
      <c r="A37" s="5">
        <v>14</v>
      </c>
      <c r="B37" s="5">
        <v>10</v>
      </c>
      <c r="C37" s="5" t="s">
        <v>0</v>
      </c>
      <c r="D37" s="5">
        <v>5</v>
      </c>
      <c r="E37" s="10">
        <f>VLOOKUP($A37,observed!$C$2:$P$139,10,FALSE)</f>
        <v>8.1579545454545439</v>
      </c>
      <c r="F37" s="10">
        <f>VLOOKUP($A37,observed!$C$2:$P$139,11,FALSE)</f>
        <v>290.04764829142493</v>
      </c>
      <c r="G37" s="10">
        <f>VLOOKUP($A37,observed!$C$2:$P$139,12,FALSE)</f>
        <v>277.79439716312055</v>
      </c>
      <c r="H37" s="10">
        <f>VLOOKUP($A37,observed!$C$2:$P$139,13,FALSE)</f>
        <v>143.99695652173926</v>
      </c>
      <c r="I37" s="10">
        <f>VLOOKUP($A37,observed!$C$2:$P$139,14,FALSE)</f>
        <v>5.4730434782607604</v>
      </c>
      <c r="J37" s="10">
        <f t="shared" si="0"/>
        <v>725.47</v>
      </c>
      <c r="K37" s="57">
        <f>IFERROR(VLOOKUP($A37&amp;"-"&amp;TEXT($B37+19,0),md[[routeC]:[passenger_mile_EV]],9,FALSE),"")</f>
        <v>0</v>
      </c>
      <c r="L37" s="57">
        <f>IFERROR(VLOOKUP($A37&amp;"-"&amp;TEXT($B37+19,0),md[[routeC]:[passenger_mile_EV]],10,FALSE),"")</f>
        <v>0</v>
      </c>
      <c r="M37" s="57">
        <f>IFERROR(VLOOKUP($A37&amp;"-"&amp;TEXT($B37+19,0),md[[routeC]:[passenger_mile_EV]],11,FALSE),"")</f>
        <v>0</v>
      </c>
      <c r="N37" s="57">
        <f>IFERROR(VLOOKUP($A37&amp;"-"&amp;TEXT($B37+19,0),md[[routeC]:[passenger_mile_EV]],12,FALSE),"")</f>
        <v>0</v>
      </c>
      <c r="O37" s="57">
        <f>IFERROR(VLOOKUP($A37&amp;"-"&amp;TEXT($B37+19,0),md[[routeC]:[passenger_mile_EV]],13,FALSE),"")</f>
        <v>0</v>
      </c>
      <c r="P37" s="57">
        <f t="shared" si="1"/>
        <v>0</v>
      </c>
      <c r="Q37" s="224">
        <f t="shared" si="2"/>
        <v>-1</v>
      </c>
      <c r="R37" s="237">
        <f t="shared" si="3"/>
        <v>526306.72090000007</v>
      </c>
    </row>
    <row r="38" spans="1:18" x14ac:dyDescent="0.3">
      <c r="A38" s="5">
        <v>18</v>
      </c>
      <c r="B38" s="5">
        <v>10</v>
      </c>
      <c r="C38" s="5" t="s">
        <v>0</v>
      </c>
      <c r="D38" s="5">
        <v>5</v>
      </c>
      <c r="E38" s="10">
        <f>VLOOKUP($A38,observed!$C$2:$P$139,10,FALSE)</f>
        <v>0</v>
      </c>
      <c r="F38" s="10">
        <f>VLOOKUP($A38,observed!$C$2:$P$139,11,FALSE)</f>
        <v>102.78999999999999</v>
      </c>
      <c r="G38" s="10">
        <f>VLOOKUP($A38,observed!$C$2:$P$139,12,FALSE)</f>
        <v>203.5299999999998</v>
      </c>
      <c r="H38" s="10">
        <f>VLOOKUP($A38,observed!$C$2:$P$139,13,FALSE)</f>
        <v>85.940000000000182</v>
      </c>
      <c r="I38" s="10">
        <f>VLOOKUP($A38,observed!$C$2:$P$139,14,FALSE)</f>
        <v>0</v>
      </c>
      <c r="J38" s="10">
        <f t="shared" si="0"/>
        <v>392.26</v>
      </c>
      <c r="K38" s="57">
        <f>IFERROR(VLOOKUP($A38&amp;"-"&amp;TEXT($B38+19,0),md[[routeC]:[passenger_mile_EV]],9,FALSE),"")</f>
        <v>0</v>
      </c>
      <c r="L38" s="57">
        <f>IFERROR(VLOOKUP($A38&amp;"-"&amp;TEXT($B38+19,0),md[[routeC]:[passenger_mile_EV]],10,FALSE),"")</f>
        <v>0</v>
      </c>
      <c r="M38" s="57">
        <f>IFERROR(VLOOKUP($A38&amp;"-"&amp;TEXT($B38+19,0),md[[routeC]:[passenger_mile_EV]],11,FALSE),"")</f>
        <v>0</v>
      </c>
      <c r="N38" s="57">
        <f>IFERROR(VLOOKUP($A38&amp;"-"&amp;TEXT($B38+19,0),md[[routeC]:[passenger_mile_EV]],12,FALSE),"")</f>
        <v>0</v>
      </c>
      <c r="O38" s="57">
        <f>IFERROR(VLOOKUP($A38&amp;"-"&amp;TEXT($B38+19,0),md[[routeC]:[passenger_mile_EV]],13,FALSE),"")</f>
        <v>0</v>
      </c>
      <c r="P38" s="57">
        <f t="shared" si="1"/>
        <v>0</v>
      </c>
      <c r="Q38" s="224">
        <f t="shared" si="2"/>
        <v>-1</v>
      </c>
      <c r="R38" s="237">
        <f t="shared" si="3"/>
        <v>153867.90760000001</v>
      </c>
    </row>
    <row r="39" spans="1:18" x14ac:dyDescent="0.3">
      <c r="A39" s="5">
        <v>25</v>
      </c>
      <c r="B39" s="5">
        <v>10</v>
      </c>
      <c r="C39" s="5" t="s">
        <v>0</v>
      </c>
      <c r="D39" s="5">
        <v>5</v>
      </c>
      <c r="E39" s="10">
        <f>VLOOKUP($A39,observed!$C$2:$P$139,10,FALSE)</f>
        <v>0</v>
      </c>
      <c r="F39" s="10">
        <f>VLOOKUP($A39,observed!$C$2:$P$139,11,FALSE)</f>
        <v>356.36849056603768</v>
      </c>
      <c r="G39" s="10">
        <f>VLOOKUP($A39,observed!$C$2:$P$139,12,FALSE)</f>
        <v>731.70980075048794</v>
      </c>
      <c r="H39" s="10">
        <f>VLOOKUP($A39,observed!$C$2:$P$139,13,FALSE)</f>
        <v>394.59994397759294</v>
      </c>
      <c r="I39" s="10">
        <f>VLOOKUP($A39,observed!$C$2:$P$139,14,FALSE)</f>
        <v>15.341764705881477</v>
      </c>
      <c r="J39" s="10">
        <f t="shared" si="0"/>
        <v>1498.0200000000002</v>
      </c>
      <c r="K39" s="57">
        <f>IFERROR(VLOOKUP($A39&amp;"-"&amp;TEXT($B39+19,0),md[[routeC]:[passenger_mile_EV]],9,FALSE),"")</f>
        <v>0</v>
      </c>
      <c r="L39" s="57">
        <f>IFERROR(VLOOKUP($A39&amp;"-"&amp;TEXT($B39+19,0),md[[routeC]:[passenger_mile_EV]],10,FALSE),"")</f>
        <v>0</v>
      </c>
      <c r="M39" s="57">
        <f>IFERROR(VLOOKUP($A39&amp;"-"&amp;TEXT($B39+19,0),md[[routeC]:[passenger_mile_EV]],11,FALSE),"")</f>
        <v>0</v>
      </c>
      <c r="N39" s="57">
        <f>IFERROR(VLOOKUP($A39&amp;"-"&amp;TEXT($B39+19,0),md[[routeC]:[passenger_mile_EV]],12,FALSE),"")</f>
        <v>0</v>
      </c>
      <c r="O39" s="57">
        <f>IFERROR(VLOOKUP($A39&amp;"-"&amp;TEXT($B39+19,0),md[[routeC]:[passenger_mile_EV]],13,FALSE),"")</f>
        <v>0</v>
      </c>
      <c r="P39" s="57">
        <f t="shared" si="1"/>
        <v>0</v>
      </c>
      <c r="Q39" s="224">
        <f t="shared" si="2"/>
        <v>-1</v>
      </c>
      <c r="R39" s="237">
        <f t="shared" si="3"/>
        <v>2244063.9204000006</v>
      </c>
    </row>
    <row r="40" spans="1:18" x14ac:dyDescent="0.3">
      <c r="A40" s="5">
        <v>27</v>
      </c>
      <c r="B40" s="5">
        <v>10</v>
      </c>
      <c r="C40" s="5" t="s">
        <v>0</v>
      </c>
      <c r="D40" s="5">
        <v>5</v>
      </c>
      <c r="E40" s="10">
        <f>VLOOKUP($A40,observed!$C$2:$P$139,10,FALSE)</f>
        <v>24.37979472140762</v>
      </c>
      <c r="F40" s="10">
        <f>VLOOKUP($A40,observed!$C$2:$P$139,11,FALSE)</f>
        <v>758.31738476577209</v>
      </c>
      <c r="G40" s="10">
        <f>VLOOKUP($A40,observed!$C$2:$P$139,12,FALSE)</f>
        <v>1716.1802389525337</v>
      </c>
      <c r="H40" s="10">
        <f>VLOOKUP($A40,observed!$C$2:$P$139,13,FALSE)</f>
        <v>1032.9897379309448</v>
      </c>
      <c r="I40" s="10">
        <f>VLOOKUP($A40,observed!$C$2:$P$139,14,FALSE)</f>
        <v>240.63284362934175</v>
      </c>
      <c r="J40" s="10">
        <f t="shared" si="0"/>
        <v>3772.5</v>
      </c>
      <c r="K40" s="57">
        <f>IFERROR(VLOOKUP($A40&amp;"-"&amp;TEXT($B40+19,0),md[[routeC]:[passenger_mile_EV]],9,FALSE),"")</f>
        <v>0</v>
      </c>
      <c r="L40" s="57">
        <f>IFERROR(VLOOKUP($A40&amp;"-"&amp;TEXT($B40+19,0),md[[routeC]:[passenger_mile_EV]],10,FALSE),"")</f>
        <v>0</v>
      </c>
      <c r="M40" s="57">
        <f>IFERROR(VLOOKUP($A40&amp;"-"&amp;TEXT($B40+19,0),md[[routeC]:[passenger_mile_EV]],11,FALSE),"")</f>
        <v>0</v>
      </c>
      <c r="N40" s="57">
        <f>IFERROR(VLOOKUP($A40&amp;"-"&amp;TEXT($B40+19,0),md[[routeC]:[passenger_mile_EV]],12,FALSE),"")</f>
        <v>0</v>
      </c>
      <c r="O40" s="57">
        <f>IFERROR(VLOOKUP($A40&amp;"-"&amp;TEXT($B40+19,0),md[[routeC]:[passenger_mile_EV]],13,FALSE),"")</f>
        <v>0</v>
      </c>
      <c r="P40" s="57">
        <f t="shared" si="1"/>
        <v>0</v>
      </c>
      <c r="Q40" s="224">
        <f t="shared" si="2"/>
        <v>-1</v>
      </c>
      <c r="R40" s="237">
        <f t="shared" si="3"/>
        <v>14231756.25</v>
      </c>
    </row>
    <row r="41" spans="1:18" x14ac:dyDescent="0.3">
      <c r="A41" s="5">
        <v>28</v>
      </c>
      <c r="B41" s="5">
        <v>10</v>
      </c>
      <c r="C41" s="5" t="s">
        <v>0</v>
      </c>
      <c r="D41" s="5">
        <v>5</v>
      </c>
      <c r="E41" s="10">
        <f>VLOOKUP($A41,observed!$C$2:$P$139,10,FALSE)</f>
        <v>39.861764705882365</v>
      </c>
      <c r="F41" s="10">
        <f>VLOOKUP($A41,observed!$C$2:$P$139,11,FALSE)</f>
        <v>644.06402476780181</v>
      </c>
      <c r="G41" s="10">
        <f>VLOOKUP($A41,observed!$C$2:$P$139,12,FALSE)</f>
        <v>956.02534096109594</v>
      </c>
      <c r="H41" s="10">
        <f>VLOOKUP($A41,observed!$C$2:$P$139,13,FALSE)</f>
        <v>520.45769309463253</v>
      </c>
      <c r="I41" s="10">
        <f>VLOOKUP($A41,observed!$C$2:$P$139,14,FALSE)</f>
        <v>197.61117647058745</v>
      </c>
      <c r="J41" s="10">
        <f t="shared" si="0"/>
        <v>2358.0200000000004</v>
      </c>
      <c r="K41" s="57">
        <f>IFERROR(VLOOKUP($A41&amp;"-"&amp;TEXT($B41+19,0),md[[routeC]:[passenger_mile_EV]],9,FALSE),"")</f>
        <v>0</v>
      </c>
      <c r="L41" s="57">
        <f>IFERROR(VLOOKUP($A41&amp;"-"&amp;TEXT($B41+19,0),md[[routeC]:[passenger_mile_EV]],10,FALSE),"")</f>
        <v>0</v>
      </c>
      <c r="M41" s="57">
        <f>IFERROR(VLOOKUP($A41&amp;"-"&amp;TEXT($B41+19,0),md[[routeC]:[passenger_mile_EV]],11,FALSE),"")</f>
        <v>0</v>
      </c>
      <c r="N41" s="57">
        <f>IFERROR(VLOOKUP($A41&amp;"-"&amp;TEXT($B41+19,0),md[[routeC]:[passenger_mile_EV]],12,FALSE),"")</f>
        <v>0</v>
      </c>
      <c r="O41" s="57">
        <f>IFERROR(VLOOKUP($A41&amp;"-"&amp;TEXT($B41+19,0),md[[routeC]:[passenger_mile_EV]],13,FALSE),"")</f>
        <v>0</v>
      </c>
      <c r="P41" s="57">
        <f t="shared" si="1"/>
        <v>0</v>
      </c>
      <c r="Q41" s="224">
        <f t="shared" si="2"/>
        <v>-1</v>
      </c>
      <c r="R41" s="237">
        <f t="shared" si="3"/>
        <v>5560258.3204000024</v>
      </c>
    </row>
    <row r="42" spans="1:18" x14ac:dyDescent="0.3">
      <c r="A42" s="5">
        <v>30</v>
      </c>
      <c r="B42" s="5">
        <v>10</v>
      </c>
      <c r="C42" s="5" t="s">
        <v>0</v>
      </c>
      <c r="D42" s="5">
        <v>5</v>
      </c>
      <c r="E42" s="10">
        <f>VLOOKUP($A42,observed!$C$2:$P$139,10,FALSE)</f>
        <v>531.24587332073759</v>
      </c>
      <c r="F42" s="10">
        <f>VLOOKUP($A42,observed!$C$2:$P$139,11,FALSE)</f>
        <v>7674.0970332948636</v>
      </c>
      <c r="G42" s="10">
        <f>VLOOKUP($A42,observed!$C$2:$P$139,12,FALSE)</f>
        <v>14973.90811337553</v>
      </c>
      <c r="H42" s="10">
        <f>VLOOKUP($A42,observed!$C$2:$P$139,13,FALSE)</f>
        <v>8765.8077286138268</v>
      </c>
      <c r="I42" s="10">
        <f>VLOOKUP($A42,observed!$C$2:$P$139,14,FALSE)</f>
        <v>4090.1312513950452</v>
      </c>
      <c r="J42" s="10">
        <f t="shared" si="0"/>
        <v>36035.19</v>
      </c>
      <c r="K42" s="57">
        <f>IFERROR(VLOOKUP($A42&amp;"-"&amp;TEXT($B42+19,0),md[[routeC]:[passenger_mile_EV]],9,FALSE),"")</f>
        <v>0</v>
      </c>
      <c r="L42" s="57">
        <f>IFERROR(VLOOKUP($A42&amp;"-"&amp;TEXT($B42+19,0),md[[routeC]:[passenger_mile_EV]],10,FALSE),"")</f>
        <v>0</v>
      </c>
      <c r="M42" s="57">
        <f>IFERROR(VLOOKUP($A42&amp;"-"&amp;TEXT($B42+19,0),md[[routeC]:[passenger_mile_EV]],11,FALSE),"")</f>
        <v>0</v>
      </c>
      <c r="N42" s="57">
        <f>IFERROR(VLOOKUP($A42&amp;"-"&amp;TEXT($B42+19,0),md[[routeC]:[passenger_mile_EV]],12,FALSE),"")</f>
        <v>0</v>
      </c>
      <c r="O42" s="57">
        <f>IFERROR(VLOOKUP($A42&amp;"-"&amp;TEXT($B42+19,0),md[[routeC]:[passenger_mile_EV]],13,FALSE),"")</f>
        <v>0</v>
      </c>
      <c r="P42" s="57">
        <f t="shared" si="1"/>
        <v>0</v>
      </c>
      <c r="Q42" s="224">
        <f t="shared" si="2"/>
        <v>-1</v>
      </c>
      <c r="R42" s="237">
        <f t="shared" si="3"/>
        <v>1298534918.3361001</v>
      </c>
    </row>
    <row r="43" spans="1:18" x14ac:dyDescent="0.3">
      <c r="A43" s="5">
        <v>31</v>
      </c>
      <c r="B43" s="5">
        <v>10</v>
      </c>
      <c r="C43" s="5" t="s">
        <v>0</v>
      </c>
      <c r="D43" s="5">
        <v>5</v>
      </c>
      <c r="E43" s="10">
        <f>VLOOKUP($A43,observed!$C$2:$P$139,10,FALSE)</f>
        <v>13.552962962962967</v>
      </c>
      <c r="F43" s="10">
        <f>VLOOKUP($A43,observed!$C$2:$P$139,11,FALSE)</f>
        <v>667.79864994026275</v>
      </c>
      <c r="G43" s="10">
        <f>VLOOKUP($A43,observed!$C$2:$P$139,12,FALSE)</f>
        <v>242.91432459677253</v>
      </c>
      <c r="H43" s="10">
        <f>VLOOKUP($A43,observed!$C$2:$P$139,13,FALSE)</f>
        <v>493.2427721774215</v>
      </c>
      <c r="I43" s="10">
        <f>VLOOKUP($A43,observed!$C$2:$P$139,14,FALSE)</f>
        <v>0.84129032258024194</v>
      </c>
      <c r="J43" s="10">
        <f t="shared" si="0"/>
        <v>1418.3500000000001</v>
      </c>
      <c r="K43" s="57">
        <f>IFERROR(VLOOKUP($A43&amp;"-"&amp;TEXT($B43+19,0),md[[routeC]:[passenger_mile_EV]],9,FALSE),"")</f>
        <v>0</v>
      </c>
      <c r="L43" s="57">
        <f>IFERROR(VLOOKUP($A43&amp;"-"&amp;TEXT($B43+19,0),md[[routeC]:[passenger_mile_EV]],10,FALSE),"")</f>
        <v>0</v>
      </c>
      <c r="M43" s="57">
        <f>IFERROR(VLOOKUP($A43&amp;"-"&amp;TEXT($B43+19,0),md[[routeC]:[passenger_mile_EV]],11,FALSE),"")</f>
        <v>0</v>
      </c>
      <c r="N43" s="57">
        <f>IFERROR(VLOOKUP($A43&amp;"-"&amp;TEXT($B43+19,0),md[[routeC]:[passenger_mile_EV]],12,FALSE),"")</f>
        <v>0</v>
      </c>
      <c r="O43" s="57">
        <f>IFERROR(VLOOKUP($A43&amp;"-"&amp;TEXT($B43+19,0),md[[routeC]:[passenger_mile_EV]],13,FALSE),"")</f>
        <v>0</v>
      </c>
      <c r="P43" s="57">
        <f t="shared" si="1"/>
        <v>0</v>
      </c>
      <c r="Q43" s="224">
        <f t="shared" si="2"/>
        <v>-1</v>
      </c>
      <c r="R43" s="237">
        <f t="shared" si="3"/>
        <v>2011716.7225000004</v>
      </c>
    </row>
    <row r="44" spans="1:18" x14ac:dyDescent="0.3">
      <c r="A44" s="5">
        <v>35</v>
      </c>
      <c r="B44" s="5">
        <v>10</v>
      </c>
      <c r="C44" s="5" t="s">
        <v>0</v>
      </c>
      <c r="D44" s="5">
        <v>5</v>
      </c>
      <c r="E44" s="10">
        <f>VLOOKUP($A44,observed!$C$2:$P$139,10,FALSE)</f>
        <v>62.581304347826048</v>
      </c>
      <c r="F44" s="10">
        <f>VLOOKUP($A44,observed!$C$2:$P$139,11,FALSE)</f>
        <v>562.43869565217392</v>
      </c>
      <c r="G44" s="10">
        <f>VLOOKUP($A44,observed!$C$2:$P$139,12,FALSE)</f>
        <v>1491.8747727272701</v>
      </c>
      <c r="H44" s="10">
        <f>VLOOKUP($A44,observed!$C$2:$P$139,13,FALSE)</f>
        <v>1087.5355721003179</v>
      </c>
      <c r="I44" s="10">
        <f>VLOOKUP($A44,observed!$C$2:$P$139,14,FALSE)</f>
        <v>520.28965517241193</v>
      </c>
      <c r="J44" s="10">
        <f t="shared" si="0"/>
        <v>3724.72</v>
      </c>
      <c r="K44" s="57">
        <f>IFERROR(VLOOKUP($A44&amp;"-"&amp;TEXT($B44+19,0),md[[routeC]:[passenger_mile_EV]],9,FALSE),"")</f>
        <v>0</v>
      </c>
      <c r="L44" s="57">
        <f>IFERROR(VLOOKUP($A44&amp;"-"&amp;TEXT($B44+19,0),md[[routeC]:[passenger_mile_EV]],10,FALSE),"")</f>
        <v>0</v>
      </c>
      <c r="M44" s="57">
        <f>IFERROR(VLOOKUP($A44&amp;"-"&amp;TEXT($B44+19,0),md[[routeC]:[passenger_mile_EV]],11,FALSE),"")</f>
        <v>0</v>
      </c>
      <c r="N44" s="57">
        <f>IFERROR(VLOOKUP($A44&amp;"-"&amp;TEXT($B44+19,0),md[[routeC]:[passenger_mile_EV]],12,FALSE),"")</f>
        <v>0</v>
      </c>
      <c r="O44" s="57">
        <f>IFERROR(VLOOKUP($A44&amp;"-"&amp;TEXT($B44+19,0),md[[routeC]:[passenger_mile_EV]],13,FALSE),"")</f>
        <v>0</v>
      </c>
      <c r="P44" s="57">
        <f t="shared" si="1"/>
        <v>0</v>
      </c>
      <c r="Q44" s="224">
        <f t="shared" si="2"/>
        <v>-1</v>
      </c>
      <c r="R44" s="237">
        <f t="shared" si="3"/>
        <v>13873539.078399999</v>
      </c>
    </row>
    <row r="45" spans="1:18" x14ac:dyDescent="0.3">
      <c r="A45" s="5">
        <v>41</v>
      </c>
      <c r="B45" s="5">
        <v>10</v>
      </c>
      <c r="C45" s="5" t="s">
        <v>0</v>
      </c>
      <c r="D45" s="5">
        <v>5</v>
      </c>
      <c r="E45" s="10">
        <f>VLOOKUP($A45,observed!$C$2:$P$139,10,FALSE)</f>
        <v>278.3649324324324</v>
      </c>
      <c r="F45" s="10">
        <f>VLOOKUP($A45,observed!$C$2:$P$139,11,FALSE)</f>
        <v>4325.2419787476929</v>
      </c>
      <c r="G45" s="10">
        <f>VLOOKUP($A45,observed!$C$2:$P$139,12,FALSE)</f>
        <v>8754.0816331150527</v>
      </c>
      <c r="H45" s="10">
        <f>VLOOKUP($A45,observed!$C$2:$P$139,13,FALSE)</f>
        <v>5186.0998695238713</v>
      </c>
      <c r="I45" s="10">
        <f>VLOOKUP($A45,observed!$C$2:$P$139,14,FALSE)</f>
        <v>2761.1415861809519</v>
      </c>
      <c r="J45" s="10">
        <f t="shared" si="0"/>
        <v>21304.93</v>
      </c>
      <c r="K45" s="57">
        <f>IFERROR(VLOOKUP($A45&amp;"-"&amp;TEXT($B45+19,0),md[[routeC]:[passenger_mile_EV]],9,FALSE),"")</f>
        <v>0</v>
      </c>
      <c r="L45" s="57">
        <f>IFERROR(VLOOKUP($A45&amp;"-"&amp;TEXT($B45+19,0),md[[routeC]:[passenger_mile_EV]],10,FALSE),"")</f>
        <v>0</v>
      </c>
      <c r="M45" s="57">
        <f>IFERROR(VLOOKUP($A45&amp;"-"&amp;TEXT($B45+19,0),md[[routeC]:[passenger_mile_EV]],11,FALSE),"")</f>
        <v>0</v>
      </c>
      <c r="N45" s="57">
        <f>IFERROR(VLOOKUP($A45&amp;"-"&amp;TEXT($B45+19,0),md[[routeC]:[passenger_mile_EV]],12,FALSE),"")</f>
        <v>0</v>
      </c>
      <c r="O45" s="57">
        <f>IFERROR(VLOOKUP($A45&amp;"-"&amp;TEXT($B45+19,0),md[[routeC]:[passenger_mile_EV]],13,FALSE),"")</f>
        <v>0</v>
      </c>
      <c r="P45" s="57">
        <f t="shared" si="1"/>
        <v>0</v>
      </c>
      <c r="Q45" s="224">
        <f t="shared" si="2"/>
        <v>-1</v>
      </c>
      <c r="R45" s="237">
        <f t="shared" si="3"/>
        <v>453900042.30489999</v>
      </c>
    </row>
    <row r="46" spans="1:18" x14ac:dyDescent="0.3">
      <c r="A46" s="5">
        <v>44</v>
      </c>
      <c r="B46" s="5">
        <v>10</v>
      </c>
      <c r="C46" s="5" t="s">
        <v>0</v>
      </c>
      <c r="D46" s="5">
        <v>5</v>
      </c>
      <c r="E46" s="10">
        <f>VLOOKUP($A46,observed!$C$2:$P$139,10,FALSE)</f>
        <v>246.69974999999994</v>
      </c>
      <c r="F46" s="10">
        <f>VLOOKUP($A46,observed!$C$2:$P$139,11,FALSE)</f>
        <v>3456.9598193982956</v>
      </c>
      <c r="G46" s="10">
        <f>VLOOKUP($A46,observed!$C$2:$P$139,12,FALSE)</f>
        <v>7593.4734652777379</v>
      </c>
      <c r="H46" s="10">
        <f>VLOOKUP($A46,observed!$C$2:$P$139,13,FALSE)</f>
        <v>4112.0411295751783</v>
      </c>
      <c r="I46" s="10">
        <f>VLOOKUP($A46,observed!$C$2:$P$139,14,FALSE)</f>
        <v>1850.9158357487877</v>
      </c>
      <c r="J46" s="10">
        <f t="shared" si="0"/>
        <v>17260.09</v>
      </c>
      <c r="K46" s="57">
        <f>IFERROR(VLOOKUP($A46&amp;"-"&amp;TEXT($B46+19,0),md[[routeC]:[passenger_mile_EV]],9,FALSE),"")</f>
        <v>0</v>
      </c>
      <c r="L46" s="57">
        <f>IFERROR(VLOOKUP($A46&amp;"-"&amp;TEXT($B46+19,0),md[[routeC]:[passenger_mile_EV]],10,FALSE),"")</f>
        <v>0</v>
      </c>
      <c r="M46" s="57">
        <f>IFERROR(VLOOKUP($A46&amp;"-"&amp;TEXT($B46+19,0),md[[routeC]:[passenger_mile_EV]],11,FALSE),"")</f>
        <v>0</v>
      </c>
      <c r="N46" s="57">
        <f>IFERROR(VLOOKUP($A46&amp;"-"&amp;TEXT($B46+19,0),md[[routeC]:[passenger_mile_EV]],12,FALSE),"")</f>
        <v>0</v>
      </c>
      <c r="O46" s="57">
        <f>IFERROR(VLOOKUP($A46&amp;"-"&amp;TEXT($B46+19,0),md[[routeC]:[passenger_mile_EV]],13,FALSE),"")</f>
        <v>0</v>
      </c>
      <c r="P46" s="57">
        <f t="shared" si="1"/>
        <v>0</v>
      </c>
      <c r="Q46" s="224">
        <f t="shared" si="2"/>
        <v>-1</v>
      </c>
      <c r="R46" s="237">
        <f t="shared" si="3"/>
        <v>297910706.80809999</v>
      </c>
    </row>
    <row r="47" spans="1:18" x14ac:dyDescent="0.3">
      <c r="A47" s="5">
        <v>83</v>
      </c>
      <c r="B47" s="5">
        <v>10</v>
      </c>
      <c r="C47" s="5" t="s">
        <v>0</v>
      </c>
      <c r="D47" s="5">
        <v>5</v>
      </c>
      <c r="E47" s="10">
        <f>VLOOKUP($A47,observed!$C$2:$P$139,10,FALSE)</f>
        <v>0</v>
      </c>
      <c r="F47" s="10">
        <f>VLOOKUP($A47,observed!$C$2:$P$139,11,FALSE)</f>
        <v>90.910000000000011</v>
      </c>
      <c r="G47" s="10">
        <f>VLOOKUP($A47,observed!$C$2:$P$139,12,FALSE)</f>
        <v>174.83166666666648</v>
      </c>
      <c r="H47" s="10">
        <f>VLOOKUP($A47,observed!$C$2:$P$139,13,FALSE)</f>
        <v>62.878333333333515</v>
      </c>
      <c r="I47" s="10">
        <f>VLOOKUP($A47,observed!$C$2:$P$139,14,FALSE)</f>
        <v>0</v>
      </c>
      <c r="J47" s="10">
        <f t="shared" si="0"/>
        <v>328.62</v>
      </c>
      <c r="K47" s="57">
        <f>IFERROR(VLOOKUP($A47&amp;"-"&amp;TEXT($B47+19,0),md[[routeC]:[passenger_mile_EV]],9,FALSE),"")</f>
        <v>0</v>
      </c>
      <c r="L47" s="57">
        <f>IFERROR(VLOOKUP($A47&amp;"-"&amp;TEXT($B47+19,0),md[[routeC]:[passenger_mile_EV]],10,FALSE),"")</f>
        <v>0</v>
      </c>
      <c r="M47" s="57">
        <f>IFERROR(VLOOKUP($A47&amp;"-"&amp;TEXT($B47+19,0),md[[routeC]:[passenger_mile_EV]],11,FALSE),"")</f>
        <v>0</v>
      </c>
      <c r="N47" s="57">
        <f>IFERROR(VLOOKUP($A47&amp;"-"&amp;TEXT($B47+19,0),md[[routeC]:[passenger_mile_EV]],12,FALSE),"")</f>
        <v>0</v>
      </c>
      <c r="O47" s="57">
        <f>IFERROR(VLOOKUP($A47&amp;"-"&amp;TEXT($B47+19,0),md[[routeC]:[passenger_mile_EV]],13,FALSE),"")</f>
        <v>0</v>
      </c>
      <c r="P47" s="57">
        <f t="shared" si="1"/>
        <v>0</v>
      </c>
      <c r="Q47" s="224">
        <f t="shared" si="2"/>
        <v>-1</v>
      </c>
      <c r="R47" s="237">
        <f t="shared" si="3"/>
        <v>107991.1044</v>
      </c>
    </row>
    <row r="48" spans="1:18" x14ac:dyDescent="0.3">
      <c r="A48" s="5">
        <v>84</v>
      </c>
      <c r="B48" s="5">
        <v>10</v>
      </c>
      <c r="C48" s="5" t="s">
        <v>0</v>
      </c>
      <c r="D48" s="5">
        <v>5</v>
      </c>
      <c r="E48" s="10">
        <f>VLOOKUP($A48,observed!$C$2:$P$139,10,FALSE)</f>
        <v>0</v>
      </c>
      <c r="F48" s="10">
        <f>VLOOKUP($A48,observed!$C$2:$P$139,11,FALSE)</f>
        <v>132.22</v>
      </c>
      <c r="G48" s="10">
        <f>VLOOKUP($A48,observed!$C$2:$P$139,12,FALSE)</f>
        <v>137.21652173913</v>
      </c>
      <c r="H48" s="10">
        <f>VLOOKUP($A48,observed!$C$2:$P$139,13,FALSE)</f>
        <v>102.20347826086999</v>
      </c>
      <c r="I48" s="10">
        <f>VLOOKUP($A48,observed!$C$2:$P$139,14,FALSE)</f>
        <v>0</v>
      </c>
      <c r="J48" s="10">
        <f t="shared" si="0"/>
        <v>371.64</v>
      </c>
      <c r="K48" s="57">
        <f>IFERROR(VLOOKUP($A48&amp;"-"&amp;TEXT($B48+19,0),md[[routeC]:[passenger_mile_EV]],9,FALSE),"")</f>
        <v>0</v>
      </c>
      <c r="L48" s="57">
        <f>IFERROR(VLOOKUP($A48&amp;"-"&amp;TEXT($B48+19,0),md[[routeC]:[passenger_mile_EV]],10,FALSE),"")</f>
        <v>0</v>
      </c>
      <c r="M48" s="57">
        <f>IFERROR(VLOOKUP($A48&amp;"-"&amp;TEXT($B48+19,0),md[[routeC]:[passenger_mile_EV]],11,FALSE),"")</f>
        <v>0</v>
      </c>
      <c r="N48" s="57">
        <f>IFERROR(VLOOKUP($A48&amp;"-"&amp;TEXT($B48+19,0),md[[routeC]:[passenger_mile_EV]],12,FALSE),"")</f>
        <v>0</v>
      </c>
      <c r="O48" s="57">
        <f>IFERROR(VLOOKUP($A48&amp;"-"&amp;TEXT($B48+19,0),md[[routeC]:[passenger_mile_EV]],13,FALSE),"")</f>
        <v>0</v>
      </c>
      <c r="P48" s="57">
        <f t="shared" si="1"/>
        <v>0</v>
      </c>
      <c r="Q48" s="224">
        <f t="shared" si="2"/>
        <v>-1</v>
      </c>
      <c r="R48" s="237">
        <f t="shared" si="3"/>
        <v>138116.28959999999</v>
      </c>
    </row>
    <row r="49" spans="1:18" x14ac:dyDescent="0.3">
      <c r="A49" s="5">
        <v>88</v>
      </c>
      <c r="B49" s="5">
        <v>10</v>
      </c>
      <c r="C49" s="5" t="s">
        <v>0</v>
      </c>
      <c r="D49" s="5">
        <v>5</v>
      </c>
      <c r="E49" s="10">
        <f>VLOOKUP($A49,observed!$C$2:$P$139,10,FALSE)</f>
        <v>5.45</v>
      </c>
      <c r="F49" s="10">
        <f>VLOOKUP($A49,observed!$C$2:$P$139,11,FALSE)</f>
        <v>165.93499999999997</v>
      </c>
      <c r="G49" s="10">
        <f>VLOOKUP($A49,observed!$C$2:$P$139,12,FALSE)</f>
        <v>190.73409090909033</v>
      </c>
      <c r="H49" s="10">
        <f>VLOOKUP($A49,observed!$C$2:$P$139,13,FALSE)</f>
        <v>109.1942424242431</v>
      </c>
      <c r="I49" s="10">
        <f>VLOOKUP($A49,observed!$C$2:$P$139,14,FALSE)</f>
        <v>69.696666666666573</v>
      </c>
      <c r="J49" s="10">
        <f t="shared" si="0"/>
        <v>541.01</v>
      </c>
      <c r="K49" s="57">
        <f>IFERROR(VLOOKUP($A49&amp;"-"&amp;TEXT($B49+19,0),md[[routeC]:[passenger_mile_EV]],9,FALSE),"")</f>
        <v>0</v>
      </c>
      <c r="L49" s="57">
        <f>IFERROR(VLOOKUP($A49&amp;"-"&amp;TEXT($B49+19,0),md[[routeC]:[passenger_mile_EV]],10,FALSE),"")</f>
        <v>0</v>
      </c>
      <c r="M49" s="57">
        <f>IFERROR(VLOOKUP($A49&amp;"-"&amp;TEXT($B49+19,0),md[[routeC]:[passenger_mile_EV]],11,FALSE),"")</f>
        <v>0</v>
      </c>
      <c r="N49" s="57">
        <f>IFERROR(VLOOKUP($A49&amp;"-"&amp;TEXT($B49+19,0),md[[routeC]:[passenger_mile_EV]],12,FALSE),"")</f>
        <v>0</v>
      </c>
      <c r="O49" s="57">
        <f>IFERROR(VLOOKUP($A49&amp;"-"&amp;TEXT($B49+19,0),md[[routeC]:[passenger_mile_EV]],13,FALSE),"")</f>
        <v>0</v>
      </c>
      <c r="P49" s="57">
        <f t="shared" si="1"/>
        <v>0</v>
      </c>
      <c r="Q49" s="224">
        <f t="shared" si="2"/>
        <v>-1</v>
      </c>
      <c r="R49" s="237">
        <f t="shared" si="3"/>
        <v>292691.82010000001</v>
      </c>
    </row>
    <row r="50" spans="1:18" x14ac:dyDescent="0.3">
      <c r="A50" s="5">
        <v>101</v>
      </c>
      <c r="B50" s="5">
        <v>10</v>
      </c>
      <c r="C50" s="5" t="s">
        <v>0</v>
      </c>
      <c r="D50" s="5">
        <v>5</v>
      </c>
      <c r="E50" s="10">
        <f>VLOOKUP($A50,observed!$C$2:$P$139,10,FALSE)</f>
        <v>309.39835958485963</v>
      </c>
      <c r="F50" s="10">
        <f>VLOOKUP($A50,observed!$C$2:$P$139,11,FALSE)</f>
        <v>3516.1962036285568</v>
      </c>
      <c r="G50" s="10">
        <f>VLOOKUP($A50,observed!$C$2:$P$139,12,FALSE)</f>
        <v>8029.9338178474591</v>
      </c>
      <c r="H50" s="10">
        <f>VLOOKUP($A50,observed!$C$2:$P$139,13,FALSE)</f>
        <v>4544.3732963801549</v>
      </c>
      <c r="I50" s="10">
        <f>VLOOKUP($A50,observed!$C$2:$P$139,14,FALSE)</f>
        <v>1641.2083225589715</v>
      </c>
      <c r="J50" s="10">
        <f t="shared" si="0"/>
        <v>18041.11</v>
      </c>
      <c r="K50" s="57">
        <f>IFERROR(VLOOKUP($A50&amp;"-"&amp;TEXT($B50+19,0),md[[routeC]:[passenger_mile_EV]],9,FALSE),"")</f>
        <v>0</v>
      </c>
      <c r="L50" s="57">
        <f>IFERROR(VLOOKUP($A50&amp;"-"&amp;TEXT($B50+19,0),md[[routeC]:[passenger_mile_EV]],10,FALSE),"")</f>
        <v>0</v>
      </c>
      <c r="M50" s="57">
        <f>IFERROR(VLOOKUP($A50&amp;"-"&amp;TEXT($B50+19,0),md[[routeC]:[passenger_mile_EV]],11,FALSE),"")</f>
        <v>0</v>
      </c>
      <c r="N50" s="57">
        <f>IFERROR(VLOOKUP($A50&amp;"-"&amp;TEXT($B50+19,0),md[[routeC]:[passenger_mile_EV]],12,FALSE),"")</f>
        <v>0</v>
      </c>
      <c r="O50" s="57">
        <f>IFERROR(VLOOKUP($A50&amp;"-"&amp;TEXT($B50+19,0),md[[routeC]:[passenger_mile_EV]],13,FALSE),"")</f>
        <v>0</v>
      </c>
      <c r="P50" s="57">
        <f t="shared" si="1"/>
        <v>0</v>
      </c>
      <c r="Q50" s="224">
        <f t="shared" si="2"/>
        <v>-1</v>
      </c>
      <c r="R50" s="237">
        <f t="shared" si="3"/>
        <v>325481650.03210002</v>
      </c>
    </row>
    <row r="51" spans="1:18" x14ac:dyDescent="0.3">
      <c r="A51" s="5">
        <v>105</v>
      </c>
      <c r="B51" s="5">
        <v>10</v>
      </c>
      <c r="C51" s="5" t="s">
        <v>0</v>
      </c>
      <c r="D51" s="5">
        <v>5</v>
      </c>
      <c r="E51" s="10">
        <f>VLOOKUP($A51,observed!$C$2:$P$139,10,FALSE)</f>
        <v>161.39750355618779</v>
      </c>
      <c r="F51" s="10">
        <f>VLOOKUP($A51,observed!$C$2:$P$139,11,FALSE)</f>
        <v>1209.045842109774</v>
      </c>
      <c r="G51" s="10">
        <f>VLOOKUP($A51,observed!$C$2:$P$139,12,FALSE)</f>
        <v>2163.0874314185508</v>
      </c>
      <c r="H51" s="10">
        <f>VLOOKUP($A51,observed!$C$2:$P$139,13,FALSE)</f>
        <v>1176.4500756723824</v>
      </c>
      <c r="I51" s="10">
        <f>VLOOKUP($A51,observed!$C$2:$P$139,14,FALSE)</f>
        <v>411.65914724310517</v>
      </c>
      <c r="J51" s="10">
        <f t="shared" si="0"/>
        <v>5121.6400000000003</v>
      </c>
      <c r="K51" s="57">
        <f>IFERROR(VLOOKUP($A51&amp;"-"&amp;TEXT($B51+19,0),md[[routeC]:[passenger_mile_EV]],9,FALSE),"")</f>
        <v>0</v>
      </c>
      <c r="L51" s="57">
        <f>IFERROR(VLOOKUP($A51&amp;"-"&amp;TEXT($B51+19,0),md[[routeC]:[passenger_mile_EV]],10,FALSE),"")</f>
        <v>0</v>
      </c>
      <c r="M51" s="57">
        <f>IFERROR(VLOOKUP($A51&amp;"-"&amp;TEXT($B51+19,0),md[[routeC]:[passenger_mile_EV]],11,FALSE),"")</f>
        <v>0</v>
      </c>
      <c r="N51" s="57">
        <f>IFERROR(VLOOKUP($A51&amp;"-"&amp;TEXT($B51+19,0),md[[routeC]:[passenger_mile_EV]],12,FALSE),"")</f>
        <v>0</v>
      </c>
      <c r="O51" s="57">
        <f>IFERROR(VLOOKUP($A51&amp;"-"&amp;TEXT($B51+19,0),md[[routeC]:[passenger_mile_EV]],13,FALSE),"")</f>
        <v>0</v>
      </c>
      <c r="P51" s="57">
        <f t="shared" si="1"/>
        <v>0</v>
      </c>
      <c r="Q51" s="224">
        <f t="shared" si="2"/>
        <v>-1</v>
      </c>
      <c r="R51" s="237">
        <f t="shared" si="3"/>
        <v>26231196.289600004</v>
      </c>
    </row>
    <row r="52" spans="1:18" x14ac:dyDescent="0.3">
      <c r="A52" s="5">
        <v>115</v>
      </c>
      <c r="B52" s="5">
        <v>10</v>
      </c>
      <c r="C52" s="5" t="s">
        <v>0</v>
      </c>
      <c r="D52" s="5">
        <v>5</v>
      </c>
      <c r="E52" s="10">
        <f>VLOOKUP($A52,observed!$C$2:$P$139,10,FALSE)</f>
        <v>3.6719999999999802</v>
      </c>
      <c r="F52" s="10">
        <f>VLOOKUP($A52,observed!$C$2:$P$139,11,FALSE)</f>
        <v>1233.533975609756</v>
      </c>
      <c r="G52" s="10">
        <f>VLOOKUP($A52,observed!$C$2:$P$139,12,FALSE)</f>
        <v>2946.3730056312211</v>
      </c>
      <c r="H52" s="10">
        <f>VLOOKUP($A52,observed!$C$2:$P$139,13,FALSE)</f>
        <v>1398.2938759018816</v>
      </c>
      <c r="I52" s="10">
        <f>VLOOKUP($A52,observed!$C$2:$P$139,14,FALSE)</f>
        <v>473.93714285714151</v>
      </c>
      <c r="J52" s="10">
        <f t="shared" si="0"/>
        <v>6055.8099999999995</v>
      </c>
      <c r="K52" s="57">
        <f>IFERROR(VLOOKUP($A52&amp;"-"&amp;TEXT($B52+19,0),md[[routeC]:[passenger_mile_EV]],9,FALSE),"")</f>
        <v>0</v>
      </c>
      <c r="L52" s="57">
        <f>IFERROR(VLOOKUP($A52&amp;"-"&amp;TEXT($B52+19,0),md[[routeC]:[passenger_mile_EV]],10,FALSE),"")</f>
        <v>0</v>
      </c>
      <c r="M52" s="57">
        <f>IFERROR(VLOOKUP($A52&amp;"-"&amp;TEXT($B52+19,0),md[[routeC]:[passenger_mile_EV]],11,FALSE),"")</f>
        <v>0</v>
      </c>
      <c r="N52" s="57">
        <f>IFERROR(VLOOKUP($A52&amp;"-"&amp;TEXT($B52+19,0),md[[routeC]:[passenger_mile_EV]],12,FALSE),"")</f>
        <v>0</v>
      </c>
      <c r="O52" s="57">
        <f>IFERROR(VLOOKUP($A52&amp;"-"&amp;TEXT($B52+19,0),md[[routeC]:[passenger_mile_EV]],13,FALSE),"")</f>
        <v>0</v>
      </c>
      <c r="P52" s="57">
        <f t="shared" si="1"/>
        <v>0</v>
      </c>
      <c r="Q52" s="224">
        <f t="shared" si="2"/>
        <v>-1</v>
      </c>
      <c r="R52" s="237">
        <f t="shared" si="3"/>
        <v>36672834.756099992</v>
      </c>
    </row>
    <row r="53" spans="1:18" x14ac:dyDescent="0.3">
      <c r="A53" s="5">
        <v>276</v>
      </c>
      <c r="B53" s="5">
        <v>10</v>
      </c>
      <c r="C53" s="5" t="s">
        <v>86</v>
      </c>
      <c r="D53" s="5">
        <v>5</v>
      </c>
      <c r="E53" s="10">
        <f>VLOOKUP($A53,observed!$C$2:$P$139,10,FALSE)</f>
        <v>46.582175499999998</v>
      </c>
      <c r="F53" s="10">
        <f>VLOOKUP($A53,observed!$C$2:$P$139,11,FALSE)</f>
        <v>327.11906359819102</v>
      </c>
      <c r="G53" s="10">
        <f>VLOOKUP($A53,observed!$C$2:$P$139,12,FALSE)</f>
        <v>553.17682111127795</v>
      </c>
      <c r="H53" s="10">
        <f>VLOOKUP($A53,observed!$C$2:$P$139,13,FALSE)</f>
        <v>384.84494601557998</v>
      </c>
      <c r="I53" s="10">
        <f>VLOOKUP($A53,observed!$C$2:$P$139,14,FALSE)</f>
        <v>226.710238852472</v>
      </c>
      <c r="J53" s="10">
        <f t="shared" ref="J53" si="7">SUM(E53:I53)</f>
        <v>1538.433245077521</v>
      </c>
      <c r="K53" s="57">
        <f>IFERROR(VLOOKUP($A53&amp;"-"&amp;TEXT($B53+19,0),md[[routeC]:[passenger_mile_EV]],9,FALSE),"")</f>
        <v>0</v>
      </c>
      <c r="L53" s="57">
        <f>IFERROR(VLOOKUP($A53&amp;"-"&amp;TEXT($B53+19,0),md[[routeC]:[passenger_mile_EV]],10,FALSE),"")</f>
        <v>0</v>
      </c>
      <c r="M53" s="57">
        <f>IFERROR(VLOOKUP($A53&amp;"-"&amp;TEXT($B53+19,0),md[[routeC]:[passenger_mile_EV]],11,FALSE),"")</f>
        <v>0</v>
      </c>
      <c r="N53" s="57">
        <f>IFERROR(VLOOKUP($A53&amp;"-"&amp;TEXT($B53+19,0),md[[routeC]:[passenger_mile_EV]],12,FALSE),"")</f>
        <v>0</v>
      </c>
      <c r="O53" s="57">
        <f>IFERROR(VLOOKUP($A53&amp;"-"&amp;TEXT($B53+19,0),md[[routeC]:[passenger_mile_EV]],13,FALSE),"")</f>
        <v>0</v>
      </c>
      <c r="P53" s="57">
        <f t="shared" ref="P53" si="8">SUM(K53:O53)</f>
        <v>0</v>
      </c>
      <c r="Q53" s="224">
        <f t="shared" ref="Q53" si="9">P53/J53-1</f>
        <v>-1</v>
      </c>
      <c r="R53" s="237">
        <f t="shared" ref="R53" si="10">POWER((P53-J53),2)</f>
        <v>2366776.8495597518</v>
      </c>
    </row>
    <row r="54" spans="1:18" x14ac:dyDescent="0.3">
      <c r="A54" s="5">
        <v>302</v>
      </c>
      <c r="B54" s="5">
        <v>10</v>
      </c>
      <c r="C54" s="5" t="s">
        <v>0</v>
      </c>
      <c r="D54" s="5">
        <v>5</v>
      </c>
      <c r="E54" s="10">
        <f>VLOOKUP($A54,observed!$C$2:$P$139,10,FALSE)</f>
        <v>214.98023892483823</v>
      </c>
      <c r="F54" s="10">
        <f>VLOOKUP($A54,observed!$C$2:$P$139,11,FALSE)</f>
        <v>1571.9555422072378</v>
      </c>
      <c r="G54" s="10">
        <f>VLOOKUP($A54,observed!$C$2:$P$139,12,FALSE)</f>
        <v>4504.5534449578572</v>
      </c>
      <c r="H54" s="10">
        <f>VLOOKUP($A54,observed!$C$2:$P$139,13,FALSE)</f>
        <v>2068.598516265306</v>
      </c>
      <c r="I54" s="10">
        <f>VLOOKUP($A54,observed!$C$2:$P$139,14,FALSE)</f>
        <v>1127.4722576447605</v>
      </c>
      <c r="J54" s="10">
        <f t="shared" si="0"/>
        <v>9487.56</v>
      </c>
      <c r="K54" s="57">
        <f>IFERROR(VLOOKUP($A54&amp;"-"&amp;TEXT($B54+19,0),md[[routeC]:[passenger_mile_EV]],9,FALSE),"")</f>
        <v>0</v>
      </c>
      <c r="L54" s="57">
        <f>IFERROR(VLOOKUP($A54&amp;"-"&amp;TEXT($B54+19,0),md[[routeC]:[passenger_mile_EV]],10,FALSE),"")</f>
        <v>0</v>
      </c>
      <c r="M54" s="57">
        <f>IFERROR(VLOOKUP($A54&amp;"-"&amp;TEXT($B54+19,0),md[[routeC]:[passenger_mile_EV]],11,FALSE),"")</f>
        <v>0</v>
      </c>
      <c r="N54" s="57">
        <f>IFERROR(VLOOKUP($A54&amp;"-"&amp;TEXT($B54+19,0),md[[routeC]:[passenger_mile_EV]],12,FALSE),"")</f>
        <v>0</v>
      </c>
      <c r="O54" s="57">
        <f>IFERROR(VLOOKUP($A54&amp;"-"&amp;TEXT($B54+19,0),md[[routeC]:[passenger_mile_EV]],13,FALSE),"")</f>
        <v>0</v>
      </c>
      <c r="P54" s="57">
        <f t="shared" si="1"/>
        <v>0</v>
      </c>
      <c r="Q54" s="224">
        <f t="shared" si="2"/>
        <v>-1</v>
      </c>
      <c r="R54" s="237">
        <f t="shared" si="3"/>
        <v>90013794.753599986</v>
      </c>
    </row>
    <row r="55" spans="1:18" x14ac:dyDescent="0.3">
      <c r="A55" s="5">
        <v>303</v>
      </c>
      <c r="B55" s="5">
        <v>10</v>
      </c>
      <c r="C55" s="5" t="s">
        <v>0</v>
      </c>
      <c r="D55" s="5">
        <v>5</v>
      </c>
      <c r="E55" s="10">
        <f>VLOOKUP($A55,observed!$C$2:$P$139,10,FALSE)</f>
        <v>727.69140736158363</v>
      </c>
      <c r="F55" s="10">
        <f>VLOOKUP($A55,observed!$C$2:$P$139,11,FALSE)</f>
        <v>2997.3643433816337</v>
      </c>
      <c r="G55" s="10">
        <f>VLOOKUP($A55,observed!$C$2:$P$139,12,FALSE)</f>
        <v>6891.421494836789</v>
      </c>
      <c r="H55" s="10">
        <f>VLOOKUP($A55,observed!$C$2:$P$139,13,FALSE)</f>
        <v>3636.9359300115284</v>
      </c>
      <c r="I55" s="10">
        <f>VLOOKUP($A55,observed!$C$2:$P$139,14,FALSE)</f>
        <v>1759.696824408464</v>
      </c>
      <c r="J55" s="10">
        <f t="shared" si="0"/>
        <v>16013.109999999999</v>
      </c>
      <c r="K55" s="57">
        <f>IFERROR(VLOOKUP($A55&amp;"-"&amp;TEXT($B55+19,0),md[[routeC]:[passenger_mile_EV]],9,FALSE),"")</f>
        <v>0</v>
      </c>
      <c r="L55" s="57">
        <f>IFERROR(VLOOKUP($A55&amp;"-"&amp;TEXT($B55+19,0),md[[routeC]:[passenger_mile_EV]],10,FALSE),"")</f>
        <v>0</v>
      </c>
      <c r="M55" s="57">
        <f>IFERROR(VLOOKUP($A55&amp;"-"&amp;TEXT($B55+19,0),md[[routeC]:[passenger_mile_EV]],11,FALSE),"")</f>
        <v>0</v>
      </c>
      <c r="N55" s="57">
        <f>IFERROR(VLOOKUP($A55&amp;"-"&amp;TEXT($B55+19,0),md[[routeC]:[passenger_mile_EV]],12,FALSE),"")</f>
        <v>0</v>
      </c>
      <c r="O55" s="57">
        <f>IFERROR(VLOOKUP($A55&amp;"-"&amp;TEXT($B55+19,0),md[[routeC]:[passenger_mile_EV]],13,FALSE),"")</f>
        <v>0</v>
      </c>
      <c r="P55" s="57">
        <f t="shared" si="1"/>
        <v>0</v>
      </c>
      <c r="Q55" s="224">
        <f t="shared" si="2"/>
        <v>-1</v>
      </c>
      <c r="R55" s="237">
        <f t="shared" si="3"/>
        <v>256419691.87209997</v>
      </c>
    </row>
    <row r="56" spans="1:18" x14ac:dyDescent="0.3">
      <c r="A56" s="5">
        <v>304</v>
      </c>
      <c r="B56" s="5">
        <v>10</v>
      </c>
      <c r="C56" s="5" t="s">
        <v>0</v>
      </c>
      <c r="D56" s="5">
        <v>5</v>
      </c>
      <c r="E56" s="10">
        <f>VLOOKUP($A56,observed!$C$2:$P$139,10,FALSE)</f>
        <v>198.43461692091839</v>
      </c>
      <c r="F56" s="10">
        <f>VLOOKUP($A56,observed!$C$2:$P$139,11,FALSE)</f>
        <v>1482.3419161363624</v>
      </c>
      <c r="G56" s="10">
        <f>VLOOKUP($A56,observed!$C$2:$P$139,12,FALSE)</f>
        <v>1760.2289763609087</v>
      </c>
      <c r="H56" s="10">
        <f>VLOOKUP($A56,observed!$C$2:$P$139,13,FALSE)</f>
        <v>1227.6376548899875</v>
      </c>
      <c r="I56" s="10">
        <f>VLOOKUP($A56,observed!$C$2:$P$139,14,FALSE)</f>
        <v>234.14683569182282</v>
      </c>
      <c r="J56" s="10">
        <f t="shared" si="0"/>
        <v>4902.7900000000009</v>
      </c>
      <c r="K56" s="57">
        <f>IFERROR(VLOOKUP($A56&amp;"-"&amp;TEXT($B56+19,0),md[[routeC]:[passenger_mile_EV]],9,FALSE),"")</f>
        <v>0</v>
      </c>
      <c r="L56" s="57">
        <f>IFERROR(VLOOKUP($A56&amp;"-"&amp;TEXT($B56+19,0),md[[routeC]:[passenger_mile_EV]],10,FALSE),"")</f>
        <v>0</v>
      </c>
      <c r="M56" s="57">
        <f>IFERROR(VLOOKUP($A56&amp;"-"&amp;TEXT($B56+19,0),md[[routeC]:[passenger_mile_EV]],11,FALSE),"")</f>
        <v>0</v>
      </c>
      <c r="N56" s="57">
        <f>IFERROR(VLOOKUP($A56&amp;"-"&amp;TEXT($B56+19,0),md[[routeC]:[passenger_mile_EV]],12,FALSE),"")</f>
        <v>0</v>
      </c>
      <c r="O56" s="57">
        <f>IFERROR(VLOOKUP($A56&amp;"-"&amp;TEXT($B56+19,0),md[[routeC]:[passenger_mile_EV]],13,FALSE),"")</f>
        <v>0</v>
      </c>
      <c r="P56" s="57">
        <f t="shared" si="1"/>
        <v>0</v>
      </c>
      <c r="Q56" s="224">
        <f t="shared" si="2"/>
        <v>-1</v>
      </c>
      <c r="R56" s="237">
        <f t="shared" si="3"/>
        <v>24037349.784100007</v>
      </c>
    </row>
    <row r="57" spans="1:18" x14ac:dyDescent="0.3">
      <c r="A57" s="5">
        <v>305</v>
      </c>
      <c r="B57" s="5">
        <v>10</v>
      </c>
      <c r="C57" s="5" t="s">
        <v>0</v>
      </c>
      <c r="D57" s="5">
        <v>5</v>
      </c>
      <c r="E57" s="10">
        <f>VLOOKUP($A57,observed!$C$2:$P$139,10,FALSE)</f>
        <v>337.73050000000001</v>
      </c>
      <c r="F57" s="10">
        <f>VLOOKUP($A57,observed!$C$2:$P$139,11,FALSE)</f>
        <v>1520.1883275310126</v>
      </c>
      <c r="G57" s="10">
        <f>VLOOKUP($A57,observed!$C$2:$P$139,12,FALSE)</f>
        <v>3114.8235069393918</v>
      </c>
      <c r="H57" s="10">
        <f>VLOOKUP($A57,observed!$C$2:$P$139,13,FALSE)</f>
        <v>1515.7249658329345</v>
      </c>
      <c r="I57" s="10">
        <f>VLOOKUP($A57,observed!$C$2:$P$139,14,FALSE)</f>
        <v>1046.202699696662</v>
      </c>
      <c r="J57" s="10">
        <f t="shared" si="0"/>
        <v>7534.67</v>
      </c>
      <c r="K57" s="57">
        <f>IFERROR(VLOOKUP($A57&amp;"-"&amp;TEXT($B57+19,0),md[[routeC]:[passenger_mile_EV]],9,FALSE),"")</f>
        <v>0</v>
      </c>
      <c r="L57" s="57">
        <f>IFERROR(VLOOKUP($A57&amp;"-"&amp;TEXT($B57+19,0),md[[routeC]:[passenger_mile_EV]],10,FALSE),"")</f>
        <v>0</v>
      </c>
      <c r="M57" s="57">
        <f>IFERROR(VLOOKUP($A57&amp;"-"&amp;TEXT($B57+19,0),md[[routeC]:[passenger_mile_EV]],11,FALSE),"")</f>
        <v>0</v>
      </c>
      <c r="N57" s="57">
        <f>IFERROR(VLOOKUP($A57&amp;"-"&amp;TEXT($B57+19,0),md[[routeC]:[passenger_mile_EV]],12,FALSE),"")</f>
        <v>0</v>
      </c>
      <c r="O57" s="57">
        <f>IFERROR(VLOOKUP($A57&amp;"-"&amp;TEXT($B57+19,0),md[[routeC]:[passenger_mile_EV]],13,FALSE),"")</f>
        <v>0</v>
      </c>
      <c r="P57" s="57">
        <f t="shared" si="1"/>
        <v>0</v>
      </c>
      <c r="Q57" s="224">
        <f t="shared" si="2"/>
        <v>-1</v>
      </c>
      <c r="R57" s="237">
        <f t="shared" si="3"/>
        <v>56771252.008900002</v>
      </c>
    </row>
    <row r="58" spans="1:18" x14ac:dyDescent="0.3">
      <c r="A58" s="5">
        <v>306</v>
      </c>
      <c r="B58" s="5">
        <v>10</v>
      </c>
      <c r="C58" s="5" t="s">
        <v>0</v>
      </c>
      <c r="D58" s="5">
        <v>5</v>
      </c>
      <c r="E58" s="10">
        <f>VLOOKUP($A58,observed!$C$2:$P$139,10,FALSE)</f>
        <v>247.1569686411149</v>
      </c>
      <c r="F58" s="10">
        <f>VLOOKUP($A58,observed!$C$2:$P$139,11,FALSE)</f>
        <v>1581.4525746904885</v>
      </c>
      <c r="G58" s="10">
        <f>VLOOKUP($A58,observed!$C$2:$P$139,12,FALSE)</f>
        <v>2257.3104566683965</v>
      </c>
      <c r="H58" s="10">
        <f>VLOOKUP($A58,observed!$C$2:$P$139,13,FALSE)</f>
        <v>1607.8267441860503</v>
      </c>
      <c r="I58" s="10">
        <f>VLOOKUP($A58,observed!$C$2:$P$139,14,FALSE)</f>
        <v>616.81325581394981</v>
      </c>
      <c r="J58" s="10">
        <f t="shared" si="0"/>
        <v>6310.5599999999995</v>
      </c>
      <c r="K58" s="57">
        <f>IFERROR(VLOOKUP($A58&amp;"-"&amp;TEXT($B58+19,0),md[[routeC]:[passenger_mile_EV]],9,FALSE),"")</f>
        <v>0</v>
      </c>
      <c r="L58" s="57">
        <f>IFERROR(VLOOKUP($A58&amp;"-"&amp;TEXT($B58+19,0),md[[routeC]:[passenger_mile_EV]],10,FALSE),"")</f>
        <v>0</v>
      </c>
      <c r="M58" s="57">
        <f>IFERROR(VLOOKUP($A58&amp;"-"&amp;TEXT($B58+19,0),md[[routeC]:[passenger_mile_EV]],11,FALSE),"")</f>
        <v>0</v>
      </c>
      <c r="N58" s="57">
        <f>IFERROR(VLOOKUP($A58&amp;"-"&amp;TEXT($B58+19,0),md[[routeC]:[passenger_mile_EV]],12,FALSE),"")</f>
        <v>0</v>
      </c>
      <c r="O58" s="57">
        <f>IFERROR(VLOOKUP($A58&amp;"-"&amp;TEXT($B58+19,0),md[[routeC]:[passenger_mile_EV]],13,FALSE),"")</f>
        <v>0</v>
      </c>
      <c r="P58" s="57">
        <f t="shared" si="1"/>
        <v>0</v>
      </c>
      <c r="Q58" s="224">
        <f t="shared" si="2"/>
        <v>-1</v>
      </c>
      <c r="R58" s="237">
        <f t="shared" si="3"/>
        <v>39823167.513599992</v>
      </c>
    </row>
    <row r="59" spans="1:18" x14ac:dyDescent="0.3">
      <c r="A59" s="5">
        <v>308</v>
      </c>
      <c r="B59" s="5">
        <v>10</v>
      </c>
      <c r="C59" s="5" t="s">
        <v>0</v>
      </c>
      <c r="D59" s="5">
        <v>5</v>
      </c>
      <c r="E59" s="10">
        <f>VLOOKUP($A59,observed!$C$2:$P$139,10,FALSE)</f>
        <v>41.41</v>
      </c>
      <c r="F59" s="10">
        <f>VLOOKUP($A59,observed!$C$2:$P$139,11,FALSE)</f>
        <v>742.25</v>
      </c>
      <c r="G59" s="10">
        <f>VLOOKUP($A59,observed!$C$2:$P$139,12,FALSE)</f>
        <v>900.1841737288122</v>
      </c>
      <c r="H59" s="10">
        <f>VLOOKUP($A59,observed!$C$2:$P$139,13,FALSE)</f>
        <v>674.2058262711879</v>
      </c>
      <c r="I59" s="10">
        <f>VLOOKUP($A59,observed!$C$2:$P$139,14,FALSE)</f>
        <v>93.37</v>
      </c>
      <c r="J59" s="10">
        <f t="shared" si="0"/>
        <v>2451.42</v>
      </c>
      <c r="K59" s="57">
        <f>IFERROR(VLOOKUP($A59&amp;"-"&amp;TEXT($B59+19,0),md[[routeC]:[passenger_mile_EV]],9,FALSE),"")</f>
        <v>0</v>
      </c>
      <c r="L59" s="57">
        <f>IFERROR(VLOOKUP($A59&amp;"-"&amp;TEXT($B59+19,0),md[[routeC]:[passenger_mile_EV]],10,FALSE),"")</f>
        <v>0</v>
      </c>
      <c r="M59" s="57">
        <f>IFERROR(VLOOKUP($A59&amp;"-"&amp;TEXT($B59+19,0),md[[routeC]:[passenger_mile_EV]],11,FALSE),"")</f>
        <v>0</v>
      </c>
      <c r="N59" s="57">
        <f>IFERROR(VLOOKUP($A59&amp;"-"&amp;TEXT($B59+19,0),md[[routeC]:[passenger_mile_EV]],12,FALSE),"")</f>
        <v>0</v>
      </c>
      <c r="O59" s="57">
        <f>IFERROR(VLOOKUP($A59&amp;"-"&amp;TEXT($B59+19,0),md[[routeC]:[passenger_mile_EV]],13,FALSE),"")</f>
        <v>0</v>
      </c>
      <c r="P59" s="57">
        <f t="shared" si="1"/>
        <v>0</v>
      </c>
      <c r="Q59" s="224">
        <f t="shared" si="2"/>
        <v>-1</v>
      </c>
      <c r="R59" s="237">
        <f t="shared" si="3"/>
        <v>6009460.0164000001</v>
      </c>
    </row>
    <row r="60" spans="1:18" x14ac:dyDescent="0.3">
      <c r="A60" s="5">
        <v>309</v>
      </c>
      <c r="B60" s="5">
        <v>10</v>
      </c>
      <c r="C60" s="5" t="s">
        <v>0</v>
      </c>
      <c r="D60" s="5">
        <v>5</v>
      </c>
      <c r="E60" s="10">
        <f>VLOOKUP($A60,observed!$C$2:$P$139,10,FALSE)</f>
        <v>122.9195802469136</v>
      </c>
      <c r="F60" s="10">
        <f>VLOOKUP($A60,observed!$C$2:$P$139,11,FALSE)</f>
        <v>1520.8041794105072</v>
      </c>
      <c r="G60" s="10">
        <f>VLOOKUP($A60,observed!$C$2:$P$139,12,FALSE)</f>
        <v>3669.4304493634772</v>
      </c>
      <c r="H60" s="10">
        <f>VLOOKUP($A60,observed!$C$2:$P$139,13,FALSE)</f>
        <v>2470.4171840513941</v>
      </c>
      <c r="I60" s="10">
        <f>VLOOKUP($A60,observed!$C$2:$P$139,14,FALSE)</f>
        <v>997.84860692770803</v>
      </c>
      <c r="J60" s="10">
        <f t="shared" si="0"/>
        <v>8781.42</v>
      </c>
      <c r="K60" s="57">
        <f>IFERROR(VLOOKUP($A60&amp;"-"&amp;TEXT($B60+19,0),md[[routeC]:[passenger_mile_EV]],9,FALSE),"")</f>
        <v>0</v>
      </c>
      <c r="L60" s="57">
        <f>IFERROR(VLOOKUP($A60&amp;"-"&amp;TEXT($B60+19,0),md[[routeC]:[passenger_mile_EV]],10,FALSE),"")</f>
        <v>0</v>
      </c>
      <c r="M60" s="57">
        <f>IFERROR(VLOOKUP($A60&amp;"-"&amp;TEXT($B60+19,0),md[[routeC]:[passenger_mile_EV]],11,FALSE),"")</f>
        <v>0</v>
      </c>
      <c r="N60" s="57">
        <f>IFERROR(VLOOKUP($A60&amp;"-"&amp;TEXT($B60+19,0),md[[routeC]:[passenger_mile_EV]],12,FALSE),"")</f>
        <v>0</v>
      </c>
      <c r="O60" s="57">
        <f>IFERROR(VLOOKUP($A60&amp;"-"&amp;TEXT($B60+19,0),md[[routeC]:[passenger_mile_EV]],13,FALSE),"")</f>
        <v>0</v>
      </c>
      <c r="P60" s="57">
        <f t="shared" si="1"/>
        <v>0</v>
      </c>
      <c r="Q60" s="224">
        <f t="shared" si="2"/>
        <v>-1</v>
      </c>
      <c r="R60" s="237">
        <f t="shared" si="3"/>
        <v>77113337.216399997</v>
      </c>
    </row>
    <row r="61" spans="1:18" x14ac:dyDescent="0.3">
      <c r="A61" s="5">
        <v>311</v>
      </c>
      <c r="B61" s="5">
        <v>10</v>
      </c>
      <c r="C61" s="5" t="s">
        <v>0</v>
      </c>
      <c r="D61" s="5">
        <v>5</v>
      </c>
      <c r="E61" s="10">
        <f>VLOOKUP($A61,observed!$C$2:$P$139,10,FALSE)</f>
        <v>19.291153846153787</v>
      </c>
      <c r="F61" s="10">
        <f>VLOOKUP($A61,observed!$C$2:$P$139,11,FALSE)</f>
        <v>648.82884615384626</v>
      </c>
      <c r="G61" s="10">
        <f>VLOOKUP($A61,observed!$C$2:$P$139,12,FALSE)</f>
        <v>445.83766666666588</v>
      </c>
      <c r="H61" s="10">
        <f>VLOOKUP($A61,observed!$C$2:$P$139,13,FALSE)</f>
        <v>154.61233333333411</v>
      </c>
      <c r="I61" s="10">
        <f>VLOOKUP($A61,observed!$C$2:$P$139,14,FALSE)</f>
        <v>0</v>
      </c>
      <c r="J61" s="10">
        <f t="shared" si="0"/>
        <v>1268.57</v>
      </c>
      <c r="K61" s="57">
        <f>IFERROR(VLOOKUP($A61&amp;"-"&amp;TEXT($B61+19,0),md[[routeC]:[passenger_mile_EV]],9,FALSE),"")</f>
        <v>0</v>
      </c>
      <c r="L61" s="57">
        <f>IFERROR(VLOOKUP($A61&amp;"-"&amp;TEXT($B61+19,0),md[[routeC]:[passenger_mile_EV]],10,FALSE),"")</f>
        <v>0</v>
      </c>
      <c r="M61" s="57">
        <f>IFERROR(VLOOKUP($A61&amp;"-"&amp;TEXT($B61+19,0),md[[routeC]:[passenger_mile_EV]],11,FALSE),"")</f>
        <v>0</v>
      </c>
      <c r="N61" s="57">
        <f>IFERROR(VLOOKUP($A61&amp;"-"&amp;TEXT($B61+19,0),md[[routeC]:[passenger_mile_EV]],12,FALSE),"")</f>
        <v>0</v>
      </c>
      <c r="O61" s="57">
        <f>IFERROR(VLOOKUP($A61&amp;"-"&amp;TEXT($B61+19,0),md[[routeC]:[passenger_mile_EV]],13,FALSE),"")</f>
        <v>0</v>
      </c>
      <c r="P61" s="57">
        <f t="shared" si="1"/>
        <v>0</v>
      </c>
      <c r="Q61" s="224">
        <f t="shared" si="2"/>
        <v>-1</v>
      </c>
      <c r="R61" s="237">
        <f t="shared" si="3"/>
        <v>1609269.8448999999</v>
      </c>
    </row>
    <row r="62" spans="1:18" x14ac:dyDescent="0.3">
      <c r="A62" s="5">
        <v>313</v>
      </c>
      <c r="B62" s="5">
        <v>10</v>
      </c>
      <c r="C62" s="5" t="s">
        <v>0</v>
      </c>
      <c r="D62" s="5">
        <v>5</v>
      </c>
      <c r="E62" s="10">
        <f>VLOOKUP($A62,observed!$C$2:$P$139,10,FALSE)</f>
        <v>16.518139534883712</v>
      </c>
      <c r="F62" s="10">
        <f>VLOOKUP($A62,observed!$C$2:$P$139,11,FALSE)</f>
        <v>295.80074935400535</v>
      </c>
      <c r="G62" s="10">
        <f>VLOOKUP($A62,observed!$C$2:$P$139,12,FALSE)</f>
        <v>633.83523418803316</v>
      </c>
      <c r="H62" s="10">
        <f>VLOOKUP($A62,observed!$C$2:$P$139,13,FALSE)</f>
        <v>236.39587692307771</v>
      </c>
      <c r="I62" s="10">
        <f>VLOOKUP($A62,observed!$C$2:$P$139,14,FALSE)</f>
        <v>30.93</v>
      </c>
      <c r="J62" s="10">
        <f t="shared" si="0"/>
        <v>1213.4799999999998</v>
      </c>
      <c r="K62" s="57">
        <f>IFERROR(VLOOKUP($A62&amp;"-"&amp;TEXT($B62+19,0),md[[routeC]:[passenger_mile_EV]],9,FALSE),"")</f>
        <v>0</v>
      </c>
      <c r="L62" s="57">
        <f>IFERROR(VLOOKUP($A62&amp;"-"&amp;TEXT($B62+19,0),md[[routeC]:[passenger_mile_EV]],10,FALSE),"")</f>
        <v>0</v>
      </c>
      <c r="M62" s="57">
        <f>IFERROR(VLOOKUP($A62&amp;"-"&amp;TEXT($B62+19,0),md[[routeC]:[passenger_mile_EV]],11,FALSE),"")</f>
        <v>0</v>
      </c>
      <c r="N62" s="57">
        <f>IFERROR(VLOOKUP($A62&amp;"-"&amp;TEXT($B62+19,0),md[[routeC]:[passenger_mile_EV]],12,FALSE),"")</f>
        <v>0</v>
      </c>
      <c r="O62" s="57">
        <f>IFERROR(VLOOKUP($A62&amp;"-"&amp;TEXT($B62+19,0),md[[routeC]:[passenger_mile_EV]],13,FALSE),"")</f>
        <v>0</v>
      </c>
      <c r="P62" s="57">
        <f t="shared" si="1"/>
        <v>0</v>
      </c>
      <c r="Q62" s="224">
        <f t="shared" si="2"/>
        <v>-1</v>
      </c>
      <c r="R62" s="237">
        <f t="shared" si="3"/>
        <v>1472533.7103999995</v>
      </c>
    </row>
    <row r="63" spans="1:18" x14ac:dyDescent="0.3">
      <c r="A63" s="5">
        <v>315</v>
      </c>
      <c r="B63" s="5">
        <v>10</v>
      </c>
      <c r="C63" s="5" t="s">
        <v>0</v>
      </c>
      <c r="D63" s="5">
        <v>5</v>
      </c>
      <c r="E63" s="10">
        <f>VLOOKUP($A63,observed!$C$2:$P$139,10,FALSE)</f>
        <v>86.896823308270683</v>
      </c>
      <c r="F63" s="10">
        <f>VLOOKUP($A63,observed!$C$2:$P$139,11,FALSE)</f>
        <v>319.27860042054289</v>
      </c>
      <c r="G63" s="10">
        <f>VLOOKUP($A63,observed!$C$2:$P$139,12,FALSE)</f>
        <v>426.13718226327165</v>
      </c>
      <c r="H63" s="10">
        <f>VLOOKUP($A63,observed!$C$2:$P$139,13,FALSE)</f>
        <v>355.32521218973363</v>
      </c>
      <c r="I63" s="10">
        <f>VLOOKUP($A63,observed!$C$2:$P$139,14,FALSE)</f>
        <v>122.60218181818126</v>
      </c>
      <c r="J63" s="10">
        <f t="shared" si="0"/>
        <v>1310.2400000000002</v>
      </c>
      <c r="K63" s="57">
        <f>IFERROR(VLOOKUP($A63&amp;"-"&amp;TEXT($B63+19,0),md[[routeC]:[passenger_mile_EV]],9,FALSE),"")</f>
        <v>0</v>
      </c>
      <c r="L63" s="57">
        <f>IFERROR(VLOOKUP($A63&amp;"-"&amp;TEXT($B63+19,0),md[[routeC]:[passenger_mile_EV]],10,FALSE),"")</f>
        <v>0</v>
      </c>
      <c r="M63" s="57">
        <f>IFERROR(VLOOKUP($A63&amp;"-"&amp;TEXT($B63+19,0),md[[routeC]:[passenger_mile_EV]],11,FALSE),"")</f>
        <v>0</v>
      </c>
      <c r="N63" s="57">
        <f>IFERROR(VLOOKUP($A63&amp;"-"&amp;TEXT($B63+19,0),md[[routeC]:[passenger_mile_EV]],12,FALSE),"")</f>
        <v>0</v>
      </c>
      <c r="O63" s="57">
        <f>IFERROR(VLOOKUP($A63&amp;"-"&amp;TEXT($B63+19,0),md[[routeC]:[passenger_mile_EV]],13,FALSE),"")</f>
        <v>0</v>
      </c>
      <c r="P63" s="57">
        <f t="shared" si="1"/>
        <v>0</v>
      </c>
      <c r="Q63" s="224">
        <f t="shared" si="2"/>
        <v>-1</v>
      </c>
      <c r="R63" s="237">
        <f t="shared" si="3"/>
        <v>1716728.8576000007</v>
      </c>
    </row>
    <row r="64" spans="1:18" x14ac:dyDescent="0.3">
      <c r="A64" s="5">
        <v>316</v>
      </c>
      <c r="B64" s="5">
        <v>10</v>
      </c>
      <c r="C64" s="5" t="s">
        <v>0</v>
      </c>
      <c r="D64" s="5">
        <v>5</v>
      </c>
      <c r="E64" s="10">
        <f>VLOOKUP($A64,observed!$C$2:$P$139,10,FALSE)</f>
        <v>2.1381250000000023</v>
      </c>
      <c r="F64" s="10">
        <f>VLOOKUP($A64,observed!$C$2:$P$139,11,FALSE)</f>
        <v>55.922986111111101</v>
      </c>
      <c r="G64" s="10">
        <f>VLOOKUP($A64,observed!$C$2:$P$139,12,FALSE)</f>
        <v>101.65944444444432</v>
      </c>
      <c r="H64" s="10">
        <f>VLOOKUP($A64,observed!$C$2:$P$139,13,FALSE)</f>
        <v>30.539444444444591</v>
      </c>
      <c r="I64" s="10">
        <f>VLOOKUP($A64,observed!$C$2:$P$139,14,FALSE)</f>
        <v>0</v>
      </c>
      <c r="J64" s="10">
        <f t="shared" si="0"/>
        <v>190.26000000000002</v>
      </c>
      <c r="K64" s="57">
        <f>IFERROR(VLOOKUP($A64&amp;"-"&amp;TEXT($B64+19,0),md[[routeC]:[passenger_mile_EV]],9,FALSE),"")</f>
        <v>0</v>
      </c>
      <c r="L64" s="57">
        <f>IFERROR(VLOOKUP($A64&amp;"-"&amp;TEXT($B64+19,0),md[[routeC]:[passenger_mile_EV]],10,FALSE),"")</f>
        <v>0</v>
      </c>
      <c r="M64" s="57">
        <f>IFERROR(VLOOKUP($A64&amp;"-"&amp;TEXT($B64+19,0),md[[routeC]:[passenger_mile_EV]],11,FALSE),"")</f>
        <v>0</v>
      </c>
      <c r="N64" s="57">
        <f>IFERROR(VLOOKUP($A64&amp;"-"&amp;TEXT($B64+19,0),md[[routeC]:[passenger_mile_EV]],12,FALSE),"")</f>
        <v>0</v>
      </c>
      <c r="O64" s="57">
        <f>IFERROR(VLOOKUP($A64&amp;"-"&amp;TEXT($B64+19,0),md[[routeC]:[passenger_mile_EV]],13,FALSE),"")</f>
        <v>0</v>
      </c>
      <c r="P64" s="57">
        <f t="shared" si="1"/>
        <v>0</v>
      </c>
      <c r="Q64" s="224">
        <f t="shared" si="2"/>
        <v>-1</v>
      </c>
      <c r="R64" s="237">
        <f t="shared" si="3"/>
        <v>36198.867600000005</v>
      </c>
    </row>
    <row r="65" spans="1:18" x14ac:dyDescent="0.3">
      <c r="A65" s="5">
        <v>318</v>
      </c>
      <c r="B65" s="5">
        <v>10</v>
      </c>
      <c r="C65" s="5" t="s">
        <v>0</v>
      </c>
      <c r="D65" s="5">
        <v>5</v>
      </c>
      <c r="E65" s="10">
        <f>VLOOKUP($A65,observed!$C$2:$P$139,10,FALSE)</f>
        <v>116.77000000000001</v>
      </c>
      <c r="F65" s="10">
        <f>VLOOKUP($A65,observed!$C$2:$P$139,11,FALSE)</f>
        <v>528.70596632996626</v>
      </c>
      <c r="G65" s="10">
        <f>VLOOKUP($A65,observed!$C$2:$P$139,12,FALSE)</f>
        <v>1122.884033670033</v>
      </c>
      <c r="H65" s="10">
        <f>VLOOKUP($A65,observed!$C$2:$P$139,13,FALSE)</f>
        <v>601.18000000000086</v>
      </c>
      <c r="I65" s="10">
        <f>VLOOKUP($A65,observed!$C$2:$P$139,14,FALSE)</f>
        <v>100.52000000000001</v>
      </c>
      <c r="J65" s="10">
        <f t="shared" si="0"/>
        <v>2470.06</v>
      </c>
      <c r="K65" s="57">
        <f>IFERROR(VLOOKUP($A65&amp;"-"&amp;TEXT($B65+19,0),md[[routeC]:[passenger_mile_EV]],9,FALSE),"")</f>
        <v>0</v>
      </c>
      <c r="L65" s="57">
        <f>IFERROR(VLOOKUP($A65&amp;"-"&amp;TEXT($B65+19,0),md[[routeC]:[passenger_mile_EV]],10,FALSE),"")</f>
        <v>0</v>
      </c>
      <c r="M65" s="57">
        <f>IFERROR(VLOOKUP($A65&amp;"-"&amp;TEXT($B65+19,0),md[[routeC]:[passenger_mile_EV]],11,FALSE),"")</f>
        <v>0</v>
      </c>
      <c r="N65" s="57">
        <f>IFERROR(VLOOKUP($A65&amp;"-"&amp;TEXT($B65+19,0),md[[routeC]:[passenger_mile_EV]],12,FALSE),"")</f>
        <v>0</v>
      </c>
      <c r="O65" s="57">
        <f>IFERROR(VLOOKUP($A65&amp;"-"&amp;TEXT($B65+19,0),md[[routeC]:[passenger_mile_EV]],13,FALSE),"")</f>
        <v>0</v>
      </c>
      <c r="P65" s="57">
        <f t="shared" si="1"/>
        <v>0</v>
      </c>
      <c r="Q65" s="224">
        <f t="shared" si="2"/>
        <v>-1</v>
      </c>
      <c r="R65" s="237">
        <f t="shared" si="3"/>
        <v>6101196.4035999998</v>
      </c>
    </row>
    <row r="66" spans="1:18" x14ac:dyDescent="0.3">
      <c r="A66" s="5">
        <v>323</v>
      </c>
      <c r="B66" s="5">
        <v>10</v>
      </c>
      <c r="C66" s="5" t="s">
        <v>0</v>
      </c>
      <c r="D66" s="5">
        <v>5</v>
      </c>
      <c r="E66" s="10">
        <f>VLOOKUP($A66,observed!$C$2:$P$139,10,FALSE)</f>
        <v>7.4523529411764748</v>
      </c>
      <c r="F66" s="10">
        <f>VLOOKUP($A66,observed!$C$2:$P$139,11,FALSE)</f>
        <v>221.53154949784789</v>
      </c>
      <c r="G66" s="10">
        <f>VLOOKUP($A66,observed!$C$2:$P$139,12,FALSE)</f>
        <v>240.89200665188372</v>
      </c>
      <c r="H66" s="10">
        <f>VLOOKUP($A66,observed!$C$2:$P$139,13,FALSE)</f>
        <v>58.544090909091892</v>
      </c>
      <c r="I66" s="10">
        <f>VLOOKUP($A66,observed!$C$2:$P$139,14,FALSE)</f>
        <v>0</v>
      </c>
      <c r="J66" s="10">
        <f t="shared" si="0"/>
        <v>528.41999999999996</v>
      </c>
      <c r="K66" s="57">
        <f>IFERROR(VLOOKUP($A66&amp;"-"&amp;TEXT($B66+19,0),md[[routeC]:[passenger_mile_EV]],9,FALSE),"")</f>
        <v>0</v>
      </c>
      <c r="L66" s="57">
        <f>IFERROR(VLOOKUP($A66&amp;"-"&amp;TEXT($B66+19,0),md[[routeC]:[passenger_mile_EV]],10,FALSE),"")</f>
        <v>0</v>
      </c>
      <c r="M66" s="57">
        <f>IFERROR(VLOOKUP($A66&amp;"-"&amp;TEXT($B66+19,0),md[[routeC]:[passenger_mile_EV]],11,FALSE),"")</f>
        <v>0</v>
      </c>
      <c r="N66" s="57">
        <f>IFERROR(VLOOKUP($A66&amp;"-"&amp;TEXT($B66+19,0),md[[routeC]:[passenger_mile_EV]],12,FALSE),"")</f>
        <v>0</v>
      </c>
      <c r="O66" s="57">
        <f>IFERROR(VLOOKUP($A66&amp;"-"&amp;TEXT($B66+19,0),md[[routeC]:[passenger_mile_EV]],13,FALSE),"")</f>
        <v>0</v>
      </c>
      <c r="P66" s="57">
        <f t="shared" si="1"/>
        <v>0</v>
      </c>
      <c r="Q66" s="224">
        <f t="shared" si="2"/>
        <v>-1</v>
      </c>
      <c r="R66" s="237">
        <f t="shared" si="3"/>
        <v>279227.69639999996</v>
      </c>
    </row>
    <row r="67" spans="1:18" x14ac:dyDescent="0.3">
      <c r="A67" s="5">
        <v>325</v>
      </c>
      <c r="B67" s="5">
        <v>10</v>
      </c>
      <c r="C67" s="5" t="s">
        <v>0</v>
      </c>
      <c r="D67" s="5">
        <v>5</v>
      </c>
      <c r="E67" s="10">
        <f>VLOOKUP($A67,observed!$C$2:$P$139,10,FALSE)</f>
        <v>32.690599033816433</v>
      </c>
      <c r="F67" s="10">
        <f>VLOOKUP($A67,observed!$C$2:$P$139,11,FALSE)</f>
        <v>330.9437597035585</v>
      </c>
      <c r="G67" s="10">
        <f>VLOOKUP($A67,observed!$C$2:$P$139,12,FALSE)</f>
        <v>1071.7391379597216</v>
      </c>
      <c r="H67" s="10">
        <f>VLOOKUP($A67,observed!$C$2:$P$139,13,FALSE)</f>
        <v>519.15803335754879</v>
      </c>
      <c r="I67" s="10">
        <f>VLOOKUP($A67,observed!$C$2:$P$139,14,FALSE)</f>
        <v>104.81846994535454</v>
      </c>
      <c r="J67" s="10">
        <f t="shared" si="0"/>
        <v>2059.35</v>
      </c>
      <c r="K67" s="57">
        <f>IFERROR(VLOOKUP($A67&amp;"-"&amp;TEXT($B67+19,0),md[[routeC]:[passenger_mile_EV]],9,FALSE),"")</f>
        <v>0</v>
      </c>
      <c r="L67" s="57">
        <f>IFERROR(VLOOKUP($A67&amp;"-"&amp;TEXT($B67+19,0),md[[routeC]:[passenger_mile_EV]],10,FALSE),"")</f>
        <v>0</v>
      </c>
      <c r="M67" s="57">
        <f>IFERROR(VLOOKUP($A67&amp;"-"&amp;TEXT($B67+19,0),md[[routeC]:[passenger_mile_EV]],11,FALSE),"")</f>
        <v>0</v>
      </c>
      <c r="N67" s="57">
        <f>IFERROR(VLOOKUP($A67&amp;"-"&amp;TEXT($B67+19,0),md[[routeC]:[passenger_mile_EV]],12,FALSE),"")</f>
        <v>0</v>
      </c>
      <c r="O67" s="57">
        <f>IFERROR(VLOOKUP($A67&amp;"-"&amp;TEXT($B67+19,0),md[[routeC]:[passenger_mile_EV]],13,FALSE),"")</f>
        <v>0</v>
      </c>
      <c r="P67" s="57">
        <f t="shared" si="1"/>
        <v>0</v>
      </c>
      <c r="Q67" s="224">
        <f t="shared" si="2"/>
        <v>-1</v>
      </c>
      <c r="R67" s="237">
        <f t="shared" si="3"/>
        <v>4240922.4224999994</v>
      </c>
    </row>
    <row r="68" spans="1:18" x14ac:dyDescent="0.3">
      <c r="A68" s="5">
        <v>332</v>
      </c>
      <c r="B68" s="5">
        <v>10</v>
      </c>
      <c r="C68" s="5" t="s">
        <v>0</v>
      </c>
      <c r="D68" s="5">
        <v>5</v>
      </c>
      <c r="E68" s="10">
        <f>VLOOKUP($A68,observed!$C$2:$P$139,10,FALSE)</f>
        <v>202.09263678312456</v>
      </c>
      <c r="F68" s="10">
        <f>VLOOKUP($A68,observed!$C$2:$P$139,11,FALSE)</f>
        <v>1086.3304767434456</v>
      </c>
      <c r="G68" s="10">
        <f>VLOOKUP($A68,observed!$C$2:$P$139,12,FALSE)</f>
        <v>1882.1285819969203</v>
      </c>
      <c r="H68" s="10">
        <f>VLOOKUP($A68,observed!$C$2:$P$139,13,FALSE)</f>
        <v>1145.1412313057788</v>
      </c>
      <c r="I68" s="10">
        <f>VLOOKUP($A68,observed!$C$2:$P$139,14,FALSE)</f>
        <v>155.08707317073143</v>
      </c>
      <c r="J68" s="10">
        <f t="shared" ref="J68:J131" si="11">SUM(E68:I68)</f>
        <v>4470.7800000000016</v>
      </c>
      <c r="K68" s="57">
        <f>IFERROR(VLOOKUP($A68&amp;"-"&amp;TEXT($B68+19,0),md[[routeC]:[passenger_mile_EV]],9,FALSE),"")</f>
        <v>0</v>
      </c>
      <c r="L68" s="57">
        <f>IFERROR(VLOOKUP($A68&amp;"-"&amp;TEXT($B68+19,0),md[[routeC]:[passenger_mile_EV]],10,FALSE),"")</f>
        <v>0</v>
      </c>
      <c r="M68" s="57">
        <f>IFERROR(VLOOKUP($A68&amp;"-"&amp;TEXT($B68+19,0),md[[routeC]:[passenger_mile_EV]],11,FALSE),"")</f>
        <v>0</v>
      </c>
      <c r="N68" s="57">
        <f>IFERROR(VLOOKUP($A68&amp;"-"&amp;TEXT($B68+19,0),md[[routeC]:[passenger_mile_EV]],12,FALSE),"")</f>
        <v>0</v>
      </c>
      <c r="O68" s="57">
        <f>IFERROR(VLOOKUP($A68&amp;"-"&amp;TEXT($B68+19,0),md[[routeC]:[passenger_mile_EV]],13,FALSE),"")</f>
        <v>0</v>
      </c>
      <c r="P68" s="57">
        <f t="shared" si="1"/>
        <v>0</v>
      </c>
      <c r="Q68" s="224">
        <f t="shared" si="2"/>
        <v>-1</v>
      </c>
      <c r="R68" s="237">
        <f t="shared" si="3"/>
        <v>19987873.808400013</v>
      </c>
    </row>
    <row r="69" spans="1:18" x14ac:dyDescent="0.3">
      <c r="A69" s="5">
        <v>334</v>
      </c>
      <c r="B69" s="5">
        <v>10</v>
      </c>
      <c r="C69" s="5" t="s">
        <v>0</v>
      </c>
      <c r="D69" s="5">
        <v>5</v>
      </c>
      <c r="E69" s="10">
        <f>VLOOKUP($A69,observed!$C$2:$P$139,10,FALSE)</f>
        <v>12.25</v>
      </c>
      <c r="F69" s="10">
        <f>VLOOKUP($A69,observed!$C$2:$P$139,11,FALSE)</f>
        <v>69.011153846153832</v>
      </c>
      <c r="G69" s="10">
        <f>VLOOKUP($A69,observed!$C$2:$P$139,12,FALSE)</f>
        <v>155.76603365384599</v>
      </c>
      <c r="H69" s="10">
        <f>VLOOKUP($A69,observed!$C$2:$P$139,13,FALSE)</f>
        <v>67.950590277778062</v>
      </c>
      <c r="I69" s="10">
        <f>VLOOKUP($A69,observed!$C$2:$P$139,14,FALSE)</f>
        <v>10.082222222222086</v>
      </c>
      <c r="J69" s="10">
        <f t="shared" si="11"/>
        <v>315.05999999999995</v>
      </c>
      <c r="K69" s="57">
        <f>IFERROR(VLOOKUP($A69&amp;"-"&amp;TEXT($B69+19,0),md[[routeC]:[passenger_mile_EV]],9,FALSE),"")</f>
        <v>0</v>
      </c>
      <c r="L69" s="57">
        <f>IFERROR(VLOOKUP($A69&amp;"-"&amp;TEXT($B69+19,0),md[[routeC]:[passenger_mile_EV]],10,FALSE),"")</f>
        <v>0</v>
      </c>
      <c r="M69" s="57">
        <f>IFERROR(VLOOKUP($A69&amp;"-"&amp;TEXT($B69+19,0),md[[routeC]:[passenger_mile_EV]],11,FALSE),"")</f>
        <v>0</v>
      </c>
      <c r="N69" s="57">
        <f>IFERROR(VLOOKUP($A69&amp;"-"&amp;TEXT($B69+19,0),md[[routeC]:[passenger_mile_EV]],12,FALSE),"")</f>
        <v>0</v>
      </c>
      <c r="O69" s="57">
        <f>IFERROR(VLOOKUP($A69&amp;"-"&amp;TEXT($B69+19,0),md[[routeC]:[passenger_mile_EV]],13,FALSE),"")</f>
        <v>0</v>
      </c>
      <c r="P69" s="57">
        <f t="shared" ref="P69:P132" si="12">SUM(K69:O69)</f>
        <v>0</v>
      </c>
      <c r="Q69" s="224">
        <f t="shared" ref="Q69:Q132" si="13">P69/J69-1</f>
        <v>-1</v>
      </c>
      <c r="R69" s="237">
        <f t="shared" ref="R69:R132" si="14">POWER((P69-J69),2)</f>
        <v>99262.80359999997</v>
      </c>
    </row>
    <row r="70" spans="1:18" x14ac:dyDescent="0.3">
      <c r="A70" s="5">
        <v>335</v>
      </c>
      <c r="B70" s="5">
        <v>10</v>
      </c>
      <c r="C70" s="5" t="s">
        <v>0</v>
      </c>
      <c r="D70" s="5">
        <v>5</v>
      </c>
      <c r="E70" s="10">
        <f>VLOOKUP($A70,observed!$C$2:$P$139,10,FALSE)</f>
        <v>2.7882352941176447</v>
      </c>
      <c r="F70" s="10">
        <f>VLOOKUP($A70,observed!$C$2:$P$139,11,FALSE)</f>
        <v>60.22176470588235</v>
      </c>
      <c r="G70" s="10">
        <f>VLOOKUP($A70,observed!$C$2:$P$139,12,FALSE)</f>
        <v>14.130769230769022</v>
      </c>
      <c r="H70" s="10">
        <f>VLOOKUP($A70,observed!$C$2:$P$139,13,FALSE)</f>
        <v>66.169230769230978</v>
      </c>
      <c r="I70" s="10">
        <f>VLOOKUP($A70,observed!$C$2:$P$139,14,FALSE)</f>
        <v>0</v>
      </c>
      <c r="J70" s="10">
        <f t="shared" si="11"/>
        <v>143.31</v>
      </c>
      <c r="K70" s="57">
        <f>IFERROR(VLOOKUP($A70&amp;"-"&amp;TEXT($B70+19,0),md[[routeC]:[passenger_mile_EV]],9,FALSE),"")</f>
        <v>0</v>
      </c>
      <c r="L70" s="57">
        <f>IFERROR(VLOOKUP($A70&amp;"-"&amp;TEXT($B70+19,0),md[[routeC]:[passenger_mile_EV]],10,FALSE),"")</f>
        <v>0</v>
      </c>
      <c r="M70" s="57">
        <f>IFERROR(VLOOKUP($A70&amp;"-"&amp;TEXT($B70+19,0),md[[routeC]:[passenger_mile_EV]],11,FALSE),"")</f>
        <v>0</v>
      </c>
      <c r="N70" s="57">
        <f>IFERROR(VLOOKUP($A70&amp;"-"&amp;TEXT($B70+19,0),md[[routeC]:[passenger_mile_EV]],12,FALSE),"")</f>
        <v>0</v>
      </c>
      <c r="O70" s="57">
        <f>IFERROR(VLOOKUP($A70&amp;"-"&amp;TEXT($B70+19,0),md[[routeC]:[passenger_mile_EV]],13,FALSE),"")</f>
        <v>0</v>
      </c>
      <c r="P70" s="57">
        <f t="shared" si="12"/>
        <v>0</v>
      </c>
      <c r="Q70" s="224">
        <f t="shared" si="13"/>
        <v>-1</v>
      </c>
      <c r="R70" s="237">
        <f t="shared" si="14"/>
        <v>20537.756100000002</v>
      </c>
    </row>
    <row r="71" spans="1:18" x14ac:dyDescent="0.3">
      <c r="A71" s="5">
        <v>347</v>
      </c>
      <c r="B71" s="5">
        <v>10</v>
      </c>
      <c r="C71" s="5" t="s">
        <v>0</v>
      </c>
      <c r="D71" s="5">
        <v>5</v>
      </c>
      <c r="E71" s="10">
        <f>VLOOKUP($A71,observed!$C$2:$P$139,10,FALSE)</f>
        <v>4.7613636363636385</v>
      </c>
      <c r="F71" s="10">
        <f>VLOOKUP($A71,observed!$C$2:$P$139,11,FALSE)</f>
        <v>124.26689723320159</v>
      </c>
      <c r="G71" s="10">
        <f>VLOOKUP($A71,observed!$C$2:$P$139,12,FALSE)</f>
        <v>395.91132246376765</v>
      </c>
      <c r="H71" s="10">
        <f>VLOOKUP($A71,observed!$C$2:$P$139,13,FALSE)</f>
        <v>124.35146739130491</v>
      </c>
      <c r="I71" s="10">
        <f>VLOOKUP($A71,observed!$C$2:$P$139,14,FALSE)</f>
        <v>7.1189492753622208</v>
      </c>
      <c r="J71" s="10">
        <f t="shared" si="11"/>
        <v>656.41</v>
      </c>
      <c r="K71" s="57">
        <f>IFERROR(VLOOKUP($A71&amp;"-"&amp;TEXT($B71+19,0),md[[routeC]:[passenger_mile_EV]],9,FALSE),"")</f>
        <v>0</v>
      </c>
      <c r="L71" s="57">
        <f>IFERROR(VLOOKUP($A71&amp;"-"&amp;TEXT($B71+19,0),md[[routeC]:[passenger_mile_EV]],10,FALSE),"")</f>
        <v>0</v>
      </c>
      <c r="M71" s="57">
        <f>IFERROR(VLOOKUP($A71&amp;"-"&amp;TEXT($B71+19,0),md[[routeC]:[passenger_mile_EV]],11,FALSE),"")</f>
        <v>0</v>
      </c>
      <c r="N71" s="57">
        <f>IFERROR(VLOOKUP($A71&amp;"-"&amp;TEXT($B71+19,0),md[[routeC]:[passenger_mile_EV]],12,FALSE),"")</f>
        <v>0</v>
      </c>
      <c r="O71" s="57">
        <f>IFERROR(VLOOKUP($A71&amp;"-"&amp;TEXT($B71+19,0),md[[routeC]:[passenger_mile_EV]],13,FALSE),"")</f>
        <v>0</v>
      </c>
      <c r="P71" s="57">
        <f t="shared" si="12"/>
        <v>0</v>
      </c>
      <c r="Q71" s="224">
        <f t="shared" si="13"/>
        <v>-1</v>
      </c>
      <c r="R71" s="237">
        <f t="shared" si="14"/>
        <v>430874.08809999994</v>
      </c>
    </row>
    <row r="72" spans="1:18" x14ac:dyDescent="0.3">
      <c r="A72" s="5">
        <v>351</v>
      </c>
      <c r="B72" s="5">
        <v>10</v>
      </c>
      <c r="C72" s="5" t="s">
        <v>0</v>
      </c>
      <c r="D72" s="5">
        <v>5</v>
      </c>
      <c r="E72" s="10">
        <f>VLOOKUP($A72,observed!$C$2:$P$139,10,FALSE)</f>
        <v>71.057241379310355</v>
      </c>
      <c r="F72" s="10">
        <f>VLOOKUP($A72,observed!$C$2:$P$139,11,FALSE)</f>
        <v>422.49669801462903</v>
      </c>
      <c r="G72" s="10">
        <f>VLOOKUP($A72,observed!$C$2:$P$139,12,FALSE)</f>
        <v>865.07063203463099</v>
      </c>
      <c r="H72" s="10">
        <f>VLOOKUP($A72,observed!$C$2:$P$139,13,FALSE)</f>
        <v>441.9163376623394</v>
      </c>
      <c r="I72" s="10">
        <f>VLOOKUP($A72,observed!$C$2:$P$139,14,FALSE)</f>
        <v>222.08909090909015</v>
      </c>
      <c r="J72" s="10">
        <f t="shared" si="11"/>
        <v>2022.6299999999999</v>
      </c>
      <c r="K72" s="57">
        <f>IFERROR(VLOOKUP($A72&amp;"-"&amp;TEXT($B72+19,0),md[[routeC]:[passenger_mile_EV]],9,FALSE),"")</f>
        <v>0</v>
      </c>
      <c r="L72" s="57">
        <f>IFERROR(VLOOKUP($A72&amp;"-"&amp;TEXT($B72+19,0),md[[routeC]:[passenger_mile_EV]],10,FALSE),"")</f>
        <v>0</v>
      </c>
      <c r="M72" s="57">
        <f>IFERROR(VLOOKUP($A72&amp;"-"&amp;TEXT($B72+19,0),md[[routeC]:[passenger_mile_EV]],11,FALSE),"")</f>
        <v>0</v>
      </c>
      <c r="N72" s="57">
        <f>IFERROR(VLOOKUP($A72&amp;"-"&amp;TEXT($B72+19,0),md[[routeC]:[passenger_mile_EV]],12,FALSE),"")</f>
        <v>0</v>
      </c>
      <c r="O72" s="57">
        <f>IFERROR(VLOOKUP($A72&amp;"-"&amp;TEXT($B72+19,0),md[[routeC]:[passenger_mile_EV]],13,FALSE),"")</f>
        <v>0</v>
      </c>
      <c r="P72" s="57">
        <f t="shared" si="12"/>
        <v>0</v>
      </c>
      <c r="Q72" s="224">
        <f t="shared" si="13"/>
        <v>-1</v>
      </c>
      <c r="R72" s="237">
        <f t="shared" si="14"/>
        <v>4091032.1168999993</v>
      </c>
    </row>
    <row r="73" spans="1:18" x14ac:dyDescent="0.3">
      <c r="A73" s="5">
        <v>352</v>
      </c>
      <c r="B73" s="5">
        <v>10</v>
      </c>
      <c r="C73" s="5" t="s">
        <v>0</v>
      </c>
      <c r="D73" s="5">
        <v>5</v>
      </c>
      <c r="E73" s="10">
        <f>VLOOKUP($A73,observed!$C$2:$P$139,10,FALSE)</f>
        <v>73.22799999999998</v>
      </c>
      <c r="F73" s="10">
        <f>VLOOKUP($A73,observed!$C$2:$P$139,11,FALSE)</f>
        <v>403.11229411764708</v>
      </c>
      <c r="G73" s="10">
        <f>VLOOKUP($A73,observed!$C$2:$P$139,12,FALSE)</f>
        <v>949.13856302520969</v>
      </c>
      <c r="H73" s="10">
        <f>VLOOKUP($A73,observed!$C$2:$P$139,13,FALSE)</f>
        <v>497.40761344537918</v>
      </c>
      <c r="I73" s="10">
        <f>VLOOKUP($A73,observed!$C$2:$P$139,14,FALSE)</f>
        <v>127.94352941176417</v>
      </c>
      <c r="J73" s="10">
        <f t="shared" si="11"/>
        <v>2050.83</v>
      </c>
      <c r="K73" s="57">
        <f>IFERROR(VLOOKUP($A73&amp;"-"&amp;TEXT($B73+19,0),md[[routeC]:[passenger_mile_EV]],9,FALSE),"")</f>
        <v>0</v>
      </c>
      <c r="L73" s="57">
        <f>IFERROR(VLOOKUP($A73&amp;"-"&amp;TEXT($B73+19,0),md[[routeC]:[passenger_mile_EV]],10,FALSE),"")</f>
        <v>0</v>
      </c>
      <c r="M73" s="57">
        <f>IFERROR(VLOOKUP($A73&amp;"-"&amp;TEXT($B73+19,0),md[[routeC]:[passenger_mile_EV]],11,FALSE),"")</f>
        <v>0</v>
      </c>
      <c r="N73" s="57">
        <f>IFERROR(VLOOKUP($A73&amp;"-"&amp;TEXT($B73+19,0),md[[routeC]:[passenger_mile_EV]],12,FALSE),"")</f>
        <v>0</v>
      </c>
      <c r="O73" s="57">
        <f>IFERROR(VLOOKUP($A73&amp;"-"&amp;TEXT($B73+19,0),md[[routeC]:[passenger_mile_EV]],13,FALSE),"")</f>
        <v>0</v>
      </c>
      <c r="P73" s="57">
        <f t="shared" si="12"/>
        <v>0</v>
      </c>
      <c r="Q73" s="224">
        <f t="shared" si="13"/>
        <v>-1</v>
      </c>
      <c r="R73" s="237">
        <f t="shared" si="14"/>
        <v>4205903.6888999995</v>
      </c>
    </row>
    <row r="74" spans="1:18" x14ac:dyDescent="0.3">
      <c r="A74" s="5">
        <v>353</v>
      </c>
      <c r="B74" s="5">
        <v>10</v>
      </c>
      <c r="C74" s="5" t="s">
        <v>0</v>
      </c>
      <c r="D74" s="5">
        <v>5</v>
      </c>
      <c r="E74" s="10">
        <f>VLOOKUP($A74,observed!$C$2:$P$139,10,FALSE)</f>
        <v>18.09884615384615</v>
      </c>
      <c r="F74" s="10">
        <f>VLOOKUP($A74,observed!$C$2:$P$139,11,FALSE)</f>
        <v>144.74722527472528</v>
      </c>
      <c r="G74" s="10">
        <f>VLOOKUP($A74,observed!$C$2:$P$139,12,FALSE)</f>
        <v>360.60984668557188</v>
      </c>
      <c r="H74" s="10">
        <f>VLOOKUP($A74,observed!$C$2:$P$139,13,FALSE)</f>
        <v>152.70741521919015</v>
      </c>
      <c r="I74" s="10">
        <f>VLOOKUP($A74,observed!$C$2:$P$139,14,FALSE)</f>
        <v>38.046666666666567</v>
      </c>
      <c r="J74" s="10">
        <f t="shared" si="11"/>
        <v>714.21</v>
      </c>
      <c r="K74" s="57">
        <f>IFERROR(VLOOKUP($A74&amp;"-"&amp;TEXT($B74+19,0),md[[routeC]:[passenger_mile_EV]],9,FALSE),"")</f>
        <v>0</v>
      </c>
      <c r="L74" s="57">
        <f>IFERROR(VLOOKUP($A74&amp;"-"&amp;TEXT($B74+19,0),md[[routeC]:[passenger_mile_EV]],10,FALSE),"")</f>
        <v>0</v>
      </c>
      <c r="M74" s="57">
        <f>IFERROR(VLOOKUP($A74&amp;"-"&amp;TEXT($B74+19,0),md[[routeC]:[passenger_mile_EV]],11,FALSE),"")</f>
        <v>0</v>
      </c>
      <c r="N74" s="57">
        <f>IFERROR(VLOOKUP($A74&amp;"-"&amp;TEXT($B74+19,0),md[[routeC]:[passenger_mile_EV]],12,FALSE),"")</f>
        <v>0</v>
      </c>
      <c r="O74" s="57">
        <f>IFERROR(VLOOKUP($A74&amp;"-"&amp;TEXT($B74+19,0),md[[routeC]:[passenger_mile_EV]],13,FALSE),"")</f>
        <v>0</v>
      </c>
      <c r="P74" s="57">
        <f t="shared" si="12"/>
        <v>0</v>
      </c>
      <c r="Q74" s="224">
        <f t="shared" si="13"/>
        <v>-1</v>
      </c>
      <c r="R74" s="237">
        <f t="shared" si="14"/>
        <v>510095.92410000006</v>
      </c>
    </row>
    <row r="75" spans="1:18" x14ac:dyDescent="0.3">
      <c r="A75" s="5">
        <v>354</v>
      </c>
      <c r="B75" s="5">
        <v>10</v>
      </c>
      <c r="C75" s="5" t="s">
        <v>0</v>
      </c>
      <c r="D75" s="5">
        <v>5</v>
      </c>
      <c r="E75" s="10">
        <f>VLOOKUP($A75,observed!$C$2:$P$139,10,FALSE)</f>
        <v>27.125199999999985</v>
      </c>
      <c r="F75" s="10">
        <f>VLOOKUP($A75,observed!$C$2:$P$139,11,FALSE)</f>
        <v>454.2288740740741</v>
      </c>
      <c r="G75" s="10">
        <f>VLOOKUP($A75,observed!$C$2:$P$139,12,FALSE)</f>
        <v>739.55728495229403</v>
      </c>
      <c r="H75" s="10">
        <f>VLOOKUP($A75,observed!$C$2:$P$139,13,FALSE)</f>
        <v>405.87479481978585</v>
      </c>
      <c r="I75" s="10">
        <f>VLOOKUP($A75,observed!$C$2:$P$139,14,FALSE)</f>
        <v>64.613846153846055</v>
      </c>
      <c r="J75" s="10">
        <f t="shared" si="11"/>
        <v>1691.4</v>
      </c>
      <c r="K75" s="57">
        <f>IFERROR(VLOOKUP($A75&amp;"-"&amp;TEXT($B75+19,0),md[[routeC]:[passenger_mile_EV]],9,FALSE),"")</f>
        <v>0</v>
      </c>
      <c r="L75" s="57">
        <f>IFERROR(VLOOKUP($A75&amp;"-"&amp;TEXT($B75+19,0),md[[routeC]:[passenger_mile_EV]],10,FALSE),"")</f>
        <v>0</v>
      </c>
      <c r="M75" s="57">
        <f>IFERROR(VLOOKUP($A75&amp;"-"&amp;TEXT($B75+19,0),md[[routeC]:[passenger_mile_EV]],11,FALSE),"")</f>
        <v>0</v>
      </c>
      <c r="N75" s="57">
        <f>IFERROR(VLOOKUP($A75&amp;"-"&amp;TEXT($B75+19,0),md[[routeC]:[passenger_mile_EV]],12,FALSE),"")</f>
        <v>0</v>
      </c>
      <c r="O75" s="57">
        <f>IFERROR(VLOOKUP($A75&amp;"-"&amp;TEXT($B75+19,0),md[[routeC]:[passenger_mile_EV]],13,FALSE),"")</f>
        <v>0</v>
      </c>
      <c r="P75" s="57">
        <f t="shared" si="12"/>
        <v>0</v>
      </c>
      <c r="Q75" s="224">
        <f t="shared" si="13"/>
        <v>-1</v>
      </c>
      <c r="R75" s="237">
        <f t="shared" si="14"/>
        <v>2860833.9600000004</v>
      </c>
    </row>
    <row r="76" spans="1:18" x14ac:dyDescent="0.3">
      <c r="A76" s="5">
        <v>355</v>
      </c>
      <c r="B76" s="5">
        <v>10</v>
      </c>
      <c r="C76" s="5" t="s">
        <v>0</v>
      </c>
      <c r="D76" s="5">
        <v>5</v>
      </c>
      <c r="E76" s="10">
        <f>VLOOKUP($A76,observed!$C$2:$P$139,10,FALSE)</f>
        <v>0</v>
      </c>
      <c r="F76" s="10">
        <f>VLOOKUP($A76,observed!$C$2:$P$139,11,FALSE)</f>
        <v>168.73844444444444</v>
      </c>
      <c r="G76" s="10">
        <f>VLOOKUP($A76,observed!$C$2:$P$139,12,FALSE)</f>
        <v>390.15114739228966</v>
      </c>
      <c r="H76" s="10">
        <f>VLOOKUP($A76,observed!$C$2:$P$139,13,FALSE)</f>
        <v>192.04040816326585</v>
      </c>
      <c r="I76" s="10">
        <f>VLOOKUP($A76,observed!$C$2:$P$139,14,FALSE)</f>
        <v>69.06</v>
      </c>
      <c r="J76" s="10">
        <f t="shared" si="11"/>
        <v>819.99</v>
      </c>
      <c r="K76" s="57">
        <f>IFERROR(VLOOKUP($A76&amp;"-"&amp;TEXT($B76+19,0),md[[routeC]:[passenger_mile_EV]],9,FALSE),"")</f>
        <v>0</v>
      </c>
      <c r="L76" s="57">
        <f>IFERROR(VLOOKUP($A76&amp;"-"&amp;TEXT($B76+19,0),md[[routeC]:[passenger_mile_EV]],10,FALSE),"")</f>
        <v>0</v>
      </c>
      <c r="M76" s="57">
        <f>IFERROR(VLOOKUP($A76&amp;"-"&amp;TEXT($B76+19,0),md[[routeC]:[passenger_mile_EV]],11,FALSE),"")</f>
        <v>0</v>
      </c>
      <c r="N76" s="57">
        <f>IFERROR(VLOOKUP($A76&amp;"-"&amp;TEXT($B76+19,0),md[[routeC]:[passenger_mile_EV]],12,FALSE),"")</f>
        <v>0</v>
      </c>
      <c r="O76" s="57">
        <f>IFERROR(VLOOKUP($A76&amp;"-"&amp;TEXT($B76+19,0),md[[routeC]:[passenger_mile_EV]],13,FALSE),"")</f>
        <v>0</v>
      </c>
      <c r="P76" s="57">
        <f t="shared" si="12"/>
        <v>0</v>
      </c>
      <c r="Q76" s="224">
        <f t="shared" si="13"/>
        <v>-1</v>
      </c>
      <c r="R76" s="237">
        <f t="shared" si="14"/>
        <v>672383.60010000004</v>
      </c>
    </row>
    <row r="77" spans="1:18" x14ac:dyDescent="0.3">
      <c r="A77" s="5">
        <v>356</v>
      </c>
      <c r="B77" s="5">
        <v>10</v>
      </c>
      <c r="C77" s="5" t="s">
        <v>0</v>
      </c>
      <c r="D77" s="5">
        <v>5</v>
      </c>
      <c r="E77" s="10">
        <f>VLOOKUP($A77,observed!$C$2:$P$139,10,FALSE)</f>
        <v>27.060000000000002</v>
      </c>
      <c r="F77" s="10">
        <f>VLOOKUP($A77,observed!$C$2:$P$139,11,FALSE)</f>
        <v>147.80999999999997</v>
      </c>
      <c r="G77" s="10">
        <f>VLOOKUP($A77,observed!$C$2:$P$139,12,FALSE)</f>
        <v>428.91</v>
      </c>
      <c r="H77" s="10">
        <f>VLOOKUP($A77,observed!$C$2:$P$139,13,FALSE)</f>
        <v>199.20000000000002</v>
      </c>
      <c r="I77" s="10">
        <f>VLOOKUP($A77,observed!$C$2:$P$139,14,FALSE)</f>
        <v>89.28</v>
      </c>
      <c r="J77" s="10">
        <f t="shared" si="11"/>
        <v>892.26</v>
      </c>
      <c r="K77" s="57">
        <f>IFERROR(VLOOKUP($A77&amp;"-"&amp;TEXT($B77+19,0),md[[routeC]:[passenger_mile_EV]],9,FALSE),"")</f>
        <v>0</v>
      </c>
      <c r="L77" s="57">
        <f>IFERROR(VLOOKUP($A77&amp;"-"&amp;TEXT($B77+19,0),md[[routeC]:[passenger_mile_EV]],10,FALSE),"")</f>
        <v>0</v>
      </c>
      <c r="M77" s="57">
        <f>IFERROR(VLOOKUP($A77&amp;"-"&amp;TEXT($B77+19,0),md[[routeC]:[passenger_mile_EV]],11,FALSE),"")</f>
        <v>0</v>
      </c>
      <c r="N77" s="57">
        <f>IFERROR(VLOOKUP($A77&amp;"-"&amp;TEXT($B77+19,0),md[[routeC]:[passenger_mile_EV]],12,FALSE),"")</f>
        <v>0</v>
      </c>
      <c r="O77" s="57">
        <f>IFERROR(VLOOKUP($A77&amp;"-"&amp;TEXT($B77+19,0),md[[routeC]:[passenger_mile_EV]],13,FALSE),"")</f>
        <v>0</v>
      </c>
      <c r="P77" s="57">
        <f t="shared" si="12"/>
        <v>0</v>
      </c>
      <c r="Q77" s="224">
        <f t="shared" si="13"/>
        <v>-1</v>
      </c>
      <c r="R77" s="237">
        <f t="shared" si="14"/>
        <v>796127.90760000004</v>
      </c>
    </row>
    <row r="78" spans="1:18" x14ac:dyDescent="0.3">
      <c r="A78" s="5">
        <v>357</v>
      </c>
      <c r="B78" s="5">
        <v>10</v>
      </c>
      <c r="C78" s="5" t="s">
        <v>0</v>
      </c>
      <c r="D78" s="5">
        <v>5</v>
      </c>
      <c r="E78" s="10">
        <f>VLOOKUP($A78,observed!$C$2:$P$139,10,FALSE)</f>
        <v>0</v>
      </c>
      <c r="F78" s="10">
        <f>VLOOKUP($A78,observed!$C$2:$P$139,11,FALSE)</f>
        <v>127.98048780487801</v>
      </c>
      <c r="G78" s="10">
        <f>VLOOKUP($A78,observed!$C$2:$P$139,12,FALSE)</f>
        <v>605.86951219512196</v>
      </c>
      <c r="H78" s="10">
        <f>VLOOKUP($A78,observed!$C$2:$P$139,13,FALSE)</f>
        <v>190.13</v>
      </c>
      <c r="I78" s="10">
        <f>VLOOKUP($A78,observed!$C$2:$P$139,14,FALSE)</f>
        <v>0</v>
      </c>
      <c r="J78" s="10">
        <f t="shared" si="11"/>
        <v>923.9799999999999</v>
      </c>
      <c r="K78" s="57">
        <f>IFERROR(VLOOKUP($A78&amp;"-"&amp;TEXT($B78+19,0),md[[routeC]:[passenger_mile_EV]],9,FALSE),"")</f>
        <v>0</v>
      </c>
      <c r="L78" s="57">
        <f>IFERROR(VLOOKUP($A78&amp;"-"&amp;TEXT($B78+19,0),md[[routeC]:[passenger_mile_EV]],10,FALSE),"")</f>
        <v>0</v>
      </c>
      <c r="M78" s="57">
        <f>IFERROR(VLOOKUP($A78&amp;"-"&amp;TEXT($B78+19,0),md[[routeC]:[passenger_mile_EV]],11,FALSE),"")</f>
        <v>0</v>
      </c>
      <c r="N78" s="57">
        <f>IFERROR(VLOOKUP($A78&amp;"-"&amp;TEXT($B78+19,0),md[[routeC]:[passenger_mile_EV]],12,FALSE),"")</f>
        <v>0</v>
      </c>
      <c r="O78" s="57">
        <f>IFERROR(VLOOKUP($A78&amp;"-"&amp;TEXT($B78+19,0),md[[routeC]:[passenger_mile_EV]],13,FALSE),"")</f>
        <v>0</v>
      </c>
      <c r="P78" s="57">
        <f t="shared" si="12"/>
        <v>0</v>
      </c>
      <c r="Q78" s="224">
        <f t="shared" si="13"/>
        <v>-1</v>
      </c>
      <c r="R78" s="237">
        <f t="shared" si="14"/>
        <v>853739.04039999982</v>
      </c>
    </row>
    <row r="79" spans="1:18" x14ac:dyDescent="0.3">
      <c r="A79" s="5">
        <v>358</v>
      </c>
      <c r="B79" s="5">
        <v>10</v>
      </c>
      <c r="C79" s="5" t="s">
        <v>0</v>
      </c>
      <c r="D79" s="5">
        <v>5</v>
      </c>
      <c r="E79" s="10">
        <f>VLOOKUP($A79,observed!$C$2:$P$139,10,FALSE)</f>
        <v>0</v>
      </c>
      <c r="F79" s="10">
        <f>VLOOKUP($A79,observed!$C$2:$P$139,11,FALSE)</f>
        <v>114.41</v>
      </c>
      <c r="G79" s="10">
        <f>VLOOKUP($A79,observed!$C$2:$P$139,12,FALSE)</f>
        <v>163.60000000000002</v>
      </c>
      <c r="H79" s="10">
        <f>VLOOKUP($A79,observed!$C$2:$P$139,13,FALSE)</f>
        <v>103.53999999999999</v>
      </c>
      <c r="I79" s="10">
        <f>VLOOKUP($A79,observed!$C$2:$P$139,14,FALSE)</f>
        <v>16.43</v>
      </c>
      <c r="J79" s="10">
        <f t="shared" si="11"/>
        <v>397.97999999999996</v>
      </c>
      <c r="K79" s="57">
        <f>IFERROR(VLOOKUP($A79&amp;"-"&amp;TEXT($B79+19,0),md[[routeC]:[passenger_mile_EV]],9,FALSE),"")</f>
        <v>0</v>
      </c>
      <c r="L79" s="57">
        <f>IFERROR(VLOOKUP($A79&amp;"-"&amp;TEXT($B79+19,0),md[[routeC]:[passenger_mile_EV]],10,FALSE),"")</f>
        <v>0</v>
      </c>
      <c r="M79" s="57">
        <f>IFERROR(VLOOKUP($A79&amp;"-"&amp;TEXT($B79+19,0),md[[routeC]:[passenger_mile_EV]],11,FALSE),"")</f>
        <v>0</v>
      </c>
      <c r="N79" s="57">
        <f>IFERROR(VLOOKUP($A79&amp;"-"&amp;TEXT($B79+19,0),md[[routeC]:[passenger_mile_EV]],12,FALSE),"")</f>
        <v>0</v>
      </c>
      <c r="O79" s="57">
        <f>IFERROR(VLOOKUP($A79&amp;"-"&amp;TEXT($B79+19,0),md[[routeC]:[passenger_mile_EV]],13,FALSE),"")</f>
        <v>0</v>
      </c>
      <c r="P79" s="57">
        <f t="shared" si="12"/>
        <v>0</v>
      </c>
      <c r="Q79" s="224">
        <f t="shared" si="13"/>
        <v>-1</v>
      </c>
      <c r="R79" s="237">
        <f t="shared" si="14"/>
        <v>158388.08039999998</v>
      </c>
    </row>
    <row r="80" spans="1:18" x14ac:dyDescent="0.3">
      <c r="A80" s="5">
        <v>359</v>
      </c>
      <c r="B80" s="5">
        <v>10</v>
      </c>
      <c r="C80" s="5" t="s">
        <v>0</v>
      </c>
      <c r="D80" s="5">
        <v>5</v>
      </c>
      <c r="E80" s="10">
        <f>VLOOKUP($A80,observed!$C$2:$P$139,10,FALSE)</f>
        <v>30.11</v>
      </c>
      <c r="F80" s="10">
        <f>VLOOKUP($A80,observed!$C$2:$P$139,11,FALSE)</f>
        <v>119.19</v>
      </c>
      <c r="G80" s="10">
        <f>VLOOKUP($A80,observed!$C$2:$P$139,12,FALSE)</f>
        <v>227.6924390243895</v>
      </c>
      <c r="H80" s="10">
        <f>VLOOKUP($A80,observed!$C$2:$P$139,13,FALSE)</f>
        <v>78.657560975610494</v>
      </c>
      <c r="I80" s="10">
        <f>VLOOKUP($A80,observed!$C$2:$P$139,14,FALSE)</f>
        <v>23.33</v>
      </c>
      <c r="J80" s="10">
        <f t="shared" si="11"/>
        <v>478.97999999999996</v>
      </c>
      <c r="K80" s="57">
        <f>IFERROR(VLOOKUP($A80&amp;"-"&amp;TEXT($B80+19,0),md[[routeC]:[passenger_mile_EV]],9,FALSE),"")</f>
        <v>0</v>
      </c>
      <c r="L80" s="57">
        <f>IFERROR(VLOOKUP($A80&amp;"-"&amp;TEXT($B80+19,0),md[[routeC]:[passenger_mile_EV]],10,FALSE),"")</f>
        <v>0</v>
      </c>
      <c r="M80" s="57">
        <f>IFERROR(VLOOKUP($A80&amp;"-"&amp;TEXT($B80+19,0),md[[routeC]:[passenger_mile_EV]],11,FALSE),"")</f>
        <v>0</v>
      </c>
      <c r="N80" s="57">
        <f>IFERROR(VLOOKUP($A80&amp;"-"&amp;TEXT($B80+19,0),md[[routeC]:[passenger_mile_EV]],12,FALSE),"")</f>
        <v>0</v>
      </c>
      <c r="O80" s="57">
        <f>IFERROR(VLOOKUP($A80&amp;"-"&amp;TEXT($B80+19,0),md[[routeC]:[passenger_mile_EV]],13,FALSE),"")</f>
        <v>0</v>
      </c>
      <c r="P80" s="57">
        <f t="shared" si="12"/>
        <v>0</v>
      </c>
      <c r="Q80" s="224">
        <f t="shared" si="13"/>
        <v>-1</v>
      </c>
      <c r="R80" s="237">
        <f t="shared" si="14"/>
        <v>229421.84039999996</v>
      </c>
    </row>
    <row r="81" spans="1:18" x14ac:dyDescent="0.3">
      <c r="A81" s="5">
        <v>371</v>
      </c>
      <c r="B81" s="5">
        <v>10</v>
      </c>
      <c r="C81" s="5" t="s">
        <v>0</v>
      </c>
      <c r="D81" s="5">
        <v>5</v>
      </c>
      <c r="E81" s="10">
        <f>VLOOKUP($A81,observed!$C$2:$P$139,10,FALSE)</f>
        <v>43.198648648648643</v>
      </c>
      <c r="F81" s="10">
        <f>VLOOKUP($A81,observed!$C$2:$P$139,11,FALSE)</f>
        <v>82.343909490886219</v>
      </c>
      <c r="G81" s="10">
        <f>VLOOKUP($A81,observed!$C$2:$P$139,12,FALSE)</f>
        <v>7.9874418604651369</v>
      </c>
      <c r="H81" s="10">
        <f>VLOOKUP($A81,observed!$C$2:$P$139,13,FALSE)</f>
        <v>0</v>
      </c>
      <c r="I81" s="10">
        <f>VLOOKUP($A81,observed!$C$2:$P$139,14,FALSE)</f>
        <v>0</v>
      </c>
      <c r="J81" s="10">
        <f t="shared" si="11"/>
        <v>133.53</v>
      </c>
      <c r="K81" s="57">
        <f>IFERROR(VLOOKUP($A81&amp;"-"&amp;TEXT($B81+19,0),md[[routeC]:[passenger_mile_EV]],9,FALSE),"")</f>
        <v>0</v>
      </c>
      <c r="L81" s="57">
        <f>IFERROR(VLOOKUP($A81&amp;"-"&amp;TEXT($B81+19,0),md[[routeC]:[passenger_mile_EV]],10,FALSE),"")</f>
        <v>0</v>
      </c>
      <c r="M81" s="57">
        <f>IFERROR(VLOOKUP($A81&amp;"-"&amp;TEXT($B81+19,0),md[[routeC]:[passenger_mile_EV]],11,FALSE),"")</f>
        <v>0</v>
      </c>
      <c r="N81" s="57">
        <f>IFERROR(VLOOKUP($A81&amp;"-"&amp;TEXT($B81+19,0),md[[routeC]:[passenger_mile_EV]],12,FALSE),"")</f>
        <v>0</v>
      </c>
      <c r="O81" s="57">
        <f>IFERROR(VLOOKUP($A81&amp;"-"&amp;TEXT($B81+19,0),md[[routeC]:[passenger_mile_EV]],13,FALSE),"")</f>
        <v>0</v>
      </c>
      <c r="P81" s="57">
        <f t="shared" si="12"/>
        <v>0</v>
      </c>
      <c r="Q81" s="224">
        <f t="shared" si="13"/>
        <v>-1</v>
      </c>
      <c r="R81" s="237">
        <f t="shared" si="14"/>
        <v>17830.260900000001</v>
      </c>
    </row>
    <row r="82" spans="1:18" x14ac:dyDescent="0.3">
      <c r="A82" s="5">
        <v>388</v>
      </c>
      <c r="B82" s="5">
        <v>10</v>
      </c>
      <c r="C82" s="5" t="s">
        <v>0</v>
      </c>
      <c r="D82" s="5">
        <v>5</v>
      </c>
      <c r="E82" s="10">
        <f>VLOOKUP($A82,observed!$C$2:$P$139,10,FALSE)</f>
        <v>174.14697674418608</v>
      </c>
      <c r="F82" s="10">
        <f>VLOOKUP($A82,observed!$C$2:$P$139,11,FALSE)</f>
        <v>896.81302325581396</v>
      </c>
      <c r="G82" s="10">
        <f>VLOOKUP($A82,observed!$C$2:$P$139,12,FALSE)</f>
        <v>3427.3462258064465</v>
      </c>
      <c r="H82" s="10">
        <f>VLOOKUP($A82,observed!$C$2:$P$139,13,FALSE)</f>
        <v>1972.7337741935535</v>
      </c>
      <c r="I82" s="10">
        <f>VLOOKUP($A82,observed!$C$2:$P$139,14,FALSE)</f>
        <v>1190.4100000000001</v>
      </c>
      <c r="J82" s="10">
        <f t="shared" si="11"/>
        <v>7661.45</v>
      </c>
      <c r="K82" s="57">
        <f>IFERROR(VLOOKUP($A82&amp;"-"&amp;TEXT($B82+19,0),md[[routeC]:[passenger_mile_EV]],9,FALSE),"")</f>
        <v>0</v>
      </c>
      <c r="L82" s="57">
        <f>IFERROR(VLOOKUP($A82&amp;"-"&amp;TEXT($B82+19,0),md[[routeC]:[passenger_mile_EV]],10,FALSE),"")</f>
        <v>0</v>
      </c>
      <c r="M82" s="57">
        <f>IFERROR(VLOOKUP($A82&amp;"-"&amp;TEXT($B82+19,0),md[[routeC]:[passenger_mile_EV]],11,FALSE),"")</f>
        <v>0</v>
      </c>
      <c r="N82" s="57">
        <f>IFERROR(VLOOKUP($A82&amp;"-"&amp;TEXT($B82+19,0),md[[routeC]:[passenger_mile_EV]],12,FALSE),"")</f>
        <v>0</v>
      </c>
      <c r="O82" s="57">
        <f>IFERROR(VLOOKUP($A82&amp;"-"&amp;TEXT($B82+19,0),md[[routeC]:[passenger_mile_EV]],13,FALSE),"")</f>
        <v>0</v>
      </c>
      <c r="P82" s="57">
        <f t="shared" si="12"/>
        <v>0</v>
      </c>
      <c r="Q82" s="224">
        <f t="shared" si="13"/>
        <v>-1</v>
      </c>
      <c r="R82" s="237">
        <f t="shared" si="14"/>
        <v>58697816.102499999</v>
      </c>
    </row>
    <row r="83" spans="1:18" x14ac:dyDescent="0.3">
      <c r="A83" s="5">
        <v>389</v>
      </c>
      <c r="B83" s="5">
        <v>10</v>
      </c>
      <c r="C83" s="5" t="s">
        <v>0</v>
      </c>
      <c r="D83" s="5">
        <v>5</v>
      </c>
      <c r="E83" s="10">
        <f>VLOOKUP($A83,observed!$C$2:$P$139,10,FALSE)</f>
        <v>0</v>
      </c>
      <c r="F83" s="10">
        <f>VLOOKUP($A83,observed!$C$2:$P$139,11,FALSE)</f>
        <v>414.1</v>
      </c>
      <c r="G83" s="10">
        <f>VLOOKUP($A83,observed!$C$2:$P$139,12,FALSE)</f>
        <v>1335.3499999999974</v>
      </c>
      <c r="H83" s="10">
        <f>VLOOKUP($A83,observed!$C$2:$P$139,13,FALSE)</f>
        <v>623.33000000000266</v>
      </c>
      <c r="I83" s="10">
        <f>VLOOKUP($A83,observed!$C$2:$P$139,14,FALSE)</f>
        <v>259.39</v>
      </c>
      <c r="J83" s="10">
        <f t="shared" si="11"/>
        <v>2632.17</v>
      </c>
      <c r="K83" s="57">
        <f>IFERROR(VLOOKUP($A83&amp;"-"&amp;TEXT($B83+19,0),md[[routeC]:[passenger_mile_EV]],9,FALSE),"")</f>
        <v>0</v>
      </c>
      <c r="L83" s="57">
        <f>IFERROR(VLOOKUP($A83&amp;"-"&amp;TEXT($B83+19,0),md[[routeC]:[passenger_mile_EV]],10,FALSE),"")</f>
        <v>0</v>
      </c>
      <c r="M83" s="57">
        <f>IFERROR(VLOOKUP($A83&amp;"-"&amp;TEXT($B83+19,0),md[[routeC]:[passenger_mile_EV]],11,FALSE),"")</f>
        <v>0</v>
      </c>
      <c r="N83" s="57">
        <f>IFERROR(VLOOKUP($A83&amp;"-"&amp;TEXT($B83+19,0),md[[routeC]:[passenger_mile_EV]],12,FALSE),"")</f>
        <v>0</v>
      </c>
      <c r="O83" s="57">
        <f>IFERROR(VLOOKUP($A83&amp;"-"&amp;TEXT($B83+19,0),md[[routeC]:[passenger_mile_EV]],13,FALSE),"")</f>
        <v>0</v>
      </c>
      <c r="P83" s="57">
        <f t="shared" si="12"/>
        <v>0</v>
      </c>
      <c r="Q83" s="224">
        <f t="shared" si="13"/>
        <v>-1</v>
      </c>
      <c r="R83" s="237">
        <f t="shared" si="14"/>
        <v>6928318.9089000002</v>
      </c>
    </row>
    <row r="84" spans="1:18" x14ac:dyDescent="0.3">
      <c r="A84" s="5">
        <v>392</v>
      </c>
      <c r="B84" s="5">
        <v>10</v>
      </c>
      <c r="C84" s="5" t="s">
        <v>0</v>
      </c>
      <c r="D84" s="5">
        <v>5</v>
      </c>
      <c r="E84" s="10">
        <f>VLOOKUP($A84,observed!$C$2:$P$139,10,FALSE)</f>
        <v>1.9399999999999937</v>
      </c>
      <c r="F84" s="10">
        <f>VLOOKUP($A84,observed!$C$2:$P$139,11,FALSE)</f>
        <v>102.35</v>
      </c>
      <c r="G84" s="10">
        <f>VLOOKUP($A84,observed!$C$2:$P$139,12,FALSE)</f>
        <v>97.565789473684092</v>
      </c>
      <c r="H84" s="10">
        <f>VLOOKUP($A84,observed!$C$2:$P$139,13,FALSE)</f>
        <v>39.024210526315912</v>
      </c>
      <c r="I84" s="10">
        <f>VLOOKUP($A84,observed!$C$2:$P$139,14,FALSE)</f>
        <v>0</v>
      </c>
      <c r="J84" s="10">
        <f t="shared" si="11"/>
        <v>240.88</v>
      </c>
      <c r="K84" s="57">
        <f>IFERROR(VLOOKUP($A84&amp;"-"&amp;TEXT($B84+19,0),md[[routeC]:[passenger_mile_EV]],9,FALSE),"")</f>
        <v>0</v>
      </c>
      <c r="L84" s="57">
        <f>IFERROR(VLOOKUP($A84&amp;"-"&amp;TEXT($B84+19,0),md[[routeC]:[passenger_mile_EV]],10,FALSE),"")</f>
        <v>0</v>
      </c>
      <c r="M84" s="57">
        <f>IFERROR(VLOOKUP($A84&amp;"-"&amp;TEXT($B84+19,0),md[[routeC]:[passenger_mile_EV]],11,FALSE),"")</f>
        <v>0</v>
      </c>
      <c r="N84" s="57">
        <f>IFERROR(VLOOKUP($A84&amp;"-"&amp;TEXT($B84+19,0),md[[routeC]:[passenger_mile_EV]],12,FALSE),"")</f>
        <v>0</v>
      </c>
      <c r="O84" s="57">
        <f>IFERROR(VLOOKUP($A84&amp;"-"&amp;TEXT($B84+19,0),md[[routeC]:[passenger_mile_EV]],13,FALSE),"")</f>
        <v>0</v>
      </c>
      <c r="P84" s="57">
        <f t="shared" si="12"/>
        <v>0</v>
      </c>
      <c r="Q84" s="224">
        <f t="shared" si="13"/>
        <v>-1</v>
      </c>
      <c r="R84" s="237">
        <f t="shared" si="14"/>
        <v>58023.174399999996</v>
      </c>
    </row>
    <row r="85" spans="1:18" x14ac:dyDescent="0.3">
      <c r="A85" s="5">
        <v>395</v>
      </c>
      <c r="B85" s="5">
        <v>10</v>
      </c>
      <c r="C85" s="5" t="s">
        <v>0</v>
      </c>
      <c r="D85" s="5">
        <v>5</v>
      </c>
      <c r="E85" s="10">
        <f>VLOOKUP($A85,observed!$C$2:$P$139,10,FALSE)</f>
        <v>0</v>
      </c>
      <c r="F85" s="10">
        <f>VLOOKUP($A85,observed!$C$2:$P$139,11,FALSE)</f>
        <v>167.48415584415585</v>
      </c>
      <c r="G85" s="10">
        <f>VLOOKUP($A85,observed!$C$2:$P$139,12,FALSE)</f>
        <v>723.6696103896096</v>
      </c>
      <c r="H85" s="10">
        <f>VLOOKUP($A85,observed!$C$2:$P$139,13,FALSE)</f>
        <v>729.10547021943728</v>
      </c>
      <c r="I85" s="10">
        <f>VLOOKUP($A85,observed!$C$2:$P$139,14,FALSE)</f>
        <v>457.70076354679702</v>
      </c>
      <c r="J85" s="10">
        <f t="shared" si="11"/>
        <v>2077.96</v>
      </c>
      <c r="K85" s="57">
        <f>IFERROR(VLOOKUP($A85&amp;"-"&amp;TEXT($B85+19,0),md[[routeC]:[passenger_mile_EV]],9,FALSE),"")</f>
        <v>0</v>
      </c>
      <c r="L85" s="57">
        <f>IFERROR(VLOOKUP($A85&amp;"-"&amp;TEXT($B85+19,0),md[[routeC]:[passenger_mile_EV]],10,FALSE),"")</f>
        <v>0</v>
      </c>
      <c r="M85" s="57">
        <f>IFERROR(VLOOKUP($A85&amp;"-"&amp;TEXT($B85+19,0),md[[routeC]:[passenger_mile_EV]],11,FALSE),"")</f>
        <v>0</v>
      </c>
      <c r="N85" s="57">
        <f>IFERROR(VLOOKUP($A85&amp;"-"&amp;TEXT($B85+19,0),md[[routeC]:[passenger_mile_EV]],12,FALSE),"")</f>
        <v>0</v>
      </c>
      <c r="O85" s="57">
        <f>IFERROR(VLOOKUP($A85&amp;"-"&amp;TEXT($B85+19,0),md[[routeC]:[passenger_mile_EV]],13,FALSE),"")</f>
        <v>0</v>
      </c>
      <c r="P85" s="57">
        <f t="shared" si="12"/>
        <v>0</v>
      </c>
      <c r="Q85" s="224">
        <f t="shared" si="13"/>
        <v>-1</v>
      </c>
      <c r="R85" s="237">
        <f t="shared" si="14"/>
        <v>4317917.7615999999</v>
      </c>
    </row>
    <row r="86" spans="1:18" x14ac:dyDescent="0.3">
      <c r="A86" s="5">
        <v>444</v>
      </c>
      <c r="B86" s="5">
        <v>10</v>
      </c>
      <c r="C86" s="5" t="s">
        <v>0</v>
      </c>
      <c r="D86" s="5">
        <v>5</v>
      </c>
      <c r="E86" s="10">
        <f>VLOOKUP($A86,observed!$C$2:$P$139,10,FALSE)</f>
        <v>0</v>
      </c>
      <c r="F86" s="10">
        <f>VLOOKUP($A86,observed!$C$2:$P$139,11,FALSE)</f>
        <v>120.11115384615374</v>
      </c>
      <c r="G86" s="10">
        <f>VLOOKUP($A86,observed!$C$2:$P$139,12,FALSE)</f>
        <v>10.178846153846253</v>
      </c>
      <c r="H86" s="10">
        <f>VLOOKUP($A86,observed!$C$2:$P$139,13,FALSE)</f>
        <v>157.08999999999997</v>
      </c>
      <c r="I86" s="10">
        <f>VLOOKUP($A86,observed!$C$2:$P$139,14,FALSE)</f>
        <v>0</v>
      </c>
      <c r="J86" s="10">
        <f t="shared" si="11"/>
        <v>287.38</v>
      </c>
      <c r="K86" s="57">
        <f>IFERROR(VLOOKUP($A86&amp;"-"&amp;TEXT($B86+19,0),md[[routeC]:[passenger_mile_EV]],9,FALSE),"")</f>
        <v>0</v>
      </c>
      <c r="L86" s="57">
        <f>IFERROR(VLOOKUP($A86&amp;"-"&amp;TEXT($B86+19,0),md[[routeC]:[passenger_mile_EV]],10,FALSE),"")</f>
        <v>0</v>
      </c>
      <c r="M86" s="57">
        <f>IFERROR(VLOOKUP($A86&amp;"-"&amp;TEXT($B86+19,0),md[[routeC]:[passenger_mile_EV]],11,FALSE),"")</f>
        <v>0</v>
      </c>
      <c r="N86" s="57">
        <f>IFERROR(VLOOKUP($A86&amp;"-"&amp;TEXT($B86+19,0),md[[routeC]:[passenger_mile_EV]],12,FALSE),"")</f>
        <v>0</v>
      </c>
      <c r="O86" s="57">
        <f>IFERROR(VLOOKUP($A86&amp;"-"&amp;TEXT($B86+19,0),md[[routeC]:[passenger_mile_EV]],13,FALSE),"")</f>
        <v>0</v>
      </c>
      <c r="P86" s="57">
        <f t="shared" si="12"/>
        <v>0</v>
      </c>
      <c r="Q86" s="224">
        <f t="shared" si="13"/>
        <v>-1</v>
      </c>
      <c r="R86" s="237">
        <f t="shared" si="14"/>
        <v>82587.2644</v>
      </c>
    </row>
    <row r="87" spans="1:18" x14ac:dyDescent="0.3">
      <c r="A87" s="5">
        <v>445</v>
      </c>
      <c r="B87" s="5">
        <v>10</v>
      </c>
      <c r="C87" s="5" t="s">
        <v>0</v>
      </c>
      <c r="D87" s="5">
        <v>5</v>
      </c>
      <c r="E87" s="10">
        <f>VLOOKUP($A87,observed!$C$2:$P$139,10,FALSE)</f>
        <v>0</v>
      </c>
      <c r="F87" s="10">
        <f>VLOOKUP($A87,observed!$C$2:$P$139,11,FALSE)</f>
        <v>303.25240000000002</v>
      </c>
      <c r="G87" s="10">
        <f>VLOOKUP($A87,observed!$C$2:$P$139,12,FALSE)</f>
        <v>5.4975999999999816</v>
      </c>
      <c r="H87" s="10">
        <f>VLOOKUP($A87,observed!$C$2:$P$139,13,FALSE)</f>
        <v>189.41</v>
      </c>
      <c r="I87" s="10">
        <f>VLOOKUP($A87,observed!$C$2:$P$139,14,FALSE)</f>
        <v>0</v>
      </c>
      <c r="J87" s="10">
        <f t="shared" si="11"/>
        <v>498.15999999999997</v>
      </c>
      <c r="K87" s="57">
        <f>IFERROR(VLOOKUP($A87&amp;"-"&amp;TEXT($B87+19,0),md[[routeC]:[passenger_mile_EV]],9,FALSE),"")</f>
        <v>0</v>
      </c>
      <c r="L87" s="57">
        <f>IFERROR(VLOOKUP($A87&amp;"-"&amp;TEXT($B87+19,0),md[[routeC]:[passenger_mile_EV]],10,FALSE),"")</f>
        <v>0</v>
      </c>
      <c r="M87" s="57">
        <f>IFERROR(VLOOKUP($A87&amp;"-"&amp;TEXT($B87+19,0),md[[routeC]:[passenger_mile_EV]],11,FALSE),"")</f>
        <v>0</v>
      </c>
      <c r="N87" s="57">
        <f>IFERROR(VLOOKUP($A87&amp;"-"&amp;TEXT($B87+19,0),md[[routeC]:[passenger_mile_EV]],12,FALSE),"")</f>
        <v>0</v>
      </c>
      <c r="O87" s="57">
        <f>IFERROR(VLOOKUP($A87&amp;"-"&amp;TEXT($B87+19,0),md[[routeC]:[passenger_mile_EV]],13,FALSE),"")</f>
        <v>0</v>
      </c>
      <c r="P87" s="57">
        <f t="shared" si="12"/>
        <v>0</v>
      </c>
      <c r="Q87" s="224">
        <f t="shared" si="13"/>
        <v>-1</v>
      </c>
      <c r="R87" s="237">
        <f t="shared" si="14"/>
        <v>248163.38559999998</v>
      </c>
    </row>
    <row r="88" spans="1:18" x14ac:dyDescent="0.3">
      <c r="A88" s="5">
        <v>446</v>
      </c>
      <c r="B88" s="5">
        <v>10</v>
      </c>
      <c r="C88" s="5" t="s">
        <v>0</v>
      </c>
      <c r="D88" s="5">
        <v>5</v>
      </c>
      <c r="E88" s="10">
        <f>VLOOKUP($A88,observed!$C$2:$P$139,10,FALSE)</f>
        <v>0</v>
      </c>
      <c r="F88" s="10">
        <f>VLOOKUP($A88,observed!$C$2:$P$139,11,FALSE)</f>
        <v>16.940000000000001</v>
      </c>
      <c r="G88" s="10">
        <f>VLOOKUP($A88,observed!$C$2:$P$139,12,FALSE)</f>
        <v>0</v>
      </c>
      <c r="H88" s="10">
        <f>VLOOKUP($A88,observed!$C$2:$P$139,13,FALSE)</f>
        <v>20.27</v>
      </c>
      <c r="I88" s="10">
        <f>VLOOKUP($A88,observed!$C$2:$P$139,14,FALSE)</f>
        <v>0</v>
      </c>
      <c r="J88" s="10">
        <f t="shared" si="11"/>
        <v>37.21</v>
      </c>
      <c r="K88" s="57">
        <f>IFERROR(VLOOKUP($A88&amp;"-"&amp;TEXT($B88+19,0),md[[routeC]:[passenger_mile_EV]],9,FALSE),"")</f>
        <v>0</v>
      </c>
      <c r="L88" s="57">
        <f>IFERROR(VLOOKUP($A88&amp;"-"&amp;TEXT($B88+19,0),md[[routeC]:[passenger_mile_EV]],10,FALSE),"")</f>
        <v>0</v>
      </c>
      <c r="M88" s="57">
        <f>IFERROR(VLOOKUP($A88&amp;"-"&amp;TEXT($B88+19,0),md[[routeC]:[passenger_mile_EV]],11,FALSE),"")</f>
        <v>0</v>
      </c>
      <c r="N88" s="57">
        <f>IFERROR(VLOOKUP($A88&amp;"-"&amp;TEXT($B88+19,0),md[[routeC]:[passenger_mile_EV]],12,FALSE),"")</f>
        <v>0</v>
      </c>
      <c r="O88" s="57">
        <f>IFERROR(VLOOKUP($A88&amp;"-"&amp;TEXT($B88+19,0),md[[routeC]:[passenger_mile_EV]],13,FALSE),"")</f>
        <v>0</v>
      </c>
      <c r="P88" s="57">
        <f t="shared" si="12"/>
        <v>0</v>
      </c>
      <c r="Q88" s="224">
        <f t="shared" si="13"/>
        <v>-1</v>
      </c>
      <c r="R88" s="237">
        <f t="shared" si="14"/>
        <v>1384.5841</v>
      </c>
    </row>
    <row r="89" spans="1:18" x14ac:dyDescent="0.3">
      <c r="A89" s="5">
        <v>701</v>
      </c>
      <c r="B89" s="5">
        <v>10</v>
      </c>
      <c r="C89" s="5" t="s">
        <v>0</v>
      </c>
      <c r="D89" s="5">
        <v>5</v>
      </c>
      <c r="E89" s="10">
        <f>VLOOKUP($A89,observed!$C$2:$P$139,10,FALSE)</f>
        <v>53.887428571428529</v>
      </c>
      <c r="F89" s="10">
        <f>VLOOKUP($A89,observed!$C$2:$P$139,11,FALSE)</f>
        <v>1266.1681927990705</v>
      </c>
      <c r="G89" s="10">
        <f>VLOOKUP($A89,observed!$C$2:$P$139,12,FALSE)</f>
        <v>2719.8845477626892</v>
      </c>
      <c r="H89" s="10">
        <f>VLOOKUP($A89,observed!$C$2:$P$139,13,FALSE)</f>
        <v>1104.0057132197535</v>
      </c>
      <c r="I89" s="10">
        <f>VLOOKUP($A89,observed!$C$2:$P$139,14,FALSE)</f>
        <v>284.47411764705788</v>
      </c>
      <c r="J89" s="10">
        <f t="shared" si="11"/>
        <v>5428.42</v>
      </c>
      <c r="K89" s="57">
        <f>IFERROR(VLOOKUP($A89&amp;"-"&amp;TEXT($B89+19,0),md[[routeC]:[passenger_mile_EV]],9,FALSE),"")</f>
        <v>0</v>
      </c>
      <c r="L89" s="57">
        <f>IFERROR(VLOOKUP($A89&amp;"-"&amp;TEXT($B89+19,0),md[[routeC]:[passenger_mile_EV]],10,FALSE),"")</f>
        <v>0</v>
      </c>
      <c r="M89" s="57">
        <f>IFERROR(VLOOKUP($A89&amp;"-"&amp;TEXT($B89+19,0),md[[routeC]:[passenger_mile_EV]],11,FALSE),"")</f>
        <v>0</v>
      </c>
      <c r="N89" s="57">
        <f>IFERROR(VLOOKUP($A89&amp;"-"&amp;TEXT($B89+19,0),md[[routeC]:[passenger_mile_EV]],12,FALSE),"")</f>
        <v>0</v>
      </c>
      <c r="O89" s="57">
        <f>IFERROR(VLOOKUP($A89&amp;"-"&amp;TEXT($B89+19,0),md[[routeC]:[passenger_mile_EV]],13,FALSE),"")</f>
        <v>0</v>
      </c>
      <c r="P89" s="57">
        <f t="shared" si="12"/>
        <v>0</v>
      </c>
      <c r="Q89" s="224">
        <f t="shared" si="13"/>
        <v>-1</v>
      </c>
      <c r="R89" s="237">
        <f t="shared" si="14"/>
        <v>29467743.696400002</v>
      </c>
    </row>
    <row r="90" spans="1:18" x14ac:dyDescent="0.3">
      <c r="A90" s="5">
        <v>704</v>
      </c>
      <c r="B90" s="5">
        <v>10</v>
      </c>
      <c r="C90" s="5" t="s">
        <v>0</v>
      </c>
      <c r="D90" s="5">
        <v>5</v>
      </c>
      <c r="E90" s="10">
        <f>VLOOKUP($A90,observed!$C$2:$P$139,10,FALSE)</f>
        <v>157.25294117647056</v>
      </c>
      <c r="F90" s="10">
        <f>VLOOKUP($A90,observed!$C$2:$P$139,11,FALSE)</f>
        <v>1334.8429526738391</v>
      </c>
      <c r="G90" s="10">
        <f>VLOOKUP($A90,observed!$C$2:$P$139,12,FALSE)</f>
        <v>3036.6601700233114</v>
      </c>
      <c r="H90" s="10">
        <f>VLOOKUP($A90,observed!$C$2:$P$139,13,FALSE)</f>
        <v>1439.4961318935759</v>
      </c>
      <c r="I90" s="10">
        <f>VLOOKUP($A90,observed!$C$2:$P$139,14,FALSE)</f>
        <v>440.03780423280278</v>
      </c>
      <c r="J90" s="10">
        <f t="shared" si="11"/>
        <v>6408.29</v>
      </c>
      <c r="K90" s="57">
        <f>IFERROR(VLOOKUP($A90&amp;"-"&amp;TEXT($B90+19,0),md[[routeC]:[passenger_mile_EV]],9,FALSE),"")</f>
        <v>0</v>
      </c>
      <c r="L90" s="57">
        <f>IFERROR(VLOOKUP($A90&amp;"-"&amp;TEXT($B90+19,0),md[[routeC]:[passenger_mile_EV]],10,FALSE),"")</f>
        <v>0</v>
      </c>
      <c r="M90" s="57">
        <f>IFERROR(VLOOKUP($A90&amp;"-"&amp;TEXT($B90+19,0),md[[routeC]:[passenger_mile_EV]],11,FALSE),"")</f>
        <v>0</v>
      </c>
      <c r="N90" s="57">
        <f>IFERROR(VLOOKUP($A90&amp;"-"&amp;TEXT($B90+19,0),md[[routeC]:[passenger_mile_EV]],12,FALSE),"")</f>
        <v>0</v>
      </c>
      <c r="O90" s="57">
        <f>IFERROR(VLOOKUP($A90&amp;"-"&amp;TEXT($B90+19,0),md[[routeC]:[passenger_mile_EV]],13,FALSE),"")</f>
        <v>0</v>
      </c>
      <c r="P90" s="57">
        <f t="shared" si="12"/>
        <v>0</v>
      </c>
      <c r="Q90" s="224">
        <f t="shared" si="13"/>
        <v>-1</v>
      </c>
      <c r="R90" s="237">
        <f t="shared" si="14"/>
        <v>41066180.724100001</v>
      </c>
    </row>
    <row r="91" spans="1:18" x14ac:dyDescent="0.3">
      <c r="A91" s="5">
        <v>705</v>
      </c>
      <c r="B91" s="5">
        <v>10</v>
      </c>
      <c r="C91" s="5" t="s">
        <v>0</v>
      </c>
      <c r="D91" s="5">
        <v>5</v>
      </c>
      <c r="E91" s="10">
        <f>VLOOKUP($A91,observed!$C$2:$P$139,10,FALSE)</f>
        <v>0</v>
      </c>
      <c r="F91" s="10">
        <f>VLOOKUP($A91,observed!$C$2:$P$139,11,FALSE)</f>
        <v>794.5200000000001</v>
      </c>
      <c r="G91" s="10">
        <f>VLOOKUP($A91,observed!$C$2:$P$139,12,FALSE)</f>
        <v>1937.3594230769195</v>
      </c>
      <c r="H91" s="10">
        <f>VLOOKUP($A91,observed!$C$2:$P$139,13,FALSE)</f>
        <v>884.20057692308046</v>
      </c>
      <c r="I91" s="10">
        <f>VLOOKUP($A91,observed!$C$2:$P$139,14,FALSE)</f>
        <v>129.22999999999999</v>
      </c>
      <c r="J91" s="10">
        <f t="shared" si="11"/>
        <v>3745.31</v>
      </c>
      <c r="K91" s="57">
        <f>IFERROR(VLOOKUP($A91&amp;"-"&amp;TEXT($B91+19,0),md[[routeC]:[passenger_mile_EV]],9,FALSE),"")</f>
        <v>0</v>
      </c>
      <c r="L91" s="57">
        <f>IFERROR(VLOOKUP($A91&amp;"-"&amp;TEXT($B91+19,0),md[[routeC]:[passenger_mile_EV]],10,FALSE),"")</f>
        <v>0</v>
      </c>
      <c r="M91" s="57">
        <f>IFERROR(VLOOKUP($A91&amp;"-"&amp;TEXT($B91+19,0),md[[routeC]:[passenger_mile_EV]],11,FALSE),"")</f>
        <v>0</v>
      </c>
      <c r="N91" s="57">
        <f>IFERROR(VLOOKUP($A91&amp;"-"&amp;TEXT($B91+19,0),md[[routeC]:[passenger_mile_EV]],12,FALSE),"")</f>
        <v>0</v>
      </c>
      <c r="O91" s="57">
        <f>IFERROR(VLOOKUP($A91&amp;"-"&amp;TEXT($B91+19,0),md[[routeC]:[passenger_mile_EV]],13,FALSE),"")</f>
        <v>0</v>
      </c>
      <c r="P91" s="57">
        <f t="shared" si="12"/>
        <v>0</v>
      </c>
      <c r="Q91" s="224">
        <f t="shared" si="13"/>
        <v>-1</v>
      </c>
      <c r="R91" s="237">
        <f t="shared" si="14"/>
        <v>14027346.996099999</v>
      </c>
    </row>
    <row r="92" spans="1:18" x14ac:dyDescent="0.3">
      <c r="A92" s="5">
        <v>707</v>
      </c>
      <c r="B92" s="5">
        <v>10</v>
      </c>
      <c r="C92" s="5" t="s">
        <v>0</v>
      </c>
      <c r="D92" s="5">
        <v>5</v>
      </c>
      <c r="E92" s="10">
        <f>VLOOKUP($A92,observed!$C$2:$P$139,10,FALSE)</f>
        <v>0</v>
      </c>
      <c r="F92" s="10">
        <f>VLOOKUP($A92,observed!$C$2:$P$139,11,FALSE)</f>
        <v>22.58</v>
      </c>
      <c r="G92" s="10">
        <f>VLOOKUP($A92,observed!$C$2:$P$139,12,FALSE)</f>
        <v>727.41</v>
      </c>
      <c r="H92" s="10">
        <f>VLOOKUP($A92,observed!$C$2:$P$139,13,FALSE)</f>
        <v>167.37</v>
      </c>
      <c r="I92" s="10">
        <f>VLOOKUP($A92,observed!$C$2:$P$139,14,FALSE)</f>
        <v>19.27</v>
      </c>
      <c r="J92" s="10">
        <f t="shared" si="11"/>
        <v>936.63</v>
      </c>
      <c r="K92" s="57">
        <f>IFERROR(VLOOKUP($A92&amp;"-"&amp;TEXT($B92+19,0),md[[routeC]:[passenger_mile_EV]],9,FALSE),"")</f>
        <v>0</v>
      </c>
      <c r="L92" s="57">
        <f>IFERROR(VLOOKUP($A92&amp;"-"&amp;TEXT($B92+19,0),md[[routeC]:[passenger_mile_EV]],10,FALSE),"")</f>
        <v>0</v>
      </c>
      <c r="M92" s="57">
        <f>IFERROR(VLOOKUP($A92&amp;"-"&amp;TEXT($B92+19,0),md[[routeC]:[passenger_mile_EV]],11,FALSE),"")</f>
        <v>0</v>
      </c>
      <c r="N92" s="57">
        <f>IFERROR(VLOOKUP($A92&amp;"-"&amp;TEXT($B92+19,0),md[[routeC]:[passenger_mile_EV]],12,FALSE),"")</f>
        <v>0</v>
      </c>
      <c r="O92" s="57">
        <f>IFERROR(VLOOKUP($A92&amp;"-"&amp;TEXT($B92+19,0),md[[routeC]:[passenger_mile_EV]],13,FALSE),"")</f>
        <v>0</v>
      </c>
      <c r="P92" s="57">
        <f t="shared" si="12"/>
        <v>0</v>
      </c>
      <c r="Q92" s="224">
        <f t="shared" si="13"/>
        <v>-1</v>
      </c>
      <c r="R92" s="237">
        <f t="shared" si="14"/>
        <v>877275.75690000004</v>
      </c>
    </row>
    <row r="93" spans="1:18" x14ac:dyDescent="0.3">
      <c r="A93" s="1">
        <v>709</v>
      </c>
      <c r="B93" s="1">
        <v>10</v>
      </c>
      <c r="C93" s="1" t="s">
        <v>0</v>
      </c>
      <c r="D93" s="1">
        <v>5</v>
      </c>
      <c r="E93" s="225">
        <v>268.63489855072447</v>
      </c>
      <c r="F93" s="225">
        <v>4139.6959022011542</v>
      </c>
      <c r="G93" s="225">
        <v>6781.8068562354065</v>
      </c>
      <c r="H93" s="225">
        <v>3726.6008686537471</v>
      </c>
      <c r="I93" s="225">
        <v>1136.0114743589675</v>
      </c>
      <c r="J93" s="225">
        <f t="shared" si="11"/>
        <v>16052.749999999998</v>
      </c>
      <c r="K93" s="226">
        <f>IFERROR(VLOOKUP($A93&amp;"-"&amp;TEXT($B93+19,0),md[[routeC]:[passenger_mile_EV]],9,FALSE),"")</f>
        <v>0</v>
      </c>
      <c r="L93" s="226">
        <f>IFERROR(VLOOKUP($A93&amp;"-"&amp;TEXT($B93+19,0),md[[routeC]:[passenger_mile_EV]],10,FALSE),"")</f>
        <v>0</v>
      </c>
      <c r="M93" s="226">
        <f>IFERROR(VLOOKUP($A93&amp;"-"&amp;TEXT($B93+19,0),md[[routeC]:[passenger_mile_EV]],11,FALSE),"")</f>
        <v>0</v>
      </c>
      <c r="N93" s="226">
        <f>IFERROR(VLOOKUP($A93&amp;"-"&amp;TEXT($B93+19,0),md[[routeC]:[passenger_mile_EV]],12,FALSE),"")</f>
        <v>0</v>
      </c>
      <c r="O93" s="226">
        <f>IFERROR(VLOOKUP($A93&amp;"-"&amp;TEXT($B93+19,0),md[[routeC]:[passenger_mile_EV]],13,FALSE),"")</f>
        <v>0</v>
      </c>
      <c r="P93" s="226">
        <f t="shared" ref="P93" si="15">SUM(K93:O93)</f>
        <v>0</v>
      </c>
      <c r="Q93" s="293">
        <f t="shared" si="13"/>
        <v>-1</v>
      </c>
      <c r="R93" s="294">
        <f t="shared" si="14"/>
        <v>257690782.56249994</v>
      </c>
    </row>
    <row r="94" spans="1:18" x14ac:dyDescent="0.3">
      <c r="A94" s="5">
        <v>712</v>
      </c>
      <c r="B94" s="5">
        <v>10</v>
      </c>
      <c r="C94" s="5" t="s">
        <v>0</v>
      </c>
      <c r="D94" s="5">
        <v>5</v>
      </c>
      <c r="E94" s="10">
        <f>VLOOKUP($A94,observed!$C$2:$P$139,10,FALSE)</f>
        <v>123.94558823529405</v>
      </c>
      <c r="F94" s="10">
        <f>VLOOKUP($A94,observed!$C$2:$P$139,11,FALSE)</f>
        <v>2282.1022494757754</v>
      </c>
      <c r="G94" s="10">
        <f>VLOOKUP($A94,observed!$C$2:$P$139,12,FALSE)</f>
        <v>5290.8705956847953</v>
      </c>
      <c r="H94" s="10">
        <f>VLOOKUP($A94,observed!$C$2:$P$139,13,FALSE)</f>
        <v>2209.4515666041398</v>
      </c>
      <c r="I94" s="10">
        <f>VLOOKUP($A94,observed!$C$2:$P$139,14,FALSE)</f>
        <v>755.99999999999625</v>
      </c>
      <c r="J94" s="10">
        <f t="shared" si="11"/>
        <v>10662.37</v>
      </c>
      <c r="K94" s="57">
        <f>IFERROR(VLOOKUP($A94&amp;"-"&amp;TEXT($B94+19,0),md[[routeC]:[passenger_mile_EV]],9,FALSE),"")</f>
        <v>0</v>
      </c>
      <c r="L94" s="57">
        <f>IFERROR(VLOOKUP($A94&amp;"-"&amp;TEXT($B94+19,0),md[[routeC]:[passenger_mile_EV]],10,FALSE),"")</f>
        <v>0</v>
      </c>
      <c r="M94" s="57">
        <f>IFERROR(VLOOKUP($A94&amp;"-"&amp;TEXT($B94+19,0),md[[routeC]:[passenger_mile_EV]],11,FALSE),"")</f>
        <v>0</v>
      </c>
      <c r="N94" s="57">
        <f>IFERROR(VLOOKUP($A94&amp;"-"&amp;TEXT($B94+19,0),md[[routeC]:[passenger_mile_EV]],12,FALSE),"")</f>
        <v>0</v>
      </c>
      <c r="O94" s="57">
        <f>IFERROR(VLOOKUP($A94&amp;"-"&amp;TEXT($B94+19,0),md[[routeC]:[passenger_mile_EV]],13,FALSE),"")</f>
        <v>0</v>
      </c>
      <c r="P94" s="57">
        <f t="shared" si="12"/>
        <v>0</v>
      </c>
      <c r="Q94" s="224">
        <f t="shared" si="13"/>
        <v>-1</v>
      </c>
      <c r="R94" s="237">
        <f t="shared" si="14"/>
        <v>113686134.01690002</v>
      </c>
    </row>
    <row r="95" spans="1:18" x14ac:dyDescent="0.3">
      <c r="A95" s="5">
        <v>815</v>
      </c>
      <c r="B95" s="5">
        <v>10</v>
      </c>
      <c r="C95" s="5" t="s">
        <v>0</v>
      </c>
      <c r="D95" s="5">
        <v>5</v>
      </c>
      <c r="E95" s="10">
        <f>VLOOKUP($A95,observed!$C$2:$P$139,10,FALSE)</f>
        <v>66.947799999999958</v>
      </c>
      <c r="F95" s="10">
        <f>VLOOKUP($A95,observed!$C$2:$P$139,11,FALSE)</f>
        <v>320.44791428571438</v>
      </c>
      <c r="G95" s="10">
        <f>VLOOKUP($A95,observed!$C$2:$P$139,12,FALSE)</f>
        <v>870.65406593406453</v>
      </c>
      <c r="H95" s="10">
        <f>VLOOKUP($A95,observed!$C$2:$P$139,13,FALSE)</f>
        <v>366.30021978022108</v>
      </c>
      <c r="I95" s="10">
        <f>VLOOKUP($A95,observed!$C$2:$P$139,14,FALSE)</f>
        <v>168.97</v>
      </c>
      <c r="J95" s="10">
        <f t="shared" si="11"/>
        <v>1793.32</v>
      </c>
      <c r="K95" s="57">
        <f>IFERROR(VLOOKUP($A95&amp;"-"&amp;TEXT($B95+19,0),md[[routeC]:[passenger_mile_EV]],9,FALSE),"")</f>
        <v>0</v>
      </c>
      <c r="L95" s="57">
        <f>IFERROR(VLOOKUP($A95&amp;"-"&amp;TEXT($B95+19,0),md[[routeC]:[passenger_mile_EV]],10,FALSE),"")</f>
        <v>0</v>
      </c>
      <c r="M95" s="57">
        <f>IFERROR(VLOOKUP($A95&amp;"-"&amp;TEXT($B95+19,0),md[[routeC]:[passenger_mile_EV]],11,FALSE),"")</f>
        <v>0</v>
      </c>
      <c r="N95" s="57">
        <f>IFERROR(VLOOKUP($A95&amp;"-"&amp;TEXT($B95+19,0),md[[routeC]:[passenger_mile_EV]],12,FALSE),"")</f>
        <v>0</v>
      </c>
      <c r="O95" s="57">
        <f>IFERROR(VLOOKUP($A95&amp;"-"&amp;TEXT($B95+19,0),md[[routeC]:[passenger_mile_EV]],13,FALSE),"")</f>
        <v>0</v>
      </c>
      <c r="P95" s="57">
        <f t="shared" si="12"/>
        <v>0</v>
      </c>
      <c r="Q95" s="224">
        <f t="shared" si="13"/>
        <v>-1</v>
      </c>
      <c r="R95" s="237">
        <f t="shared" si="14"/>
        <v>3215996.6223999998</v>
      </c>
    </row>
    <row r="96" spans="1:18" x14ac:dyDescent="0.3">
      <c r="A96" s="5">
        <v>816</v>
      </c>
      <c r="B96" s="5">
        <v>10</v>
      </c>
      <c r="C96" s="5" t="s">
        <v>0</v>
      </c>
      <c r="D96" s="5">
        <v>5</v>
      </c>
      <c r="E96" s="10">
        <f>VLOOKUP($A96,observed!$C$2:$P$139,10,FALSE)</f>
        <v>103.71462500000003</v>
      </c>
      <c r="F96" s="10">
        <f>VLOOKUP($A96,observed!$C$2:$P$139,11,FALSE)</f>
        <v>669.93853008021381</v>
      </c>
      <c r="G96" s="10">
        <f>VLOOKUP($A96,observed!$C$2:$P$139,12,FALSE)</f>
        <v>2004.4569786096238</v>
      </c>
      <c r="H96" s="10">
        <f>VLOOKUP($A96,observed!$C$2:$P$139,13,FALSE)</f>
        <v>824.31617881016314</v>
      </c>
      <c r="I96" s="10">
        <f>VLOOKUP($A96,observed!$C$2:$P$139,14,FALSE)</f>
        <v>31.223687499999301</v>
      </c>
      <c r="J96" s="10">
        <f t="shared" si="11"/>
        <v>3633.65</v>
      </c>
      <c r="K96" s="57">
        <f>IFERROR(VLOOKUP($A96&amp;"-"&amp;TEXT($B96+19,0),md[[routeC]:[passenger_mile_EV]],9,FALSE),"")</f>
        <v>0</v>
      </c>
      <c r="L96" s="57">
        <f>IFERROR(VLOOKUP($A96&amp;"-"&amp;TEXT($B96+19,0),md[[routeC]:[passenger_mile_EV]],10,FALSE),"")</f>
        <v>0</v>
      </c>
      <c r="M96" s="57">
        <f>IFERROR(VLOOKUP($A96&amp;"-"&amp;TEXT($B96+19,0),md[[routeC]:[passenger_mile_EV]],11,FALSE),"")</f>
        <v>0</v>
      </c>
      <c r="N96" s="57">
        <f>IFERROR(VLOOKUP($A96&amp;"-"&amp;TEXT($B96+19,0),md[[routeC]:[passenger_mile_EV]],12,FALSE),"")</f>
        <v>0</v>
      </c>
      <c r="O96" s="57">
        <f>IFERROR(VLOOKUP($A96&amp;"-"&amp;TEXT($B96+19,0),md[[routeC]:[passenger_mile_EV]],13,FALSE),"")</f>
        <v>0</v>
      </c>
      <c r="P96" s="57">
        <f t="shared" si="12"/>
        <v>0</v>
      </c>
      <c r="Q96" s="224">
        <f t="shared" si="13"/>
        <v>-1</v>
      </c>
      <c r="R96" s="237">
        <f t="shared" si="14"/>
        <v>13203412.3225</v>
      </c>
    </row>
    <row r="97" spans="1:18" x14ac:dyDescent="0.3">
      <c r="A97" s="5">
        <v>832</v>
      </c>
      <c r="B97" s="5">
        <v>10</v>
      </c>
      <c r="C97" s="5" t="s">
        <v>0</v>
      </c>
      <c r="D97" s="5">
        <v>5</v>
      </c>
      <c r="E97" s="10">
        <f>VLOOKUP($A97,observed!$C$2:$P$139,10,FALSE)</f>
        <v>0</v>
      </c>
      <c r="F97" s="10">
        <f>VLOOKUP($A97,observed!$C$2:$P$139,11,FALSE)</f>
        <v>224.04000000000002</v>
      </c>
      <c r="G97" s="10">
        <f>VLOOKUP($A97,observed!$C$2:$P$139,12,FALSE)</f>
        <v>472.23</v>
      </c>
      <c r="H97" s="10">
        <f>VLOOKUP($A97,observed!$C$2:$P$139,13,FALSE)</f>
        <v>226.13</v>
      </c>
      <c r="I97" s="10">
        <f>VLOOKUP($A97,observed!$C$2:$P$139,14,FALSE)</f>
        <v>0</v>
      </c>
      <c r="J97" s="10">
        <f t="shared" si="11"/>
        <v>922.4</v>
      </c>
      <c r="K97" s="57">
        <f>IFERROR(VLOOKUP($A97&amp;"-"&amp;TEXT($B97+19,0),md[[routeC]:[passenger_mile_EV]],9,FALSE),"")</f>
        <v>0</v>
      </c>
      <c r="L97" s="57">
        <f>IFERROR(VLOOKUP($A97&amp;"-"&amp;TEXT($B97+19,0),md[[routeC]:[passenger_mile_EV]],10,FALSE),"")</f>
        <v>0</v>
      </c>
      <c r="M97" s="57">
        <f>IFERROR(VLOOKUP($A97&amp;"-"&amp;TEXT($B97+19,0),md[[routeC]:[passenger_mile_EV]],11,FALSE),"")</f>
        <v>0</v>
      </c>
      <c r="N97" s="57">
        <f>IFERROR(VLOOKUP($A97&amp;"-"&amp;TEXT($B97+19,0),md[[routeC]:[passenger_mile_EV]],12,FALSE),"")</f>
        <v>0</v>
      </c>
      <c r="O97" s="57">
        <f>IFERROR(VLOOKUP($A97&amp;"-"&amp;TEXT($B97+19,0),md[[routeC]:[passenger_mile_EV]],13,FALSE),"")</f>
        <v>0</v>
      </c>
      <c r="P97" s="57">
        <f t="shared" si="12"/>
        <v>0</v>
      </c>
      <c r="Q97" s="224">
        <f t="shared" si="13"/>
        <v>-1</v>
      </c>
      <c r="R97" s="237">
        <f t="shared" si="14"/>
        <v>850821.76</v>
      </c>
    </row>
    <row r="98" spans="1:18" x14ac:dyDescent="0.3">
      <c r="A98" s="5">
        <v>833</v>
      </c>
      <c r="B98" s="5">
        <v>10</v>
      </c>
      <c r="C98" s="5" t="s">
        <v>0</v>
      </c>
      <c r="D98" s="5">
        <v>5</v>
      </c>
      <c r="E98" s="10">
        <f>VLOOKUP($A98,observed!$C$2:$P$139,10,FALSE)</f>
        <v>39.177777777777706</v>
      </c>
      <c r="F98" s="10">
        <f>VLOOKUP($A98,observed!$C$2:$P$139,11,FALSE)</f>
        <v>393.10200716845867</v>
      </c>
      <c r="G98" s="10">
        <f>VLOOKUP($A98,observed!$C$2:$P$139,12,FALSE)</f>
        <v>772.47798545224464</v>
      </c>
      <c r="H98" s="10">
        <f>VLOOKUP($A98,observed!$C$2:$P$139,13,FALSE)</f>
        <v>378.29222960151913</v>
      </c>
      <c r="I98" s="10">
        <f>VLOOKUP($A98,observed!$C$2:$P$139,14,FALSE)</f>
        <v>0</v>
      </c>
      <c r="J98" s="10">
        <f t="shared" si="11"/>
        <v>1583.0500000000002</v>
      </c>
      <c r="K98" s="57">
        <f>IFERROR(VLOOKUP($A98&amp;"-"&amp;TEXT($B98+19,0),md[[routeC]:[passenger_mile_EV]],9,FALSE),"")</f>
        <v>0</v>
      </c>
      <c r="L98" s="57">
        <f>IFERROR(VLOOKUP($A98&amp;"-"&amp;TEXT($B98+19,0),md[[routeC]:[passenger_mile_EV]],10,FALSE),"")</f>
        <v>0</v>
      </c>
      <c r="M98" s="57">
        <f>IFERROR(VLOOKUP($A98&amp;"-"&amp;TEXT($B98+19,0),md[[routeC]:[passenger_mile_EV]],11,FALSE),"")</f>
        <v>0</v>
      </c>
      <c r="N98" s="57">
        <f>IFERROR(VLOOKUP($A98&amp;"-"&amp;TEXT($B98+19,0),md[[routeC]:[passenger_mile_EV]],12,FALSE),"")</f>
        <v>0</v>
      </c>
      <c r="O98" s="57">
        <f>IFERROR(VLOOKUP($A98&amp;"-"&amp;TEXT($B98+19,0),md[[routeC]:[passenger_mile_EV]],13,FALSE),"")</f>
        <v>0</v>
      </c>
      <c r="P98" s="57">
        <f t="shared" si="12"/>
        <v>0</v>
      </c>
      <c r="Q98" s="224">
        <f t="shared" si="13"/>
        <v>-1</v>
      </c>
      <c r="R98" s="237">
        <f t="shared" si="14"/>
        <v>2506047.3025000007</v>
      </c>
    </row>
    <row r="99" spans="1:18" x14ac:dyDescent="0.3">
      <c r="A99" s="5">
        <v>834</v>
      </c>
      <c r="B99" s="5">
        <v>10</v>
      </c>
      <c r="C99" s="5" t="s">
        <v>0</v>
      </c>
      <c r="D99" s="5">
        <v>5</v>
      </c>
      <c r="E99" s="10">
        <f>VLOOKUP($A99,observed!$C$2:$P$139,10,FALSE)</f>
        <v>0</v>
      </c>
      <c r="F99" s="10">
        <f>VLOOKUP($A99,observed!$C$2:$P$139,11,FALSE)</f>
        <v>177.4</v>
      </c>
      <c r="G99" s="10">
        <f>VLOOKUP($A99,observed!$C$2:$P$139,12,FALSE)</f>
        <v>303.10999999999899</v>
      </c>
      <c r="H99" s="10">
        <f>VLOOKUP($A99,observed!$C$2:$P$139,13,FALSE)</f>
        <v>1.0017964235942144E-12</v>
      </c>
      <c r="I99" s="10">
        <f>VLOOKUP($A99,observed!$C$2:$P$139,14,FALSE)</f>
        <v>0</v>
      </c>
      <c r="J99" s="10">
        <f t="shared" si="11"/>
        <v>480.51</v>
      </c>
      <c r="K99" s="57">
        <f>IFERROR(VLOOKUP($A99&amp;"-"&amp;TEXT($B99+19,0),md[[routeC]:[passenger_mile_EV]],9,FALSE),"")</f>
        <v>0</v>
      </c>
      <c r="L99" s="57">
        <f>IFERROR(VLOOKUP($A99&amp;"-"&amp;TEXT($B99+19,0),md[[routeC]:[passenger_mile_EV]],10,FALSE),"")</f>
        <v>0</v>
      </c>
      <c r="M99" s="57">
        <f>IFERROR(VLOOKUP($A99&amp;"-"&amp;TEXT($B99+19,0),md[[routeC]:[passenger_mile_EV]],11,FALSE),"")</f>
        <v>0</v>
      </c>
      <c r="N99" s="57">
        <f>IFERROR(VLOOKUP($A99&amp;"-"&amp;TEXT($B99+19,0),md[[routeC]:[passenger_mile_EV]],12,FALSE),"")</f>
        <v>0</v>
      </c>
      <c r="O99" s="57">
        <f>IFERROR(VLOOKUP($A99&amp;"-"&amp;TEXT($B99+19,0),md[[routeC]:[passenger_mile_EV]],13,FALSE),"")</f>
        <v>0</v>
      </c>
      <c r="P99" s="57">
        <f>SUM(K99:O99)</f>
        <v>0</v>
      </c>
      <c r="Q99" s="224">
        <f t="shared" si="13"/>
        <v>-1</v>
      </c>
      <c r="R99" s="237">
        <f t="shared" si="14"/>
        <v>230889.86009999999</v>
      </c>
    </row>
    <row r="100" spans="1:18" x14ac:dyDescent="0.3">
      <c r="A100" s="5">
        <v>848</v>
      </c>
      <c r="B100" s="5">
        <v>10</v>
      </c>
      <c r="C100" s="5" t="s">
        <v>0</v>
      </c>
      <c r="D100" s="5">
        <v>5</v>
      </c>
      <c r="E100" s="10">
        <f>VLOOKUP($A100,observed!$C$2:$P$139,10,FALSE)</f>
        <v>189.47032258064507</v>
      </c>
      <c r="F100" s="10">
        <f>VLOOKUP($A100,observed!$C$2:$P$139,11,FALSE)</f>
        <v>1094.6906625980816</v>
      </c>
      <c r="G100" s="10">
        <f>VLOOKUP($A100,observed!$C$2:$P$139,12,FALSE)</f>
        <v>2176.081923246179</v>
      </c>
      <c r="H100" s="10">
        <f>VLOOKUP($A100,observed!$C$2:$P$139,13,FALSE)</f>
        <v>1191.559524007529</v>
      </c>
      <c r="I100" s="10">
        <f>VLOOKUP($A100,observed!$C$2:$P$139,14,FALSE)</f>
        <v>516.27756756756537</v>
      </c>
      <c r="J100" s="10">
        <f t="shared" si="11"/>
        <v>5168.08</v>
      </c>
      <c r="K100" s="57">
        <f>IFERROR(VLOOKUP($A100&amp;"-"&amp;TEXT($B100+19,0),md[[routeC]:[passenger_mile_EV]],9,FALSE),"")</f>
        <v>0</v>
      </c>
      <c r="L100" s="57">
        <f>IFERROR(VLOOKUP($A100&amp;"-"&amp;TEXT($B100+19,0),md[[routeC]:[passenger_mile_EV]],10,FALSE),"")</f>
        <v>0</v>
      </c>
      <c r="M100" s="57">
        <f>IFERROR(VLOOKUP($A100&amp;"-"&amp;TEXT($B100+19,0),md[[routeC]:[passenger_mile_EV]],11,FALSE),"")</f>
        <v>0</v>
      </c>
      <c r="N100" s="57">
        <f>IFERROR(VLOOKUP($A100&amp;"-"&amp;TEXT($B100+19,0),md[[routeC]:[passenger_mile_EV]],12,FALSE),"")</f>
        <v>0</v>
      </c>
      <c r="O100" s="57">
        <f>IFERROR(VLOOKUP($A100&amp;"-"&amp;TEXT($B100+19,0),md[[routeC]:[passenger_mile_EV]],13,FALSE),"")</f>
        <v>0</v>
      </c>
      <c r="P100" s="57">
        <f t="shared" si="12"/>
        <v>0</v>
      </c>
      <c r="Q100" s="224">
        <f t="shared" si="13"/>
        <v>-1</v>
      </c>
      <c r="R100" s="237">
        <f t="shared" si="14"/>
        <v>26709050.886399999</v>
      </c>
    </row>
    <row r="101" spans="1:18" x14ac:dyDescent="0.3">
      <c r="A101" s="5">
        <v>851</v>
      </c>
      <c r="B101" s="5">
        <v>10</v>
      </c>
      <c r="C101" s="5" t="s">
        <v>0</v>
      </c>
      <c r="D101" s="5">
        <v>5</v>
      </c>
      <c r="E101" s="10">
        <f>VLOOKUP($A101,observed!$C$2:$P$139,10,FALSE)</f>
        <v>27.29000000000002</v>
      </c>
      <c r="F101" s="10">
        <f>VLOOKUP($A101,observed!$C$2:$P$139,11,FALSE)</f>
        <v>345.36111111111114</v>
      </c>
      <c r="G101" s="10">
        <f>VLOOKUP($A101,observed!$C$2:$P$139,12,FALSE)</f>
        <v>453.18888888888875</v>
      </c>
      <c r="H101" s="10">
        <f>VLOOKUP($A101,observed!$C$2:$P$139,13,FALSE)</f>
        <v>557.62</v>
      </c>
      <c r="I101" s="10">
        <f>VLOOKUP($A101,observed!$C$2:$P$139,14,FALSE)</f>
        <v>0</v>
      </c>
      <c r="J101" s="10">
        <f t="shared" si="11"/>
        <v>1383.46</v>
      </c>
      <c r="K101" s="57">
        <f>IFERROR(VLOOKUP($A101&amp;"-"&amp;TEXT($B101+19,0),md[[routeC]:[passenger_mile_EV]],9,FALSE),"")</f>
        <v>0</v>
      </c>
      <c r="L101" s="57">
        <f>IFERROR(VLOOKUP($A101&amp;"-"&amp;TEXT($B101+19,0),md[[routeC]:[passenger_mile_EV]],10,FALSE),"")</f>
        <v>0</v>
      </c>
      <c r="M101" s="57">
        <f>IFERROR(VLOOKUP($A101&amp;"-"&amp;TEXT($B101+19,0),md[[routeC]:[passenger_mile_EV]],11,FALSE),"")</f>
        <v>0</v>
      </c>
      <c r="N101" s="57">
        <f>IFERROR(VLOOKUP($A101&amp;"-"&amp;TEXT($B101+19,0),md[[routeC]:[passenger_mile_EV]],12,FALSE),"")</f>
        <v>0</v>
      </c>
      <c r="O101" s="57">
        <f>IFERROR(VLOOKUP($A101&amp;"-"&amp;TEXT($B101+19,0),md[[routeC]:[passenger_mile_EV]],13,FALSE),"")</f>
        <v>0</v>
      </c>
      <c r="P101" s="57">
        <f t="shared" si="12"/>
        <v>0</v>
      </c>
      <c r="Q101" s="224">
        <f t="shared" si="13"/>
        <v>-1</v>
      </c>
      <c r="R101" s="237">
        <f t="shared" si="14"/>
        <v>1913961.5716000001</v>
      </c>
    </row>
    <row r="102" spans="1:18" x14ac:dyDescent="0.3">
      <c r="A102" s="5">
        <v>854</v>
      </c>
      <c r="B102" s="5">
        <v>10</v>
      </c>
      <c r="C102" s="5" t="s">
        <v>0</v>
      </c>
      <c r="D102" s="5">
        <v>5</v>
      </c>
      <c r="E102" s="10">
        <f>VLOOKUP($A102,observed!$C$2:$P$139,10,FALSE)</f>
        <v>23.693000000000001</v>
      </c>
      <c r="F102" s="10">
        <f>VLOOKUP($A102,observed!$C$2:$P$139,11,FALSE)</f>
        <v>477.26927272727272</v>
      </c>
      <c r="G102" s="10">
        <f>VLOOKUP($A102,observed!$C$2:$P$139,12,FALSE)</f>
        <v>1467.6531818181811</v>
      </c>
      <c r="H102" s="10">
        <f>VLOOKUP($A102,observed!$C$2:$P$139,13,FALSE)</f>
        <v>562.492045454547</v>
      </c>
      <c r="I102" s="10">
        <f>VLOOKUP($A102,observed!$C$2:$P$139,14,FALSE)</f>
        <v>201.93249999999918</v>
      </c>
      <c r="J102" s="10">
        <f t="shared" si="11"/>
        <v>2733.04</v>
      </c>
      <c r="K102" s="57">
        <f>IFERROR(VLOOKUP($A102&amp;"-"&amp;TEXT($B102+19,0),md[[routeC]:[passenger_mile_EV]],9,FALSE),"")</f>
        <v>0</v>
      </c>
      <c r="L102" s="57">
        <f>IFERROR(VLOOKUP($A102&amp;"-"&amp;TEXT($B102+19,0),md[[routeC]:[passenger_mile_EV]],10,FALSE),"")</f>
        <v>0</v>
      </c>
      <c r="M102" s="57">
        <f>IFERROR(VLOOKUP($A102&amp;"-"&amp;TEXT($B102+19,0),md[[routeC]:[passenger_mile_EV]],11,FALSE),"")</f>
        <v>0</v>
      </c>
      <c r="N102" s="57">
        <f>IFERROR(VLOOKUP($A102&amp;"-"&amp;TEXT($B102+19,0),md[[routeC]:[passenger_mile_EV]],12,FALSE),"")</f>
        <v>0</v>
      </c>
      <c r="O102" s="57">
        <f>IFERROR(VLOOKUP($A102&amp;"-"&amp;TEXT($B102+19,0),md[[routeC]:[passenger_mile_EV]],13,FALSE),"")</f>
        <v>0</v>
      </c>
      <c r="P102" s="57">
        <f t="shared" si="12"/>
        <v>0</v>
      </c>
      <c r="Q102" s="224">
        <f t="shared" si="13"/>
        <v>-1</v>
      </c>
      <c r="R102" s="237">
        <f t="shared" si="14"/>
        <v>7469507.6415999997</v>
      </c>
    </row>
    <row r="103" spans="1:18" x14ac:dyDescent="0.3">
      <c r="A103" s="5">
        <v>855</v>
      </c>
      <c r="B103" s="5">
        <v>10</v>
      </c>
      <c r="C103" s="5" t="s">
        <v>0</v>
      </c>
      <c r="D103" s="5">
        <v>5</v>
      </c>
      <c r="E103" s="10">
        <f>VLOOKUP($A103,observed!$C$2:$P$139,10,FALSE)</f>
        <v>55.21</v>
      </c>
      <c r="F103" s="10">
        <f>VLOOKUP($A103,observed!$C$2:$P$139,11,FALSE)</f>
        <v>553.68000000000006</v>
      </c>
      <c r="G103" s="10">
        <f>VLOOKUP($A103,observed!$C$2:$P$139,12,FALSE)</f>
        <v>992.93999999999994</v>
      </c>
      <c r="H103" s="10">
        <f>VLOOKUP($A103,observed!$C$2:$P$139,13,FALSE)</f>
        <v>545.46</v>
      </c>
      <c r="I103" s="10">
        <f>VLOOKUP($A103,observed!$C$2:$P$139,14,FALSE)</f>
        <v>227.58</v>
      </c>
      <c r="J103" s="10">
        <f t="shared" si="11"/>
        <v>2374.87</v>
      </c>
      <c r="K103" s="57">
        <f>IFERROR(VLOOKUP($A103&amp;"-"&amp;TEXT($B103+19,0),md[[routeC]:[passenger_mile_EV]],9,FALSE),"")</f>
        <v>0</v>
      </c>
      <c r="L103" s="57">
        <f>IFERROR(VLOOKUP($A103&amp;"-"&amp;TEXT($B103+19,0),md[[routeC]:[passenger_mile_EV]],10,FALSE),"")</f>
        <v>0</v>
      </c>
      <c r="M103" s="57">
        <f>IFERROR(VLOOKUP($A103&amp;"-"&amp;TEXT($B103+19,0),md[[routeC]:[passenger_mile_EV]],11,FALSE),"")</f>
        <v>0</v>
      </c>
      <c r="N103" s="57">
        <f>IFERROR(VLOOKUP($A103&amp;"-"&amp;TEXT($B103+19,0),md[[routeC]:[passenger_mile_EV]],12,FALSE),"")</f>
        <v>0</v>
      </c>
      <c r="O103" s="57">
        <f>IFERROR(VLOOKUP($A103&amp;"-"&amp;TEXT($B103+19,0),md[[routeC]:[passenger_mile_EV]],13,FALSE),"")</f>
        <v>0</v>
      </c>
      <c r="P103" s="57">
        <f t="shared" si="12"/>
        <v>0</v>
      </c>
      <c r="Q103" s="224">
        <f t="shared" si="13"/>
        <v>-1</v>
      </c>
      <c r="R103" s="237">
        <f t="shared" si="14"/>
        <v>5640007.5168999992</v>
      </c>
    </row>
    <row r="104" spans="1:18" x14ac:dyDescent="0.3">
      <c r="A104" s="5">
        <v>856</v>
      </c>
      <c r="B104" s="5">
        <v>10</v>
      </c>
      <c r="C104" s="5" t="s">
        <v>0</v>
      </c>
      <c r="D104" s="5">
        <v>5</v>
      </c>
      <c r="E104" s="10">
        <f>VLOOKUP($A104,observed!$C$2:$P$139,10,FALSE)</f>
        <v>362.20335813366978</v>
      </c>
      <c r="F104" s="10">
        <f>VLOOKUP($A104,observed!$C$2:$P$139,11,FALSE)</f>
        <v>2265.2100885575064</v>
      </c>
      <c r="G104" s="10">
        <f>VLOOKUP($A104,observed!$C$2:$P$139,12,FALSE)</f>
        <v>4503.8260564387083</v>
      </c>
      <c r="H104" s="10">
        <f>VLOOKUP($A104,observed!$C$2:$P$139,13,FALSE)</f>
        <v>2241.043330541821</v>
      </c>
      <c r="I104" s="10">
        <f>VLOOKUP($A104,observed!$C$2:$P$139,14,FALSE)</f>
        <v>914.9271663282932</v>
      </c>
      <c r="J104" s="10">
        <f t="shared" si="11"/>
        <v>10287.209999999999</v>
      </c>
      <c r="K104" s="57">
        <f>IFERROR(VLOOKUP($A104&amp;"-"&amp;TEXT($B104+19,0),md[[routeC]:[passenger_mile_EV]],9,FALSE),"")</f>
        <v>0</v>
      </c>
      <c r="L104" s="57">
        <f>IFERROR(VLOOKUP($A104&amp;"-"&amp;TEXT($B104+19,0),md[[routeC]:[passenger_mile_EV]],10,FALSE),"")</f>
        <v>0</v>
      </c>
      <c r="M104" s="57">
        <f>IFERROR(VLOOKUP($A104&amp;"-"&amp;TEXT($B104+19,0),md[[routeC]:[passenger_mile_EV]],11,FALSE),"")</f>
        <v>0</v>
      </c>
      <c r="N104" s="57">
        <f>IFERROR(VLOOKUP($A104&amp;"-"&amp;TEXT($B104+19,0),md[[routeC]:[passenger_mile_EV]],12,FALSE),"")</f>
        <v>0</v>
      </c>
      <c r="O104" s="57">
        <f>IFERROR(VLOOKUP($A104&amp;"-"&amp;TEXT($B104+19,0),md[[routeC]:[passenger_mile_EV]],13,FALSE),"")</f>
        <v>0</v>
      </c>
      <c r="P104" s="57">
        <f t="shared" si="12"/>
        <v>0</v>
      </c>
      <c r="Q104" s="224">
        <f t="shared" si="13"/>
        <v>-1</v>
      </c>
      <c r="R104" s="237">
        <f t="shared" si="14"/>
        <v>105826689.58409998</v>
      </c>
    </row>
    <row r="105" spans="1:18" x14ac:dyDescent="0.3">
      <c r="A105" s="5">
        <v>864</v>
      </c>
      <c r="B105" s="5">
        <v>10</v>
      </c>
      <c r="C105" s="5" t="s">
        <v>0</v>
      </c>
      <c r="D105" s="5">
        <v>5</v>
      </c>
      <c r="E105" s="10">
        <f>VLOOKUP($A105,observed!$C$2:$P$139,10,FALSE)</f>
        <v>326.23894736842118</v>
      </c>
      <c r="F105" s="10">
        <f>VLOOKUP($A105,observed!$C$2:$P$139,11,FALSE)</f>
        <v>2066.3781002506262</v>
      </c>
      <c r="G105" s="10">
        <f>VLOOKUP($A105,observed!$C$2:$P$139,12,FALSE)</f>
        <v>3236.9802077625523</v>
      </c>
      <c r="H105" s="10">
        <f>VLOOKUP($A105,observed!$C$2:$P$139,13,FALSE)</f>
        <v>1893.9034708507972</v>
      </c>
      <c r="I105" s="10">
        <f>VLOOKUP($A105,observed!$C$2:$P$139,14,FALSE)</f>
        <v>1456.4392737676021</v>
      </c>
      <c r="J105" s="10">
        <f t="shared" si="11"/>
        <v>8979.9399999999987</v>
      </c>
      <c r="K105" s="57">
        <f>IFERROR(VLOOKUP($A105&amp;"-"&amp;TEXT($B105+19,0),md[[routeC]:[passenger_mile_EV]],9,FALSE),"")</f>
        <v>0</v>
      </c>
      <c r="L105" s="57">
        <f>IFERROR(VLOOKUP($A105&amp;"-"&amp;TEXT($B105+19,0),md[[routeC]:[passenger_mile_EV]],10,FALSE),"")</f>
        <v>0</v>
      </c>
      <c r="M105" s="57">
        <f>IFERROR(VLOOKUP($A105&amp;"-"&amp;TEXT($B105+19,0),md[[routeC]:[passenger_mile_EV]],11,FALSE),"")</f>
        <v>0</v>
      </c>
      <c r="N105" s="57">
        <f>IFERROR(VLOOKUP($A105&amp;"-"&amp;TEXT($B105+19,0),md[[routeC]:[passenger_mile_EV]],12,FALSE),"")</f>
        <v>0</v>
      </c>
      <c r="O105" s="57">
        <f>IFERROR(VLOOKUP($A105&amp;"-"&amp;TEXT($B105+19,0),md[[routeC]:[passenger_mile_EV]],13,FALSE),"")</f>
        <v>0</v>
      </c>
      <c r="P105" s="57">
        <f t="shared" si="12"/>
        <v>0</v>
      </c>
      <c r="Q105" s="224">
        <f t="shared" si="13"/>
        <v>-1</v>
      </c>
      <c r="R105" s="237">
        <f t="shared" si="14"/>
        <v>80639322.403599977</v>
      </c>
    </row>
    <row r="106" spans="1:18" x14ac:dyDescent="0.3">
      <c r="A106" s="5">
        <v>871</v>
      </c>
      <c r="B106" s="5">
        <v>10</v>
      </c>
      <c r="C106" s="5" t="s">
        <v>0</v>
      </c>
      <c r="D106" s="5">
        <v>5</v>
      </c>
      <c r="E106" s="10">
        <f>VLOOKUP($A106,observed!$C$2:$P$139,10,FALSE)</f>
        <v>9.98</v>
      </c>
      <c r="F106" s="10">
        <f>VLOOKUP($A106,observed!$C$2:$P$139,11,FALSE)</f>
        <v>82.75</v>
      </c>
      <c r="G106" s="10">
        <f>VLOOKUP($A106,observed!$C$2:$P$139,12,FALSE)</f>
        <v>279.53999999999928</v>
      </c>
      <c r="H106" s="10">
        <f>VLOOKUP($A106,observed!$C$2:$P$139,13,FALSE)</f>
        <v>153.06000000000071</v>
      </c>
      <c r="I106" s="10">
        <f>VLOOKUP($A106,observed!$C$2:$P$139,14,FALSE)</f>
        <v>93.41</v>
      </c>
      <c r="J106" s="10">
        <f t="shared" si="11"/>
        <v>618.74</v>
      </c>
      <c r="K106" s="57">
        <f>IFERROR(VLOOKUP($A106&amp;"-"&amp;TEXT($B106+19,0),md[[routeC]:[passenger_mile_EV]],9,FALSE),"")</f>
        <v>0</v>
      </c>
      <c r="L106" s="57">
        <f>IFERROR(VLOOKUP($A106&amp;"-"&amp;TEXT($B106+19,0),md[[routeC]:[passenger_mile_EV]],10,FALSE),"")</f>
        <v>0</v>
      </c>
      <c r="M106" s="57">
        <f>IFERROR(VLOOKUP($A106&amp;"-"&amp;TEXT($B106+19,0),md[[routeC]:[passenger_mile_EV]],11,FALSE),"")</f>
        <v>0</v>
      </c>
      <c r="N106" s="57">
        <f>IFERROR(VLOOKUP($A106&amp;"-"&amp;TEXT($B106+19,0),md[[routeC]:[passenger_mile_EV]],12,FALSE),"")</f>
        <v>0</v>
      </c>
      <c r="O106" s="57">
        <f>IFERROR(VLOOKUP($A106&amp;"-"&amp;TEXT($B106+19,0),md[[routeC]:[passenger_mile_EV]],13,FALSE),"")</f>
        <v>0</v>
      </c>
      <c r="P106" s="57">
        <f t="shared" si="12"/>
        <v>0</v>
      </c>
      <c r="Q106" s="224">
        <f t="shared" si="13"/>
        <v>-1</v>
      </c>
      <c r="R106" s="237">
        <f t="shared" si="14"/>
        <v>382839.1876</v>
      </c>
    </row>
    <row r="107" spans="1:18" x14ac:dyDescent="0.3">
      <c r="A107" s="5">
        <v>872</v>
      </c>
      <c r="B107" s="5">
        <v>10</v>
      </c>
      <c r="C107" s="5" t="s">
        <v>0</v>
      </c>
      <c r="D107" s="5">
        <v>5</v>
      </c>
      <c r="E107" s="10">
        <f>VLOOKUP($A107,observed!$C$2:$P$139,10,FALSE)</f>
        <v>0</v>
      </c>
      <c r="F107" s="10">
        <f>VLOOKUP($A107,observed!$C$2:$P$139,11,FALSE)</f>
        <v>47.723333333333358</v>
      </c>
      <c r="G107" s="10">
        <f>VLOOKUP($A107,observed!$C$2:$P$139,12,FALSE)</f>
        <v>191.45666666666665</v>
      </c>
      <c r="H107" s="10">
        <f>VLOOKUP($A107,observed!$C$2:$P$139,13,FALSE)</f>
        <v>80.759565217391625</v>
      </c>
      <c r="I107" s="10">
        <f>VLOOKUP($A107,observed!$C$2:$P$139,14,FALSE)</f>
        <v>83.990434782608375</v>
      </c>
      <c r="J107" s="10">
        <f t="shared" si="11"/>
        <v>403.93</v>
      </c>
      <c r="K107" s="57">
        <f>IFERROR(VLOOKUP($A107&amp;"-"&amp;TEXT($B107+19,0),md[[routeC]:[passenger_mile_EV]],9,FALSE),"")</f>
        <v>0</v>
      </c>
      <c r="L107" s="57">
        <f>IFERROR(VLOOKUP($A107&amp;"-"&amp;TEXT($B107+19,0),md[[routeC]:[passenger_mile_EV]],10,FALSE),"")</f>
        <v>0</v>
      </c>
      <c r="M107" s="57">
        <f>IFERROR(VLOOKUP($A107&amp;"-"&amp;TEXT($B107+19,0),md[[routeC]:[passenger_mile_EV]],11,FALSE),"")</f>
        <v>0</v>
      </c>
      <c r="N107" s="57">
        <f>IFERROR(VLOOKUP($A107&amp;"-"&amp;TEXT($B107+19,0),md[[routeC]:[passenger_mile_EV]],12,FALSE),"")</f>
        <v>0</v>
      </c>
      <c r="O107" s="57">
        <f>IFERROR(VLOOKUP($A107&amp;"-"&amp;TEXT($B107+19,0),md[[routeC]:[passenger_mile_EV]],13,FALSE),"")</f>
        <v>0</v>
      </c>
      <c r="P107" s="57">
        <f t="shared" si="12"/>
        <v>0</v>
      </c>
      <c r="Q107" s="224">
        <f t="shared" si="13"/>
        <v>-1</v>
      </c>
      <c r="R107" s="237">
        <f t="shared" si="14"/>
        <v>163159.4449</v>
      </c>
    </row>
    <row r="108" spans="1:18" x14ac:dyDescent="0.3">
      <c r="A108" s="5">
        <v>874</v>
      </c>
      <c r="B108" s="5">
        <v>10</v>
      </c>
      <c r="C108" s="5" t="s">
        <v>0</v>
      </c>
      <c r="D108" s="5">
        <v>5</v>
      </c>
      <c r="E108" s="10">
        <f>VLOOKUP($A108,observed!$C$2:$P$139,10,FALSE)</f>
        <v>40.169999999999973</v>
      </c>
      <c r="F108" s="10">
        <f>VLOOKUP($A108,observed!$C$2:$P$139,11,FALSE)</f>
        <v>408.52803921568636</v>
      </c>
      <c r="G108" s="10">
        <f>VLOOKUP($A108,observed!$C$2:$P$139,12,FALSE)</f>
        <v>1310.6465904139416</v>
      </c>
      <c r="H108" s="10">
        <f>VLOOKUP($A108,observed!$C$2:$P$139,13,FALSE)</f>
        <v>532.94162037037256</v>
      </c>
      <c r="I108" s="10">
        <f>VLOOKUP($A108,observed!$C$2:$P$139,14,FALSE)</f>
        <v>262.71374999999938</v>
      </c>
      <c r="J108" s="10">
        <f t="shared" si="11"/>
        <v>2555</v>
      </c>
      <c r="K108" s="57">
        <f>IFERROR(VLOOKUP($A108&amp;"-"&amp;TEXT($B108+19,0),md[[routeC]:[passenger_mile_EV]],9,FALSE),"")</f>
        <v>0</v>
      </c>
      <c r="L108" s="57">
        <f>IFERROR(VLOOKUP($A108&amp;"-"&amp;TEXT($B108+19,0),md[[routeC]:[passenger_mile_EV]],10,FALSE),"")</f>
        <v>0</v>
      </c>
      <c r="M108" s="57">
        <f>IFERROR(VLOOKUP($A108&amp;"-"&amp;TEXT($B108+19,0),md[[routeC]:[passenger_mile_EV]],11,FALSE),"")</f>
        <v>0</v>
      </c>
      <c r="N108" s="57">
        <f>IFERROR(VLOOKUP($A108&amp;"-"&amp;TEXT($B108+19,0),md[[routeC]:[passenger_mile_EV]],12,FALSE),"")</f>
        <v>0</v>
      </c>
      <c r="O108" s="57">
        <f>IFERROR(VLOOKUP($A108&amp;"-"&amp;TEXT($B108+19,0),md[[routeC]:[passenger_mile_EV]],13,FALSE),"")</f>
        <v>0</v>
      </c>
      <c r="P108" s="57">
        <f t="shared" si="12"/>
        <v>0</v>
      </c>
      <c r="Q108" s="224">
        <f t="shared" si="13"/>
        <v>-1</v>
      </c>
      <c r="R108" s="237">
        <f t="shared" si="14"/>
        <v>6528025</v>
      </c>
    </row>
    <row r="109" spans="1:18" x14ac:dyDescent="0.3">
      <c r="A109" s="5">
        <v>875</v>
      </c>
      <c r="B109" s="5">
        <v>10</v>
      </c>
      <c r="C109" s="5" t="s">
        <v>0</v>
      </c>
      <c r="D109" s="5">
        <v>5</v>
      </c>
      <c r="E109" s="10">
        <f>VLOOKUP($A109,observed!$C$2:$P$139,10,FALSE)</f>
        <v>0</v>
      </c>
      <c r="F109" s="10">
        <f>VLOOKUP($A109,observed!$C$2:$P$139,11,FALSE)</f>
        <v>415.31470588235311</v>
      </c>
      <c r="G109" s="10">
        <f>VLOOKUP($A109,observed!$C$2:$P$139,12,FALSE)</f>
        <v>1192.0916099071194</v>
      </c>
      <c r="H109" s="10">
        <f>VLOOKUP($A109,observed!$C$2:$P$139,13,FALSE)</f>
        <v>625.00796992481469</v>
      </c>
      <c r="I109" s="10">
        <f>VLOOKUP($A109,observed!$C$2:$P$139,14,FALSE)</f>
        <v>208.29571428571279</v>
      </c>
      <c r="J109" s="10">
        <f t="shared" si="11"/>
        <v>2440.7099999999996</v>
      </c>
      <c r="K109" s="57">
        <f>IFERROR(VLOOKUP($A109&amp;"-"&amp;TEXT($B109+19,0),md[[routeC]:[passenger_mile_EV]],9,FALSE),"")</f>
        <v>0</v>
      </c>
      <c r="L109" s="57">
        <f>IFERROR(VLOOKUP($A109&amp;"-"&amp;TEXT($B109+19,0),md[[routeC]:[passenger_mile_EV]],10,FALSE),"")</f>
        <v>0</v>
      </c>
      <c r="M109" s="57">
        <f>IFERROR(VLOOKUP($A109&amp;"-"&amp;TEXT($B109+19,0),md[[routeC]:[passenger_mile_EV]],11,FALSE),"")</f>
        <v>0</v>
      </c>
      <c r="N109" s="57">
        <f>IFERROR(VLOOKUP($A109&amp;"-"&amp;TEXT($B109+19,0),md[[routeC]:[passenger_mile_EV]],12,FALSE),"")</f>
        <v>0</v>
      </c>
      <c r="O109" s="57">
        <f>IFERROR(VLOOKUP($A109&amp;"-"&amp;TEXT($B109+19,0),md[[routeC]:[passenger_mile_EV]],13,FALSE),"")</f>
        <v>0</v>
      </c>
      <c r="P109" s="57">
        <f t="shared" si="12"/>
        <v>0</v>
      </c>
      <c r="Q109" s="224">
        <f t="shared" si="13"/>
        <v>-1</v>
      </c>
      <c r="R109" s="237">
        <f t="shared" si="14"/>
        <v>5957065.3040999975</v>
      </c>
    </row>
    <row r="110" spans="1:18" x14ac:dyDescent="0.3">
      <c r="A110" s="5">
        <v>901</v>
      </c>
      <c r="B110" s="5">
        <v>10</v>
      </c>
      <c r="C110" s="5" t="s">
        <v>0</v>
      </c>
      <c r="D110" s="5">
        <v>5</v>
      </c>
      <c r="E110" s="10">
        <f>VLOOKUP($A110,observed!$C$2:$P$139,10,FALSE)</f>
        <v>1074.0684927806526</v>
      </c>
      <c r="F110" s="10">
        <f>VLOOKUP($A110,observed!$C$2:$P$139,11,FALSE)</f>
        <v>3638.8422939688298</v>
      </c>
      <c r="G110" s="10">
        <f>VLOOKUP($A110,observed!$C$2:$P$139,12,FALSE)</f>
        <v>6702.8460697905903</v>
      </c>
      <c r="H110" s="10">
        <f>VLOOKUP($A110,observed!$C$2:$P$139,13,FALSE)</f>
        <v>4189.659677276356</v>
      </c>
      <c r="I110" s="10">
        <f>VLOOKUP($A110,observed!$C$2:$P$139,14,FALSE)</f>
        <v>2432.1534661835703</v>
      </c>
      <c r="J110" s="10">
        <f t="shared" si="11"/>
        <v>18037.57</v>
      </c>
      <c r="K110" s="57">
        <f>IFERROR(VLOOKUP($A110&amp;"-"&amp;TEXT($B110+19,0),md[[routeC]:[passenger_mile_EV]],9,FALSE),"")</f>
        <v>0</v>
      </c>
      <c r="L110" s="57">
        <f>IFERROR(VLOOKUP($A110&amp;"-"&amp;TEXT($B110+19,0),md[[routeC]:[passenger_mile_EV]],10,FALSE),"")</f>
        <v>0</v>
      </c>
      <c r="M110" s="57">
        <f>IFERROR(VLOOKUP($A110&amp;"-"&amp;TEXT($B110+19,0),md[[routeC]:[passenger_mile_EV]],11,FALSE),"")</f>
        <v>0</v>
      </c>
      <c r="N110" s="57">
        <f>IFERROR(VLOOKUP($A110&amp;"-"&amp;TEXT($B110+19,0),md[[routeC]:[passenger_mile_EV]],12,FALSE),"")</f>
        <v>0</v>
      </c>
      <c r="O110" s="57">
        <f>IFERROR(VLOOKUP($A110&amp;"-"&amp;TEXT($B110+19,0),md[[routeC]:[passenger_mile_EV]],13,FALSE),"")</f>
        <v>0</v>
      </c>
      <c r="P110" s="57">
        <f t="shared" si="12"/>
        <v>0</v>
      </c>
      <c r="Q110" s="224">
        <f t="shared" si="13"/>
        <v>-1</v>
      </c>
      <c r="R110" s="237">
        <f t="shared" si="14"/>
        <v>325353931.50489998</v>
      </c>
    </row>
    <row r="111" spans="1:18" x14ac:dyDescent="0.3">
      <c r="A111" s="5">
        <v>904</v>
      </c>
      <c r="B111" s="5">
        <v>10</v>
      </c>
      <c r="C111" s="5" t="s">
        <v>0</v>
      </c>
      <c r="D111" s="5">
        <v>5</v>
      </c>
      <c r="E111" s="10">
        <f>VLOOKUP($A111,observed!$C$2:$P$139,10,FALSE)</f>
        <v>0</v>
      </c>
      <c r="F111" s="10">
        <f>VLOOKUP($A111,observed!$C$2:$P$139,11,FALSE)</f>
        <v>0</v>
      </c>
      <c r="G111" s="10">
        <f>VLOOKUP($A111,observed!$C$2:$P$139,12,FALSE)</f>
        <v>71.639999999999844</v>
      </c>
      <c r="H111" s="10">
        <f>VLOOKUP($A111,observed!$C$2:$P$139,13,FALSE)</f>
        <v>28.650000000000158</v>
      </c>
      <c r="I111" s="10">
        <f>VLOOKUP($A111,observed!$C$2:$P$139,14,FALSE)</f>
        <v>0</v>
      </c>
      <c r="J111" s="10">
        <f t="shared" si="11"/>
        <v>100.29</v>
      </c>
      <c r="K111" s="57">
        <f>IFERROR(VLOOKUP($A111&amp;"-"&amp;TEXT($B111+19,0),md[[routeC]:[passenger_mile_EV]],9,FALSE),"")</f>
        <v>0</v>
      </c>
      <c r="L111" s="57">
        <f>IFERROR(VLOOKUP($A111&amp;"-"&amp;TEXT($B111+19,0),md[[routeC]:[passenger_mile_EV]],10,FALSE),"")</f>
        <v>0</v>
      </c>
      <c r="M111" s="57">
        <f>IFERROR(VLOOKUP($A111&amp;"-"&amp;TEXT($B111+19,0),md[[routeC]:[passenger_mile_EV]],11,FALSE),"")</f>
        <v>0</v>
      </c>
      <c r="N111" s="57">
        <f>IFERROR(VLOOKUP($A111&amp;"-"&amp;TEXT($B111+19,0),md[[routeC]:[passenger_mile_EV]],12,FALSE),"")</f>
        <v>0</v>
      </c>
      <c r="O111" s="57">
        <f>IFERROR(VLOOKUP($A111&amp;"-"&amp;TEXT($B111+19,0),md[[routeC]:[passenger_mile_EV]],13,FALSE),"")</f>
        <v>0</v>
      </c>
      <c r="P111" s="57">
        <f t="shared" si="12"/>
        <v>0</v>
      </c>
      <c r="Q111" s="224">
        <f t="shared" si="13"/>
        <v>-1</v>
      </c>
      <c r="R111" s="237">
        <f t="shared" si="14"/>
        <v>10058.084100000002</v>
      </c>
    </row>
    <row r="112" spans="1:18" x14ac:dyDescent="0.3">
      <c r="A112" s="5">
        <v>905</v>
      </c>
      <c r="B112" s="5">
        <v>10</v>
      </c>
      <c r="C112" s="5" t="s">
        <v>0</v>
      </c>
      <c r="D112" s="5">
        <v>5</v>
      </c>
      <c r="E112" s="10">
        <f>VLOOKUP($A112,observed!$C$2:$P$139,10,FALSE)</f>
        <v>951.63857142857125</v>
      </c>
      <c r="F112" s="10">
        <f>VLOOKUP($A112,observed!$C$2:$P$139,11,FALSE)</f>
        <v>2998.1485714285718</v>
      </c>
      <c r="G112" s="10">
        <f>VLOOKUP($A112,observed!$C$2:$P$139,12,FALSE)</f>
        <v>4891.8106349206282</v>
      </c>
      <c r="H112" s="10">
        <f>VLOOKUP($A112,observed!$C$2:$P$139,13,FALSE)</f>
        <v>2935.7759259259387</v>
      </c>
      <c r="I112" s="10">
        <f>VLOOKUP($A112,observed!$C$2:$P$139,14,FALSE)</f>
        <v>917.1662962962904</v>
      </c>
      <c r="J112" s="10">
        <f t="shared" si="11"/>
        <v>12694.54</v>
      </c>
      <c r="K112" s="57">
        <f>IFERROR(VLOOKUP($A112&amp;"-"&amp;TEXT($B112+19,0),md[[routeC]:[passenger_mile_EV]],9,FALSE),"")</f>
        <v>0</v>
      </c>
      <c r="L112" s="57">
        <f>IFERROR(VLOOKUP($A112&amp;"-"&amp;TEXT($B112+19,0),md[[routeC]:[passenger_mile_EV]],10,FALSE),"")</f>
        <v>0</v>
      </c>
      <c r="M112" s="57">
        <f>IFERROR(VLOOKUP($A112&amp;"-"&amp;TEXT($B112+19,0),md[[routeC]:[passenger_mile_EV]],11,FALSE),"")</f>
        <v>0</v>
      </c>
      <c r="N112" s="57">
        <f>IFERROR(VLOOKUP($A112&amp;"-"&amp;TEXT($B112+19,0),md[[routeC]:[passenger_mile_EV]],12,FALSE),"")</f>
        <v>0</v>
      </c>
      <c r="O112" s="57">
        <f>IFERROR(VLOOKUP($A112&amp;"-"&amp;TEXT($B112+19,0),md[[routeC]:[passenger_mile_EV]],13,FALSE),"")</f>
        <v>0</v>
      </c>
      <c r="P112" s="57">
        <f t="shared" si="12"/>
        <v>0</v>
      </c>
      <c r="Q112" s="224">
        <f t="shared" si="13"/>
        <v>-1</v>
      </c>
      <c r="R112" s="237">
        <f t="shared" si="14"/>
        <v>161151345.81160003</v>
      </c>
    </row>
    <row r="113" spans="1:18" x14ac:dyDescent="0.3">
      <c r="A113" s="5">
        <v>906</v>
      </c>
      <c r="B113" s="5">
        <v>10</v>
      </c>
      <c r="C113" s="5" t="s">
        <v>0</v>
      </c>
      <c r="D113" s="5">
        <v>5</v>
      </c>
      <c r="E113" s="10">
        <f>VLOOKUP($A113,observed!$C$2:$P$139,10,FALSE)</f>
        <v>356.99714285714288</v>
      </c>
      <c r="F113" s="10">
        <f>VLOOKUP($A113,observed!$C$2:$P$139,11,FALSE)</f>
        <v>470.60046583850936</v>
      </c>
      <c r="G113" s="10">
        <f>VLOOKUP($A113,observed!$C$2:$P$139,12,FALSE)</f>
        <v>1767.7223546743096</v>
      </c>
      <c r="H113" s="10">
        <f>VLOOKUP($A113,observed!$C$2:$P$139,13,FALSE)</f>
        <v>919.48864774115054</v>
      </c>
      <c r="I113" s="10">
        <f>VLOOKUP($A113,observed!$C$2:$P$139,14,FALSE)</f>
        <v>427.88138888888813</v>
      </c>
      <c r="J113" s="10">
        <f t="shared" si="11"/>
        <v>3942.6900000000005</v>
      </c>
      <c r="K113" s="57">
        <f>IFERROR(VLOOKUP($A113&amp;"-"&amp;TEXT($B113+19,0),md[[routeC]:[passenger_mile_EV]],9,FALSE),"")</f>
        <v>0</v>
      </c>
      <c r="L113" s="57">
        <f>IFERROR(VLOOKUP($A113&amp;"-"&amp;TEXT($B113+19,0),md[[routeC]:[passenger_mile_EV]],10,FALSE),"")</f>
        <v>0</v>
      </c>
      <c r="M113" s="57">
        <f>IFERROR(VLOOKUP($A113&amp;"-"&amp;TEXT($B113+19,0),md[[routeC]:[passenger_mile_EV]],11,FALSE),"")</f>
        <v>0</v>
      </c>
      <c r="N113" s="57">
        <f>IFERROR(VLOOKUP($A113&amp;"-"&amp;TEXT($B113+19,0),md[[routeC]:[passenger_mile_EV]],12,FALSE),"")</f>
        <v>0</v>
      </c>
      <c r="O113" s="57">
        <f>IFERROR(VLOOKUP($A113&amp;"-"&amp;TEXT($B113+19,0),md[[routeC]:[passenger_mile_EV]],13,FALSE),"")</f>
        <v>0</v>
      </c>
      <c r="P113" s="57">
        <f t="shared" si="12"/>
        <v>0</v>
      </c>
      <c r="Q113" s="224">
        <f t="shared" si="13"/>
        <v>-1</v>
      </c>
      <c r="R113" s="237">
        <f t="shared" si="14"/>
        <v>15544804.436100004</v>
      </c>
    </row>
    <row r="114" spans="1:18" x14ac:dyDescent="0.3">
      <c r="A114" s="5">
        <v>907</v>
      </c>
      <c r="B114" s="5">
        <v>10</v>
      </c>
      <c r="C114" s="5" t="s">
        <v>0</v>
      </c>
      <c r="D114" s="5">
        <v>5</v>
      </c>
      <c r="E114" s="10">
        <f>VLOOKUP($A114,observed!$C$2:$P$139,10,FALSE)</f>
        <v>260.01013888888889</v>
      </c>
      <c r="F114" s="10">
        <f>VLOOKUP($A114,observed!$C$2:$P$139,11,FALSE)</f>
        <v>477.50314393939396</v>
      </c>
      <c r="G114" s="10">
        <f>VLOOKUP($A114,observed!$C$2:$P$139,12,FALSE)</f>
        <v>1895.4177224627197</v>
      </c>
      <c r="H114" s="10">
        <f>VLOOKUP($A114,observed!$C$2:$P$139,13,FALSE)</f>
        <v>1060.5022835978882</v>
      </c>
      <c r="I114" s="10">
        <f>VLOOKUP($A114,observed!$C$2:$P$139,14,FALSE)</f>
        <v>387.65671111110947</v>
      </c>
      <c r="J114" s="10">
        <f t="shared" si="11"/>
        <v>4081.0899999999997</v>
      </c>
      <c r="K114" s="57">
        <f>IFERROR(VLOOKUP($A114&amp;"-"&amp;TEXT($B114+19,0),md[[routeC]:[passenger_mile_EV]],9,FALSE),"")</f>
        <v>0</v>
      </c>
      <c r="L114" s="57">
        <f>IFERROR(VLOOKUP($A114&amp;"-"&amp;TEXT($B114+19,0),md[[routeC]:[passenger_mile_EV]],10,FALSE),"")</f>
        <v>0</v>
      </c>
      <c r="M114" s="57">
        <f>IFERROR(VLOOKUP($A114&amp;"-"&amp;TEXT($B114+19,0),md[[routeC]:[passenger_mile_EV]],11,FALSE),"")</f>
        <v>0</v>
      </c>
      <c r="N114" s="57">
        <f>IFERROR(VLOOKUP($A114&amp;"-"&amp;TEXT($B114+19,0),md[[routeC]:[passenger_mile_EV]],12,FALSE),"")</f>
        <v>0</v>
      </c>
      <c r="O114" s="57">
        <f>IFERROR(VLOOKUP($A114&amp;"-"&amp;TEXT($B114+19,0),md[[routeC]:[passenger_mile_EV]],13,FALSE),"")</f>
        <v>0</v>
      </c>
      <c r="P114" s="57">
        <f t="shared" si="12"/>
        <v>0</v>
      </c>
      <c r="Q114" s="224">
        <f t="shared" si="13"/>
        <v>-1</v>
      </c>
      <c r="R114" s="237">
        <f t="shared" si="14"/>
        <v>16655295.588099997</v>
      </c>
    </row>
    <row r="115" spans="1:18" x14ac:dyDescent="0.3">
      <c r="A115" s="5">
        <v>916</v>
      </c>
      <c r="B115" s="5">
        <v>10</v>
      </c>
      <c r="C115" s="5" t="s">
        <v>0</v>
      </c>
      <c r="D115" s="5">
        <v>5</v>
      </c>
      <c r="E115" s="10">
        <f>VLOOKUP($A115,observed!$C$2:$P$139,10,FALSE)</f>
        <v>6.76</v>
      </c>
      <c r="F115" s="10">
        <f>VLOOKUP($A115,observed!$C$2:$P$139,11,FALSE)</f>
        <v>252.58478260869572</v>
      </c>
      <c r="G115" s="10">
        <f>VLOOKUP($A115,observed!$C$2:$P$139,12,FALSE)</f>
        <v>605.36939321547834</v>
      </c>
      <c r="H115" s="10">
        <f>VLOOKUP($A115,observed!$C$2:$P$139,13,FALSE)</f>
        <v>430.25274725274949</v>
      </c>
      <c r="I115" s="10">
        <f>VLOOKUP($A115,observed!$C$2:$P$139,14,FALSE)</f>
        <v>136.72307692307635</v>
      </c>
      <c r="J115" s="10">
        <f t="shared" si="11"/>
        <v>1431.69</v>
      </c>
      <c r="K115" s="57">
        <f>IFERROR(VLOOKUP($A115&amp;"-"&amp;TEXT($B115+19,0),md[[routeC]:[passenger_mile_EV]],9,FALSE),"")</f>
        <v>0</v>
      </c>
      <c r="L115" s="57">
        <f>IFERROR(VLOOKUP($A115&amp;"-"&amp;TEXT($B115+19,0),md[[routeC]:[passenger_mile_EV]],10,FALSE),"")</f>
        <v>0</v>
      </c>
      <c r="M115" s="57">
        <f>IFERROR(VLOOKUP($A115&amp;"-"&amp;TEXT($B115+19,0),md[[routeC]:[passenger_mile_EV]],11,FALSE),"")</f>
        <v>0</v>
      </c>
      <c r="N115" s="57">
        <f>IFERROR(VLOOKUP($A115&amp;"-"&amp;TEXT($B115+19,0),md[[routeC]:[passenger_mile_EV]],12,FALSE),"")</f>
        <v>0</v>
      </c>
      <c r="O115" s="57">
        <f>IFERROR(VLOOKUP($A115&amp;"-"&amp;TEXT($B115+19,0),md[[routeC]:[passenger_mile_EV]],13,FALSE),"")</f>
        <v>0</v>
      </c>
      <c r="P115" s="57">
        <f t="shared" si="12"/>
        <v>0</v>
      </c>
      <c r="Q115" s="224">
        <f t="shared" si="13"/>
        <v>-1</v>
      </c>
      <c r="R115" s="237">
        <f t="shared" si="14"/>
        <v>2049736.2561000001</v>
      </c>
    </row>
    <row r="116" spans="1:18" x14ac:dyDescent="0.3">
      <c r="A116" s="5">
        <v>917</v>
      </c>
      <c r="B116" s="5">
        <v>10</v>
      </c>
      <c r="C116" s="5" t="s">
        <v>0</v>
      </c>
      <c r="D116" s="5">
        <v>5</v>
      </c>
      <c r="E116" s="10">
        <f>VLOOKUP($A116,observed!$C$2:$P$139,10,FALSE)</f>
        <v>17.7</v>
      </c>
      <c r="F116" s="10">
        <f>VLOOKUP($A116,observed!$C$2:$P$139,11,FALSE)</f>
        <v>342.8</v>
      </c>
      <c r="G116" s="10">
        <f>VLOOKUP($A116,observed!$C$2:$P$139,12,FALSE)</f>
        <v>498.63849056603704</v>
      </c>
      <c r="H116" s="10">
        <f>VLOOKUP($A116,observed!$C$2:$P$139,13,FALSE)</f>
        <v>368.54056603773722</v>
      </c>
      <c r="I116" s="10">
        <f>VLOOKUP($A116,observed!$C$2:$P$139,14,FALSE)</f>
        <v>196.43094339622587</v>
      </c>
      <c r="J116" s="10">
        <f t="shared" si="11"/>
        <v>1424.1100000000001</v>
      </c>
      <c r="K116" s="57">
        <f>IFERROR(VLOOKUP($A116&amp;"-"&amp;TEXT($B116+19,0),md[[routeC]:[passenger_mile_EV]],9,FALSE),"")</f>
        <v>0</v>
      </c>
      <c r="L116" s="57">
        <f>IFERROR(VLOOKUP($A116&amp;"-"&amp;TEXT($B116+19,0),md[[routeC]:[passenger_mile_EV]],10,FALSE),"")</f>
        <v>0</v>
      </c>
      <c r="M116" s="57">
        <f>IFERROR(VLOOKUP($A116&amp;"-"&amp;TEXT($B116+19,0),md[[routeC]:[passenger_mile_EV]],11,FALSE),"")</f>
        <v>0</v>
      </c>
      <c r="N116" s="57">
        <f>IFERROR(VLOOKUP($A116&amp;"-"&amp;TEXT($B116+19,0),md[[routeC]:[passenger_mile_EV]],12,FALSE),"")</f>
        <v>0</v>
      </c>
      <c r="O116" s="57">
        <f>IFERROR(VLOOKUP($A116&amp;"-"&amp;TEXT($B116+19,0),md[[routeC]:[passenger_mile_EV]],13,FALSE),"")</f>
        <v>0</v>
      </c>
      <c r="P116" s="57">
        <f t="shared" si="12"/>
        <v>0</v>
      </c>
      <c r="Q116" s="224">
        <f t="shared" si="13"/>
        <v>-1</v>
      </c>
      <c r="R116" s="237">
        <f t="shared" si="14"/>
        <v>2028089.2921000004</v>
      </c>
    </row>
    <row r="117" spans="1:18" x14ac:dyDescent="0.3">
      <c r="A117" s="5">
        <v>921</v>
      </c>
      <c r="B117" s="5">
        <v>10</v>
      </c>
      <c r="C117" s="5" t="s">
        <v>0</v>
      </c>
      <c r="D117" s="5">
        <v>5</v>
      </c>
      <c r="E117" s="10">
        <f>VLOOKUP($A117,observed!$C$2:$P$139,10,FALSE)</f>
        <v>18.720833333333321</v>
      </c>
      <c r="F117" s="10">
        <f>VLOOKUP($A117,observed!$C$2:$P$139,11,FALSE)</f>
        <v>748.45970930232568</v>
      </c>
      <c r="G117" s="10">
        <f>VLOOKUP($A117,observed!$C$2:$P$139,12,FALSE)</f>
        <v>1931.0407731538135</v>
      </c>
      <c r="H117" s="10">
        <f>VLOOKUP($A117,observed!$C$2:$P$139,13,FALSE)</f>
        <v>950.99737553343073</v>
      </c>
      <c r="I117" s="10">
        <f>VLOOKUP($A117,observed!$C$2:$P$139,14,FALSE)</f>
        <v>116.45130867709689</v>
      </c>
      <c r="J117" s="10">
        <f t="shared" si="11"/>
        <v>3765.67</v>
      </c>
      <c r="K117" s="57">
        <f>IFERROR(VLOOKUP($A117&amp;"-"&amp;TEXT($B117+19,0),md[[routeC]:[passenger_mile_EV]],9,FALSE),"")</f>
        <v>0</v>
      </c>
      <c r="L117" s="57">
        <f>IFERROR(VLOOKUP($A117&amp;"-"&amp;TEXT($B117+19,0),md[[routeC]:[passenger_mile_EV]],10,FALSE),"")</f>
        <v>0</v>
      </c>
      <c r="M117" s="57">
        <f>IFERROR(VLOOKUP($A117&amp;"-"&amp;TEXT($B117+19,0),md[[routeC]:[passenger_mile_EV]],11,FALSE),"")</f>
        <v>0</v>
      </c>
      <c r="N117" s="57">
        <f>IFERROR(VLOOKUP($A117&amp;"-"&amp;TEXT($B117+19,0),md[[routeC]:[passenger_mile_EV]],12,FALSE),"")</f>
        <v>0</v>
      </c>
      <c r="O117" s="57">
        <f>IFERROR(VLOOKUP($A117&amp;"-"&amp;TEXT($B117+19,0),md[[routeC]:[passenger_mile_EV]],13,FALSE),"")</f>
        <v>0</v>
      </c>
      <c r="P117" s="57">
        <f t="shared" si="12"/>
        <v>0</v>
      </c>
      <c r="Q117" s="224">
        <f t="shared" si="13"/>
        <v>-1</v>
      </c>
      <c r="R117" s="237">
        <f t="shared" si="14"/>
        <v>14180270.548900001</v>
      </c>
    </row>
    <row r="118" spans="1:18" x14ac:dyDescent="0.3">
      <c r="A118" s="5">
        <v>923</v>
      </c>
      <c r="B118" s="5">
        <v>10</v>
      </c>
      <c r="C118" s="5" t="s">
        <v>0</v>
      </c>
      <c r="D118" s="5">
        <v>5</v>
      </c>
      <c r="E118" s="10">
        <f>VLOOKUP($A118,observed!$C$2:$P$139,10,FALSE)</f>
        <v>67.297614379084919</v>
      </c>
      <c r="F118" s="10">
        <f>VLOOKUP($A118,observed!$C$2:$P$139,11,FALSE)</f>
        <v>1155.3405219561246</v>
      </c>
      <c r="G118" s="10">
        <f>VLOOKUP($A118,observed!$C$2:$P$139,12,FALSE)</f>
        <v>1867.494155331455</v>
      </c>
      <c r="H118" s="10">
        <f>VLOOKUP($A118,observed!$C$2:$P$139,13,FALSE)</f>
        <v>1278.3343770951217</v>
      </c>
      <c r="I118" s="10">
        <f>VLOOKUP($A118,observed!$C$2:$P$139,14,FALSE)</f>
        <v>51.563331238213593</v>
      </c>
      <c r="J118" s="10">
        <f t="shared" si="11"/>
        <v>4420.03</v>
      </c>
      <c r="K118" s="57">
        <f>IFERROR(VLOOKUP($A118&amp;"-"&amp;TEXT($B118+19,0),md[[routeC]:[passenger_mile_EV]],9,FALSE),"")</f>
        <v>0</v>
      </c>
      <c r="L118" s="57">
        <f>IFERROR(VLOOKUP($A118&amp;"-"&amp;TEXT($B118+19,0),md[[routeC]:[passenger_mile_EV]],10,FALSE),"")</f>
        <v>0</v>
      </c>
      <c r="M118" s="57">
        <f>IFERROR(VLOOKUP($A118&amp;"-"&amp;TEXT($B118+19,0),md[[routeC]:[passenger_mile_EV]],11,FALSE),"")</f>
        <v>0</v>
      </c>
      <c r="N118" s="57">
        <f>IFERROR(VLOOKUP($A118&amp;"-"&amp;TEXT($B118+19,0),md[[routeC]:[passenger_mile_EV]],12,FALSE),"")</f>
        <v>0</v>
      </c>
      <c r="O118" s="57">
        <f>IFERROR(VLOOKUP($A118&amp;"-"&amp;TEXT($B118+19,0),md[[routeC]:[passenger_mile_EV]],13,FALSE),"")</f>
        <v>0</v>
      </c>
      <c r="P118" s="57">
        <f t="shared" si="12"/>
        <v>0</v>
      </c>
      <c r="Q118" s="224">
        <f t="shared" si="13"/>
        <v>-1</v>
      </c>
      <c r="R118" s="237">
        <f t="shared" si="14"/>
        <v>19536665.2009</v>
      </c>
    </row>
    <row r="119" spans="1:18" x14ac:dyDescent="0.3">
      <c r="A119" s="5">
        <v>928</v>
      </c>
      <c r="B119" s="5">
        <v>10</v>
      </c>
      <c r="C119" s="5" t="s">
        <v>0</v>
      </c>
      <c r="D119" s="5">
        <v>5</v>
      </c>
      <c r="E119" s="10">
        <f>VLOOKUP($A119,observed!$C$2:$P$139,10,FALSE)</f>
        <v>79.660694444444417</v>
      </c>
      <c r="F119" s="10">
        <f>VLOOKUP($A119,observed!$C$2:$P$139,11,FALSE)</f>
        <v>1081.275972222222</v>
      </c>
      <c r="G119" s="10">
        <f>VLOOKUP($A119,observed!$C$2:$P$139,12,FALSE)</f>
        <v>2622.4925484496084</v>
      </c>
      <c r="H119" s="10">
        <f>VLOOKUP($A119,observed!$C$2:$P$139,13,FALSE)</f>
        <v>1278.1623857609202</v>
      </c>
      <c r="I119" s="10">
        <f>VLOOKUP($A119,observed!$C$2:$P$139,14,FALSE)</f>
        <v>371.85839912280517</v>
      </c>
      <c r="J119" s="10">
        <f t="shared" si="11"/>
        <v>5433.45</v>
      </c>
      <c r="K119" s="57">
        <f>IFERROR(VLOOKUP($A119&amp;"-"&amp;TEXT($B119+19,0),md[[routeC]:[passenger_mile_EV]],9,FALSE),"")</f>
        <v>0</v>
      </c>
      <c r="L119" s="57">
        <f>IFERROR(VLOOKUP($A119&amp;"-"&amp;TEXT($B119+19,0),md[[routeC]:[passenger_mile_EV]],10,FALSE),"")</f>
        <v>0</v>
      </c>
      <c r="M119" s="57">
        <f>IFERROR(VLOOKUP($A119&amp;"-"&amp;TEXT($B119+19,0),md[[routeC]:[passenger_mile_EV]],11,FALSE),"")</f>
        <v>0</v>
      </c>
      <c r="N119" s="57">
        <f>IFERROR(VLOOKUP($A119&amp;"-"&amp;TEXT($B119+19,0),md[[routeC]:[passenger_mile_EV]],12,FALSE),"")</f>
        <v>0</v>
      </c>
      <c r="O119" s="57">
        <f>IFERROR(VLOOKUP($A119&amp;"-"&amp;TEXT($B119+19,0),md[[routeC]:[passenger_mile_EV]],13,FALSE),"")</f>
        <v>0</v>
      </c>
      <c r="P119" s="57">
        <f t="shared" si="12"/>
        <v>0</v>
      </c>
      <c r="Q119" s="224">
        <f t="shared" si="13"/>
        <v>-1</v>
      </c>
      <c r="R119" s="237">
        <f t="shared" si="14"/>
        <v>29522378.9025</v>
      </c>
    </row>
    <row r="120" spans="1:18" x14ac:dyDescent="0.3">
      <c r="A120" s="5">
        <v>929</v>
      </c>
      <c r="B120" s="5">
        <v>10</v>
      </c>
      <c r="C120" s="5" t="s">
        <v>0</v>
      </c>
      <c r="D120" s="5">
        <v>5</v>
      </c>
      <c r="E120" s="10">
        <f>VLOOKUP($A120,observed!$C$2:$P$139,10,FALSE)</f>
        <v>685.62497849462375</v>
      </c>
      <c r="F120" s="10">
        <f>VLOOKUP($A120,observed!$C$2:$P$139,11,FALSE)</f>
        <v>4449.6953622611118</v>
      </c>
      <c r="G120" s="10">
        <f>VLOOKUP($A120,observed!$C$2:$P$139,12,FALSE)</f>
        <v>12601.10785478503</v>
      </c>
      <c r="H120" s="10">
        <f>VLOOKUP($A120,observed!$C$2:$P$139,13,FALSE)</f>
        <v>6155.0643481020306</v>
      </c>
      <c r="I120" s="10">
        <f>VLOOKUP($A120,observed!$C$2:$P$139,14,FALSE)</f>
        <v>3809.3674563572013</v>
      </c>
      <c r="J120" s="10">
        <f t="shared" si="11"/>
        <v>27700.859999999997</v>
      </c>
      <c r="K120" s="57">
        <f>IFERROR(VLOOKUP($A120&amp;"-"&amp;TEXT($B120+19,0),md[[routeC]:[passenger_mile_EV]],9,FALSE),"")</f>
        <v>0</v>
      </c>
      <c r="L120" s="57">
        <f>IFERROR(VLOOKUP($A120&amp;"-"&amp;TEXT($B120+19,0),md[[routeC]:[passenger_mile_EV]],10,FALSE),"")</f>
        <v>0</v>
      </c>
      <c r="M120" s="57">
        <f>IFERROR(VLOOKUP($A120&amp;"-"&amp;TEXT($B120+19,0),md[[routeC]:[passenger_mile_EV]],11,FALSE),"")</f>
        <v>0</v>
      </c>
      <c r="N120" s="57">
        <f>IFERROR(VLOOKUP($A120&amp;"-"&amp;TEXT($B120+19,0),md[[routeC]:[passenger_mile_EV]],12,FALSE),"")</f>
        <v>0</v>
      </c>
      <c r="O120" s="57">
        <f>IFERROR(VLOOKUP($A120&amp;"-"&amp;TEXT($B120+19,0),md[[routeC]:[passenger_mile_EV]],13,FALSE),"")</f>
        <v>0</v>
      </c>
      <c r="P120" s="57">
        <f t="shared" si="12"/>
        <v>0</v>
      </c>
      <c r="Q120" s="224">
        <f t="shared" si="13"/>
        <v>-1</v>
      </c>
      <c r="R120" s="237">
        <f t="shared" si="14"/>
        <v>767337644.73959982</v>
      </c>
    </row>
    <row r="121" spans="1:18" x14ac:dyDescent="0.3">
      <c r="A121" s="5">
        <v>932</v>
      </c>
      <c r="B121" s="5">
        <v>10</v>
      </c>
      <c r="C121" s="5" t="s">
        <v>0</v>
      </c>
      <c r="D121" s="5">
        <v>5</v>
      </c>
      <c r="E121" s="10">
        <f>VLOOKUP($A121,observed!$C$2:$P$139,10,FALSE)</f>
        <v>244.42875776397514</v>
      </c>
      <c r="F121" s="10">
        <f>VLOOKUP($A121,observed!$C$2:$P$139,11,FALSE)</f>
        <v>1511.6809657839058</v>
      </c>
      <c r="G121" s="10">
        <f>VLOOKUP($A121,observed!$C$2:$P$139,12,FALSE)</f>
        <v>5557.7294587829401</v>
      </c>
      <c r="H121" s="10">
        <f>VLOOKUP($A121,observed!$C$2:$P$139,13,FALSE)</f>
        <v>2440.6646411183642</v>
      </c>
      <c r="I121" s="10">
        <f>VLOOKUP($A121,observed!$C$2:$P$139,14,FALSE)</f>
        <v>887.16617655081438</v>
      </c>
      <c r="J121" s="10">
        <f t="shared" si="11"/>
        <v>10641.67</v>
      </c>
      <c r="K121" s="57">
        <f>IFERROR(VLOOKUP($A121&amp;"-"&amp;TEXT($B121+19,0),md[[routeC]:[passenger_mile_EV]],9,FALSE),"")</f>
        <v>0</v>
      </c>
      <c r="L121" s="57">
        <f>IFERROR(VLOOKUP($A121&amp;"-"&amp;TEXT($B121+19,0),md[[routeC]:[passenger_mile_EV]],10,FALSE),"")</f>
        <v>0</v>
      </c>
      <c r="M121" s="57">
        <f>IFERROR(VLOOKUP($A121&amp;"-"&amp;TEXT($B121+19,0),md[[routeC]:[passenger_mile_EV]],11,FALSE),"")</f>
        <v>0</v>
      </c>
      <c r="N121" s="57">
        <f>IFERROR(VLOOKUP($A121&amp;"-"&amp;TEXT($B121+19,0),md[[routeC]:[passenger_mile_EV]],12,FALSE),"")</f>
        <v>0</v>
      </c>
      <c r="O121" s="57">
        <f>IFERROR(VLOOKUP($A121&amp;"-"&amp;TEXT($B121+19,0),md[[routeC]:[passenger_mile_EV]],13,FALSE),"")</f>
        <v>0</v>
      </c>
      <c r="P121" s="57">
        <f t="shared" si="12"/>
        <v>0</v>
      </c>
      <c r="Q121" s="224">
        <f t="shared" si="13"/>
        <v>-1</v>
      </c>
      <c r="R121" s="237">
        <f t="shared" si="14"/>
        <v>113245140.3889</v>
      </c>
    </row>
    <row r="122" spans="1:18" x14ac:dyDescent="0.3">
      <c r="A122" s="5">
        <v>933</v>
      </c>
      <c r="B122" s="5">
        <v>10</v>
      </c>
      <c r="C122" s="5" t="s">
        <v>0</v>
      </c>
      <c r="D122" s="5">
        <v>5</v>
      </c>
      <c r="E122" s="10">
        <f>VLOOKUP($A122,observed!$C$2:$P$139,10,FALSE)</f>
        <v>275.49613366750202</v>
      </c>
      <c r="F122" s="10">
        <f>VLOOKUP($A122,observed!$C$2:$P$139,11,FALSE)</f>
        <v>1804.7667451203765</v>
      </c>
      <c r="G122" s="10">
        <f>VLOOKUP($A122,observed!$C$2:$P$139,12,FALSE)</f>
        <v>4859.8926006641714</v>
      </c>
      <c r="H122" s="10">
        <f>VLOOKUP($A122,observed!$C$2:$P$139,13,FALSE)</f>
        <v>2306.3760147491885</v>
      </c>
      <c r="I122" s="10">
        <f>VLOOKUP($A122,observed!$C$2:$P$139,14,FALSE)</f>
        <v>857.62850579876306</v>
      </c>
      <c r="J122" s="10">
        <f t="shared" si="11"/>
        <v>10104.16</v>
      </c>
      <c r="K122" s="57">
        <f>IFERROR(VLOOKUP($A122&amp;"-"&amp;TEXT($B122+19,0),md[[routeC]:[passenger_mile_EV]],9,FALSE),"")</f>
        <v>0</v>
      </c>
      <c r="L122" s="57">
        <f>IFERROR(VLOOKUP($A122&amp;"-"&amp;TEXT($B122+19,0),md[[routeC]:[passenger_mile_EV]],10,FALSE),"")</f>
        <v>0</v>
      </c>
      <c r="M122" s="57">
        <f>IFERROR(VLOOKUP($A122&amp;"-"&amp;TEXT($B122+19,0),md[[routeC]:[passenger_mile_EV]],11,FALSE),"")</f>
        <v>0</v>
      </c>
      <c r="N122" s="57">
        <f>IFERROR(VLOOKUP($A122&amp;"-"&amp;TEXT($B122+19,0),md[[routeC]:[passenger_mile_EV]],12,FALSE),"")</f>
        <v>0</v>
      </c>
      <c r="O122" s="57">
        <f>IFERROR(VLOOKUP($A122&amp;"-"&amp;TEXT($B122+19,0),md[[routeC]:[passenger_mile_EV]],13,FALSE),"")</f>
        <v>0</v>
      </c>
      <c r="P122" s="57">
        <f t="shared" si="12"/>
        <v>0</v>
      </c>
      <c r="Q122" s="224">
        <f t="shared" si="13"/>
        <v>-1</v>
      </c>
      <c r="R122" s="237">
        <f t="shared" si="14"/>
        <v>102094049.3056</v>
      </c>
    </row>
    <row r="123" spans="1:18" x14ac:dyDescent="0.3">
      <c r="A123" s="5">
        <v>934</v>
      </c>
      <c r="B123" s="5">
        <v>10</v>
      </c>
      <c r="C123" s="5" t="s">
        <v>0</v>
      </c>
      <c r="D123" s="5">
        <v>5</v>
      </c>
      <c r="E123" s="10">
        <f>VLOOKUP($A123,observed!$C$2:$P$139,10,FALSE)</f>
        <v>253.22214285714276</v>
      </c>
      <c r="F123" s="10">
        <f>VLOOKUP($A123,observed!$C$2:$P$139,11,FALSE)</f>
        <v>2039.1608257401201</v>
      </c>
      <c r="G123" s="10">
        <f>VLOOKUP($A123,observed!$C$2:$P$139,12,FALSE)</f>
        <v>4018.1511884803576</v>
      </c>
      <c r="H123" s="10">
        <f>VLOOKUP($A123,observed!$C$2:$P$139,13,FALSE)</f>
        <v>2404.5909978676204</v>
      </c>
      <c r="I123" s="10">
        <f>VLOOKUP($A123,observed!$C$2:$P$139,14,FALSE)</f>
        <v>928.75484505475981</v>
      </c>
      <c r="J123" s="10">
        <f t="shared" si="11"/>
        <v>9643.880000000001</v>
      </c>
      <c r="K123" s="57">
        <f>IFERROR(VLOOKUP($A123&amp;"-"&amp;TEXT($B123+19,0),md[[routeC]:[passenger_mile_EV]],9,FALSE),"")</f>
        <v>0</v>
      </c>
      <c r="L123" s="57">
        <f>IFERROR(VLOOKUP($A123&amp;"-"&amp;TEXT($B123+19,0),md[[routeC]:[passenger_mile_EV]],10,FALSE),"")</f>
        <v>0</v>
      </c>
      <c r="M123" s="57">
        <f>IFERROR(VLOOKUP($A123&amp;"-"&amp;TEXT($B123+19,0),md[[routeC]:[passenger_mile_EV]],11,FALSE),"")</f>
        <v>0</v>
      </c>
      <c r="N123" s="57">
        <f>IFERROR(VLOOKUP($A123&amp;"-"&amp;TEXT($B123+19,0),md[[routeC]:[passenger_mile_EV]],12,FALSE),"")</f>
        <v>0</v>
      </c>
      <c r="O123" s="57">
        <f>IFERROR(VLOOKUP($A123&amp;"-"&amp;TEXT($B123+19,0),md[[routeC]:[passenger_mile_EV]],13,FALSE),"")</f>
        <v>0</v>
      </c>
      <c r="P123" s="57">
        <f t="shared" si="12"/>
        <v>0</v>
      </c>
      <c r="Q123" s="224">
        <f t="shared" si="13"/>
        <v>-1</v>
      </c>
      <c r="R123" s="237">
        <f t="shared" si="14"/>
        <v>93004421.454400018</v>
      </c>
    </row>
    <row r="124" spans="1:18" x14ac:dyDescent="0.3">
      <c r="A124" s="5">
        <v>936</v>
      </c>
      <c r="B124" s="5">
        <v>10</v>
      </c>
      <c r="C124" s="5" t="s">
        <v>0</v>
      </c>
      <c r="D124" s="5">
        <v>5</v>
      </c>
      <c r="E124" s="10">
        <f>VLOOKUP($A124,observed!$C$2:$P$139,10,FALSE)</f>
        <v>85.893782051282074</v>
      </c>
      <c r="F124" s="10">
        <f>VLOOKUP($A124,observed!$C$2:$P$139,11,FALSE)</f>
        <v>914.47909809183045</v>
      </c>
      <c r="G124" s="10">
        <f>VLOOKUP($A124,observed!$C$2:$P$139,12,FALSE)</f>
        <v>2225.8540966010696</v>
      </c>
      <c r="H124" s="10">
        <f>VLOOKUP($A124,observed!$C$2:$P$139,13,FALSE)</f>
        <v>1227.1537209302396</v>
      </c>
      <c r="I124" s="10">
        <f>VLOOKUP($A124,observed!$C$2:$P$139,14,FALSE)</f>
        <v>556.76930232557891</v>
      </c>
      <c r="J124" s="10">
        <f t="shared" si="11"/>
        <v>5010.1500000000005</v>
      </c>
      <c r="K124" s="57">
        <f>IFERROR(VLOOKUP($A124&amp;"-"&amp;TEXT($B124+19,0),md[[routeC]:[passenger_mile_EV]],9,FALSE),"")</f>
        <v>0</v>
      </c>
      <c r="L124" s="57">
        <f>IFERROR(VLOOKUP($A124&amp;"-"&amp;TEXT($B124+19,0),md[[routeC]:[passenger_mile_EV]],10,FALSE),"")</f>
        <v>0</v>
      </c>
      <c r="M124" s="57">
        <f>IFERROR(VLOOKUP($A124&amp;"-"&amp;TEXT($B124+19,0),md[[routeC]:[passenger_mile_EV]],11,FALSE),"")</f>
        <v>0</v>
      </c>
      <c r="N124" s="57">
        <f>IFERROR(VLOOKUP($A124&amp;"-"&amp;TEXT($B124+19,0),md[[routeC]:[passenger_mile_EV]],12,FALSE),"")</f>
        <v>0</v>
      </c>
      <c r="O124" s="57">
        <f>IFERROR(VLOOKUP($A124&amp;"-"&amp;TEXT($B124+19,0),md[[routeC]:[passenger_mile_EV]],13,FALSE),"")</f>
        <v>0</v>
      </c>
      <c r="P124" s="57">
        <f t="shared" si="12"/>
        <v>0</v>
      </c>
      <c r="Q124" s="224">
        <f t="shared" si="13"/>
        <v>-1</v>
      </c>
      <c r="R124" s="237">
        <f t="shared" si="14"/>
        <v>25101603.022500005</v>
      </c>
    </row>
    <row r="125" spans="1:18" x14ac:dyDescent="0.3">
      <c r="A125" s="5">
        <v>944</v>
      </c>
      <c r="B125" s="5">
        <v>10</v>
      </c>
      <c r="C125" s="5" t="s">
        <v>0</v>
      </c>
      <c r="D125" s="5">
        <v>5</v>
      </c>
      <c r="E125" s="10">
        <f>VLOOKUP($A125,observed!$C$2:$P$139,10,FALSE)</f>
        <v>28.71</v>
      </c>
      <c r="F125" s="10">
        <f>VLOOKUP($A125,observed!$C$2:$P$139,11,FALSE)</f>
        <v>258.33</v>
      </c>
      <c r="G125" s="10">
        <f>VLOOKUP($A125,observed!$C$2:$P$139,12,FALSE)</f>
        <v>394.04666666666594</v>
      </c>
      <c r="H125" s="10">
        <f>VLOOKUP($A125,observed!$C$2:$P$139,13,FALSE)</f>
        <v>268.74333333333436</v>
      </c>
      <c r="I125" s="10">
        <f>VLOOKUP($A125,observed!$C$2:$P$139,14,FALSE)</f>
        <v>15.239999999999688</v>
      </c>
      <c r="J125" s="10">
        <f t="shared" si="11"/>
        <v>965.06999999999994</v>
      </c>
      <c r="K125" s="57">
        <f>IFERROR(VLOOKUP($A125&amp;"-"&amp;TEXT($B125+19,0),md[[routeC]:[passenger_mile_EV]],9,FALSE),"")</f>
        <v>0</v>
      </c>
      <c r="L125" s="57">
        <f>IFERROR(VLOOKUP($A125&amp;"-"&amp;TEXT($B125+19,0),md[[routeC]:[passenger_mile_EV]],10,FALSE),"")</f>
        <v>0</v>
      </c>
      <c r="M125" s="57">
        <f>IFERROR(VLOOKUP($A125&amp;"-"&amp;TEXT($B125+19,0),md[[routeC]:[passenger_mile_EV]],11,FALSE),"")</f>
        <v>0</v>
      </c>
      <c r="N125" s="57">
        <f>IFERROR(VLOOKUP($A125&amp;"-"&amp;TEXT($B125+19,0),md[[routeC]:[passenger_mile_EV]],12,FALSE),"")</f>
        <v>0</v>
      </c>
      <c r="O125" s="57">
        <f>IFERROR(VLOOKUP($A125&amp;"-"&amp;TEXT($B125+19,0),md[[routeC]:[passenger_mile_EV]],13,FALSE),"")</f>
        <v>0</v>
      </c>
      <c r="P125" s="57">
        <f t="shared" si="12"/>
        <v>0</v>
      </c>
      <c r="Q125" s="224">
        <f t="shared" si="13"/>
        <v>-1</v>
      </c>
      <c r="R125" s="237">
        <f t="shared" si="14"/>
        <v>931360.10489999992</v>
      </c>
    </row>
    <row r="126" spans="1:18" x14ac:dyDescent="0.3">
      <c r="A126" s="5">
        <v>945</v>
      </c>
      <c r="B126" s="5">
        <v>10</v>
      </c>
      <c r="C126" s="5" t="s">
        <v>0</v>
      </c>
      <c r="D126" s="5">
        <v>5</v>
      </c>
      <c r="E126" s="10">
        <f>VLOOKUP($A126,observed!$C$2:$P$139,10,FALSE)</f>
        <v>11.250779220779217</v>
      </c>
      <c r="F126" s="10">
        <f>VLOOKUP($A126,observed!$C$2:$P$139,11,FALSE)</f>
        <v>963.38147641831847</v>
      </c>
      <c r="G126" s="10">
        <f>VLOOKUP($A126,observed!$C$2:$P$139,12,FALSE)</f>
        <v>1302.7891312741303</v>
      </c>
      <c r="H126" s="10">
        <f>VLOOKUP($A126,observed!$C$2:$P$139,13,FALSE)</f>
        <v>622.03523988103075</v>
      </c>
      <c r="I126" s="10">
        <f>VLOOKUP($A126,observed!$C$2:$P$139,14,FALSE)</f>
        <v>17.323373205741071</v>
      </c>
      <c r="J126" s="10">
        <f t="shared" si="11"/>
        <v>2916.78</v>
      </c>
      <c r="K126" s="57">
        <f>IFERROR(VLOOKUP($A126&amp;"-"&amp;TEXT($B126+19,0),md[[routeC]:[passenger_mile_EV]],9,FALSE),"")</f>
        <v>0</v>
      </c>
      <c r="L126" s="57">
        <f>IFERROR(VLOOKUP($A126&amp;"-"&amp;TEXT($B126+19,0),md[[routeC]:[passenger_mile_EV]],10,FALSE),"")</f>
        <v>0</v>
      </c>
      <c r="M126" s="57">
        <f>IFERROR(VLOOKUP($A126&amp;"-"&amp;TEXT($B126+19,0),md[[routeC]:[passenger_mile_EV]],11,FALSE),"")</f>
        <v>0</v>
      </c>
      <c r="N126" s="57">
        <f>IFERROR(VLOOKUP($A126&amp;"-"&amp;TEXT($B126+19,0),md[[routeC]:[passenger_mile_EV]],12,FALSE),"")</f>
        <v>0</v>
      </c>
      <c r="O126" s="57">
        <f>IFERROR(VLOOKUP($A126&amp;"-"&amp;TEXT($B126+19,0),md[[routeC]:[passenger_mile_EV]],13,FALSE),"")</f>
        <v>0</v>
      </c>
      <c r="P126" s="57">
        <f t="shared" si="12"/>
        <v>0</v>
      </c>
      <c r="Q126" s="224">
        <f t="shared" si="13"/>
        <v>-1</v>
      </c>
      <c r="R126" s="237">
        <f t="shared" si="14"/>
        <v>8507605.5684000012</v>
      </c>
    </row>
    <row r="127" spans="1:18" x14ac:dyDescent="0.3">
      <c r="A127" s="5">
        <v>955</v>
      </c>
      <c r="B127" s="5">
        <v>10</v>
      </c>
      <c r="C127" s="5" t="s">
        <v>0</v>
      </c>
      <c r="D127" s="5">
        <v>5</v>
      </c>
      <c r="E127" s="10">
        <f>VLOOKUP($A127,observed!$C$2:$P$139,10,FALSE)</f>
        <v>240.71318137472281</v>
      </c>
      <c r="F127" s="10">
        <f>VLOOKUP($A127,observed!$C$2:$P$139,11,FALSE)</f>
        <v>2519.573988436598</v>
      </c>
      <c r="G127" s="10">
        <f>VLOOKUP($A127,observed!$C$2:$P$139,12,FALSE)</f>
        <v>5705.9367957629847</v>
      </c>
      <c r="H127" s="10">
        <f>VLOOKUP($A127,observed!$C$2:$P$139,13,FALSE)</f>
        <v>3129.3504692765632</v>
      </c>
      <c r="I127" s="10">
        <f>VLOOKUP($A127,observed!$C$2:$P$139,14,FALSE)</f>
        <v>1403.8755651491324</v>
      </c>
      <c r="J127" s="10">
        <f t="shared" si="11"/>
        <v>12999.45</v>
      </c>
      <c r="K127" s="57">
        <f>IFERROR(VLOOKUP($A127&amp;"-"&amp;TEXT($B127+19,0),md[[routeC]:[passenger_mile_EV]],9,FALSE),"")</f>
        <v>0</v>
      </c>
      <c r="L127" s="57">
        <f>IFERROR(VLOOKUP($A127&amp;"-"&amp;TEXT($B127+19,0),md[[routeC]:[passenger_mile_EV]],10,FALSE),"")</f>
        <v>0</v>
      </c>
      <c r="M127" s="57">
        <f>IFERROR(VLOOKUP($A127&amp;"-"&amp;TEXT($B127+19,0),md[[routeC]:[passenger_mile_EV]],11,FALSE),"")</f>
        <v>0</v>
      </c>
      <c r="N127" s="57">
        <f>IFERROR(VLOOKUP($A127&amp;"-"&amp;TEXT($B127+19,0),md[[routeC]:[passenger_mile_EV]],12,FALSE),"")</f>
        <v>0</v>
      </c>
      <c r="O127" s="57">
        <f>IFERROR(VLOOKUP($A127&amp;"-"&amp;TEXT($B127+19,0),md[[routeC]:[passenger_mile_EV]],13,FALSE),"")</f>
        <v>0</v>
      </c>
      <c r="P127" s="57">
        <f t="shared" si="12"/>
        <v>0</v>
      </c>
      <c r="Q127" s="224">
        <f t="shared" si="13"/>
        <v>-1</v>
      </c>
      <c r="R127" s="237">
        <f t="shared" si="14"/>
        <v>168985700.30250001</v>
      </c>
    </row>
    <row r="128" spans="1:18" x14ac:dyDescent="0.3">
      <c r="A128" s="5">
        <v>961</v>
      </c>
      <c r="B128" s="5">
        <v>10</v>
      </c>
      <c r="C128" s="5" t="s">
        <v>0</v>
      </c>
      <c r="D128" s="5">
        <v>5</v>
      </c>
      <c r="E128" s="10">
        <f>VLOOKUP($A128,observed!$C$2:$P$139,10,FALSE)</f>
        <v>197.02090043290042</v>
      </c>
      <c r="F128" s="10">
        <f>VLOOKUP($A128,observed!$C$2:$P$139,11,FALSE)</f>
        <v>1226.8574861520649</v>
      </c>
      <c r="G128" s="10">
        <f>VLOOKUP($A128,observed!$C$2:$P$139,12,FALSE)</f>
        <v>2940.6404028887127</v>
      </c>
      <c r="H128" s="10">
        <f>VLOOKUP($A128,observed!$C$2:$P$139,13,FALSE)</f>
        <v>1720.5619518390654</v>
      </c>
      <c r="I128" s="10">
        <f>VLOOKUP($A128,observed!$C$2:$P$139,14,FALSE)</f>
        <v>577.97925868725611</v>
      </c>
      <c r="J128" s="10">
        <f t="shared" si="11"/>
        <v>6663.06</v>
      </c>
      <c r="K128" s="57">
        <f>IFERROR(VLOOKUP($A128&amp;"-"&amp;TEXT($B128+19,0),md[[routeC]:[passenger_mile_EV]],9,FALSE),"")</f>
        <v>0</v>
      </c>
      <c r="L128" s="57">
        <f>IFERROR(VLOOKUP($A128&amp;"-"&amp;TEXT($B128+19,0),md[[routeC]:[passenger_mile_EV]],10,FALSE),"")</f>
        <v>0</v>
      </c>
      <c r="M128" s="57">
        <f>IFERROR(VLOOKUP($A128&amp;"-"&amp;TEXT($B128+19,0),md[[routeC]:[passenger_mile_EV]],11,FALSE),"")</f>
        <v>0</v>
      </c>
      <c r="N128" s="57">
        <f>IFERROR(VLOOKUP($A128&amp;"-"&amp;TEXT($B128+19,0),md[[routeC]:[passenger_mile_EV]],12,FALSE),"")</f>
        <v>0</v>
      </c>
      <c r="O128" s="57">
        <f>IFERROR(VLOOKUP($A128&amp;"-"&amp;TEXT($B128+19,0),md[[routeC]:[passenger_mile_EV]],13,FALSE),"")</f>
        <v>0</v>
      </c>
      <c r="P128" s="57">
        <f t="shared" si="12"/>
        <v>0</v>
      </c>
      <c r="Q128" s="224">
        <f t="shared" si="13"/>
        <v>-1</v>
      </c>
      <c r="R128" s="237">
        <f t="shared" si="14"/>
        <v>44396368.563600004</v>
      </c>
    </row>
    <row r="129" spans="1:18" x14ac:dyDescent="0.3">
      <c r="A129" s="5">
        <v>962</v>
      </c>
      <c r="B129" s="5">
        <v>10</v>
      </c>
      <c r="C129" s="5" t="s">
        <v>0</v>
      </c>
      <c r="D129" s="5">
        <v>5</v>
      </c>
      <c r="E129" s="10">
        <f>VLOOKUP($A129,observed!$C$2:$P$139,10,FALSE)</f>
        <v>110.77468749999993</v>
      </c>
      <c r="F129" s="10">
        <f>VLOOKUP($A129,observed!$C$2:$P$139,11,FALSE)</f>
        <v>1088.4695957538422</v>
      </c>
      <c r="G129" s="10">
        <f>VLOOKUP($A129,observed!$C$2:$P$139,12,FALSE)</f>
        <v>2275.9860676233452</v>
      </c>
      <c r="H129" s="10">
        <f>VLOOKUP($A129,observed!$C$2:$P$139,13,FALSE)</f>
        <v>1190.3902811574451</v>
      </c>
      <c r="I129" s="10">
        <f>VLOOKUP($A129,observed!$C$2:$P$139,14,FALSE)</f>
        <v>421.43936796536678</v>
      </c>
      <c r="J129" s="10">
        <f t="shared" si="11"/>
        <v>5087.0599999999995</v>
      </c>
      <c r="K129" s="57">
        <f>IFERROR(VLOOKUP($A129&amp;"-"&amp;TEXT($B129+19,0),md[[routeC]:[passenger_mile_EV]],9,FALSE),"")</f>
        <v>0</v>
      </c>
      <c r="L129" s="57">
        <f>IFERROR(VLOOKUP($A129&amp;"-"&amp;TEXT($B129+19,0),md[[routeC]:[passenger_mile_EV]],10,FALSE),"")</f>
        <v>0</v>
      </c>
      <c r="M129" s="57">
        <f>IFERROR(VLOOKUP($A129&amp;"-"&amp;TEXT($B129+19,0),md[[routeC]:[passenger_mile_EV]],11,FALSE),"")</f>
        <v>0</v>
      </c>
      <c r="N129" s="57">
        <f>IFERROR(VLOOKUP($A129&amp;"-"&amp;TEXT($B129+19,0),md[[routeC]:[passenger_mile_EV]],12,FALSE),"")</f>
        <v>0</v>
      </c>
      <c r="O129" s="57">
        <f>IFERROR(VLOOKUP($A129&amp;"-"&amp;TEXT($B129+19,0),md[[routeC]:[passenger_mile_EV]],13,FALSE),"")</f>
        <v>0</v>
      </c>
      <c r="P129" s="57">
        <f t="shared" si="12"/>
        <v>0</v>
      </c>
      <c r="Q129" s="224">
        <f t="shared" si="13"/>
        <v>-1</v>
      </c>
      <c r="R129" s="237">
        <f t="shared" si="14"/>
        <v>25878179.443599995</v>
      </c>
    </row>
    <row r="130" spans="1:18" x14ac:dyDescent="0.3">
      <c r="A130" s="5">
        <v>963</v>
      </c>
      <c r="B130" s="5">
        <v>10</v>
      </c>
      <c r="C130" s="5" t="s">
        <v>0</v>
      </c>
      <c r="D130" s="5">
        <v>5</v>
      </c>
      <c r="E130" s="10">
        <f>VLOOKUP($A130,observed!$C$2:$P$139,10,FALSE)</f>
        <v>23.765288888888879</v>
      </c>
      <c r="F130" s="10">
        <f>VLOOKUP($A130,observed!$C$2:$P$139,11,FALSE)</f>
        <v>342.30735086266395</v>
      </c>
      <c r="G130" s="10">
        <f>VLOOKUP($A130,observed!$C$2:$P$139,12,FALSE)</f>
        <v>932.66936024844586</v>
      </c>
      <c r="H130" s="10">
        <f>VLOOKUP($A130,observed!$C$2:$P$139,13,FALSE)</f>
        <v>542.33185521885753</v>
      </c>
      <c r="I130" s="10">
        <f>VLOOKUP($A130,observed!$C$2:$P$139,14,FALSE)</f>
        <v>192.68614478114387</v>
      </c>
      <c r="J130" s="10">
        <f t="shared" si="11"/>
        <v>2033.7600000000002</v>
      </c>
      <c r="K130" s="57">
        <f>IFERROR(VLOOKUP($A130&amp;"-"&amp;TEXT($B130+19,0),md[[routeC]:[passenger_mile_EV]],9,FALSE),"")</f>
        <v>0</v>
      </c>
      <c r="L130" s="57">
        <f>IFERROR(VLOOKUP($A130&amp;"-"&amp;TEXT($B130+19,0),md[[routeC]:[passenger_mile_EV]],10,FALSE),"")</f>
        <v>0</v>
      </c>
      <c r="M130" s="57">
        <f>IFERROR(VLOOKUP($A130&amp;"-"&amp;TEXT($B130+19,0),md[[routeC]:[passenger_mile_EV]],11,FALSE),"")</f>
        <v>0</v>
      </c>
      <c r="N130" s="57">
        <f>IFERROR(VLOOKUP($A130&amp;"-"&amp;TEXT($B130+19,0),md[[routeC]:[passenger_mile_EV]],12,FALSE),"")</f>
        <v>0</v>
      </c>
      <c r="O130" s="57">
        <f>IFERROR(VLOOKUP($A130&amp;"-"&amp;TEXT($B130+19,0),md[[routeC]:[passenger_mile_EV]],13,FALSE),"")</f>
        <v>0</v>
      </c>
      <c r="P130" s="57">
        <f t="shared" si="12"/>
        <v>0</v>
      </c>
      <c r="Q130" s="224">
        <f t="shared" si="13"/>
        <v>-1</v>
      </c>
      <c r="R130" s="237">
        <f t="shared" si="14"/>
        <v>4136179.737600001</v>
      </c>
    </row>
    <row r="131" spans="1:18" x14ac:dyDescent="0.3">
      <c r="A131" s="5">
        <v>964</v>
      </c>
      <c r="B131" s="5">
        <v>10</v>
      </c>
      <c r="C131" s="5" t="s">
        <v>0</v>
      </c>
      <c r="D131" s="5">
        <v>5</v>
      </c>
      <c r="E131" s="10">
        <f>VLOOKUP($A131,observed!$C$2:$P$139,10,FALSE)</f>
        <v>13.909655172413766</v>
      </c>
      <c r="F131" s="10">
        <f>VLOOKUP($A131,observed!$C$2:$P$139,11,FALSE)</f>
        <v>344.54586206896556</v>
      </c>
      <c r="G131" s="10">
        <f>VLOOKUP($A131,observed!$C$2:$P$139,12,FALSE)</f>
        <v>639.63714942528691</v>
      </c>
      <c r="H131" s="10">
        <f>VLOOKUP($A131,observed!$C$2:$P$139,13,FALSE)</f>
        <v>315.0499259259268</v>
      </c>
      <c r="I131" s="10">
        <f>VLOOKUP($A131,observed!$C$2:$P$139,14,FALSE)</f>
        <v>67.467407407406967</v>
      </c>
      <c r="J131" s="10">
        <f t="shared" si="11"/>
        <v>1380.61</v>
      </c>
      <c r="K131" s="57">
        <f>IFERROR(VLOOKUP($A131&amp;"-"&amp;TEXT($B131+19,0),md[[routeC]:[passenger_mile_EV]],9,FALSE),"")</f>
        <v>0</v>
      </c>
      <c r="L131" s="57">
        <f>IFERROR(VLOOKUP($A131&amp;"-"&amp;TEXT($B131+19,0),md[[routeC]:[passenger_mile_EV]],10,FALSE),"")</f>
        <v>0</v>
      </c>
      <c r="M131" s="57">
        <f>IFERROR(VLOOKUP($A131&amp;"-"&amp;TEXT($B131+19,0),md[[routeC]:[passenger_mile_EV]],11,FALSE),"")</f>
        <v>0</v>
      </c>
      <c r="N131" s="57">
        <f>IFERROR(VLOOKUP($A131&amp;"-"&amp;TEXT($B131+19,0),md[[routeC]:[passenger_mile_EV]],12,FALSE),"")</f>
        <v>0</v>
      </c>
      <c r="O131" s="57">
        <f>IFERROR(VLOOKUP($A131&amp;"-"&amp;TEXT($B131+19,0),md[[routeC]:[passenger_mile_EV]],13,FALSE),"")</f>
        <v>0</v>
      </c>
      <c r="P131" s="57">
        <f t="shared" si="12"/>
        <v>0</v>
      </c>
      <c r="Q131" s="224">
        <f t="shared" si="13"/>
        <v>-1</v>
      </c>
      <c r="R131" s="237">
        <f t="shared" si="14"/>
        <v>1906083.9720999997</v>
      </c>
    </row>
    <row r="132" spans="1:18" x14ac:dyDescent="0.3">
      <c r="A132" s="5">
        <v>965</v>
      </c>
      <c r="B132" s="5">
        <v>10</v>
      </c>
      <c r="C132" s="5" t="s">
        <v>0</v>
      </c>
      <c r="D132" s="5">
        <v>5</v>
      </c>
      <c r="E132" s="10">
        <f>VLOOKUP($A132,observed!$C$2:$P$139,10,FALSE)</f>
        <v>46.19</v>
      </c>
      <c r="F132" s="10">
        <f>VLOOKUP($A132,observed!$C$2:$P$139,11,FALSE)</f>
        <v>99.48458333333339</v>
      </c>
      <c r="G132" s="10">
        <f>VLOOKUP($A132,observed!$C$2:$P$139,12,FALSE)</f>
        <v>157.12755952380911</v>
      </c>
      <c r="H132" s="10">
        <f>VLOOKUP($A132,observed!$C$2:$P$139,13,FALSE)</f>
        <v>137.44516483516551</v>
      </c>
      <c r="I132" s="10">
        <f>VLOOKUP($A132,observed!$C$2:$P$139,14,FALSE)</f>
        <v>43.192692307691985</v>
      </c>
      <c r="J132" s="10">
        <f t="shared" ref="J132:J139" si="16">SUM(E132:I132)</f>
        <v>483.44</v>
      </c>
      <c r="K132" s="57">
        <f>IFERROR(VLOOKUP($A132&amp;"-"&amp;TEXT($B132+19,0),md[[routeC]:[passenger_mile_EV]],9,FALSE),"")</f>
        <v>0</v>
      </c>
      <c r="L132" s="57">
        <f>IFERROR(VLOOKUP($A132&amp;"-"&amp;TEXT($B132+19,0),md[[routeC]:[passenger_mile_EV]],10,FALSE),"")</f>
        <v>0</v>
      </c>
      <c r="M132" s="57">
        <f>IFERROR(VLOOKUP($A132&amp;"-"&amp;TEXT($B132+19,0),md[[routeC]:[passenger_mile_EV]],11,FALSE),"")</f>
        <v>0</v>
      </c>
      <c r="N132" s="57">
        <f>IFERROR(VLOOKUP($A132&amp;"-"&amp;TEXT($B132+19,0),md[[routeC]:[passenger_mile_EV]],12,FALSE),"")</f>
        <v>0</v>
      </c>
      <c r="O132" s="57">
        <f>IFERROR(VLOOKUP($A132&amp;"-"&amp;TEXT($B132+19,0),md[[routeC]:[passenger_mile_EV]],13,FALSE),"")</f>
        <v>0</v>
      </c>
      <c r="P132" s="57">
        <f t="shared" si="12"/>
        <v>0</v>
      </c>
      <c r="Q132" s="224">
        <f t="shared" si="13"/>
        <v>-1</v>
      </c>
      <c r="R132" s="237">
        <f t="shared" si="14"/>
        <v>233714.23360000001</v>
      </c>
    </row>
    <row r="133" spans="1:18" x14ac:dyDescent="0.3">
      <c r="A133" s="5">
        <v>967</v>
      </c>
      <c r="B133" s="5">
        <v>10</v>
      </c>
      <c r="C133" s="5" t="s">
        <v>0</v>
      </c>
      <c r="D133" s="5">
        <v>5</v>
      </c>
      <c r="E133" s="10">
        <f>VLOOKUP($A133,observed!$C$2:$P$139,10,FALSE)</f>
        <v>12.17</v>
      </c>
      <c r="F133" s="10">
        <f>VLOOKUP($A133,observed!$C$2:$P$139,11,FALSE)</f>
        <v>141.66999999999999</v>
      </c>
      <c r="G133" s="10">
        <f>VLOOKUP($A133,observed!$C$2:$P$139,12,FALSE)</f>
        <v>304.10139534883672</v>
      </c>
      <c r="H133" s="10">
        <f>VLOOKUP($A133,observed!$C$2:$P$139,13,FALSE)</f>
        <v>164.1586046511633</v>
      </c>
      <c r="I133" s="10">
        <f>VLOOKUP($A133,observed!$C$2:$P$139,14,FALSE)</f>
        <v>55.53</v>
      </c>
      <c r="J133" s="10">
        <f t="shared" si="16"/>
        <v>677.63</v>
      </c>
      <c r="K133" s="57">
        <f>IFERROR(VLOOKUP($A133&amp;"-"&amp;TEXT($B133+19,0),md[[routeC]:[passenger_mile_EV]],9,FALSE),"")</f>
        <v>0</v>
      </c>
      <c r="L133" s="57">
        <f>IFERROR(VLOOKUP($A133&amp;"-"&amp;TEXT($B133+19,0),md[[routeC]:[passenger_mile_EV]],10,FALSE),"")</f>
        <v>0</v>
      </c>
      <c r="M133" s="57">
        <f>IFERROR(VLOOKUP($A133&amp;"-"&amp;TEXT($B133+19,0),md[[routeC]:[passenger_mile_EV]],11,FALSE),"")</f>
        <v>0</v>
      </c>
      <c r="N133" s="57">
        <f>IFERROR(VLOOKUP($A133&amp;"-"&amp;TEXT($B133+19,0),md[[routeC]:[passenger_mile_EV]],12,FALSE),"")</f>
        <v>0</v>
      </c>
      <c r="O133" s="57">
        <f>IFERROR(VLOOKUP($A133&amp;"-"&amp;TEXT($B133+19,0),md[[routeC]:[passenger_mile_EV]],13,FALSE),"")</f>
        <v>0</v>
      </c>
      <c r="P133" s="57">
        <f>SUM(K133:O133)</f>
        <v>0</v>
      </c>
      <c r="Q133" s="224">
        <f t="shared" ref="Q133:Q139" si="17">P133/J133-1</f>
        <v>-1</v>
      </c>
      <c r="R133" s="237">
        <f t="shared" ref="R133:R139" si="18">POWER((P133-J133),2)</f>
        <v>459182.41690000001</v>
      </c>
    </row>
    <row r="134" spans="1:18" x14ac:dyDescent="0.3">
      <c r="A134" s="5">
        <v>968</v>
      </c>
      <c r="B134" s="5">
        <v>10</v>
      </c>
      <c r="C134" s="5" t="s">
        <v>0</v>
      </c>
      <c r="D134" s="5">
        <v>5</v>
      </c>
      <c r="E134" s="10">
        <f>VLOOKUP($A134,observed!$C$2:$P$139,10,FALSE)</f>
        <v>45.631162790697665</v>
      </c>
      <c r="F134" s="10">
        <f>VLOOKUP($A134,observed!$C$2:$P$139,11,FALSE)</f>
        <v>163.27458189015337</v>
      </c>
      <c r="G134" s="10">
        <f>VLOOKUP($A134,observed!$C$2:$P$139,12,FALSE)</f>
        <v>271.83425531914895</v>
      </c>
      <c r="H134" s="10">
        <f>VLOOKUP($A134,observed!$C$2:$P$139,13,FALSE)</f>
        <v>162.14409090909118</v>
      </c>
      <c r="I134" s="10">
        <f>VLOOKUP($A134,observed!$C$2:$P$139,14,FALSE)</f>
        <v>73.435909090908808</v>
      </c>
      <c r="J134" s="10">
        <f t="shared" si="16"/>
        <v>716.31999999999994</v>
      </c>
      <c r="K134" s="57">
        <f>IFERROR(VLOOKUP($A134&amp;"-"&amp;TEXT($B134+19,0),md[[routeC]:[passenger_mile_EV]],9,FALSE),"")</f>
        <v>0</v>
      </c>
      <c r="L134" s="57">
        <f>IFERROR(VLOOKUP($A134&amp;"-"&amp;TEXT($B134+19,0),md[[routeC]:[passenger_mile_EV]],10,FALSE),"")</f>
        <v>0</v>
      </c>
      <c r="M134" s="57">
        <f>IFERROR(VLOOKUP($A134&amp;"-"&amp;TEXT($B134+19,0),md[[routeC]:[passenger_mile_EV]],11,FALSE),"")</f>
        <v>0</v>
      </c>
      <c r="N134" s="57">
        <f>IFERROR(VLOOKUP($A134&amp;"-"&amp;TEXT($B134+19,0),md[[routeC]:[passenger_mile_EV]],12,FALSE),"")</f>
        <v>0</v>
      </c>
      <c r="O134" s="57">
        <f>IFERROR(VLOOKUP($A134&amp;"-"&amp;TEXT($B134+19,0),md[[routeC]:[passenger_mile_EV]],13,FALSE),"")</f>
        <v>0</v>
      </c>
      <c r="P134" s="57">
        <f>SUM(K134:O134)</f>
        <v>0</v>
      </c>
      <c r="Q134" s="224">
        <f t="shared" si="17"/>
        <v>-1</v>
      </c>
      <c r="R134" s="237">
        <f t="shared" si="18"/>
        <v>513114.34239999991</v>
      </c>
    </row>
    <row r="135" spans="1:18" x14ac:dyDescent="0.3">
      <c r="A135" s="5">
        <v>972</v>
      </c>
      <c r="B135" s="5">
        <v>10</v>
      </c>
      <c r="C135" s="5" t="s">
        <v>0</v>
      </c>
      <c r="D135" s="5">
        <v>5</v>
      </c>
      <c r="E135" s="10">
        <f>VLOOKUP($A135,observed!$C$2:$P$139,10,FALSE)</f>
        <v>0</v>
      </c>
      <c r="F135" s="10">
        <f>VLOOKUP($A135,observed!$C$2:$P$139,11,FALSE)</f>
        <v>150.89857142857142</v>
      </c>
      <c r="G135" s="10">
        <f>VLOOKUP($A135,observed!$C$2:$P$139,12,FALSE)</f>
        <v>4.2714285714285776</v>
      </c>
      <c r="H135" s="10">
        <f>VLOOKUP($A135,observed!$C$2:$P$139,13,FALSE)</f>
        <v>107.95</v>
      </c>
      <c r="I135" s="10">
        <f>VLOOKUP($A135,observed!$C$2:$P$139,14,FALSE)</f>
        <v>0</v>
      </c>
      <c r="J135" s="10">
        <f t="shared" si="16"/>
        <v>263.12</v>
      </c>
      <c r="K135" s="57">
        <f>IFERROR(VLOOKUP($A135&amp;"-"&amp;TEXT($B135+19,0),md[[routeC]:[passenger_mile_EV]],9,FALSE),"")</f>
        <v>0</v>
      </c>
      <c r="L135" s="57">
        <f>IFERROR(VLOOKUP($A135&amp;"-"&amp;TEXT($B135+19,0),md[[routeC]:[passenger_mile_EV]],10,FALSE),"")</f>
        <v>0</v>
      </c>
      <c r="M135" s="57">
        <f>IFERROR(VLOOKUP($A135&amp;"-"&amp;TEXT($B135+19,0),md[[routeC]:[passenger_mile_EV]],11,FALSE),"")</f>
        <v>0</v>
      </c>
      <c r="N135" s="57">
        <f>IFERROR(VLOOKUP($A135&amp;"-"&amp;TEXT($B135+19,0),md[[routeC]:[passenger_mile_EV]],12,FALSE),"")</f>
        <v>0</v>
      </c>
      <c r="O135" s="57">
        <f>IFERROR(VLOOKUP($A135&amp;"-"&amp;TEXT($B135+19,0),md[[routeC]:[passenger_mile_EV]],13,FALSE),"")</f>
        <v>0</v>
      </c>
      <c r="P135" s="57">
        <f>SUM(K135:O135)</f>
        <v>0</v>
      </c>
      <c r="Q135" s="224">
        <f t="shared" si="17"/>
        <v>-1</v>
      </c>
      <c r="R135" s="237">
        <f t="shared" si="18"/>
        <v>69232.134399999995</v>
      </c>
    </row>
    <row r="136" spans="1:18" x14ac:dyDescent="0.3">
      <c r="A136" s="5">
        <v>973</v>
      </c>
      <c r="B136" s="5">
        <v>10</v>
      </c>
      <c r="C136" s="5" t="s">
        <v>0</v>
      </c>
      <c r="D136" s="5">
        <v>5</v>
      </c>
      <c r="E136" s="10">
        <f>VLOOKUP($A136,observed!$C$2:$P$139,10,FALSE)</f>
        <v>0</v>
      </c>
      <c r="F136" s="10">
        <f>VLOOKUP($A136,observed!$C$2:$P$139,11,FALSE)</f>
        <v>143.69999999999999</v>
      </c>
      <c r="G136" s="10">
        <f>VLOOKUP($A136,observed!$C$2:$P$139,12,FALSE)</f>
        <v>0</v>
      </c>
      <c r="H136" s="10">
        <f>VLOOKUP($A136,observed!$C$2:$P$139,13,FALSE)</f>
        <v>175.36000000000004</v>
      </c>
      <c r="I136" s="10">
        <f>VLOOKUP($A136,observed!$C$2:$P$139,14,FALSE)</f>
        <v>0</v>
      </c>
      <c r="J136" s="10">
        <f t="shared" si="16"/>
        <v>319.06000000000006</v>
      </c>
      <c r="K136" s="57">
        <f>IFERROR(VLOOKUP($A136&amp;"-"&amp;TEXT($B136+19,0),md[[routeC]:[passenger_mile_EV]],9,FALSE),"")</f>
        <v>0</v>
      </c>
      <c r="L136" s="57">
        <f>IFERROR(VLOOKUP($A136&amp;"-"&amp;TEXT($B136+19,0),md[[routeC]:[passenger_mile_EV]],10,FALSE),"")</f>
        <v>0</v>
      </c>
      <c r="M136" s="57">
        <f>IFERROR(VLOOKUP($A136&amp;"-"&amp;TEXT($B136+19,0),md[[routeC]:[passenger_mile_EV]],11,FALSE),"")</f>
        <v>0</v>
      </c>
      <c r="N136" s="57">
        <f>IFERROR(VLOOKUP($A136&amp;"-"&amp;TEXT($B136+19,0),md[[routeC]:[passenger_mile_EV]],12,FALSE),"")</f>
        <v>0</v>
      </c>
      <c r="O136" s="57">
        <f>IFERROR(VLOOKUP($A136&amp;"-"&amp;TEXT($B136+19,0),md[[routeC]:[passenger_mile_EV]],13,FALSE),"")</f>
        <v>0</v>
      </c>
      <c r="P136" s="57">
        <f>SUM(K136:O136)</f>
        <v>0</v>
      </c>
      <c r="Q136" s="224">
        <f t="shared" si="17"/>
        <v>-1</v>
      </c>
      <c r="R136" s="237">
        <f t="shared" si="18"/>
        <v>101799.28360000004</v>
      </c>
    </row>
    <row r="137" spans="1:18" x14ac:dyDescent="0.3">
      <c r="A137" s="5">
        <v>978</v>
      </c>
      <c r="B137" s="5">
        <v>10</v>
      </c>
      <c r="C137" s="5" t="s">
        <v>0</v>
      </c>
      <c r="D137" s="5">
        <v>5</v>
      </c>
      <c r="E137" s="10">
        <f>VLOOKUP($A137,observed!$C$2:$P$139,10,FALSE)</f>
        <v>0</v>
      </c>
      <c r="F137" s="10">
        <f>VLOOKUP($A137,observed!$C$2:$P$139,11,FALSE)</f>
        <v>95.45999999999998</v>
      </c>
      <c r="G137" s="10">
        <f>VLOOKUP($A137,observed!$C$2:$P$139,12,FALSE)</f>
        <v>0</v>
      </c>
      <c r="H137" s="10">
        <f>VLOOKUP($A137,observed!$C$2:$P$139,13,FALSE)</f>
        <v>64.83</v>
      </c>
      <c r="I137" s="10">
        <f>VLOOKUP($A137,observed!$C$2:$P$139,14,FALSE)</f>
        <v>0</v>
      </c>
      <c r="J137" s="10">
        <f t="shared" si="16"/>
        <v>160.28999999999996</v>
      </c>
      <c r="K137" s="57">
        <f>IFERROR(VLOOKUP($A137&amp;"-"&amp;TEXT($B137+19,0),md[[routeC]:[passenger_mile_EV]],9,FALSE),"")</f>
        <v>0</v>
      </c>
      <c r="L137" s="57">
        <f>IFERROR(VLOOKUP($A137&amp;"-"&amp;TEXT($B137+19,0),md[[routeC]:[passenger_mile_EV]],10,FALSE),"")</f>
        <v>0</v>
      </c>
      <c r="M137" s="57">
        <f>IFERROR(VLOOKUP($A137&amp;"-"&amp;TEXT($B137+19,0),md[[routeC]:[passenger_mile_EV]],11,FALSE),"")</f>
        <v>0</v>
      </c>
      <c r="N137" s="57">
        <f>IFERROR(VLOOKUP($A137&amp;"-"&amp;TEXT($B137+19,0),md[[routeC]:[passenger_mile_EV]],12,FALSE),"")</f>
        <v>0</v>
      </c>
      <c r="O137" s="57">
        <f>IFERROR(VLOOKUP($A137&amp;"-"&amp;TEXT($B137+19,0),md[[routeC]:[passenger_mile_EV]],13,FALSE),"")</f>
        <v>0</v>
      </c>
      <c r="P137" s="57">
        <f>SUM(K137:O137)</f>
        <v>0</v>
      </c>
      <c r="Q137" s="224">
        <f t="shared" si="17"/>
        <v>-1</v>
      </c>
      <c r="R137" s="237">
        <f t="shared" si="18"/>
        <v>25692.884099999988</v>
      </c>
    </row>
    <row r="138" spans="1:18" x14ac:dyDescent="0.3">
      <c r="A138" s="5">
        <v>979</v>
      </c>
      <c r="B138" s="5">
        <v>10</v>
      </c>
      <c r="C138" s="5" t="s">
        <v>0</v>
      </c>
      <c r="D138" s="5">
        <v>5</v>
      </c>
      <c r="E138" s="10">
        <f>VLOOKUP($A138,observed!$C$2:$P$139,10,FALSE)</f>
        <v>0</v>
      </c>
      <c r="F138" s="10">
        <f>VLOOKUP($A138,observed!$C$2:$P$139,11,FALSE)</f>
        <v>88.820000000000007</v>
      </c>
      <c r="G138" s="10">
        <f>VLOOKUP($A138,observed!$C$2:$P$139,12,FALSE)</f>
        <v>0</v>
      </c>
      <c r="H138" s="10">
        <f>VLOOKUP($A138,observed!$C$2:$P$139,13,FALSE)</f>
        <v>133.02000000000001</v>
      </c>
      <c r="I138" s="10">
        <f>VLOOKUP($A138,observed!$C$2:$P$139,14,FALSE)</f>
        <v>0</v>
      </c>
      <c r="J138" s="10">
        <f t="shared" si="16"/>
        <v>221.84000000000003</v>
      </c>
      <c r="K138" s="57">
        <f>IFERROR(VLOOKUP($A138&amp;"-"&amp;TEXT($B138+19,0),md[[routeC]:[passenger_mile_EV]],9,FALSE),"")</f>
        <v>0</v>
      </c>
      <c r="L138" s="57">
        <f>IFERROR(VLOOKUP($A138&amp;"-"&amp;TEXT($B138+19,0),md[[routeC]:[passenger_mile_EV]],10,FALSE),"")</f>
        <v>0</v>
      </c>
      <c r="M138" s="57">
        <f>IFERROR(VLOOKUP($A138&amp;"-"&amp;TEXT($B138+19,0),md[[routeC]:[passenger_mile_EV]],11,FALSE),"")</f>
        <v>0</v>
      </c>
      <c r="N138" s="57">
        <f>IFERROR(VLOOKUP($A138&amp;"-"&amp;TEXT($B138+19,0),md[[routeC]:[passenger_mile_EV]],12,FALSE),"")</f>
        <v>0</v>
      </c>
      <c r="O138" s="57">
        <f>IFERROR(VLOOKUP($A138&amp;"-"&amp;TEXT($B138+19,0),md[[routeC]:[passenger_mile_EV]],13,FALSE),"")</f>
        <v>0</v>
      </c>
      <c r="P138" s="57">
        <f t="shared" ref="P138:P139" si="19">SUM(K138:O138)</f>
        <v>0</v>
      </c>
      <c r="Q138" s="224">
        <f t="shared" si="17"/>
        <v>-1</v>
      </c>
      <c r="R138" s="237">
        <f t="shared" si="18"/>
        <v>49212.985600000015</v>
      </c>
    </row>
    <row r="139" spans="1:18" x14ac:dyDescent="0.3">
      <c r="A139" s="5">
        <v>992</v>
      </c>
      <c r="B139" s="5">
        <v>10</v>
      </c>
      <c r="C139" s="5" t="s">
        <v>0</v>
      </c>
      <c r="D139" s="5">
        <v>5</v>
      </c>
      <c r="E139" s="10">
        <f>VLOOKUP($A139,observed!$C$2:$P$139,10,FALSE)</f>
        <v>99.041750000000008</v>
      </c>
      <c r="F139" s="10">
        <f>VLOOKUP($A139,observed!$C$2:$P$139,11,FALSE)</f>
        <v>303.87122872340427</v>
      </c>
      <c r="G139" s="10">
        <f>VLOOKUP($A139,observed!$C$2:$P$139,12,FALSE)</f>
        <v>933.82302127659455</v>
      </c>
      <c r="H139" s="10">
        <f>VLOOKUP($A139,observed!$C$2:$P$139,13,FALSE)</f>
        <v>348.74200000000138</v>
      </c>
      <c r="I139" s="10">
        <f>VLOOKUP($A139,observed!$C$2:$P$139,14,FALSE)</f>
        <v>449.92199999999968</v>
      </c>
      <c r="J139" s="10">
        <f t="shared" si="16"/>
        <v>2135.4</v>
      </c>
      <c r="K139" s="57">
        <f>IFERROR(VLOOKUP($A139&amp;"-"&amp;TEXT($B139+19,0),md[[routeC]:[passenger_mile_EV]],9,FALSE),"")</f>
        <v>0</v>
      </c>
      <c r="L139" s="57">
        <f>IFERROR(VLOOKUP($A139&amp;"-"&amp;TEXT($B139+19,0),md[[routeC]:[passenger_mile_EV]],10,FALSE),"")</f>
        <v>0</v>
      </c>
      <c r="M139" s="57">
        <f>IFERROR(VLOOKUP($A139&amp;"-"&amp;TEXT($B139+19,0),md[[routeC]:[passenger_mile_EV]],11,FALSE),"")</f>
        <v>0</v>
      </c>
      <c r="N139" s="57">
        <f>IFERROR(VLOOKUP($A139&amp;"-"&amp;TEXT($B139+19,0),md[[routeC]:[passenger_mile_EV]],12,FALSE),"")</f>
        <v>0</v>
      </c>
      <c r="O139" s="57">
        <f>IFERROR(VLOOKUP($A139&amp;"-"&amp;TEXT($B139+19,0),md[[routeC]:[passenger_mile_EV]],13,FALSE),"")</f>
        <v>0</v>
      </c>
      <c r="P139" s="57">
        <f t="shared" si="19"/>
        <v>0</v>
      </c>
      <c r="Q139" s="224">
        <f t="shared" si="17"/>
        <v>-1</v>
      </c>
      <c r="R139" s="237">
        <f t="shared" si="18"/>
        <v>4559933.16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O26"/>
  <sheetViews>
    <sheetView workbookViewId="0">
      <selection activeCell="P39" sqref="P39"/>
    </sheetView>
  </sheetViews>
  <sheetFormatPr defaultRowHeight="14.4" x14ac:dyDescent="0.3"/>
  <cols>
    <col min="1" max="1" width="15" bestFit="1" customWidth="1"/>
    <col min="11" max="12" width="9.109375" style="5"/>
  </cols>
  <sheetData>
    <row r="1" spans="1:15" x14ac:dyDescent="0.3">
      <c r="A1" t="s">
        <v>36</v>
      </c>
      <c r="B1" t="s">
        <v>37</v>
      </c>
      <c r="H1" t="s">
        <v>48</v>
      </c>
      <c r="I1">
        <v>0</v>
      </c>
      <c r="J1">
        <f>I1</f>
        <v>0</v>
      </c>
      <c r="K1" s="5">
        <f>J1</f>
        <v>0</v>
      </c>
      <c r="M1" s="2">
        <v>0</v>
      </c>
      <c r="N1">
        <f>M1</f>
        <v>0</v>
      </c>
      <c r="O1">
        <f>N1</f>
        <v>0</v>
      </c>
    </row>
    <row r="2" spans="1:15" x14ac:dyDescent="0.3">
      <c r="A2" t="s">
        <v>12</v>
      </c>
      <c r="B2">
        <v>1</v>
      </c>
      <c r="I2" s="2">
        <f>MAX(D11:D12)</f>
        <v>0</v>
      </c>
      <c r="J2" s="2">
        <f>ROUND(I2,-4)</f>
        <v>0</v>
      </c>
      <c r="K2" s="5">
        <f>J2</f>
        <v>0</v>
      </c>
      <c r="L2" s="2"/>
      <c r="M2" s="2">
        <f>MAX(F11:F12)</f>
        <v>0</v>
      </c>
      <c r="N2">
        <f>ROUND(M2,-4)</f>
        <v>0</v>
      </c>
      <c r="O2">
        <f>N2</f>
        <v>0</v>
      </c>
    </row>
    <row r="3" spans="1:15" x14ac:dyDescent="0.3">
      <c r="A3" t="s">
        <v>13</v>
      </c>
      <c r="B3">
        <v>2</v>
      </c>
      <c r="M3" s="2"/>
    </row>
    <row r="4" spans="1:15" x14ac:dyDescent="0.3">
      <c r="A4" t="s">
        <v>9</v>
      </c>
      <c r="B4">
        <v>3</v>
      </c>
      <c r="H4" t="s">
        <v>49</v>
      </c>
      <c r="I4">
        <v>0</v>
      </c>
      <c r="J4">
        <f>I4</f>
        <v>0</v>
      </c>
      <c r="K4" s="5">
        <f>J4</f>
        <v>0</v>
      </c>
      <c r="M4" s="2">
        <v>0</v>
      </c>
      <c r="N4">
        <f>M4</f>
        <v>0</v>
      </c>
      <c r="O4">
        <f>N4</f>
        <v>0</v>
      </c>
    </row>
    <row r="5" spans="1:15" x14ac:dyDescent="0.3">
      <c r="A5" t="s">
        <v>14</v>
      </c>
      <c r="B5">
        <v>4</v>
      </c>
      <c r="I5" s="2">
        <f>MAX(D13:D15)</f>
        <v>0</v>
      </c>
      <c r="J5" s="2">
        <f>ROUND(I5,-4)</f>
        <v>0</v>
      </c>
      <c r="K5" s="2">
        <f>J5</f>
        <v>0</v>
      </c>
      <c r="L5" s="2"/>
      <c r="M5" s="2">
        <f>MAX(F13:F15)</f>
        <v>0</v>
      </c>
      <c r="N5" s="2">
        <f>ROUND(M5,-4)</f>
        <v>0</v>
      </c>
      <c r="O5">
        <f>N5</f>
        <v>0</v>
      </c>
    </row>
    <row r="6" spans="1:15" x14ac:dyDescent="0.3">
      <c r="A6" t="s">
        <v>11</v>
      </c>
      <c r="B6">
        <v>5</v>
      </c>
    </row>
    <row r="7" spans="1:15" x14ac:dyDescent="0.3">
      <c r="A7" t="s">
        <v>10</v>
      </c>
      <c r="B7">
        <v>6</v>
      </c>
      <c r="H7" t="s">
        <v>86</v>
      </c>
      <c r="M7">
        <v>0</v>
      </c>
      <c r="N7">
        <f>M7</f>
        <v>0</v>
      </c>
    </row>
    <row r="8" spans="1:15" x14ac:dyDescent="0.3">
      <c r="A8" t="s">
        <v>0</v>
      </c>
      <c r="B8">
        <v>7</v>
      </c>
      <c r="M8" s="2">
        <f>MAX(pm!P26:P139)</f>
        <v>0</v>
      </c>
      <c r="N8" s="2">
        <f>M8</f>
        <v>0</v>
      </c>
    </row>
    <row r="10" spans="1:15" x14ac:dyDescent="0.3">
      <c r="C10" t="s">
        <v>45</v>
      </c>
      <c r="D10" t="s">
        <v>46</v>
      </c>
      <c r="E10" t="s">
        <v>45</v>
      </c>
      <c r="F10" t="s">
        <v>46</v>
      </c>
      <c r="H10" t="s">
        <v>54</v>
      </c>
      <c r="M10">
        <v>0</v>
      </c>
      <c r="N10">
        <f>M10</f>
        <v>0</v>
      </c>
    </row>
    <row r="11" spans="1:15" x14ac:dyDescent="0.3">
      <c r="A11" t="s">
        <v>12</v>
      </c>
      <c r="C11" s="2">
        <f>MIN(bd!$P2)</f>
        <v>0</v>
      </c>
      <c r="D11" s="2">
        <f>MAX(bd!$P2)</f>
        <v>0</v>
      </c>
      <c r="E11" s="2">
        <f>MIN(pm!$P2)</f>
        <v>0</v>
      </c>
      <c r="F11" s="2">
        <f>MAX(pm!$P2)</f>
        <v>0</v>
      </c>
      <c r="M11" s="2">
        <f>ROUND(MAX(pm!P2:P139),-4)</f>
        <v>0</v>
      </c>
      <c r="N11" s="5">
        <f>M11</f>
        <v>0</v>
      </c>
    </row>
    <row r="12" spans="1:15" x14ac:dyDescent="0.3">
      <c r="A12" t="s">
        <v>13</v>
      </c>
      <c r="C12" s="2">
        <f>MIN(bd!$P3:P6)</f>
        <v>0</v>
      </c>
      <c r="D12" s="2">
        <f>MAX(bd!$P3:P6)</f>
        <v>0</v>
      </c>
      <c r="E12" s="2">
        <f>MIN(pm!L3:$P6)</f>
        <v>0</v>
      </c>
      <c r="F12" s="2">
        <f>MAX(pm!L3:$P6)</f>
        <v>0</v>
      </c>
    </row>
    <row r="13" spans="1:15" x14ac:dyDescent="0.3">
      <c r="A13" t="s">
        <v>9</v>
      </c>
      <c r="C13" s="2">
        <f>MIN(bd!$P7:P16)</f>
        <v>0</v>
      </c>
      <c r="D13" s="2">
        <f>MAX(bd!$P7:P16)</f>
        <v>0</v>
      </c>
      <c r="E13" s="2">
        <f>MIN(pm!L7:$P16)</f>
        <v>0</v>
      </c>
      <c r="F13" s="2">
        <f>MAX(pm!L7:$P16)</f>
        <v>0</v>
      </c>
    </row>
    <row r="14" spans="1:15" x14ac:dyDescent="0.3">
      <c r="A14" t="s">
        <v>47</v>
      </c>
      <c r="C14" s="2">
        <f>MIN(bd!$P17:P25)</f>
        <v>0</v>
      </c>
      <c r="D14" s="2">
        <f>MAX(bd!$P17:P25)</f>
        <v>0</v>
      </c>
      <c r="E14" s="2">
        <f>MIN(pm!L17:$P25)</f>
        <v>0</v>
      </c>
      <c r="F14" s="2">
        <f>MAX(pm!L17:$P25)</f>
        <v>0</v>
      </c>
    </row>
    <row r="15" spans="1:15" x14ac:dyDescent="0.3">
      <c r="A15" t="s">
        <v>0</v>
      </c>
      <c r="C15" s="2">
        <f>MIN(bd!$P26:P139)</f>
        <v>0</v>
      </c>
      <c r="D15" s="2">
        <f>MAX(bd!$P26:P139)</f>
        <v>0</v>
      </c>
      <c r="E15" s="2">
        <f>MIN(pm!L26:$P137)</f>
        <v>0</v>
      </c>
      <c r="F15" s="2">
        <f>MAX(pm!L26:$P137)</f>
        <v>0</v>
      </c>
    </row>
    <row r="16" spans="1:15" x14ac:dyDescent="0.3">
      <c r="D16" s="2">
        <f>MAX(D11:D15)</f>
        <v>0</v>
      </c>
      <c r="E16" s="2"/>
      <c r="F16" s="2">
        <f t="shared" ref="F16" si="0">MAX(F11:F15)</f>
        <v>0</v>
      </c>
    </row>
    <row r="20" spans="1:5" x14ac:dyDescent="0.3">
      <c r="A20" t="s">
        <v>50</v>
      </c>
    </row>
    <row r="21" spans="1:5" x14ac:dyDescent="0.3">
      <c r="A21">
        <v>0</v>
      </c>
      <c r="B21">
        <f>A21</f>
        <v>0</v>
      </c>
      <c r="D21">
        <v>0</v>
      </c>
      <c r="E21">
        <f>D21</f>
        <v>0</v>
      </c>
    </row>
    <row r="22" spans="1:5" x14ac:dyDescent="0.3">
      <c r="A22" s="127">
        <v>200000</v>
      </c>
      <c r="B22" s="127">
        <f>A22</f>
        <v>200000</v>
      </c>
      <c r="D22" s="2">
        <f>ROUND(D16,-4)</f>
        <v>0</v>
      </c>
      <c r="E22" s="2">
        <f>D22</f>
        <v>0</v>
      </c>
    </row>
    <row r="24" spans="1:5" x14ac:dyDescent="0.3">
      <c r="A24" t="s">
        <v>51</v>
      </c>
    </row>
    <row r="25" spans="1:5" x14ac:dyDescent="0.3">
      <c r="A25">
        <v>0</v>
      </c>
      <c r="B25">
        <f>A25</f>
        <v>0</v>
      </c>
    </row>
    <row r="26" spans="1:5" x14ac:dyDescent="0.3">
      <c r="A26" s="127">
        <v>900000</v>
      </c>
      <c r="B26" s="127">
        <f>A26</f>
        <v>900000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observed</vt:lpstr>
      <vt:lpstr>new</vt:lpstr>
      <vt:lpstr>sum_by_mode</vt:lpstr>
      <vt:lpstr>chart_by_mode</vt:lpstr>
      <vt:lpstr>bd</vt:lpstr>
      <vt:lpstr>sum_boarding_by_line</vt:lpstr>
      <vt:lpstr>chart_boarding_by_line</vt:lpstr>
      <vt:lpstr>sum_passenger_mile_line</vt:lpstr>
      <vt:lpstr>chart_passenger_mile_line</vt:lpstr>
      <vt:lpstr>abm2_mode</vt:lpstr>
      <vt:lpstr>pm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dcterms:created xsi:type="dcterms:W3CDTF">2017-07-04T05:48:34Z</dcterms:created>
  <dcterms:modified xsi:type="dcterms:W3CDTF">2020-05-26T23:41:12Z</dcterms:modified>
</cp:coreProperties>
</file>