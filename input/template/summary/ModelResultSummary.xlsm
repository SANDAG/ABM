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projects\sr14\version_14_1_x\abm_runs\2016\analysis\summary\"/>
    </mc:Choice>
  </mc:AlternateContent>
  <bookViews>
    <workbookView xWindow="0" yWindow="0" windowWidth="19200" windowHeight="11460" tabRatio="669"/>
  </bookViews>
  <sheets>
    <sheet name="readme" sheetId="1" r:id="rId1"/>
    <sheet name="1_ModeShare" sheetId="2" r:id="rId2"/>
    <sheet name="4_PtripLengthByPurpose" sheetId="3" r:id="rId3"/>
    <sheet name="5_PtripLengthByMode" sheetId="4" r:id="rId4"/>
    <sheet name="23_VMT" sheetId="7" r:id="rId5"/>
    <sheet name="6_VHT" sheetId="8" r:id="rId6"/>
    <sheet name="7_VHD" sheetId="9" r:id="rId7"/>
    <sheet name="8_TransitBoardingByMode" sheetId="5" r:id="rId8"/>
    <sheet name="9_TransitTripsbyMode" sheetId="6" r:id="rId9"/>
  </sheets>
  <externalReferences>
    <externalReference r:id="rId10"/>
  </externalReferences>
  <definedNames>
    <definedName name="socioeca8.sandag.org_sst21" localSheetId="1" hidden="1">'1_ModeShare'!$C$3:$M$12</definedName>
    <definedName name="socioeca8.sandag.org_sst23" localSheetId="4" hidden="1">'23_VMT'!$C$3:$J$14</definedName>
    <definedName name="socioeca8.sandag.org_sst24" localSheetId="2" hidden="1">'4_PtripLengthByPurpose'!$C$3:$AD$12</definedName>
    <definedName name="socioeca8.sandag.org_sst25" localSheetId="3" hidden="1">'5_PtripLengthByMode'!$C$3:$N$12</definedName>
    <definedName name="socioeca8.sandag.org_sst26" localSheetId="5" hidden="1">'6_VHT'!$C$3:$K$14</definedName>
    <definedName name="socioeca8.sandag.org_sst27" localSheetId="6" hidden="1">'7_VHD'!$C$3:$K$14</definedName>
    <definedName name="socioeca8.sandag.org_sst28" localSheetId="7" hidden="1">'8_TransitBoardingByMode'!$C$3:$M$9</definedName>
    <definedName name="socioeca8.sandag.org_sst29" localSheetId="8" hidden="1">'9_TransitTripsbyMode'!$C$3:$O$11</definedName>
    <definedName name="socioeca8.sandag.org_ws_sst20" localSheetId="0" hidden="1">readme!$I$2:$R$3</definedName>
    <definedName name="sql2014a8.sandag.org_ssm8" localSheetId="7" hidden="1">'8_TransitBoardingByMode'!#REF!</definedName>
    <definedName name="sql2014a8.sandag.org_ws_m4" localSheetId="2" hidden="1">'4_PtripLengthByPurpose'!#REF!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1" i="6" l="1"/>
  <c r="N11" i="6"/>
  <c r="M11" i="6"/>
  <c r="L11" i="6"/>
  <c r="K11" i="6"/>
  <c r="J11" i="6"/>
  <c r="I11" i="6"/>
  <c r="H11" i="6"/>
  <c r="G11" i="6"/>
  <c r="F11" i="6"/>
  <c r="E11" i="6"/>
  <c r="D11" i="6"/>
  <c r="C11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O9" i="6"/>
  <c r="N9" i="6"/>
  <c r="M9" i="6"/>
  <c r="L9" i="6"/>
  <c r="K9" i="6"/>
  <c r="J9" i="6"/>
  <c r="I9" i="6"/>
  <c r="H9" i="6"/>
  <c r="G9" i="6"/>
  <c r="F9" i="6"/>
  <c r="E9" i="6"/>
  <c r="D9" i="6"/>
  <c r="C9" i="6"/>
  <c r="O8" i="6"/>
  <c r="N8" i="6"/>
  <c r="M8" i="6"/>
  <c r="L8" i="6"/>
  <c r="K8" i="6"/>
  <c r="J8" i="6"/>
  <c r="I8" i="6"/>
  <c r="H8" i="6"/>
  <c r="G8" i="6"/>
  <c r="F8" i="6"/>
  <c r="E8" i="6"/>
  <c r="D8" i="6"/>
  <c r="C8" i="6"/>
  <c r="O7" i="6"/>
  <c r="N7" i="6"/>
  <c r="M7" i="6"/>
  <c r="L7" i="6"/>
  <c r="K7" i="6"/>
  <c r="J7" i="6"/>
  <c r="I7" i="6"/>
  <c r="H7" i="6"/>
  <c r="G7" i="6"/>
  <c r="F7" i="6"/>
  <c r="E7" i="6"/>
  <c r="D7" i="6"/>
  <c r="C7" i="6"/>
  <c r="O6" i="6"/>
  <c r="N6" i="6"/>
  <c r="M6" i="6"/>
  <c r="L6" i="6"/>
  <c r="K6" i="6"/>
  <c r="J6" i="6"/>
  <c r="I6" i="6"/>
  <c r="H6" i="6"/>
  <c r="G6" i="6"/>
  <c r="F6" i="6"/>
  <c r="E6" i="6"/>
  <c r="D6" i="6"/>
  <c r="C6" i="6"/>
  <c r="O5" i="6"/>
  <c r="N5" i="6"/>
  <c r="M5" i="6"/>
  <c r="L5" i="6"/>
  <c r="K5" i="6"/>
  <c r="J5" i="6"/>
  <c r="I5" i="6"/>
  <c r="H5" i="6"/>
  <c r="G5" i="6"/>
  <c r="F5" i="6"/>
  <c r="E5" i="6"/>
  <c r="D5" i="6"/>
  <c r="C5" i="6"/>
  <c r="O4" i="6"/>
  <c r="N4" i="6"/>
  <c r="M4" i="6"/>
  <c r="L4" i="6"/>
  <c r="K4" i="6"/>
  <c r="J4" i="6"/>
  <c r="I4" i="6"/>
  <c r="H4" i="6"/>
  <c r="G4" i="6"/>
  <c r="F4" i="6"/>
  <c r="E4" i="6"/>
  <c r="D4" i="6"/>
  <c r="C4" i="6"/>
  <c r="M9" i="5"/>
  <c r="L9" i="5"/>
  <c r="K9" i="5"/>
  <c r="J9" i="5"/>
  <c r="I9" i="5"/>
  <c r="H9" i="5"/>
  <c r="G9" i="5"/>
  <c r="F9" i="5"/>
  <c r="E9" i="5"/>
  <c r="D9" i="5"/>
  <c r="C9" i="5"/>
  <c r="M8" i="5"/>
  <c r="L8" i="5"/>
  <c r="K8" i="5"/>
  <c r="J8" i="5"/>
  <c r="I8" i="5"/>
  <c r="H8" i="5"/>
  <c r="G8" i="5"/>
  <c r="F8" i="5"/>
  <c r="E8" i="5"/>
  <c r="D8" i="5"/>
  <c r="C8" i="5"/>
  <c r="M7" i="5"/>
  <c r="L7" i="5"/>
  <c r="K7" i="5"/>
  <c r="J7" i="5"/>
  <c r="I7" i="5"/>
  <c r="H7" i="5"/>
  <c r="G7" i="5"/>
  <c r="F7" i="5"/>
  <c r="E7" i="5"/>
  <c r="D7" i="5"/>
  <c r="C7" i="5"/>
  <c r="M6" i="5"/>
  <c r="L6" i="5"/>
  <c r="K6" i="5"/>
  <c r="J6" i="5"/>
  <c r="I6" i="5"/>
  <c r="H6" i="5"/>
  <c r="G6" i="5"/>
  <c r="F6" i="5"/>
  <c r="E6" i="5"/>
  <c r="D6" i="5"/>
  <c r="C6" i="5"/>
  <c r="M5" i="5"/>
  <c r="L5" i="5"/>
  <c r="K5" i="5"/>
  <c r="J5" i="5"/>
  <c r="I5" i="5"/>
  <c r="H5" i="5"/>
  <c r="G5" i="5"/>
  <c r="F5" i="5"/>
  <c r="E5" i="5"/>
  <c r="D5" i="5"/>
  <c r="C5" i="5"/>
  <c r="M4" i="5"/>
  <c r="L4" i="5"/>
  <c r="K4" i="5"/>
  <c r="J4" i="5"/>
  <c r="I4" i="5"/>
  <c r="H4" i="5"/>
  <c r="G4" i="5"/>
  <c r="F4" i="5"/>
  <c r="E4" i="5"/>
  <c r="D4" i="5"/>
  <c r="C4" i="5"/>
  <c r="K14" i="9"/>
  <c r="J14" i="9"/>
  <c r="I14" i="9"/>
  <c r="H14" i="9"/>
  <c r="G14" i="9"/>
  <c r="F14" i="9"/>
  <c r="E14" i="9"/>
  <c r="D14" i="9"/>
  <c r="C14" i="9"/>
  <c r="K13" i="9"/>
  <c r="J13" i="9"/>
  <c r="I13" i="9"/>
  <c r="H13" i="9"/>
  <c r="G13" i="9"/>
  <c r="F13" i="9"/>
  <c r="E13" i="9"/>
  <c r="D13" i="9"/>
  <c r="C13" i="9"/>
  <c r="K12" i="9"/>
  <c r="J12" i="9"/>
  <c r="I12" i="9"/>
  <c r="H12" i="9"/>
  <c r="G12" i="9"/>
  <c r="F12" i="9"/>
  <c r="E12" i="9"/>
  <c r="D12" i="9"/>
  <c r="C12" i="9"/>
  <c r="K11" i="9"/>
  <c r="J11" i="9"/>
  <c r="I11" i="9"/>
  <c r="H11" i="9"/>
  <c r="G11" i="9"/>
  <c r="F11" i="9"/>
  <c r="E11" i="9"/>
  <c r="D11" i="9"/>
  <c r="C11" i="9"/>
  <c r="K10" i="9"/>
  <c r="J10" i="9"/>
  <c r="I10" i="9"/>
  <c r="H10" i="9"/>
  <c r="G10" i="9"/>
  <c r="F10" i="9"/>
  <c r="E10" i="9"/>
  <c r="D10" i="9"/>
  <c r="C10" i="9"/>
  <c r="K9" i="9"/>
  <c r="J9" i="9"/>
  <c r="I9" i="9"/>
  <c r="H9" i="9"/>
  <c r="G9" i="9"/>
  <c r="F9" i="9"/>
  <c r="E9" i="9"/>
  <c r="D9" i="9"/>
  <c r="C9" i="9"/>
  <c r="K8" i="9"/>
  <c r="J8" i="9"/>
  <c r="I8" i="9"/>
  <c r="H8" i="9"/>
  <c r="G8" i="9"/>
  <c r="F8" i="9"/>
  <c r="E8" i="9"/>
  <c r="D8" i="9"/>
  <c r="C8" i="9"/>
  <c r="K7" i="9"/>
  <c r="J7" i="9"/>
  <c r="I7" i="9"/>
  <c r="H7" i="9"/>
  <c r="G7" i="9"/>
  <c r="F7" i="9"/>
  <c r="E7" i="9"/>
  <c r="D7" i="9"/>
  <c r="C7" i="9"/>
  <c r="K6" i="9"/>
  <c r="J6" i="9"/>
  <c r="I6" i="9"/>
  <c r="H6" i="9"/>
  <c r="G6" i="9"/>
  <c r="F6" i="9"/>
  <c r="E6" i="9"/>
  <c r="D6" i="9"/>
  <c r="C6" i="9"/>
  <c r="K5" i="9"/>
  <c r="J5" i="9"/>
  <c r="I5" i="9"/>
  <c r="H5" i="9"/>
  <c r="G5" i="9"/>
  <c r="F5" i="9"/>
  <c r="E5" i="9"/>
  <c r="D5" i="9"/>
  <c r="C5" i="9"/>
  <c r="K4" i="9"/>
  <c r="J4" i="9"/>
  <c r="I4" i="9"/>
  <c r="H4" i="9"/>
  <c r="G4" i="9"/>
  <c r="F4" i="9"/>
  <c r="E4" i="9"/>
  <c r="D4" i="9"/>
  <c r="C4" i="9"/>
  <c r="K14" i="8"/>
  <c r="J14" i="8"/>
  <c r="I14" i="8"/>
  <c r="H14" i="8"/>
  <c r="G14" i="8"/>
  <c r="F14" i="8"/>
  <c r="E14" i="8"/>
  <c r="D14" i="8"/>
  <c r="C14" i="8"/>
  <c r="K13" i="8"/>
  <c r="J13" i="8"/>
  <c r="I13" i="8"/>
  <c r="H13" i="8"/>
  <c r="G13" i="8"/>
  <c r="F13" i="8"/>
  <c r="E13" i="8"/>
  <c r="D13" i="8"/>
  <c r="C13" i="8"/>
  <c r="K12" i="8"/>
  <c r="J12" i="8"/>
  <c r="I12" i="8"/>
  <c r="H12" i="8"/>
  <c r="G12" i="8"/>
  <c r="F12" i="8"/>
  <c r="E12" i="8"/>
  <c r="D12" i="8"/>
  <c r="C12" i="8"/>
  <c r="K11" i="8"/>
  <c r="J11" i="8"/>
  <c r="I11" i="8"/>
  <c r="H11" i="8"/>
  <c r="G11" i="8"/>
  <c r="F11" i="8"/>
  <c r="E11" i="8"/>
  <c r="D11" i="8"/>
  <c r="C11" i="8"/>
  <c r="K10" i="8"/>
  <c r="J10" i="8"/>
  <c r="I10" i="8"/>
  <c r="H10" i="8"/>
  <c r="G10" i="8"/>
  <c r="F10" i="8"/>
  <c r="E10" i="8"/>
  <c r="D10" i="8"/>
  <c r="C10" i="8"/>
  <c r="K9" i="8"/>
  <c r="J9" i="8"/>
  <c r="I9" i="8"/>
  <c r="H9" i="8"/>
  <c r="G9" i="8"/>
  <c r="F9" i="8"/>
  <c r="E9" i="8"/>
  <c r="D9" i="8"/>
  <c r="C9" i="8"/>
  <c r="K8" i="8"/>
  <c r="J8" i="8"/>
  <c r="I8" i="8"/>
  <c r="H8" i="8"/>
  <c r="G8" i="8"/>
  <c r="F8" i="8"/>
  <c r="E8" i="8"/>
  <c r="D8" i="8"/>
  <c r="C8" i="8"/>
  <c r="K7" i="8"/>
  <c r="J7" i="8"/>
  <c r="I7" i="8"/>
  <c r="H7" i="8"/>
  <c r="G7" i="8"/>
  <c r="F7" i="8"/>
  <c r="E7" i="8"/>
  <c r="D7" i="8"/>
  <c r="C7" i="8"/>
  <c r="K6" i="8"/>
  <c r="J6" i="8"/>
  <c r="I6" i="8"/>
  <c r="H6" i="8"/>
  <c r="G6" i="8"/>
  <c r="F6" i="8"/>
  <c r="E6" i="8"/>
  <c r="D6" i="8"/>
  <c r="C6" i="8"/>
  <c r="K5" i="8"/>
  <c r="J5" i="8"/>
  <c r="I5" i="8"/>
  <c r="H5" i="8"/>
  <c r="G5" i="8"/>
  <c r="F5" i="8"/>
  <c r="E5" i="8"/>
  <c r="D5" i="8"/>
  <c r="C5" i="8"/>
  <c r="K4" i="8"/>
  <c r="J4" i="8"/>
  <c r="I4" i="8"/>
  <c r="H4" i="8"/>
  <c r="G4" i="8"/>
  <c r="F4" i="8"/>
  <c r="E4" i="8"/>
  <c r="D4" i="8"/>
  <c r="C4" i="8"/>
  <c r="J14" i="7"/>
  <c r="I14" i="7"/>
  <c r="H14" i="7"/>
  <c r="G14" i="7"/>
  <c r="F14" i="7"/>
  <c r="E14" i="7"/>
  <c r="D14" i="7"/>
  <c r="C14" i="7"/>
  <c r="J13" i="7"/>
  <c r="I13" i="7"/>
  <c r="H13" i="7"/>
  <c r="G13" i="7"/>
  <c r="F13" i="7"/>
  <c r="E13" i="7"/>
  <c r="D13" i="7"/>
  <c r="C13" i="7"/>
  <c r="J12" i="7"/>
  <c r="I12" i="7"/>
  <c r="H12" i="7"/>
  <c r="G12" i="7"/>
  <c r="F12" i="7"/>
  <c r="E12" i="7"/>
  <c r="D12" i="7"/>
  <c r="C12" i="7"/>
  <c r="J11" i="7"/>
  <c r="I11" i="7"/>
  <c r="H11" i="7"/>
  <c r="G11" i="7"/>
  <c r="F11" i="7"/>
  <c r="E11" i="7"/>
  <c r="D11" i="7"/>
  <c r="C11" i="7"/>
  <c r="J10" i="7"/>
  <c r="I10" i="7"/>
  <c r="H10" i="7"/>
  <c r="G10" i="7"/>
  <c r="F10" i="7"/>
  <c r="E10" i="7"/>
  <c r="D10" i="7"/>
  <c r="C10" i="7"/>
  <c r="J9" i="7"/>
  <c r="I9" i="7"/>
  <c r="H9" i="7"/>
  <c r="G9" i="7"/>
  <c r="F9" i="7"/>
  <c r="E9" i="7"/>
  <c r="D9" i="7"/>
  <c r="C9" i="7"/>
  <c r="J8" i="7"/>
  <c r="I8" i="7"/>
  <c r="H8" i="7"/>
  <c r="G8" i="7"/>
  <c r="F8" i="7"/>
  <c r="E8" i="7"/>
  <c r="D8" i="7"/>
  <c r="C8" i="7"/>
  <c r="J7" i="7"/>
  <c r="I7" i="7"/>
  <c r="H7" i="7"/>
  <c r="G7" i="7"/>
  <c r="F7" i="7"/>
  <c r="E7" i="7"/>
  <c r="D7" i="7"/>
  <c r="C7" i="7"/>
  <c r="J6" i="7"/>
  <c r="I6" i="7"/>
  <c r="H6" i="7"/>
  <c r="G6" i="7"/>
  <c r="F6" i="7"/>
  <c r="E6" i="7"/>
  <c r="D6" i="7"/>
  <c r="C6" i="7"/>
  <c r="J5" i="7"/>
  <c r="I5" i="7"/>
  <c r="H5" i="7"/>
  <c r="G5" i="7"/>
  <c r="F5" i="7"/>
  <c r="E5" i="7"/>
  <c r="D5" i="7"/>
  <c r="C5" i="7"/>
  <c r="J4" i="7"/>
  <c r="I4" i="7"/>
  <c r="H4" i="7"/>
  <c r="G4" i="7"/>
  <c r="F4" i="7"/>
  <c r="E4" i="7"/>
  <c r="D4" i="7"/>
  <c r="C4" i="7"/>
  <c r="N12" i="4"/>
  <c r="M12" i="4"/>
  <c r="L12" i="4"/>
  <c r="K12" i="4"/>
  <c r="J12" i="4"/>
  <c r="I12" i="4"/>
  <c r="H12" i="4"/>
  <c r="G12" i="4"/>
  <c r="F12" i="4"/>
  <c r="E12" i="4"/>
  <c r="D12" i="4"/>
  <c r="C12" i="4"/>
  <c r="N11" i="4"/>
  <c r="M11" i="4"/>
  <c r="L11" i="4"/>
  <c r="K11" i="4"/>
  <c r="J11" i="4"/>
  <c r="I11" i="4"/>
  <c r="H11" i="4"/>
  <c r="G11" i="4"/>
  <c r="F11" i="4"/>
  <c r="E11" i="4"/>
  <c r="D11" i="4"/>
  <c r="C11" i="4"/>
  <c r="N10" i="4"/>
  <c r="M10" i="4"/>
  <c r="L10" i="4"/>
  <c r="K10" i="4"/>
  <c r="J10" i="4"/>
  <c r="I10" i="4"/>
  <c r="H10" i="4"/>
  <c r="G10" i="4"/>
  <c r="F10" i="4"/>
  <c r="E10" i="4"/>
  <c r="D10" i="4"/>
  <c r="C10" i="4"/>
  <c r="N9" i="4"/>
  <c r="M9" i="4"/>
  <c r="L9" i="4"/>
  <c r="K9" i="4"/>
  <c r="J9" i="4"/>
  <c r="I9" i="4"/>
  <c r="H9" i="4"/>
  <c r="G9" i="4"/>
  <c r="F9" i="4"/>
  <c r="E9" i="4"/>
  <c r="D9" i="4"/>
  <c r="C9" i="4"/>
  <c r="N8" i="4"/>
  <c r="M8" i="4"/>
  <c r="L8" i="4"/>
  <c r="K8" i="4"/>
  <c r="J8" i="4"/>
  <c r="I8" i="4"/>
  <c r="H8" i="4"/>
  <c r="G8" i="4"/>
  <c r="F8" i="4"/>
  <c r="E8" i="4"/>
  <c r="D8" i="4"/>
  <c r="C8" i="4"/>
  <c r="N7" i="4"/>
  <c r="M7" i="4"/>
  <c r="L7" i="4"/>
  <c r="K7" i="4"/>
  <c r="J7" i="4"/>
  <c r="I7" i="4"/>
  <c r="H7" i="4"/>
  <c r="G7" i="4"/>
  <c r="F7" i="4"/>
  <c r="E7" i="4"/>
  <c r="D7" i="4"/>
  <c r="C7" i="4"/>
  <c r="N6" i="4"/>
  <c r="M6" i="4"/>
  <c r="L6" i="4"/>
  <c r="K6" i="4"/>
  <c r="J6" i="4"/>
  <c r="I6" i="4"/>
  <c r="H6" i="4"/>
  <c r="G6" i="4"/>
  <c r="F6" i="4"/>
  <c r="E6" i="4"/>
  <c r="D6" i="4"/>
  <c r="C6" i="4"/>
  <c r="N5" i="4"/>
  <c r="M5" i="4"/>
  <c r="L5" i="4"/>
  <c r="K5" i="4"/>
  <c r="J5" i="4"/>
  <c r="I5" i="4"/>
  <c r="H5" i="4"/>
  <c r="G5" i="4"/>
  <c r="F5" i="4"/>
  <c r="E5" i="4"/>
  <c r="D5" i="4"/>
  <c r="C5" i="4"/>
  <c r="N4" i="4"/>
  <c r="M4" i="4"/>
  <c r="L4" i="4"/>
  <c r="K4" i="4"/>
  <c r="J4" i="4"/>
  <c r="I4" i="4"/>
  <c r="H4" i="4"/>
  <c r="G4" i="4"/>
  <c r="F4" i="4"/>
  <c r="E4" i="4"/>
  <c r="D4" i="4"/>
  <c r="C4" i="4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M12" i="2"/>
  <c r="L12" i="2"/>
  <c r="K12" i="2"/>
  <c r="J12" i="2"/>
  <c r="I12" i="2"/>
  <c r="H12" i="2"/>
  <c r="G12" i="2"/>
  <c r="F12" i="2"/>
  <c r="E12" i="2"/>
  <c r="D12" i="2"/>
  <c r="C12" i="2"/>
  <c r="M11" i="2"/>
  <c r="L11" i="2"/>
  <c r="K11" i="2"/>
  <c r="J11" i="2"/>
  <c r="I11" i="2"/>
  <c r="H11" i="2"/>
  <c r="G11" i="2"/>
  <c r="F11" i="2"/>
  <c r="E11" i="2"/>
  <c r="D11" i="2"/>
  <c r="C11" i="2"/>
  <c r="M10" i="2"/>
  <c r="L10" i="2"/>
  <c r="K10" i="2"/>
  <c r="J10" i="2"/>
  <c r="I10" i="2"/>
  <c r="H10" i="2"/>
  <c r="G10" i="2"/>
  <c r="F10" i="2"/>
  <c r="E10" i="2"/>
  <c r="D10" i="2"/>
  <c r="C10" i="2"/>
  <c r="M9" i="2"/>
  <c r="L9" i="2"/>
  <c r="K9" i="2"/>
  <c r="J9" i="2"/>
  <c r="I9" i="2"/>
  <c r="H9" i="2"/>
  <c r="G9" i="2"/>
  <c r="F9" i="2"/>
  <c r="E9" i="2"/>
  <c r="D9" i="2"/>
  <c r="C9" i="2"/>
  <c r="M8" i="2"/>
  <c r="L8" i="2"/>
  <c r="K8" i="2"/>
  <c r="J8" i="2"/>
  <c r="I8" i="2"/>
  <c r="H8" i="2"/>
  <c r="G8" i="2"/>
  <c r="F8" i="2"/>
  <c r="E8" i="2"/>
  <c r="D8" i="2"/>
  <c r="C8" i="2"/>
  <c r="M7" i="2"/>
  <c r="L7" i="2"/>
  <c r="K7" i="2"/>
  <c r="J7" i="2"/>
  <c r="I7" i="2"/>
  <c r="H7" i="2"/>
  <c r="G7" i="2"/>
  <c r="F7" i="2"/>
  <c r="E7" i="2"/>
  <c r="D7" i="2"/>
  <c r="C7" i="2"/>
  <c r="M6" i="2"/>
  <c r="L6" i="2"/>
  <c r="K6" i="2"/>
  <c r="J6" i="2"/>
  <c r="I6" i="2"/>
  <c r="H6" i="2"/>
  <c r="G6" i="2"/>
  <c r="F6" i="2"/>
  <c r="E6" i="2"/>
  <c r="D6" i="2"/>
  <c r="C6" i="2"/>
  <c r="M5" i="2"/>
  <c r="L5" i="2"/>
  <c r="K5" i="2"/>
  <c r="J5" i="2"/>
  <c r="I5" i="2"/>
  <c r="H5" i="2"/>
  <c r="G5" i="2"/>
  <c r="F5" i="2"/>
  <c r="E5" i="2"/>
  <c r="D5" i="2"/>
  <c r="C5" i="2"/>
  <c r="M4" i="2"/>
  <c r="L4" i="2"/>
  <c r="K4" i="2"/>
  <c r="J4" i="2"/>
  <c r="I4" i="2"/>
  <c r="H4" i="2"/>
  <c r="G4" i="2"/>
  <c r="F4" i="2"/>
  <c r="E4" i="2"/>
  <c r="D4" i="2"/>
  <c r="C4" i="2"/>
  <c r="R3" i="1"/>
  <c r="Q3" i="1"/>
  <c r="P3" i="1"/>
  <c r="O3" i="1"/>
  <c r="N3" i="1"/>
  <c r="M3" i="1"/>
  <c r="L3" i="1"/>
  <c r="K3" i="1"/>
  <c r="J3" i="1"/>
  <c r="I3" i="1"/>
  <c r="C2" i="1"/>
</calcChain>
</file>

<file path=xl/connections.xml><?xml version="1.0" encoding="utf-8"?>
<connections xmlns="http://schemas.openxmlformats.org/spreadsheetml/2006/main">
  <connection id="1" keepAlive="1" name="sst20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0_scenario] '7'"/>
  </connection>
  <connection id="2" keepAlive="1" name="sst21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1_mode_share] '7'"/>
  </connection>
  <connection id="3" keepAlive="1" name="sst23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23_vmt_capita] '7'"/>
  </connection>
  <connection id="4" keepAlive="1" name="sst24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4_ptrip_distance_purpose] '7'"/>
  </connection>
  <connection id="5" keepAlive="1" name="sst25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5_ptrip_distance_mode] '7'"/>
  </connection>
  <connection id="6" keepAlive="1" name="sst26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6_vht_capita] '7'"/>
  </connection>
  <connection id="7" keepAlive="1" name="sst27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7_vhd_capita] '7'"/>
  </connection>
  <connection id="8" keepAlive="1" name="sst28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8_transit_boarding_linehaulmode] '7'"/>
  </connection>
  <connection id="9" keepAlive="1" name="sst29" type="5" refreshedVersion="6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EXEC [ws].[sst2].[m9_transit_trips_by_mode] '7'"/>
  </connection>
</connections>
</file>

<file path=xl/sharedStrings.xml><?xml version="1.0" encoding="utf-8"?>
<sst xmlns="http://schemas.openxmlformats.org/spreadsheetml/2006/main" count="119" uniqueCount="97">
  <si>
    <t>Step 1:</t>
  </si>
  <si>
    <t>Type Scenario_id in $C$2</t>
  </si>
  <si>
    <t>scenario_id</t>
  </si>
  <si>
    <t>SOV</t>
  </si>
  <si>
    <t>HOV2</t>
  </si>
  <si>
    <t>HOV3</t>
  </si>
  <si>
    <t>Walk</t>
  </si>
  <si>
    <t>Bike</t>
  </si>
  <si>
    <t>Transit</t>
  </si>
  <si>
    <t>Other</t>
  </si>
  <si>
    <t>Work</t>
  </si>
  <si>
    <t>University</t>
  </si>
  <si>
    <t>School</t>
  </si>
  <si>
    <t>Escort</t>
  </si>
  <si>
    <t>Shop</t>
  </si>
  <si>
    <t>Maintenance</t>
  </si>
  <si>
    <t>Eating Out</t>
  </si>
  <si>
    <t>Visiting</t>
  </si>
  <si>
    <t>Discretionary</t>
  </si>
  <si>
    <t>Work-Based</t>
  </si>
  <si>
    <t>Home</t>
  </si>
  <si>
    <t>Dining</t>
  </si>
  <si>
    <t>External</t>
  </si>
  <si>
    <t>Cargo</t>
  </si>
  <si>
    <t>Visit</t>
  </si>
  <si>
    <t>Resident-Business</t>
  </si>
  <si>
    <t>Resident-Personal</t>
  </si>
  <si>
    <t>Visitor-Business</t>
  </si>
  <si>
    <t>Visitor-Personal</t>
  </si>
  <si>
    <t>AvgLengthAllPurpose</t>
  </si>
  <si>
    <t>SchoolBus</t>
  </si>
  <si>
    <t>TAXI</t>
  </si>
  <si>
    <t>WALK</t>
  </si>
  <si>
    <t>BIKE</t>
  </si>
  <si>
    <t>TRANSIT</t>
  </si>
  <si>
    <t>SBUS</t>
  </si>
  <si>
    <t>AvgLengthAllMode</t>
  </si>
  <si>
    <t>Commuter Rail</t>
  </si>
  <si>
    <t>Light Rail</t>
  </si>
  <si>
    <t>Local Bus</t>
  </si>
  <si>
    <t>TotalBoardings</t>
  </si>
  <si>
    <t>Express Bus</t>
  </si>
  <si>
    <t>TotalTransitTrips</t>
  </si>
  <si>
    <t>ifc</t>
  </si>
  <si>
    <t>ifc_desc</t>
  </si>
  <si>
    <t>vmt_auto</t>
  </si>
  <si>
    <t>vmt_truck</t>
  </si>
  <si>
    <t>vmt_bus</t>
  </si>
  <si>
    <t>vmt_all</t>
  </si>
  <si>
    <t>vmt_per_capita</t>
  </si>
  <si>
    <t>vht_auto</t>
  </si>
  <si>
    <t>vht_truck</t>
  </si>
  <si>
    <t>vht_bus</t>
  </si>
  <si>
    <t>vht_all</t>
  </si>
  <si>
    <t>vht_per_capita</t>
  </si>
  <si>
    <t>vhd_auto</t>
  </si>
  <si>
    <t>vhd_truck</t>
  </si>
  <si>
    <t>vhd_bus</t>
  </si>
  <si>
    <t>vhd_all</t>
  </si>
  <si>
    <t>vhd_per_capita</t>
  </si>
  <si>
    <t>iteration</t>
  </si>
  <si>
    <t>sample_rate</t>
  </si>
  <si>
    <t>abm_version</t>
  </si>
  <si>
    <t>complete</t>
  </si>
  <si>
    <t>date_loaded</t>
  </si>
  <si>
    <t>user_name</t>
  </si>
  <si>
    <t>path</t>
  </si>
  <si>
    <t xml:space="preserve">Step 2: </t>
  </si>
  <si>
    <t>Single click 'Run' button</t>
  </si>
  <si>
    <t xml:space="preserve">Step 3:  </t>
  </si>
  <si>
    <t>All sheets will be updated automatically</t>
  </si>
  <si>
    <t>Author: yma@sandag.org</t>
  </si>
  <si>
    <t>Note the sample rate is not used in the scripts. So it needs to be 100% to get the full result.</t>
  </si>
  <si>
    <t>year</t>
  </si>
  <si>
    <t>name</t>
  </si>
  <si>
    <t>model_trip_id</t>
  </si>
  <si>
    <t>model_description</t>
  </si>
  <si>
    <t>Not Applicable</t>
  </si>
  <si>
    <t>Work-Related</t>
  </si>
  <si>
    <t>Recreation</t>
  </si>
  <si>
    <t>Unknown</t>
  </si>
  <si>
    <t>veh_minute_per_capita</t>
  </si>
  <si>
    <t>veh_delay_minute_per_capita</t>
  </si>
  <si>
    <t>time_id</t>
  </si>
  <si>
    <t>time_desc</t>
  </si>
  <si>
    <t>Freeway Rapid</t>
  </si>
  <si>
    <t>Arterial Rapid</t>
  </si>
  <si>
    <t>Premium Express Bus</t>
  </si>
  <si>
    <t>Walk_Local</t>
  </si>
  <si>
    <t>Walk_Premium</t>
  </si>
  <si>
    <t>Walk_Local_n_Premium</t>
  </si>
  <si>
    <t>PNR_Local</t>
  </si>
  <si>
    <t>PNR_Premium</t>
  </si>
  <si>
    <t>PNR_Local_n_Premium</t>
  </si>
  <si>
    <t>KNR_Local</t>
  </si>
  <si>
    <t>KNR_Premium</t>
  </si>
  <si>
    <t>KNR_Local_n_Premium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</si>
</sst>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/>
    <xf numFmtId="0" fontId="1" fillId="0" borderId="0" xfId="0" applyFont="1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3" borderId="0" xfId="0" applyNumberFormat="1" applyFill="1"/>
    <xf numFmtId="3" fontId="0" fillId="0" borderId="0" xfId="0" applyNumberFormat="1"/>
    <xf numFmtId="0" fontId="0" fillId="2" borderId="0" xfId="0" applyFill="1"/>
    <xf numFmtId="3" fontId="0" fillId="2" borderId="0" xfId="0" applyNumberFormat="1" applyFill="1"/>
    <xf numFmtId="0" fontId="0" fillId="3" borderId="0" xfId="0" applyFill="1"/>
    <xf numFmtId="3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0" fontId="0" fillId="4" borderId="0" xfId="0" applyFill="1"/>
    <xf numFmtId="0" fontId="0" fillId="5" borderId="0" xfId="0" applyFill="1"/>
    <xf numFmtId="0" fontId="2" fillId="0" borderId="0" xfId="0" applyFont="1"/>
    <xf numFmtId="0" fontId="3" fillId="6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/>
    <xf numFmtId="22" fontId="5" fillId="0" borderId="0" xfId="0" applyNumberFormat="1" applyFont="1"/>
    <xf numFmtId="0" fontId="5" fillId="0" borderId="0" xfId="0" applyFont="1"/>
    <xf numFmtId="1" fontId="0" fillId="7" borderId="0" xfId="0" applyNumberFormat="1" applyFill="1"/>
    <xf numFmtId="164" fontId="0" fillId="7" borderId="0" xfId="0" applyNumberFormat="1" applyFill="1"/>
    <xf numFmtId="1" fontId="0" fillId="8" borderId="0" xfId="0" applyNumberFormat="1" applyFill="1"/>
    <xf numFmtId="164" fontId="0" fillId="8" borderId="0" xfId="0" applyNumberFormat="1" applyFill="1"/>
    <xf numFmtId="0" fontId="0" fillId="7" borderId="0" xfId="0" applyFill="1"/>
    <xf numFmtId="2" fontId="0" fillId="3" borderId="0" xfId="0" applyNumberFormat="1" applyFill="1"/>
    <xf numFmtId="0" fontId="0" fillId="0" borderId="0" xfId="0" applyFill="1"/>
    <xf numFmtId="3" fontId="0" fillId="0" borderId="0" xfId="0" applyNumberFormat="1" applyFill="1"/>
    <xf numFmtId="2" fontId="0" fillId="0" borderId="0" xfId="0" applyNumberFormat="1" applyFill="1"/>
    <xf numFmtId="165" fontId="0" fillId="0" borderId="0" xfId="0" applyNumberFormat="1" applyFill="1"/>
    <xf numFmtId="165" fontId="0" fillId="9" borderId="0" xfId="0" applyNumberFormat="1" applyFill="1"/>
  </cellXfs>
  <cellStyles count="1">
    <cellStyle name="Normal" xfId="0" builtinId="0"/>
  </cellStyles>
  <dxfs count="9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2" formatCode="0.00"/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  <fill>
        <patternFill patternType="none">
          <fgColor indexed="64"/>
          <bgColor indexed="65"/>
        </patternFill>
      </fill>
    </dxf>
    <dxf>
      <numFmt numFmtId="2" formatCode="0.00"/>
    </dxf>
    <dxf>
      <numFmt numFmtId="1" formatCode="0"/>
    </dxf>
    <dxf>
      <numFmt numFmtId="1" formatCode="0"/>
    </dxf>
    <dxf>
      <numFmt numFmtId="2" formatCode="0.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" formatCode="0"/>
    </dxf>
    <dxf>
      <numFmt numFmtId="1" formatCode="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summa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0_scenarioInfor"/>
      <sheetName val="1_modeshare"/>
      <sheetName val="4_PtripLengthByPurpose"/>
      <sheetName val="5_PtripLengthByMode"/>
      <sheetName val="23_VMT"/>
      <sheetName val="6_VHT"/>
      <sheetName val="7_VHD"/>
      <sheetName val="8_TransitBoardingByMode"/>
      <sheetName val="9_TransitTripsbyMode"/>
    </sheetNames>
    <sheetDataSet>
      <sheetData sheetId="0">
        <row r="3">
          <cell r="B3">
            <v>259</v>
          </cell>
        </row>
      </sheetData>
      <sheetData sheetId="1">
        <row r="2">
          <cell r="A2">
            <v>259</v>
          </cell>
          <cell r="B2">
            <v>2016</v>
          </cell>
          <cell r="C2" t="str">
            <v xml:space="preserve">2016                                              </v>
          </cell>
          <cell r="D2">
            <v>3</v>
          </cell>
          <cell r="E2">
            <v>1</v>
          </cell>
          <cell r="F2" t="str">
            <v xml:space="preserve">version_14_1_0                                    </v>
          </cell>
          <cell r="G2" t="b">
            <v>1</v>
          </cell>
          <cell r="H2">
            <v>43509.918055555558</v>
          </cell>
          <cell r="I2" t="str">
            <v xml:space="preserve">SANDAGNET\yma                                                                                       </v>
          </cell>
          <cell r="J2" t="str">
            <v xml:space="preserve">\\sandag.org\transdata\projects\sr14\version_14_1_x\abm_runs\2016                                                                                                                                       </v>
          </cell>
        </row>
      </sheetData>
      <sheetData sheetId="2">
        <row r="2">
          <cell r="A2">
            <v>259</v>
          </cell>
          <cell r="B2">
            <v>1</v>
          </cell>
          <cell r="C2" t="str">
            <v xml:space="preserve">Individual          </v>
          </cell>
          <cell r="D2">
            <v>0.48981799999999998</v>
          </cell>
          <cell r="E2">
            <v>0.221022</v>
          </cell>
          <cell r="F2">
            <v>0.18210799999999999</v>
          </cell>
          <cell r="G2">
            <v>7.1877999999999997E-2</v>
          </cell>
          <cell r="H2">
            <v>8.7740000000000005E-3</v>
          </cell>
          <cell r="I2">
            <v>1.4674E-2</v>
          </cell>
          <cell r="J2">
            <v>1.1723000000000001E-2</v>
          </cell>
          <cell r="K2">
            <v>0</v>
          </cell>
        </row>
        <row r="3">
          <cell r="A3">
            <v>259</v>
          </cell>
          <cell r="B3">
            <v>2</v>
          </cell>
          <cell r="C3" t="str">
            <v xml:space="preserve">Joint               </v>
          </cell>
          <cell r="D3">
            <v>0</v>
          </cell>
          <cell r="E3">
            <v>0.51241400000000004</v>
          </cell>
          <cell r="F3">
            <v>0.37165599999999999</v>
          </cell>
          <cell r="G3">
            <v>9.5481999999999997E-2</v>
          </cell>
          <cell r="H3">
            <v>7.1199999999999996E-4</v>
          </cell>
          <cell r="I3">
            <v>1.9734000000000002E-2</v>
          </cell>
          <cell r="J3">
            <v>0</v>
          </cell>
          <cell r="K3">
            <v>0</v>
          </cell>
        </row>
        <row r="4">
          <cell r="A4">
            <v>259</v>
          </cell>
          <cell r="B4">
            <v>3</v>
          </cell>
          <cell r="C4" t="str">
            <v xml:space="preserve">Visitor             </v>
          </cell>
          <cell r="D4">
            <v>6.0660000000000002E-3</v>
          </cell>
          <cell r="E4">
            <v>3.4347999999999997E-2</v>
          </cell>
          <cell r="F4">
            <v>0.538466</v>
          </cell>
          <cell r="G4">
            <v>0.29807699999999998</v>
          </cell>
          <cell r="H4">
            <v>0</v>
          </cell>
          <cell r="I4">
            <v>1.7769999999999999E-3</v>
          </cell>
          <cell r="J4">
            <v>0</v>
          </cell>
          <cell r="K4">
            <v>0.121263</v>
          </cell>
        </row>
        <row r="5">
          <cell r="A5">
            <v>259</v>
          </cell>
          <cell r="B5">
            <v>4</v>
          </cell>
          <cell r="C5" t="str">
            <v xml:space="preserve">Internal-External   </v>
          </cell>
          <cell r="D5">
            <v>0.58329600000000004</v>
          </cell>
          <cell r="E5">
            <v>0.19308500000000001</v>
          </cell>
          <cell r="F5">
            <v>0.19207399999999999</v>
          </cell>
          <cell r="G5">
            <v>0</v>
          </cell>
          <cell r="H5">
            <v>0</v>
          </cell>
          <cell r="I5">
            <v>3.1543000000000002E-2</v>
          </cell>
          <cell r="J5">
            <v>0</v>
          </cell>
          <cell r="K5">
            <v>0</v>
          </cell>
        </row>
        <row r="6">
          <cell r="A6">
            <v>259</v>
          </cell>
          <cell r="B6">
            <v>5</v>
          </cell>
          <cell r="C6" t="str">
            <v xml:space="preserve">Cross Border        </v>
          </cell>
          <cell r="D6">
            <v>0.26890900000000001</v>
          </cell>
          <cell r="E6">
            <v>0.28981400000000002</v>
          </cell>
          <cell r="F6">
            <v>0.25851299999999999</v>
          </cell>
          <cell r="G6">
            <v>0.114302</v>
          </cell>
          <cell r="H6">
            <v>0</v>
          </cell>
          <cell r="I6">
            <v>6.8459000000000006E-2</v>
          </cell>
          <cell r="J6">
            <v>0</v>
          </cell>
          <cell r="K6">
            <v>0</v>
          </cell>
        </row>
        <row r="7">
          <cell r="A7">
            <v>259</v>
          </cell>
          <cell r="B7">
            <v>6</v>
          </cell>
          <cell r="C7" t="str">
            <v xml:space="preserve">Airport - CBX       </v>
          </cell>
          <cell r="D7">
            <v>3.551E-2</v>
          </cell>
          <cell r="E7">
            <v>0.214285</v>
          </cell>
          <cell r="F7">
            <v>0.75020399999999998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8">
          <cell r="A8">
            <v>259</v>
          </cell>
          <cell r="B8">
            <v>7</v>
          </cell>
          <cell r="C8" t="str">
            <v xml:space="preserve">Airport - SAN       </v>
          </cell>
          <cell r="D8">
            <v>0.11294999999999999</v>
          </cell>
          <cell r="E8">
            <v>0.35958600000000002</v>
          </cell>
          <cell r="F8">
            <v>0.51501300000000005</v>
          </cell>
          <cell r="G8">
            <v>0</v>
          </cell>
          <cell r="H8">
            <v>0</v>
          </cell>
          <cell r="I8">
            <v>1.2449E-2</v>
          </cell>
          <cell r="J8">
            <v>0</v>
          </cell>
          <cell r="K8">
            <v>0</v>
          </cell>
        </row>
        <row r="9">
          <cell r="A9">
            <v>259</v>
          </cell>
          <cell r="B9">
            <v>99</v>
          </cell>
          <cell r="C9" t="str">
            <v>ResidentialModels</v>
          </cell>
          <cell r="D9">
            <v>0.44603799999999999</v>
          </cell>
          <cell r="E9">
            <v>0.24735499999999999</v>
          </cell>
          <cell r="F9">
            <v>0.19952900000000001</v>
          </cell>
          <cell r="G9">
            <v>7.3287000000000005E-2</v>
          </cell>
          <cell r="H9">
            <v>7.9459999999999999E-3</v>
          </cell>
          <cell r="I9">
            <v>1.5311999999999999E-2</v>
          </cell>
          <cell r="J9">
            <v>1.0529999999999999E-2</v>
          </cell>
          <cell r="K9">
            <v>0</v>
          </cell>
        </row>
        <row r="10">
          <cell r="A10">
            <v>259</v>
          </cell>
          <cell r="B10">
            <v>100</v>
          </cell>
          <cell r="C10" t="str">
            <v>AllModels</v>
          </cell>
          <cell r="D10">
            <v>0.42193599999999998</v>
          </cell>
          <cell r="E10">
            <v>0.240396</v>
          </cell>
          <cell r="F10">
            <v>0.21610699999999999</v>
          </cell>
          <cell r="G10">
            <v>8.3252000000000007E-2</v>
          </cell>
          <cell r="H10">
            <v>7.365E-3</v>
          </cell>
          <cell r="I10">
            <v>1.6306000000000001E-2</v>
          </cell>
          <cell r="J10">
            <v>9.7610000000000006E-3</v>
          </cell>
          <cell r="K10">
            <v>4.8729999999999997E-3</v>
          </cell>
        </row>
      </sheetData>
      <sheetData sheetId="3">
        <row r="2">
          <cell r="A2">
            <v>259</v>
          </cell>
          <cell r="B2">
            <v>1</v>
          </cell>
          <cell r="C2" t="str">
            <v xml:space="preserve">Individual          </v>
          </cell>
          <cell r="D2">
            <v>9.4928310000000007</v>
          </cell>
          <cell r="E2">
            <v>8.1009429999999991</v>
          </cell>
          <cell r="F2">
            <v>4.8159700000000001</v>
          </cell>
          <cell r="G2">
            <v>5.2200629999999997</v>
          </cell>
          <cell r="H2">
            <v>4.5492480000000004</v>
          </cell>
          <cell r="I2">
            <v>5.1666270000000001</v>
          </cell>
          <cell r="J2">
            <v>5.6274879999999996</v>
          </cell>
          <cell r="K2">
            <v>6.3271059999999997</v>
          </cell>
          <cell r="L2">
            <v>5.7568669999999997</v>
          </cell>
          <cell r="M2">
            <v>3.697476</v>
          </cell>
          <cell r="N2">
            <v>6.9893710000000002</v>
          </cell>
          <cell r="O2">
            <v>6.489973</v>
          </cell>
          <cell r="P2"/>
          <cell r="Q2"/>
          <cell r="R2"/>
          <cell r="S2"/>
          <cell r="T2"/>
          <cell r="U2"/>
          <cell r="V2"/>
          <cell r="W2"/>
          <cell r="X2"/>
          <cell r="Y2"/>
          <cell r="Z2"/>
          <cell r="AA2"/>
          <cell r="AB2">
            <v>6.1039199999999996</v>
          </cell>
        </row>
        <row r="3">
          <cell r="A3">
            <v>259</v>
          </cell>
          <cell r="B3">
            <v>2</v>
          </cell>
          <cell r="C3" t="str">
            <v xml:space="preserve">Joint               </v>
          </cell>
          <cell r="D3"/>
          <cell r="E3"/>
          <cell r="F3"/>
          <cell r="G3">
            <v>4.8287500000000003</v>
          </cell>
          <cell r="H3">
            <v>4.6018239999999997</v>
          </cell>
          <cell r="I3">
            <v>6.1238070000000002</v>
          </cell>
          <cell r="J3">
            <v>5.3073480000000002</v>
          </cell>
          <cell r="K3">
            <v>6.407349</v>
          </cell>
          <cell r="L3">
            <v>5.3705689999999997</v>
          </cell>
          <cell r="M3"/>
          <cell r="N3"/>
          <cell r="O3">
            <v>5.9558850000000003</v>
          </cell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>
            <v>5.5511429999999997</v>
          </cell>
        </row>
        <row r="4">
          <cell r="A4">
            <v>259</v>
          </cell>
          <cell r="B4">
            <v>3</v>
          </cell>
          <cell r="C4" t="str">
            <v xml:space="preserve">Visitor             </v>
          </cell>
          <cell r="D4">
            <v>1.4403999999999999</v>
          </cell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>
            <v>8.491384</v>
          </cell>
          <cell r="R4">
            <v>3.836722</v>
          </cell>
          <cell r="S4"/>
          <cell r="T4"/>
          <cell r="U4"/>
          <cell r="V4"/>
          <cell r="W4"/>
          <cell r="X4"/>
          <cell r="Y4"/>
          <cell r="Z4"/>
          <cell r="AA4">
            <v>8.5982979999999998</v>
          </cell>
          <cell r="AB4">
            <v>7.5416509999999999</v>
          </cell>
        </row>
        <row r="5">
          <cell r="A5">
            <v>259</v>
          </cell>
          <cell r="B5">
            <v>4</v>
          </cell>
          <cell r="C5" t="str">
            <v xml:space="preserve">Internal-External   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>
            <v>35.169674000000001</v>
          </cell>
          <cell r="Q5"/>
          <cell r="R5"/>
          <cell r="S5"/>
          <cell r="T5"/>
          <cell r="U5"/>
          <cell r="V5"/>
          <cell r="W5"/>
          <cell r="X5"/>
          <cell r="Y5"/>
          <cell r="Z5"/>
          <cell r="AA5"/>
          <cell r="AB5">
            <v>35.169674000000001</v>
          </cell>
        </row>
        <row r="6">
          <cell r="A6">
            <v>259</v>
          </cell>
          <cell r="B6">
            <v>5</v>
          </cell>
          <cell r="C6" t="str">
            <v xml:space="preserve">Cross Border        </v>
          </cell>
          <cell r="D6">
            <v>8.290597</v>
          </cell>
          <cell r="E6"/>
          <cell r="F6">
            <v>7.7984309999999999</v>
          </cell>
          <cell r="G6"/>
          <cell r="H6">
            <v>6.6418910000000002</v>
          </cell>
          <cell r="I6"/>
          <cell r="J6"/>
          <cell r="K6"/>
          <cell r="L6"/>
          <cell r="M6"/>
          <cell r="N6"/>
          <cell r="O6"/>
          <cell r="P6"/>
          <cell r="Q6"/>
          <cell r="R6"/>
          <cell r="S6">
            <v>6.7499229999999999</v>
          </cell>
          <cell r="T6">
            <v>6.7936839999999998</v>
          </cell>
          <cell r="U6">
            <v>7.1389310000000004</v>
          </cell>
          <cell r="V6"/>
          <cell r="W6"/>
          <cell r="X6"/>
          <cell r="Y6"/>
          <cell r="Z6"/>
          <cell r="AA6">
            <v>9.238175</v>
          </cell>
          <cell r="AB6">
            <v>7.5137020000000003</v>
          </cell>
        </row>
        <row r="7">
          <cell r="A7">
            <v>259</v>
          </cell>
          <cell r="B7">
            <v>6</v>
          </cell>
          <cell r="C7" t="str">
            <v xml:space="preserve">Airport - CBX       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>
            <v>77.748839000000004</v>
          </cell>
          <cell r="W7">
            <v>20.909227999999999</v>
          </cell>
          <cell r="X7">
            <v>28.920045000000002</v>
          </cell>
          <cell r="Y7">
            <v>15.472310999999999</v>
          </cell>
          <cell r="Z7">
            <v>26.384074999999999</v>
          </cell>
          <cell r="AA7"/>
          <cell r="AB7">
            <v>60.821457000000002</v>
          </cell>
        </row>
        <row r="8">
          <cell r="A8">
            <v>259</v>
          </cell>
          <cell r="B8">
            <v>7</v>
          </cell>
          <cell r="C8" t="str">
            <v xml:space="preserve">Airport - SAN       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/>
          <cell r="S8"/>
          <cell r="T8"/>
          <cell r="U8"/>
          <cell r="V8">
            <v>61.967275000000001</v>
          </cell>
          <cell r="W8">
            <v>18.715534999999999</v>
          </cell>
          <cell r="X8">
            <v>18.659548000000001</v>
          </cell>
          <cell r="Y8">
            <v>13.576503000000001</v>
          </cell>
          <cell r="Z8">
            <v>14.701688000000001</v>
          </cell>
          <cell r="AA8"/>
          <cell r="AB8">
            <v>19.36863</v>
          </cell>
        </row>
        <row r="9">
          <cell r="A9">
            <v>259</v>
          </cell>
          <cell r="B9">
            <v>99</v>
          </cell>
          <cell r="C9" t="str">
            <v>ResidentialModels</v>
          </cell>
          <cell r="D9">
            <v>9.4928310000000007</v>
          </cell>
          <cell r="E9">
            <v>8.1009429999999991</v>
          </cell>
          <cell r="F9">
            <v>4.8159700000000001</v>
          </cell>
          <cell r="G9">
            <v>5.2079079999999998</v>
          </cell>
          <cell r="H9">
            <v>4.5582739999999999</v>
          </cell>
          <cell r="I9">
            <v>5.3479260000000002</v>
          </cell>
          <cell r="J9">
            <v>5.5856839999999996</v>
          </cell>
          <cell r="K9">
            <v>6.3396330000000001</v>
          </cell>
          <cell r="L9">
            <v>5.6845679999999996</v>
          </cell>
          <cell r="M9">
            <v>3.697476</v>
          </cell>
          <cell r="N9">
            <v>6.9893710000000002</v>
          </cell>
          <cell r="O9">
            <v>6.4417309999999999</v>
          </cell>
          <cell r="P9">
            <v>35.169674000000001</v>
          </cell>
          <cell r="Q9"/>
          <cell r="R9"/>
          <cell r="S9"/>
          <cell r="T9"/>
          <cell r="U9"/>
          <cell r="V9"/>
          <cell r="W9"/>
          <cell r="X9"/>
          <cell r="Y9"/>
          <cell r="Z9"/>
          <cell r="AA9"/>
          <cell r="AB9">
            <v>6.355575</v>
          </cell>
        </row>
        <row r="10">
          <cell r="A10">
            <v>259</v>
          </cell>
          <cell r="B10">
            <v>100</v>
          </cell>
          <cell r="C10" t="str">
            <v>AllModels</v>
          </cell>
          <cell r="D10">
            <v>9.282705</v>
          </cell>
          <cell r="E10">
            <v>8.1009429999999991</v>
          </cell>
          <cell r="F10">
            <v>4.8373020000000002</v>
          </cell>
          <cell r="G10">
            <v>5.2079079999999998</v>
          </cell>
          <cell r="H10">
            <v>4.8101599999999998</v>
          </cell>
          <cell r="I10">
            <v>5.3479260000000002</v>
          </cell>
          <cell r="J10">
            <v>5.5856839999999996</v>
          </cell>
          <cell r="K10">
            <v>6.3396330000000001</v>
          </cell>
          <cell r="L10">
            <v>5.6845679999999996</v>
          </cell>
          <cell r="M10">
            <v>3.697476</v>
          </cell>
          <cell r="N10">
            <v>6.9893710000000002</v>
          </cell>
          <cell r="O10">
            <v>6.4417309999999999</v>
          </cell>
          <cell r="P10">
            <v>35.169674000000001</v>
          </cell>
          <cell r="Q10">
            <v>8.491384</v>
          </cell>
          <cell r="R10">
            <v>3.836722</v>
          </cell>
          <cell r="S10">
            <v>6.7499229999999999</v>
          </cell>
          <cell r="T10">
            <v>6.7936839999999998</v>
          </cell>
          <cell r="U10">
            <v>7.1389310000000004</v>
          </cell>
          <cell r="V10">
            <v>69.829294000000004</v>
          </cell>
          <cell r="W10">
            <v>18.776163</v>
          </cell>
          <cell r="X10">
            <v>19.321304000000001</v>
          </cell>
          <cell r="Y10">
            <v>13.604053</v>
          </cell>
          <cell r="Z10">
            <v>14.924543</v>
          </cell>
          <cell r="AA10">
            <v>8.7990809999999993</v>
          </cell>
          <cell r="AB10">
            <v>6.4985179999999998</v>
          </cell>
        </row>
      </sheetData>
      <sheetData sheetId="4">
        <row r="2">
          <cell r="A2">
            <v>259</v>
          </cell>
          <cell r="B2">
            <v>1</v>
          </cell>
          <cell r="C2" t="str">
            <v xml:space="preserve">Individual          </v>
          </cell>
          <cell r="D2">
            <v>7.159554</v>
          </cell>
          <cell r="E2">
            <v>6.4608119999999998</v>
          </cell>
          <cell r="F2">
            <v>4.9507979999999998</v>
          </cell>
          <cell r="G2">
            <v>0.82663600000000004</v>
          </cell>
          <cell r="H2">
            <v>2.9139740000000001</v>
          </cell>
          <cell r="I2">
            <v>9.0918299999999999</v>
          </cell>
          <cell r="J2">
            <v>4.1853920000000002</v>
          </cell>
          <cell r="K2"/>
          <cell r="L2">
            <v>6.1039199999999996</v>
          </cell>
        </row>
        <row r="3">
          <cell r="A3">
            <v>259</v>
          </cell>
          <cell r="B3">
            <v>2</v>
          </cell>
          <cell r="C3" t="str">
            <v xml:space="preserve">Joint               </v>
          </cell>
          <cell r="D3"/>
          <cell r="E3">
            <v>6.3215750000000002</v>
          </cell>
          <cell r="F3">
            <v>5.5987730000000004</v>
          </cell>
          <cell r="G3">
            <v>0.83354499999999998</v>
          </cell>
          <cell r="H3">
            <v>1.8568229999999999</v>
          </cell>
          <cell r="I3">
            <v>7.6083420000000004</v>
          </cell>
          <cell r="J3"/>
          <cell r="K3"/>
          <cell r="L3">
            <v>5.5511429999999997</v>
          </cell>
        </row>
        <row r="4">
          <cell r="A4">
            <v>259</v>
          </cell>
          <cell r="B4">
            <v>3</v>
          </cell>
          <cell r="C4" t="str">
            <v xml:space="preserve">Visitor             </v>
          </cell>
          <cell r="D4">
            <v>9.6426379999999998</v>
          </cell>
          <cell r="E4">
            <v>11.716576</v>
          </cell>
          <cell r="F4">
            <v>11.552063</v>
          </cell>
          <cell r="G4">
            <v>0.99663800000000002</v>
          </cell>
          <cell r="H4"/>
          <cell r="I4">
            <v>8.5737649999999999</v>
          </cell>
          <cell r="J4"/>
          <cell r="K4">
            <v>4.5190570000000001</v>
          </cell>
          <cell r="L4">
            <v>7.5416509999999999</v>
          </cell>
        </row>
        <row r="5">
          <cell r="A5">
            <v>259</v>
          </cell>
          <cell r="B5">
            <v>4</v>
          </cell>
          <cell r="C5" t="str">
            <v xml:space="preserve">Internal-External   </v>
          </cell>
          <cell r="D5">
            <v>35.408712000000001</v>
          </cell>
          <cell r="E5">
            <v>35.759611</v>
          </cell>
          <cell r="F5">
            <v>35.983131999999998</v>
          </cell>
          <cell r="G5"/>
          <cell r="H5"/>
          <cell r="I5">
            <v>22.184820999999999</v>
          </cell>
          <cell r="J5"/>
          <cell r="K5"/>
          <cell r="L5">
            <v>35.169674000000001</v>
          </cell>
        </row>
        <row r="6">
          <cell r="A6">
            <v>259</v>
          </cell>
          <cell r="B6">
            <v>5</v>
          </cell>
          <cell r="C6" t="str">
            <v xml:space="preserve">Cross Border        </v>
          </cell>
          <cell r="D6">
            <v>8.6098710000000001</v>
          </cell>
          <cell r="E6">
            <v>8.0022870000000008</v>
          </cell>
          <cell r="F6">
            <v>7.8876759999999999</v>
          </cell>
          <cell r="G6">
            <v>0.74475499999999994</v>
          </cell>
          <cell r="H6"/>
          <cell r="I6">
            <v>11.029048</v>
          </cell>
          <cell r="J6"/>
          <cell r="K6"/>
          <cell r="L6">
            <v>7.5137020000000003</v>
          </cell>
        </row>
        <row r="7">
          <cell r="A7">
            <v>259</v>
          </cell>
          <cell r="B7">
            <v>6</v>
          </cell>
          <cell r="C7" t="str">
            <v xml:space="preserve">Airport - CBX       </v>
          </cell>
          <cell r="D7">
            <v>57.225796000000003</v>
          </cell>
          <cell r="E7">
            <v>56.819268999999998</v>
          </cell>
          <cell r="F7">
            <v>62.134825999999997</v>
          </cell>
          <cell r="G7"/>
          <cell r="H7"/>
          <cell r="I7"/>
          <cell r="J7"/>
          <cell r="K7"/>
          <cell r="L7">
            <v>60.821457000000002</v>
          </cell>
        </row>
        <row r="8">
          <cell r="A8">
            <v>259</v>
          </cell>
          <cell r="B8">
            <v>7</v>
          </cell>
          <cell r="C8" t="str">
            <v xml:space="preserve">Airport - SAN       </v>
          </cell>
          <cell r="D8">
            <v>16.648337000000001</v>
          </cell>
          <cell r="E8">
            <v>19.239336000000002</v>
          </cell>
          <cell r="F8">
            <v>19.346499000000001</v>
          </cell>
          <cell r="G8"/>
          <cell r="H8"/>
          <cell r="I8">
            <v>48.698396000000002</v>
          </cell>
          <cell r="J8"/>
          <cell r="K8"/>
          <cell r="L8">
            <v>19.36863</v>
          </cell>
        </row>
        <row r="9">
          <cell r="A9">
            <v>259</v>
          </cell>
          <cell r="B9">
            <v>99</v>
          </cell>
          <cell r="C9" t="str">
            <v>ResidentialModels</v>
          </cell>
          <cell r="D9">
            <v>7.5435949999999998</v>
          </cell>
          <cell r="E9">
            <v>6.6722149999999996</v>
          </cell>
          <cell r="F9">
            <v>5.3716210000000002</v>
          </cell>
          <cell r="G9">
            <v>0.82745800000000003</v>
          </cell>
          <cell r="H9">
            <v>2.9053149999999999</v>
          </cell>
          <cell r="I9">
            <v>9.1975350000000002</v>
          </cell>
          <cell r="J9">
            <v>4.1853920000000002</v>
          </cell>
          <cell r="K9"/>
          <cell r="L9">
            <v>6.355575</v>
          </cell>
        </row>
        <row r="10">
          <cell r="A10">
            <v>259</v>
          </cell>
          <cell r="B10">
            <v>100</v>
          </cell>
          <cell r="C10" t="str">
            <v>AllModels</v>
          </cell>
          <cell r="D10">
            <v>7.5741560000000003</v>
          </cell>
          <cell r="E10">
            <v>6.8254299999999999</v>
          </cell>
          <cell r="F10">
            <v>6.2549789999999996</v>
          </cell>
          <cell r="G10">
            <v>0.84848699999999999</v>
          </cell>
          <cell r="H10">
            <v>2.9053149999999999</v>
          </cell>
          <cell r="I10">
            <v>9.5196579999999997</v>
          </cell>
          <cell r="J10">
            <v>4.1853920000000002</v>
          </cell>
          <cell r="K10">
            <v>4.5190570000000001</v>
          </cell>
          <cell r="L10">
            <v>6.4985179999999998</v>
          </cell>
        </row>
      </sheetData>
      <sheetData sheetId="5">
        <row r="2">
          <cell r="A2">
            <v>259</v>
          </cell>
          <cell r="B2">
            <v>1</v>
          </cell>
          <cell r="C2" t="str">
            <v>Freeway</v>
          </cell>
          <cell r="D2">
            <v>39962615.824730001</v>
          </cell>
          <cell r="E2">
            <v>4210614.0886129998</v>
          </cell>
          <cell r="F2">
            <v>9160.937124</v>
          </cell>
          <cell r="G2">
            <v>44182390.850451998</v>
          </cell>
          <cell r="H2">
            <v>13.50263</v>
          </cell>
        </row>
        <row r="3">
          <cell r="A3">
            <v>259</v>
          </cell>
          <cell r="B3">
            <v>2</v>
          </cell>
          <cell r="C3" t="str">
            <v>PrimeArterial</v>
          </cell>
          <cell r="D3">
            <v>5950812.927468</v>
          </cell>
          <cell r="E3">
            <v>411528.211534</v>
          </cell>
          <cell r="F3">
            <v>12490.974525</v>
          </cell>
          <cell r="G3">
            <v>6374832.1135010002</v>
          </cell>
          <cell r="H3">
            <v>1.9482189999999999</v>
          </cell>
        </row>
        <row r="4">
          <cell r="A4">
            <v>259</v>
          </cell>
          <cell r="B4">
            <v>3</v>
          </cell>
          <cell r="C4" t="str">
            <v>MajorArterial</v>
          </cell>
          <cell r="D4">
            <v>12070734.899799</v>
          </cell>
          <cell r="E4">
            <v>643575.08854000003</v>
          </cell>
          <cell r="F4">
            <v>51655.937722000002</v>
          </cell>
          <cell r="G4">
            <v>12765965.926024999</v>
          </cell>
          <cell r="H4">
            <v>3.901421</v>
          </cell>
        </row>
        <row r="5">
          <cell r="A5">
            <v>259</v>
          </cell>
          <cell r="B5">
            <v>4</v>
          </cell>
          <cell r="C5" t="str">
            <v>Collector</v>
          </cell>
          <cell r="D5">
            <v>4788636.8370730001</v>
          </cell>
          <cell r="E5">
            <v>276519.948409</v>
          </cell>
          <cell r="F5">
            <v>17863.994523000001</v>
          </cell>
          <cell r="G5">
            <v>5083020.779999</v>
          </cell>
          <cell r="H5">
            <v>1.5534269999999999</v>
          </cell>
        </row>
        <row r="6">
          <cell r="A6">
            <v>259</v>
          </cell>
          <cell r="B6">
            <v>5</v>
          </cell>
          <cell r="C6" t="str">
            <v>LocalCollector</v>
          </cell>
          <cell r="D6">
            <v>3456368.7961980002</v>
          </cell>
          <cell r="E6">
            <v>158418.419616</v>
          </cell>
          <cell r="F6">
            <v>9398.0934450000004</v>
          </cell>
          <cell r="G6">
            <v>3624185.3092769999</v>
          </cell>
          <cell r="H6">
            <v>1.107591</v>
          </cell>
        </row>
        <row r="7">
          <cell r="A7">
            <v>259</v>
          </cell>
          <cell r="B7">
            <v>6</v>
          </cell>
          <cell r="C7" t="str">
            <v>RuralCollector</v>
          </cell>
          <cell r="D7">
            <v>803276.89305299998</v>
          </cell>
          <cell r="E7">
            <v>39288.295856999997</v>
          </cell>
          <cell r="F7">
            <v>51.261164999999998</v>
          </cell>
          <cell r="G7">
            <v>842616.45008099999</v>
          </cell>
          <cell r="H7">
            <v>0.25751200000000002</v>
          </cell>
        </row>
        <row r="8">
          <cell r="A8">
            <v>259</v>
          </cell>
          <cell r="B8">
            <v>7</v>
          </cell>
          <cell r="C8" t="str">
            <v>LocalRoad</v>
          </cell>
          <cell r="D8">
            <v>2243111.71526</v>
          </cell>
          <cell r="E8">
            <v>139052.438609</v>
          </cell>
          <cell r="F8">
            <v>3393.0506350000001</v>
          </cell>
          <cell r="G8">
            <v>2385557.2045820002</v>
          </cell>
          <cell r="H8">
            <v>0.72905200000000003</v>
          </cell>
        </row>
        <row r="9">
          <cell r="A9">
            <v>259</v>
          </cell>
          <cell r="B9">
            <v>8</v>
          </cell>
          <cell r="C9" t="str">
            <v>FreewayConnectorRamp</v>
          </cell>
          <cell r="D9">
            <v>1625856.3046800001</v>
          </cell>
          <cell r="E9">
            <v>155398.73912899999</v>
          </cell>
          <cell r="F9">
            <v>203.3415</v>
          </cell>
          <cell r="G9">
            <v>1781458.385304</v>
          </cell>
          <cell r="H9">
            <v>0.54443299999999994</v>
          </cell>
        </row>
        <row r="10">
          <cell r="A10">
            <v>259</v>
          </cell>
          <cell r="B10">
            <v>9</v>
          </cell>
          <cell r="C10" t="str">
            <v>LocalRamp</v>
          </cell>
          <cell r="D10">
            <v>2346679.3697500001</v>
          </cell>
          <cell r="E10">
            <v>171390.09666099999</v>
          </cell>
          <cell r="F10">
            <v>1985.763406</v>
          </cell>
          <cell r="G10">
            <v>2520055.2298409999</v>
          </cell>
          <cell r="H10">
            <v>0.77015599999999995</v>
          </cell>
        </row>
        <row r="11">
          <cell r="A11">
            <v>259</v>
          </cell>
          <cell r="B11">
            <v>10</v>
          </cell>
          <cell r="C11" t="str">
            <v>ZoneConnector</v>
          </cell>
          <cell r="D11">
            <v>3624001.5950989998</v>
          </cell>
          <cell r="E11">
            <v>191926.77332800001</v>
          </cell>
          <cell r="F11">
            <v>0</v>
          </cell>
          <cell r="G11">
            <v>3815928.368456</v>
          </cell>
          <cell r="H11">
            <v>1.1661900000000001</v>
          </cell>
        </row>
        <row r="12">
          <cell r="A12">
            <v>259</v>
          </cell>
          <cell r="B12">
            <v>100</v>
          </cell>
          <cell r="C12" t="str">
            <v>AllClasses</v>
          </cell>
          <cell r="D12">
            <v>76872095.163110003</v>
          </cell>
          <cell r="E12">
            <v>6397712.100296</v>
          </cell>
          <cell r="F12">
            <v>106203.354045</v>
          </cell>
          <cell r="G12">
            <v>83376010.617517993</v>
          </cell>
          <cell r="H12">
            <v>25.480637000000002</v>
          </cell>
        </row>
      </sheetData>
      <sheetData sheetId="6">
        <row r="2">
          <cell r="A2">
            <v>259</v>
          </cell>
          <cell r="B2">
            <v>1</v>
          </cell>
          <cell r="C2" t="str">
            <v>Freeway</v>
          </cell>
          <cell r="D2">
            <v>676068.91732057813</v>
          </cell>
          <cell r="E2">
            <v>70368.053906701258</v>
          </cell>
          <cell r="F2">
            <v>154.9091840951339</v>
          </cell>
          <cell r="G2">
            <v>746591.8804113745</v>
          </cell>
          <cell r="H2">
            <v>0.22816679779769719</v>
          </cell>
          <cell r="I2">
            <v>13.69000786786183</v>
          </cell>
        </row>
        <row r="3">
          <cell r="A3">
            <v>259</v>
          </cell>
          <cell r="B3">
            <v>2</v>
          </cell>
          <cell r="C3" t="str">
            <v>PrimeArterial</v>
          </cell>
          <cell r="D3">
            <v>238669.9020739999</v>
          </cell>
          <cell r="E3">
            <v>16322.243711107871</v>
          </cell>
          <cell r="F3">
            <v>482.651305190534</v>
          </cell>
          <cell r="G3">
            <v>255474.79709029829</v>
          </cell>
          <cell r="H3">
            <v>7.8075944702199765E-2</v>
          </cell>
          <cell r="I3">
            <v>4.6845566821319853</v>
          </cell>
        </row>
        <row r="4">
          <cell r="A4">
            <v>259</v>
          </cell>
          <cell r="B4">
            <v>3</v>
          </cell>
          <cell r="C4" t="str">
            <v>MajorArterial</v>
          </cell>
          <cell r="D4">
            <v>537511.56841825543</v>
          </cell>
          <cell r="E4">
            <v>27306.510165350988</v>
          </cell>
          <cell r="F4">
            <v>2640.1059068158302</v>
          </cell>
          <cell r="G4">
            <v>567458.18449042225</v>
          </cell>
          <cell r="H4">
            <v>0.1734215442685143</v>
          </cell>
          <cell r="I4">
            <v>10.405292656110859</v>
          </cell>
        </row>
        <row r="5">
          <cell r="A5">
            <v>259</v>
          </cell>
          <cell r="B5">
            <v>4</v>
          </cell>
          <cell r="C5" t="str">
            <v>Collector</v>
          </cell>
          <cell r="D5">
            <v>215366.9044313842</v>
          </cell>
          <cell r="E5">
            <v>11727.770487276979</v>
          </cell>
          <cell r="F5">
            <v>938.48195276965305</v>
          </cell>
          <cell r="G5">
            <v>228033.1568714309</v>
          </cell>
          <cell r="H5">
            <v>6.9689473673871002E-2</v>
          </cell>
          <cell r="I5">
            <v>4.1813684204322614</v>
          </cell>
        </row>
        <row r="6">
          <cell r="A6">
            <v>259</v>
          </cell>
          <cell r="B6">
            <v>5</v>
          </cell>
          <cell r="C6" t="str">
            <v>LocalCollector</v>
          </cell>
          <cell r="D6">
            <v>175910.07556512731</v>
          </cell>
          <cell r="E6">
            <v>7441.3292173337704</v>
          </cell>
          <cell r="F6">
            <v>534.21155958705162</v>
          </cell>
          <cell r="G6">
            <v>183885.61634204819</v>
          </cell>
          <cell r="H6">
            <v>5.6197493359695809E-2</v>
          </cell>
          <cell r="I6">
            <v>3.371849601581749</v>
          </cell>
        </row>
        <row r="7">
          <cell r="A7">
            <v>259</v>
          </cell>
          <cell r="B7">
            <v>6</v>
          </cell>
          <cell r="C7" t="str">
            <v>RuralCollector</v>
          </cell>
          <cell r="D7">
            <v>21865.08539572743</v>
          </cell>
          <cell r="E7">
            <v>1052.5355970598509</v>
          </cell>
          <cell r="F7">
            <v>1.0802022522500481</v>
          </cell>
          <cell r="G7">
            <v>22918.701195039539</v>
          </cell>
          <cell r="H7">
            <v>7.0042104643209804E-3</v>
          </cell>
          <cell r="I7">
            <v>0.42025262785925882</v>
          </cell>
        </row>
        <row r="8">
          <cell r="A8">
            <v>259</v>
          </cell>
          <cell r="B8">
            <v>7</v>
          </cell>
          <cell r="C8" t="str">
            <v>LocalRoad</v>
          </cell>
          <cell r="D8">
            <v>178606.08148343241</v>
          </cell>
          <cell r="E8">
            <v>9892.7143118108525</v>
          </cell>
          <cell r="F8">
            <v>247.04431850407289</v>
          </cell>
          <cell r="G8">
            <v>188745.84011374731</v>
          </cell>
          <cell r="H8">
            <v>5.7682831900958548E-2</v>
          </cell>
          <cell r="I8">
            <v>3.4609699140575132</v>
          </cell>
        </row>
        <row r="9">
          <cell r="A9">
            <v>259</v>
          </cell>
          <cell r="B9">
            <v>8</v>
          </cell>
          <cell r="C9" t="str">
            <v>FreewayConnectorRamp</v>
          </cell>
          <cell r="D9">
            <v>43704.905586163157</v>
          </cell>
          <cell r="E9">
            <v>3870.3473609636421</v>
          </cell>
          <cell r="F9">
            <v>7.4340173797841498</v>
          </cell>
          <cell r="G9">
            <v>47582.686964506589</v>
          </cell>
          <cell r="H9">
            <v>1.4541799341990661E-2</v>
          </cell>
          <cell r="I9">
            <v>0.87250796051943968</v>
          </cell>
        </row>
        <row r="10">
          <cell r="A10">
            <v>259</v>
          </cell>
          <cell r="B10">
            <v>9</v>
          </cell>
          <cell r="C10" t="str">
            <v>LocalRamp</v>
          </cell>
          <cell r="D10">
            <v>156560.93844132451</v>
          </cell>
          <cell r="E10">
            <v>10541.346131700569</v>
          </cell>
          <cell r="F10">
            <v>112.53810647624719</v>
          </cell>
          <cell r="G10">
            <v>167214.82267950129</v>
          </cell>
          <cell r="H10">
            <v>5.1102713056655827E-2</v>
          </cell>
          <cell r="I10">
            <v>3.0661627833993501</v>
          </cell>
        </row>
        <row r="11">
          <cell r="A11">
            <v>259</v>
          </cell>
          <cell r="B11">
            <v>10</v>
          </cell>
          <cell r="C11" t="str">
            <v>ZoneConnector</v>
          </cell>
          <cell r="D11">
            <v>152874.87012535901</v>
          </cell>
          <cell r="E11">
            <v>7933.4372665423443</v>
          </cell>
          <cell r="F11">
            <v>0</v>
          </cell>
          <cell r="G11">
            <v>160808.30739190141</v>
          </cell>
          <cell r="H11">
            <v>4.9144810598075309E-2</v>
          </cell>
          <cell r="I11">
            <v>2.948688635884519</v>
          </cell>
        </row>
        <row r="12">
          <cell r="A12">
            <v>259</v>
          </cell>
          <cell r="B12">
            <v>100</v>
          </cell>
          <cell r="C12" t="str">
            <v>AllClasses</v>
          </cell>
          <cell r="D12">
            <v>2397139.2488413509</v>
          </cell>
          <cell r="E12">
            <v>166456.2881558481</v>
          </cell>
          <cell r="F12">
            <v>5118.4565530705568</v>
          </cell>
          <cell r="G12">
            <v>2568713.9935502699</v>
          </cell>
          <cell r="H12">
            <v>0.78502761916397945</v>
          </cell>
          <cell r="I12">
            <v>47.101657149838758</v>
          </cell>
        </row>
      </sheetData>
      <sheetData sheetId="7">
        <row r="2">
          <cell r="A2">
            <v>259</v>
          </cell>
          <cell r="B2">
            <v>1</v>
          </cell>
          <cell r="C2" t="str">
            <v>Freeway</v>
          </cell>
          <cell r="D2">
            <v>61708.056958983863</v>
          </cell>
          <cell r="E2">
            <v>5572.4196644710901</v>
          </cell>
          <cell r="F2">
            <v>11.05678273116928</v>
          </cell>
          <cell r="G2">
            <v>67291.533406186121</v>
          </cell>
          <cell r="H2">
            <v>2.056504242682939E-2</v>
          </cell>
          <cell r="I2">
            <v>1.2339025456097641</v>
          </cell>
        </row>
        <row r="3">
          <cell r="A3">
            <v>259</v>
          </cell>
          <cell r="B3">
            <v>2</v>
          </cell>
          <cell r="C3" t="str">
            <v>PrimeArterial</v>
          </cell>
          <cell r="D3">
            <v>75065.367471525242</v>
          </cell>
          <cell r="E3">
            <v>5060.5560176226954</v>
          </cell>
          <cell r="F3">
            <v>125.6861773189468</v>
          </cell>
          <cell r="G3">
            <v>80251.609666466873</v>
          </cell>
          <cell r="H3">
            <v>2.4525786143855709E-2</v>
          </cell>
          <cell r="I3">
            <v>1.471547168631343</v>
          </cell>
        </row>
        <row r="4">
          <cell r="A4">
            <v>259</v>
          </cell>
          <cell r="B4">
            <v>3</v>
          </cell>
          <cell r="C4" t="str">
            <v>MajorArterial</v>
          </cell>
          <cell r="D4">
            <v>150146.1267629682</v>
          </cell>
          <cell r="E4">
            <v>7366.7533197673383</v>
          </cell>
          <cell r="F4">
            <v>621.73557081295337</v>
          </cell>
          <cell r="G4">
            <v>158134.61565354851</v>
          </cell>
          <cell r="H4">
            <v>4.8327700610350827E-2</v>
          </cell>
          <cell r="I4">
            <v>2.8996620366210499</v>
          </cell>
        </row>
        <row r="5">
          <cell r="A5">
            <v>259</v>
          </cell>
          <cell r="B5">
            <v>4</v>
          </cell>
          <cell r="C5" t="str">
            <v>Collector</v>
          </cell>
          <cell r="D5">
            <v>53794.602263366178</v>
          </cell>
          <cell r="E5">
            <v>2736.512611621265</v>
          </cell>
          <cell r="F5">
            <v>213.69560217364321</v>
          </cell>
          <cell r="G5">
            <v>56744.810477161089</v>
          </cell>
          <cell r="H5">
            <v>1.7341846379412891E-2</v>
          </cell>
          <cell r="I5">
            <v>1.0405107827647739</v>
          </cell>
        </row>
        <row r="6">
          <cell r="A6">
            <v>259</v>
          </cell>
          <cell r="B6">
            <v>5</v>
          </cell>
          <cell r="C6" t="str">
            <v>LocalCollector</v>
          </cell>
          <cell r="D6">
            <v>35916.608013730292</v>
          </cell>
          <cell r="E6">
            <v>1479.463042697389</v>
          </cell>
          <cell r="F6">
            <v>107.7035231663436</v>
          </cell>
          <cell r="G6">
            <v>37503.774579594021</v>
          </cell>
          <cell r="H6">
            <v>1.1461571409586769E-2</v>
          </cell>
          <cell r="I6">
            <v>0.68769428457520709</v>
          </cell>
        </row>
        <row r="7">
          <cell r="A7">
            <v>259</v>
          </cell>
          <cell r="B7">
            <v>6</v>
          </cell>
          <cell r="C7" t="str">
            <v>RuralCollector</v>
          </cell>
          <cell r="D7">
            <v>1713.425076517387</v>
          </cell>
          <cell r="E7">
            <v>63.658745064677028</v>
          </cell>
          <cell r="F7">
            <v>0.14818061532734769</v>
          </cell>
          <cell r="G7">
            <v>1777.232002197391</v>
          </cell>
          <cell r="H7">
            <v>5.4314190325982796E-4</v>
          </cell>
          <cell r="I7">
            <v>3.2588514195589752E-2</v>
          </cell>
        </row>
        <row r="8">
          <cell r="A8">
            <v>259</v>
          </cell>
          <cell r="B8">
            <v>7</v>
          </cell>
          <cell r="C8" t="str">
            <v>LocalRoad</v>
          </cell>
          <cell r="D8">
            <v>71943.569135218946</v>
          </cell>
          <cell r="E8">
            <v>3719.4145370708388</v>
          </cell>
          <cell r="F8">
            <v>77.382169987776621</v>
          </cell>
          <cell r="G8">
            <v>75740.365842277562</v>
          </cell>
          <cell r="H8">
            <v>2.3147099763175048E-2</v>
          </cell>
          <cell r="I8">
            <v>1.3888259857905041</v>
          </cell>
        </row>
        <row r="9">
          <cell r="A9">
            <v>259</v>
          </cell>
          <cell r="B9">
            <v>8</v>
          </cell>
          <cell r="C9" t="str">
            <v>FreewayConnectorRamp</v>
          </cell>
          <cell r="D9">
            <v>10053.050605055911</v>
          </cell>
          <cell r="E9">
            <v>807.81004375585439</v>
          </cell>
          <cell r="F9">
            <v>1.315434389657183</v>
          </cell>
          <cell r="G9">
            <v>10862.176083201421</v>
          </cell>
          <cell r="H9">
            <v>3.3196020463726471E-3</v>
          </cell>
          <cell r="I9">
            <v>0.1991761227823588</v>
          </cell>
        </row>
        <row r="10">
          <cell r="A10">
            <v>259</v>
          </cell>
          <cell r="B10">
            <v>9</v>
          </cell>
          <cell r="C10" t="str">
            <v>LocalRamp</v>
          </cell>
          <cell r="D10">
            <v>73617.547869423244</v>
          </cell>
          <cell r="E10">
            <v>4577.0923530780437</v>
          </cell>
          <cell r="F10">
            <v>46.413972812862788</v>
          </cell>
          <cell r="G10">
            <v>78241.054195314151</v>
          </cell>
          <cell r="H10">
            <v>2.391133798860013E-2</v>
          </cell>
          <cell r="I10">
            <v>1.4346802793160081</v>
          </cell>
        </row>
        <row r="11">
          <cell r="A11">
            <v>259</v>
          </cell>
          <cell r="B11">
            <v>10</v>
          </cell>
          <cell r="C11" t="str">
            <v>ZoneConnector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</row>
        <row r="12">
          <cell r="A12">
            <v>259</v>
          </cell>
          <cell r="B12">
            <v>100</v>
          </cell>
          <cell r="C12" t="str">
            <v>AllClasses</v>
          </cell>
          <cell r="D12">
            <v>533958.35415678925</v>
          </cell>
          <cell r="E12">
            <v>31383.680335149191</v>
          </cell>
          <cell r="F12">
            <v>1205.13741400868</v>
          </cell>
          <cell r="G12">
            <v>566547.17190594715</v>
          </cell>
          <cell r="H12">
            <v>0.17314312867144321</v>
          </cell>
          <cell r="I12">
            <v>10.388587720286599</v>
          </cell>
        </row>
      </sheetData>
      <sheetData sheetId="8">
        <row r="2">
          <cell r="A2">
            <v>259</v>
          </cell>
          <cell r="B2">
            <v>2</v>
          </cell>
          <cell r="C2" t="str">
            <v>EA</v>
          </cell>
          <cell r="D2">
            <v>398.45176700000002</v>
          </cell>
          <cell r="E2">
            <v>5650.207539</v>
          </cell>
          <cell r="F2">
            <v>577.59171200000003</v>
          </cell>
          <cell r="G2">
            <v>455.76918699999999</v>
          </cell>
          <cell r="H2">
            <v>0</v>
          </cell>
          <cell r="I2">
            <v>1002.140597</v>
          </cell>
          <cell r="J2">
            <v>5953.9828010000001</v>
          </cell>
          <cell r="K2">
            <v>14038.143603</v>
          </cell>
        </row>
        <row r="3">
          <cell r="A3">
            <v>259</v>
          </cell>
          <cell r="B3">
            <v>3</v>
          </cell>
          <cell r="C3" t="str">
            <v>AM</v>
          </cell>
          <cell r="D3">
            <v>1890.0681440000001</v>
          </cell>
          <cell r="E3">
            <v>23683.276905999999</v>
          </cell>
          <cell r="F3">
            <v>2968.0031450000001</v>
          </cell>
          <cell r="G3">
            <v>2989.9833100000001</v>
          </cell>
          <cell r="H3">
            <v>44.993527</v>
          </cell>
          <cell r="I3">
            <v>4562.4589050000004</v>
          </cell>
          <cell r="J3">
            <v>30600.709698999999</v>
          </cell>
          <cell r="K3">
            <v>66739.493635999999</v>
          </cell>
        </row>
        <row r="4">
          <cell r="A4">
            <v>259</v>
          </cell>
          <cell r="B4">
            <v>4</v>
          </cell>
          <cell r="C4" t="str">
            <v>MD</v>
          </cell>
          <cell r="D4">
            <v>753.40213100000005</v>
          </cell>
          <cell r="E4">
            <v>35514.156172000003</v>
          </cell>
          <cell r="F4">
            <v>2680.7008850000002</v>
          </cell>
          <cell r="G4">
            <v>5019.7662289999998</v>
          </cell>
          <cell r="H4">
            <v>0</v>
          </cell>
          <cell r="I4">
            <v>5290.5563089999996</v>
          </cell>
          <cell r="J4">
            <v>58799.565930999997</v>
          </cell>
          <cell r="K4">
            <v>108058.14765699999</v>
          </cell>
        </row>
        <row r="5">
          <cell r="A5">
            <v>259</v>
          </cell>
          <cell r="B5">
            <v>5</v>
          </cell>
          <cell r="C5" t="str">
            <v>PM</v>
          </cell>
          <cell r="D5">
            <v>1884.6275800000001</v>
          </cell>
          <cell r="E5">
            <v>33908.181530000002</v>
          </cell>
          <cell r="F5">
            <v>3796.5300999999999</v>
          </cell>
          <cell r="G5">
            <v>4472.3177429999996</v>
          </cell>
          <cell r="H5">
            <v>125.489087</v>
          </cell>
          <cell r="I5">
            <v>5885.4841130000004</v>
          </cell>
          <cell r="J5">
            <v>49086.746249999997</v>
          </cell>
          <cell r="K5">
            <v>99159.376403000002</v>
          </cell>
        </row>
        <row r="6">
          <cell r="A6">
            <v>259</v>
          </cell>
          <cell r="B6">
            <v>6</v>
          </cell>
          <cell r="C6" t="str">
            <v>EV</v>
          </cell>
          <cell r="D6">
            <v>299</v>
          </cell>
          <cell r="E6">
            <v>19296.63206</v>
          </cell>
          <cell r="F6">
            <v>1333.047746</v>
          </cell>
          <cell r="G6">
            <v>2278.504985</v>
          </cell>
          <cell r="H6">
            <v>0</v>
          </cell>
          <cell r="I6">
            <v>2379.6563970000002</v>
          </cell>
          <cell r="J6">
            <v>27661.9427</v>
          </cell>
          <cell r="K6">
            <v>53248.783887999998</v>
          </cell>
        </row>
        <row r="7">
          <cell r="A7">
            <v>259</v>
          </cell>
          <cell r="B7">
            <v>100</v>
          </cell>
          <cell r="C7" t="str">
            <v>Day</v>
          </cell>
          <cell r="D7">
            <v>5225.5496220000005</v>
          </cell>
          <cell r="E7">
            <v>118052.454207</v>
          </cell>
          <cell r="F7">
            <v>11355.873588</v>
          </cell>
          <cell r="G7">
            <v>15216.341453999999</v>
          </cell>
          <cell r="H7">
            <v>170.48261400000001</v>
          </cell>
          <cell r="I7">
            <v>19120.296321000002</v>
          </cell>
          <cell r="J7">
            <v>172102.94738100001</v>
          </cell>
          <cell r="K7">
            <v>341243.94518699998</v>
          </cell>
        </row>
      </sheetData>
      <sheetData sheetId="9">
        <row r="2">
          <cell r="A2">
            <v>259</v>
          </cell>
          <cell r="B2">
            <v>1</v>
          </cell>
          <cell r="C2" t="str">
            <v xml:space="preserve">Individual          </v>
          </cell>
          <cell r="D2">
            <v>70773</v>
          </cell>
          <cell r="E2">
            <v>38825</v>
          </cell>
          <cell r="F2">
            <v>27193</v>
          </cell>
          <cell r="G2">
            <v>2513</v>
          </cell>
          <cell r="H2">
            <v>10564</v>
          </cell>
          <cell r="I2">
            <v>1808</v>
          </cell>
          <cell r="J2">
            <v>4356</v>
          </cell>
          <cell r="K2">
            <v>20663</v>
          </cell>
          <cell r="L2">
            <v>2544</v>
          </cell>
          <cell r="M2">
            <v>179239</v>
          </cell>
        </row>
        <row r="3">
          <cell r="A3">
            <v>259</v>
          </cell>
          <cell r="B3">
            <v>2</v>
          </cell>
          <cell r="C3" t="str">
            <v xml:space="preserve">Joint               </v>
          </cell>
          <cell r="D3">
            <v>10955</v>
          </cell>
          <cell r="E3">
            <v>4346</v>
          </cell>
          <cell r="F3">
            <v>2916</v>
          </cell>
          <cell r="G3">
            <v>0</v>
          </cell>
          <cell r="H3">
            <v>0</v>
          </cell>
          <cell r="I3">
            <v>0</v>
          </cell>
          <cell r="J3">
            <v>1635</v>
          </cell>
          <cell r="K3">
            <v>3645</v>
          </cell>
          <cell r="L3">
            <v>1021</v>
          </cell>
          <cell r="M3">
            <v>24518</v>
          </cell>
        </row>
        <row r="4">
          <cell r="A4">
            <v>259</v>
          </cell>
          <cell r="B4">
            <v>3</v>
          </cell>
          <cell r="C4" t="str">
            <v xml:space="preserve">Visitor             </v>
          </cell>
          <cell r="D4">
            <v>313</v>
          </cell>
          <cell r="E4">
            <v>604</v>
          </cell>
          <cell r="F4">
            <v>131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1048</v>
          </cell>
        </row>
        <row r="5">
          <cell r="A5">
            <v>259</v>
          </cell>
          <cell r="B5">
            <v>4</v>
          </cell>
          <cell r="C5" t="str">
            <v xml:space="preserve">Internal-External   </v>
          </cell>
          <cell r="D5">
            <v>216</v>
          </cell>
          <cell r="E5">
            <v>599</v>
          </cell>
          <cell r="F5">
            <v>425</v>
          </cell>
          <cell r="G5">
            <v>38</v>
          </cell>
          <cell r="H5">
            <v>1994</v>
          </cell>
          <cell r="I5">
            <v>71</v>
          </cell>
          <cell r="J5">
            <v>18</v>
          </cell>
          <cell r="K5">
            <v>1059</v>
          </cell>
          <cell r="L5">
            <v>39</v>
          </cell>
          <cell r="M5">
            <v>4459</v>
          </cell>
        </row>
        <row r="6">
          <cell r="A6">
            <v>259</v>
          </cell>
          <cell r="B6">
            <v>5</v>
          </cell>
          <cell r="C6" t="str">
            <v xml:space="preserve">Cross Border        </v>
          </cell>
          <cell r="D6">
            <v>4230</v>
          </cell>
          <cell r="E6">
            <v>20558</v>
          </cell>
          <cell r="F6">
            <v>4549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29337</v>
          </cell>
        </row>
        <row r="7">
          <cell r="A7">
            <v>259</v>
          </cell>
          <cell r="B7">
            <v>67</v>
          </cell>
          <cell r="C7" t="str">
            <v>Airport - CBX/SAN</v>
          </cell>
          <cell r="D7">
            <v>33</v>
          </cell>
          <cell r="E7">
            <v>0</v>
          </cell>
          <cell r="F7">
            <v>37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537</v>
          </cell>
          <cell r="M7">
            <v>607</v>
          </cell>
        </row>
        <row r="8">
          <cell r="A8">
            <v>259</v>
          </cell>
          <cell r="B8">
            <v>99</v>
          </cell>
          <cell r="C8" t="str">
            <v>ResidentialModels</v>
          </cell>
          <cell r="D8">
            <v>81944</v>
          </cell>
          <cell r="E8">
            <v>43770</v>
          </cell>
          <cell r="F8">
            <v>30534</v>
          </cell>
          <cell r="G8">
            <v>2551</v>
          </cell>
          <cell r="H8">
            <v>12558</v>
          </cell>
          <cell r="I8">
            <v>1879</v>
          </cell>
          <cell r="J8">
            <v>6009</v>
          </cell>
          <cell r="K8">
            <v>25367</v>
          </cell>
          <cell r="L8">
            <v>3604</v>
          </cell>
          <cell r="M8">
            <v>208216</v>
          </cell>
        </row>
        <row r="9">
          <cell r="A9">
            <v>259</v>
          </cell>
          <cell r="B9">
            <v>100</v>
          </cell>
          <cell r="C9" t="str">
            <v>AllModels</v>
          </cell>
          <cell r="D9">
            <v>86520</v>
          </cell>
          <cell r="E9">
            <v>64932</v>
          </cell>
          <cell r="F9">
            <v>35251</v>
          </cell>
          <cell r="G9">
            <v>2551</v>
          </cell>
          <cell r="H9">
            <v>12558</v>
          </cell>
          <cell r="I9">
            <v>1879</v>
          </cell>
          <cell r="J9">
            <v>6009</v>
          </cell>
          <cell r="K9">
            <v>25367</v>
          </cell>
          <cell r="L9">
            <v>4141</v>
          </cell>
          <cell r="M9">
            <v>239208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socioeca8.sandag.org ws_sst20" backgroundRefresh="0" connectionId="1" autoFormatId="16" applyNumberFormats="0" applyBorderFormats="0" applyFontFormats="0" applyPatternFormats="0" applyAlignmentFormats="0" applyWidthHeightFormats="0">
  <queryTableRefresh nextId="11">
    <queryTableFields count="10">
      <queryTableField id="1" name="scenario_id" tableColumnId="1"/>
      <queryTableField id="2" name="year" tableColumnId="2"/>
      <queryTableField id="3" name="name" tableColumnId="3"/>
      <queryTableField id="4" name="iteration" tableColumnId="4"/>
      <queryTableField id="5" name="sample_rate" tableColumnId="5"/>
      <queryTableField id="6" name="abm_version" tableColumnId="6"/>
      <queryTableField id="7" name="complete" tableColumnId="7"/>
      <queryTableField id="8" name="date_loaded" tableColumnId="8"/>
      <queryTableField id="9" name="user_name" tableColumnId="9"/>
      <queryTableField id="10" name="path" tableColumnId="10"/>
    </queryTableFields>
  </queryTableRefresh>
</queryTable>
</file>

<file path=xl/queryTables/queryTable2.xml><?xml version="1.0" encoding="utf-8"?>
<queryTable xmlns="http://schemas.openxmlformats.org/spreadsheetml/2006/main" name="socioeca8.sandag.org_sst21" backgroundRefresh="0" connectionId="2" autoFormatId="16" applyNumberFormats="0" applyBorderFormats="0" applyFontFormats="0" applyPatternFormats="0" applyAlignmentFormats="0" applyWidthHeightFormats="0">
  <queryTableRefresh nextId="13">
    <queryTableFields count="11">
      <queryTableField id="1" name="scenario_id" tableColumnId="1"/>
      <queryTableField id="2" name="model_trip_id" tableColumnId="2"/>
      <queryTableField id="3" name="model_description" tableColumnId="3"/>
      <queryTableField id="4" name="SOV" tableColumnId="4"/>
      <queryTableField id="5" name="HOV2" tableColumnId="5"/>
      <queryTableField id="6" name="HOV3" tableColumnId="6"/>
      <queryTableField id="7" name="Walk" tableColumnId="7"/>
      <queryTableField id="8" name="Bike" tableColumnId="8"/>
      <queryTableField id="9" name="Transit" tableColumnId="9"/>
      <queryTableField id="10" name="SchoolBus" tableColumnId="10"/>
      <queryTableField id="11" name="TAXI" tableColumnId="11"/>
    </queryTableFields>
  </queryTableRefresh>
</queryTable>
</file>

<file path=xl/queryTables/queryTable3.xml><?xml version="1.0" encoding="utf-8"?>
<queryTable xmlns="http://schemas.openxmlformats.org/spreadsheetml/2006/main" name="socioeca8.sandag.org_sst24" backgroundRefresh="0" connectionId="4" autoFormatId="16" applyNumberFormats="0" applyBorderFormats="0" applyFontFormats="0" applyPatternFormats="0" applyAlignmentFormats="0" applyWidthHeightFormats="0">
  <queryTableRefresh nextId="37">
    <queryTableFields count="28">
      <queryTableField id="1" name="scenario_id" tableColumnId="1"/>
      <queryTableField id="2" name="model_trip_id" tableColumnId="2"/>
      <queryTableField id="35" name="model_description" tableColumnId="3"/>
      <queryTableField id="5" name="Work" tableColumnId="5"/>
      <queryTableField id="6" name="University" tableColumnId="6"/>
      <queryTableField id="7" name="School" tableColumnId="7"/>
      <queryTableField id="8" name="Escort" tableColumnId="8"/>
      <queryTableField id="9" name="Shop" tableColumnId="9"/>
      <queryTableField id="10" name="Maintenance" tableColumnId="10"/>
      <queryTableField id="11" name="Eating Out" tableColumnId="11"/>
      <queryTableField id="12" name="Visiting" tableColumnId="12"/>
      <queryTableField id="13" name="Discretionary" tableColumnId="13"/>
      <queryTableField id="14" name="Work-Based" tableColumnId="14"/>
      <queryTableField id="15" name="Work-Related" tableColumnId="15"/>
      <queryTableField id="16" name="Home" tableColumnId="16"/>
      <queryTableField id="4" name="Not Applicable" tableColumnId="4"/>
      <queryTableField id="22" name="Recreation" tableColumnId="22"/>
      <queryTableField id="23" name="Dining" tableColumnId="23"/>
      <queryTableField id="17" name="Other" tableColumnId="17"/>
      <queryTableField id="20" name="Cargo" tableColumnId="20"/>
      <queryTableField id="21" name="Visit" tableColumnId="21"/>
      <queryTableField id="19" name="External" tableColumnId="19"/>
      <queryTableField id="24" name="Resident-Business" tableColumnId="24"/>
      <queryTableField id="25" name="Resident-Personal" tableColumnId="25"/>
      <queryTableField id="26" name="Visitor-Business" tableColumnId="26"/>
      <queryTableField id="27" name="Visitor-Personal" tableColumnId="27"/>
      <queryTableField id="28" name="Unknown" tableColumnId="28"/>
      <queryTableField id="29" name="AvgLengthAllPurpose" tableColumnId="29"/>
    </queryTableFields>
  </queryTableRefresh>
</queryTable>
</file>

<file path=xl/queryTables/queryTable4.xml><?xml version="1.0" encoding="utf-8"?>
<queryTable xmlns="http://schemas.openxmlformats.org/spreadsheetml/2006/main" name="socioeca8.sandag.org_sst25" backgroundRefresh="0" connectionId="5" autoFormatId="16" applyNumberFormats="0" applyBorderFormats="0" applyFontFormats="0" applyPatternFormats="0" applyAlignmentFormats="0" applyWidthHeightFormats="0">
  <queryTableRefresh nextId="14">
    <queryTableFields count="12">
      <queryTableField id="1" name="scenario_id" tableColumnId="1"/>
      <queryTableField id="2" name="model_trip_id" tableColumnId="2"/>
      <queryTableField id="3" name="model_description" tableColumnId="3"/>
      <queryTableField id="4" name="SOV" tableColumnId="4"/>
      <queryTableField id="5" name="HOV2" tableColumnId="5"/>
      <queryTableField id="6" name="HOV3" tableColumnId="6"/>
      <queryTableField id="7" name="WALK" tableColumnId="7"/>
      <queryTableField id="8" name="BIKE" tableColumnId="8"/>
      <queryTableField id="9" name="TRANSIT" tableColumnId="9"/>
      <queryTableField id="10" name="SBUS" tableColumnId="10"/>
      <queryTableField id="11" name="TAXI" tableColumnId="11"/>
      <queryTableField id="13" name="AvgLengthAllMode" tableColumnId="13"/>
    </queryTableFields>
    <queryTableDeletedFields count="1">
      <deletedField name="AIR"/>
    </queryTableDeletedFields>
  </queryTableRefresh>
</queryTable>
</file>

<file path=xl/queryTables/queryTable5.xml><?xml version="1.0" encoding="utf-8"?>
<queryTable xmlns="http://schemas.openxmlformats.org/spreadsheetml/2006/main" name="socioeca8.sandag.org_sst23" backgroundRefresh="0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scenario_id" tableColumnId="1"/>
      <queryTableField id="2" name="ifc" tableColumnId="2"/>
      <queryTableField id="3" name="ifc_desc" tableColumnId="3"/>
      <queryTableField id="4" name="vmt_auto" tableColumnId="4"/>
      <queryTableField id="5" name="vmt_truck" tableColumnId="5"/>
      <queryTableField id="6" name="vmt_bus" tableColumnId="6"/>
      <queryTableField id="7" name="vmt_all" tableColumnId="7"/>
      <queryTableField id="8" name="vmt_per_capita" tableColumnId="8"/>
    </queryTableFields>
  </queryTableRefresh>
</queryTable>
</file>

<file path=xl/queryTables/queryTable6.xml><?xml version="1.0" encoding="utf-8"?>
<queryTable xmlns="http://schemas.openxmlformats.org/spreadsheetml/2006/main" name="socioeca8.sandag.org_sst26" backgroundRefresh="0" connectionId="6" autoFormatId="16" applyNumberFormats="0" applyBorderFormats="0" applyFontFormats="0" applyPatternFormats="0" applyAlignmentFormats="0" applyWidthHeightFormats="0">
  <queryTableRefresh nextId="10">
    <queryTableFields count="9">
      <queryTableField id="1" name="scenario_id" tableColumnId="1"/>
      <queryTableField id="2" name="ifc" tableColumnId="2"/>
      <queryTableField id="3" name="ifc_desc" tableColumnId="3"/>
      <queryTableField id="4" name="vht_auto" tableColumnId="4"/>
      <queryTableField id="5" name="vht_truck" tableColumnId="5"/>
      <queryTableField id="6" name="vht_bus" tableColumnId="6"/>
      <queryTableField id="7" name="vht_all" tableColumnId="7"/>
      <queryTableField id="8" name="vht_per_capita" tableColumnId="8"/>
      <queryTableField id="9" name="veh_minute_per_capita" tableColumnId="9"/>
    </queryTableFields>
  </queryTableRefresh>
</queryTable>
</file>

<file path=xl/queryTables/queryTable7.xml><?xml version="1.0" encoding="utf-8"?>
<queryTable xmlns="http://schemas.openxmlformats.org/spreadsheetml/2006/main" name="socioeca8.sandag.org_sst27" backgroundRefresh="0" connectionId="7" autoFormatId="16" applyNumberFormats="0" applyBorderFormats="0" applyFontFormats="0" applyPatternFormats="0" applyAlignmentFormats="0" applyWidthHeightFormats="0">
  <queryTableRefresh nextId="10">
    <queryTableFields count="9">
      <queryTableField id="1" name="scenario_id" tableColumnId="1"/>
      <queryTableField id="2" name="ifc" tableColumnId="2"/>
      <queryTableField id="3" name="ifc_desc" tableColumnId="3"/>
      <queryTableField id="4" name="vhd_auto" tableColumnId="4"/>
      <queryTableField id="5" name="vhd_truck" tableColumnId="5"/>
      <queryTableField id="6" name="vhd_bus" tableColumnId="6"/>
      <queryTableField id="7" name="vhd_all" tableColumnId="7"/>
      <queryTableField id="8" name="vhd_per_capita" tableColumnId="8"/>
      <queryTableField id="9" name="veh_delay_minute_per_capita" tableColumnId="9"/>
    </queryTableFields>
  </queryTableRefresh>
</queryTable>
</file>

<file path=xl/queryTables/queryTable8.xml><?xml version="1.0" encoding="utf-8"?>
<queryTable xmlns="http://schemas.openxmlformats.org/spreadsheetml/2006/main" name="socioeca8.sandag.org_sst28" backgroundRefresh="0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scenario_id" tableColumnId="1"/>
      <queryTableField id="2" name="time_id" tableColumnId="2"/>
      <queryTableField id="3" name="time_desc" tableColumnId="3"/>
      <queryTableField id="4" name="Commuter Rail" tableColumnId="4"/>
      <queryTableField id="5" name="Light Rail" tableColumnId="5"/>
      <queryTableField id="6" name="Freeway Rapid" tableColumnId="6"/>
      <queryTableField id="7" name="Arterial Rapid" tableColumnId="7"/>
      <queryTableField id="8" name="Premium Express Bus" tableColumnId="8"/>
      <queryTableField id="9" name="Express Bus" tableColumnId="9"/>
      <queryTableField id="10" name="Local Bus" tableColumnId="10"/>
      <queryTableField id="11" name="TotalBoardings" tableColumnId="11"/>
    </queryTableFields>
  </queryTableRefresh>
</queryTable>
</file>

<file path=xl/queryTables/queryTable9.xml><?xml version="1.0" encoding="utf-8"?>
<queryTable xmlns="http://schemas.openxmlformats.org/spreadsheetml/2006/main" name="socioeca8.sandag.org_sst29" backgroundRefresh="0" connectionId="9" autoFormatId="16" applyNumberFormats="0" applyBorderFormats="0" applyFontFormats="0" applyPatternFormats="0" applyAlignmentFormats="0" applyWidthHeightFormats="0">
  <queryTableRefresh nextId="24">
    <queryTableFields count="13">
      <queryTableField id="1" name="scenario_id" tableColumnId="1"/>
      <queryTableField id="2" name="model_trip_id" tableColumnId="2"/>
      <queryTableField id="3" name="model_description" tableColumnId="3"/>
      <queryTableField id="14" name="Walk_Local" tableColumnId="4"/>
      <queryTableField id="15" name="Walk_Premium" tableColumnId="5"/>
      <queryTableField id="16" name="Walk_Local_n_Premium" tableColumnId="6"/>
      <queryTableField id="17" name="PNR_Local" tableColumnId="7"/>
      <queryTableField id="18" name="PNR_Premium" tableColumnId="8"/>
      <queryTableField id="19" name="PNR_Local_n_Premium" tableColumnId="9"/>
      <queryTableField id="20" name="KNR_Local" tableColumnId="10"/>
      <queryTableField id="21" name="KNR_Premium" tableColumnId="11"/>
      <queryTableField id="22" name="KNR_Local_n_Premium" tableColumnId="12"/>
      <queryTableField id="13" name="TotalTransitTrips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1" name="Table_socioeca8.sandag.org_ws_sst20" displayName="Table_socioeca8.sandag.org_ws_sst20" ref="I2:R3" tableType="queryTable" totalsRowShown="0" headerRowDxfId="90" dataDxfId="89">
  <autoFilter ref="I2:R3"/>
  <tableColumns count="10">
    <tableColumn id="1" uniqueName="1" name="scenario_id" queryTableFieldId="1" dataDxfId="88"/>
    <tableColumn id="2" uniqueName="2" name="year" queryTableFieldId="2" dataDxfId="87"/>
    <tableColumn id="3" uniqueName="3" name="name" queryTableFieldId="3" dataDxfId="86"/>
    <tableColumn id="4" uniqueName="4" name="iteration" queryTableFieldId="4" dataDxfId="85"/>
    <tableColumn id="5" uniqueName="5" name="sample_rate" queryTableFieldId="5" dataDxfId="84"/>
    <tableColumn id="6" uniqueName="6" name="abm_version" queryTableFieldId="6" dataDxfId="83"/>
    <tableColumn id="7" uniqueName="7" name="complete" queryTableFieldId="7" dataDxfId="82"/>
    <tableColumn id="8" uniqueName="8" name="date_loaded" queryTableFieldId="8" dataDxfId="81"/>
    <tableColumn id="9" uniqueName="9" name="user_name" queryTableFieldId="9" dataDxfId="80"/>
    <tableColumn id="10" uniqueName="10" name="path" queryTableFieldId="10" dataDxfId="7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2" name="Table_socioeca8.sandag.org_sst21" displayName="Table_socioeca8.sandag.org_sst21" ref="C3:M12" tableType="queryTable" totalsRowShown="0" headerRowDxfId="78">
  <autoFilter ref="C3:M12"/>
  <tableColumns count="11">
    <tableColumn id="1" uniqueName="1" name="scenario_id" queryTableFieldId="1" dataDxfId="77"/>
    <tableColumn id="2" uniqueName="2" name="model_trip_id" queryTableFieldId="2" dataDxfId="76"/>
    <tableColumn id="3" uniqueName="3" name="model_description" queryTableFieldId="3" dataDxfId="75"/>
    <tableColumn id="4" uniqueName="4" name="SOV" queryTableFieldId="4" dataDxfId="74"/>
    <tableColumn id="5" uniqueName="5" name="HOV2" queryTableFieldId="5" dataDxfId="73"/>
    <tableColumn id="6" uniqueName="6" name="HOV3" queryTableFieldId="6" dataDxfId="72"/>
    <tableColumn id="7" uniqueName="7" name="Walk" queryTableFieldId="7" dataDxfId="71"/>
    <tableColumn id="8" uniqueName="8" name="Bike" queryTableFieldId="8" dataDxfId="70"/>
    <tableColumn id="9" uniqueName="9" name="Transit" queryTableFieldId="9" dataDxfId="69"/>
    <tableColumn id="10" uniqueName="10" name="SchoolBus" queryTableFieldId="10" dataDxfId="68"/>
    <tableColumn id="11" uniqueName="11" name="TAXI" queryTableFieldId="11" dataDxfId="67"/>
  </tableColumns>
  <tableStyleInfo name="TableStyleLight14" showFirstColumn="0" showLastColumn="0" showRowStripes="0" showColumnStripes="0"/>
</table>
</file>

<file path=xl/tables/table3.xml><?xml version="1.0" encoding="utf-8"?>
<table xmlns="http://schemas.openxmlformats.org/spreadsheetml/2006/main" id="1" name="Table_socioeca8.sandag.org_sst24" displayName="Table_socioeca8.sandag.org_sst24" ref="C3:AD12" tableType="queryTable" totalsRowShown="0" headerRowDxfId="66">
  <autoFilter ref="C3:AD12"/>
  <tableColumns count="28">
    <tableColumn id="1" uniqueName="1" name="scenario_id" queryTableFieldId="1" dataDxfId="65"/>
    <tableColumn id="2" uniqueName="2" name="model_trip_id" queryTableFieldId="2" dataDxfId="64"/>
    <tableColumn id="3" uniqueName="3" name="model_description" queryTableFieldId="35" dataDxfId="63"/>
    <tableColumn id="5" uniqueName="5" name="Work" queryTableFieldId="5" dataDxfId="62"/>
    <tableColumn id="6" uniqueName="6" name="University" queryTableFieldId="6" dataDxfId="61"/>
    <tableColumn id="7" uniqueName="7" name="School" queryTableFieldId="7" dataDxfId="60"/>
    <tableColumn id="8" uniqueName="8" name="Escort" queryTableFieldId="8" dataDxfId="59"/>
    <tableColumn id="9" uniqueName="9" name="Shop" queryTableFieldId="9" dataDxfId="58"/>
    <tableColumn id="10" uniqueName="10" name="Maintenance" queryTableFieldId="10" dataDxfId="57"/>
    <tableColumn id="11" uniqueName="11" name="Eating Out" queryTableFieldId="11" dataDxfId="56"/>
    <tableColumn id="12" uniqueName="12" name="Visiting" queryTableFieldId="12" dataDxfId="55"/>
    <tableColumn id="13" uniqueName="13" name="Discretionary" queryTableFieldId="13" dataDxfId="54"/>
    <tableColumn id="14" uniqueName="14" name="Work-Based" queryTableFieldId="14" dataDxfId="53"/>
    <tableColumn id="15" uniqueName="15" name="Work-Related" queryTableFieldId="15" dataDxfId="52"/>
    <tableColumn id="16" uniqueName="16" name="Home" queryTableFieldId="16" dataDxfId="51"/>
    <tableColumn id="4" uniqueName="4" name="Not Applicable" queryTableFieldId="4" dataDxfId="50"/>
    <tableColumn id="22" uniqueName="22" name="Recreation" queryTableFieldId="22" dataDxfId="49"/>
    <tableColumn id="23" uniqueName="23" name="Dining" queryTableFieldId="23" dataDxfId="48"/>
    <tableColumn id="17" uniqueName="17" name="Other" queryTableFieldId="17" dataDxfId="47"/>
    <tableColumn id="20" uniqueName="20" name="Cargo" queryTableFieldId="20" dataDxfId="46"/>
    <tableColumn id="21" uniqueName="21" name="Visit" queryTableFieldId="21" dataDxfId="45"/>
    <tableColumn id="19" uniqueName="19" name="External" queryTableFieldId="19" dataDxfId="44"/>
    <tableColumn id="24" uniqueName="24" name="Resident-Business" queryTableFieldId="24" dataDxfId="43"/>
    <tableColumn id="25" uniqueName="25" name="Resident-Personal" queryTableFieldId="25" dataDxfId="42"/>
    <tableColumn id="26" uniqueName="26" name="Visitor-Business" queryTableFieldId="26" dataDxfId="41"/>
    <tableColumn id="27" uniqueName="27" name="Visitor-Personal" queryTableFieldId="27" dataDxfId="40"/>
    <tableColumn id="28" uniqueName="28" name="Unknown" queryTableFieldId="28" dataDxfId="39"/>
    <tableColumn id="29" uniqueName="29" name="AvgLengthAllPurpose" queryTableFieldId="29" dataDxfId="38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2" name="Table_socioeca8.sandag.org_sst25" displayName="Table_socioeca8.sandag.org_sst25" ref="C3:N12" tableType="queryTable" totalsRowShown="0" headerRowDxfId="37">
  <autoFilter ref="C3:N12"/>
  <tableColumns count="12">
    <tableColumn id="1" uniqueName="1" name="scenario_id" queryTableFieldId="1"/>
    <tableColumn id="2" uniqueName="2" name="model_trip_id" queryTableFieldId="2"/>
    <tableColumn id="3" uniqueName="3" name="model_description" queryTableFieldId="3"/>
    <tableColumn id="4" uniqueName="4" name="SOV" queryTableFieldId="4" dataDxfId="36"/>
    <tableColumn id="5" uniqueName="5" name="HOV2" queryTableFieldId="5" dataDxfId="35"/>
    <tableColumn id="6" uniqueName="6" name="HOV3" queryTableFieldId="6" dataDxfId="34"/>
    <tableColumn id="7" uniqueName="7" name="WALK" queryTableFieldId="7" dataDxfId="33"/>
    <tableColumn id="8" uniqueName="8" name="BIKE" queryTableFieldId="8" dataDxfId="32"/>
    <tableColumn id="9" uniqueName="9" name="TRANSIT" queryTableFieldId="9" dataDxfId="31"/>
    <tableColumn id="10" uniqueName="10" name="SBUS" queryTableFieldId="10" dataDxfId="30"/>
    <tableColumn id="11" uniqueName="11" name="TAXI" queryTableFieldId="11" dataDxfId="29"/>
    <tableColumn id="13" uniqueName="13" name="AvgLengthAllMode" queryTableFieldId="13" dataDxfId="28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3" name="Table_socioeca8.sandag.org_sst23" displayName="Table_socioeca8.sandag.org_sst23" ref="C3:J14" tableType="queryTable" totalsRowShown="0" headerRowDxfId="27">
  <autoFilter ref="C3:J14"/>
  <tableColumns count="8">
    <tableColumn id="1" uniqueName="1" name="scenario_id" queryTableFieldId="1"/>
    <tableColumn id="2" uniqueName="2" name="ifc" queryTableFieldId="2"/>
    <tableColumn id="3" uniqueName="3" name="ifc_desc" queryTableFieldId="3"/>
    <tableColumn id="4" uniqueName="4" name="vmt_auto" queryTableFieldId="4" dataDxfId="26"/>
    <tableColumn id="5" uniqueName="5" name="vmt_truck" queryTableFieldId="5" dataDxfId="25"/>
    <tableColumn id="6" uniqueName="6" name="vmt_bus" queryTableFieldId="6" dataDxfId="24"/>
    <tableColumn id="7" uniqueName="7" name="vmt_all" queryTableFieldId="7" dataDxfId="23"/>
    <tableColumn id="8" uniqueName="8" name="vmt_per_capita" queryTableFieldId="8" dataDxfId="2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id="4" name="Table_socioeca8.sandag.org_sst26" displayName="Table_socioeca8.sandag.org_sst26" ref="C3:K14" tableType="queryTable" totalsRowShown="0" headerRowDxfId="21">
  <autoFilter ref="C3:K14"/>
  <tableColumns count="9">
    <tableColumn id="1" uniqueName="1" name="scenario_id" queryTableFieldId="1"/>
    <tableColumn id="2" uniqueName="2" name="ifc" queryTableFieldId="2"/>
    <tableColumn id="3" uniqueName="3" name="ifc_desc" queryTableFieldId="3"/>
    <tableColumn id="4" uniqueName="4" name="vht_auto" queryTableFieldId="4" dataDxfId="20"/>
    <tableColumn id="5" uniqueName="5" name="vht_truck" queryTableFieldId="5" dataDxfId="19"/>
    <tableColumn id="6" uniqueName="6" name="vht_bus" queryTableFieldId="6" dataDxfId="18"/>
    <tableColumn id="7" uniqueName="7" name="vht_all" queryTableFieldId="7" dataDxfId="17"/>
    <tableColumn id="8" uniqueName="8" name="vht_per_capita" queryTableFieldId="8" dataDxfId="16"/>
    <tableColumn id="9" uniqueName="9" name="veh_minute_per_capita" queryTableFieldId="9" dataDxfId="15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id="5" name="Table_socioeca8.sandag.org_sst27" displayName="Table_socioeca8.sandag.org_sst27" ref="C3:K14" tableType="queryTable" totalsRowShown="0" headerRowDxfId="14">
  <autoFilter ref="C3:K14"/>
  <tableColumns count="9">
    <tableColumn id="1" uniqueName="1" name="scenario_id" queryTableFieldId="1"/>
    <tableColumn id="2" uniqueName="2" name="ifc" queryTableFieldId="2"/>
    <tableColumn id="3" uniqueName="3" name="ifc_desc" queryTableFieldId="3"/>
    <tableColumn id="4" uniqueName="4" name="vhd_auto" queryTableFieldId="4" dataDxfId="13"/>
    <tableColumn id="5" uniqueName="5" name="vhd_truck" queryTableFieldId="5" dataDxfId="12"/>
    <tableColumn id="6" uniqueName="6" name="vhd_bus" queryTableFieldId="6" dataDxfId="11"/>
    <tableColumn id="7" uniqueName="7" name="vhd_all" queryTableFieldId="7" dataDxfId="10"/>
    <tableColumn id="8" uniqueName="8" name="vhd_per_capita" queryTableFieldId="8" dataDxfId="9"/>
    <tableColumn id="9" uniqueName="9" name="veh_delay_minute_per_capita" queryTableFieldId="9" dataDxfId="8"/>
  </tableColumns>
  <tableStyleInfo name="TableStyleMedium11" showFirstColumn="0" showLastColumn="0" showRowStripes="0" showColumnStripes="0"/>
</table>
</file>

<file path=xl/tables/table8.xml><?xml version="1.0" encoding="utf-8"?>
<table xmlns="http://schemas.openxmlformats.org/spreadsheetml/2006/main" id="6" name="Table_socioeca8.sandag.org_sst28" displayName="Table_socioeca8.sandag.org_sst28" ref="C3:M9" tableType="queryTable" totalsRowShown="0">
  <autoFilter ref="C3:M9"/>
  <tableColumns count="11">
    <tableColumn id="1" uniqueName="1" name="scenario_id" queryTableFieldId="1"/>
    <tableColumn id="2" uniqueName="2" name="time_id" queryTableFieldId="2"/>
    <tableColumn id="3" uniqueName="3" name="time_desc" queryTableFieldId="3"/>
    <tableColumn id="4" uniqueName="4" name="Commuter Rail" queryTableFieldId="4" dataDxfId="7"/>
    <tableColumn id="5" uniqueName="5" name="Light Rail" queryTableFieldId="5" dataDxfId="6"/>
    <tableColumn id="6" uniqueName="6" name="Freeway Rapid" queryTableFieldId="6" dataDxfId="5"/>
    <tableColumn id="7" uniqueName="7" name="Arterial Rapid" queryTableFieldId="7" dataDxfId="4"/>
    <tableColumn id="8" uniqueName="8" name="Premium Express Bus" queryTableFieldId="8" dataDxfId="3"/>
    <tableColumn id="9" uniqueName="9" name="Express Bus" queryTableFieldId="9" dataDxfId="2"/>
    <tableColumn id="10" uniqueName="10" name="Local Bus" queryTableFieldId="10" dataDxfId="1"/>
    <tableColumn id="11" uniqueName="11" name="TotalBoardings" queryTableFieldId="11" dataDxfId="0"/>
  </tableColumns>
  <tableStyleInfo name="TableStyleMedium5" showFirstColumn="0" showLastColumn="0" showRowStripes="0" showColumnStripes="0"/>
</table>
</file>

<file path=xl/tables/table9.xml><?xml version="1.0" encoding="utf-8"?>
<table xmlns="http://schemas.openxmlformats.org/spreadsheetml/2006/main" id="7" name="Table_socioeca8.sandag.org_sst29" displayName="Table_socioeca8.sandag.org_sst29" ref="C3:O11" tableType="queryTable" totalsRowShown="0">
  <autoFilter ref="C3:O11"/>
  <tableColumns count="13">
    <tableColumn id="1" uniqueName="1" name="scenario_id" queryTableFieldId="1"/>
    <tableColumn id="2" uniqueName="2" name="model_trip_id" queryTableFieldId="2"/>
    <tableColumn id="3" uniqueName="3" name="model_description" queryTableFieldId="3"/>
    <tableColumn id="4" uniqueName="4" name="Walk_Local" queryTableFieldId="14"/>
    <tableColumn id="5" uniqueName="5" name="Walk_Premium" queryTableFieldId="15"/>
    <tableColumn id="6" uniqueName="6" name="Walk_Local_n_Premium" queryTableFieldId="16"/>
    <tableColumn id="7" uniqueName="7" name="PNR_Local" queryTableFieldId="17"/>
    <tableColumn id="8" uniqueName="8" name="PNR_Premium" queryTableFieldId="18"/>
    <tableColumn id="9" uniqueName="9" name="PNR_Local_n_Premium" queryTableFieldId="19"/>
    <tableColumn id="10" uniqueName="10" name="KNR_Local" queryTableFieldId="20"/>
    <tableColumn id="11" uniqueName="11" name="KNR_Premium" queryTableFieldId="21"/>
    <tableColumn id="12" uniqueName="12" name="KNR_Local_n_Premium" queryTableFieldId="22"/>
    <tableColumn id="13" uniqueName="13" name="TotalTransitTrips" queryTableFieldId="13"/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2:R12"/>
  <sheetViews>
    <sheetView showGridLines="0" tabSelected="1" workbookViewId="0">
      <selection activeCell="I10" sqref="I10"/>
    </sheetView>
  </sheetViews>
  <sheetFormatPr defaultRowHeight="15" x14ac:dyDescent="0.25"/>
  <cols>
    <col min="2" max="2" width="37.28515625" bestFit="1" customWidth="1"/>
    <col min="3" max="3" width="11.28515625" customWidth="1"/>
    <col min="4" max="4" width="6.42578125" customWidth="1"/>
    <col min="5" max="5" width="7.28515625" customWidth="1"/>
    <col min="6" max="6" width="9.28515625" customWidth="1"/>
    <col min="7" max="7" width="12.140625" customWidth="1"/>
    <col min="8" max="8" width="12.42578125" customWidth="1"/>
    <col min="9" max="9" width="11.28515625" style="17" customWidth="1"/>
    <col min="10" max="10" width="6.42578125" style="17" customWidth="1"/>
    <col min="11" max="12" width="9.28515625" style="17" customWidth="1"/>
    <col min="13" max="13" width="12.140625" style="17" customWidth="1"/>
    <col min="14" max="14" width="21.85546875" style="17" customWidth="1"/>
    <col min="15" max="15" width="9.85546875" style="17" customWidth="1"/>
    <col min="16" max="16" width="12.7109375" style="17" customWidth="1"/>
    <col min="17" max="17" width="13.28515625" style="17" customWidth="1"/>
    <col min="18" max="18" width="55.28515625" style="17" customWidth="1"/>
  </cols>
  <sheetData>
    <row r="2" spans="1:18" ht="15.75" x14ac:dyDescent="0.25">
      <c r="A2" s="1" t="s">
        <v>0</v>
      </c>
      <c r="B2" s="2" t="s">
        <v>1</v>
      </c>
      <c r="C2" s="18">
        <f>[1]Settings!$B$3</f>
        <v>259</v>
      </c>
      <c r="I2" s="21" t="s">
        <v>2</v>
      </c>
      <c r="J2" s="21" t="s">
        <v>73</v>
      </c>
      <c r="K2" s="21" t="s">
        <v>74</v>
      </c>
      <c r="L2" s="21" t="s">
        <v>60</v>
      </c>
      <c r="M2" s="21" t="s">
        <v>61</v>
      </c>
      <c r="N2" s="21" t="s">
        <v>62</v>
      </c>
      <c r="O2" s="21" t="s">
        <v>63</v>
      </c>
      <c r="P2" s="21" t="s">
        <v>64</v>
      </c>
      <c r="Q2" s="21" t="s">
        <v>65</v>
      </c>
      <c r="R2" s="21" t="s">
        <v>66</v>
      </c>
    </row>
    <row r="3" spans="1:18" x14ac:dyDescent="0.25">
      <c r="A3" t="s">
        <v>67</v>
      </c>
      <c r="B3" t="s">
        <v>68</v>
      </c>
      <c r="I3" s="17">
        <f>'[1]0_scenarioInfor'!A2</f>
        <v>259</v>
      </c>
      <c r="J3" s="17">
        <f>'[1]0_scenarioInfor'!B2</f>
        <v>2016</v>
      </c>
      <c r="K3" s="17" t="str">
        <f>'[1]0_scenarioInfor'!C2</f>
        <v xml:space="preserve">2016                                              </v>
      </c>
      <c r="L3" s="17">
        <f>'[1]0_scenarioInfor'!D2</f>
        <v>3</v>
      </c>
      <c r="M3" s="17">
        <f>'[1]0_scenarioInfor'!E2</f>
        <v>1</v>
      </c>
      <c r="N3" s="17" t="str">
        <f>'[1]0_scenarioInfor'!F2</f>
        <v xml:space="preserve">version_14_1_0                                    </v>
      </c>
      <c r="O3" s="17" t="b">
        <f>'[1]0_scenarioInfor'!G2</f>
        <v>1</v>
      </c>
      <c r="P3" s="20">
        <f>'[1]0_scenarioInfor'!H2</f>
        <v>43509.918055555558</v>
      </c>
      <c r="Q3" s="17" t="str">
        <f>'[1]0_scenarioInfor'!I2</f>
        <v xml:space="preserve">SANDAGNET\yma                                                                                       </v>
      </c>
      <c r="R3" s="17" t="str">
        <f>'[1]0_scenarioInfor'!J2</f>
        <v xml:space="preserve">\\sandag.org\transdata\projects\sr14\version_14_1_x\abm_runs\2016                                                                                                                                       </v>
      </c>
    </row>
    <row r="4" spans="1:18" x14ac:dyDescent="0.25">
      <c r="A4" t="s">
        <v>69</v>
      </c>
      <c r="B4" t="s">
        <v>70</v>
      </c>
    </row>
    <row r="6" spans="1:18" x14ac:dyDescent="0.25">
      <c r="A6" t="s">
        <v>72</v>
      </c>
    </row>
    <row r="11" spans="1:18" x14ac:dyDescent="0.25">
      <c r="A11" s="19" t="s">
        <v>71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8" x14ac:dyDescent="0.25">
      <c r="J12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C3:N12"/>
  <sheetViews>
    <sheetView showGridLines="0" workbookViewId="0">
      <selection activeCell="C4" sqref="C4"/>
    </sheetView>
  </sheetViews>
  <sheetFormatPr defaultRowHeight="15" x14ac:dyDescent="0.25"/>
  <cols>
    <col min="1" max="1" width="27.28515625" customWidth="1"/>
    <col min="3" max="3" width="13.42578125" bestFit="1" customWidth="1"/>
    <col min="4" max="4" width="16" style="5" bestFit="1" customWidth="1"/>
    <col min="5" max="5" width="20.28515625" style="3" bestFit="1" customWidth="1"/>
    <col min="6" max="6" width="7" style="3" bestFit="1" customWidth="1"/>
    <col min="7" max="8" width="8.28515625" style="3" bestFit="1" customWidth="1"/>
    <col min="9" max="9" width="7.85546875" style="3" bestFit="1" customWidth="1"/>
    <col min="10" max="10" width="7.140625" style="3" bestFit="1" customWidth="1"/>
    <col min="11" max="11" width="9.28515625" style="3" bestFit="1" customWidth="1"/>
    <col min="12" max="12" width="12.28515625" style="3" bestFit="1" customWidth="1"/>
    <col min="13" max="13" width="7.28515625" style="3" bestFit="1" customWidth="1"/>
    <col min="14" max="14" width="6.28515625" style="3" bestFit="1" customWidth="1"/>
  </cols>
  <sheetData>
    <row r="3" spans="3:14" x14ac:dyDescent="0.25">
      <c r="C3" s="3" t="s">
        <v>2</v>
      </c>
      <c r="D3" s="3" t="s">
        <v>75</v>
      </c>
      <c r="E3" s="3" t="s">
        <v>76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  <c r="L3" s="3" t="s">
        <v>30</v>
      </c>
      <c r="M3" s="3" t="s">
        <v>31</v>
      </c>
      <c r="N3"/>
    </row>
    <row r="4" spans="3:14" x14ac:dyDescent="0.25">
      <c r="C4" s="1">
        <f>'[1]1_modeshare'!A2</f>
        <v>259</v>
      </c>
      <c r="D4" s="5">
        <f>'[1]1_modeshare'!B2</f>
        <v>1</v>
      </c>
      <c r="E4" s="3" t="str">
        <f>'[1]1_modeshare'!C2</f>
        <v xml:space="preserve">Individual          </v>
      </c>
      <c r="F4" s="3">
        <f>'[1]1_modeshare'!D2</f>
        <v>0.48981799999999998</v>
      </c>
      <c r="G4" s="3">
        <f>'[1]1_modeshare'!E2</f>
        <v>0.221022</v>
      </c>
      <c r="H4" s="3">
        <f>'[1]1_modeshare'!F2</f>
        <v>0.18210799999999999</v>
      </c>
      <c r="I4" s="3">
        <f>'[1]1_modeshare'!G2</f>
        <v>7.1877999999999997E-2</v>
      </c>
      <c r="J4" s="3">
        <f>'[1]1_modeshare'!H2</f>
        <v>8.7740000000000005E-3</v>
      </c>
      <c r="K4" s="3">
        <f>'[1]1_modeshare'!I2</f>
        <v>1.4674E-2</v>
      </c>
      <c r="L4" s="3">
        <f>'[1]1_modeshare'!J2</f>
        <v>1.1723000000000001E-2</v>
      </c>
      <c r="M4" s="3">
        <f>'[1]1_modeshare'!K2</f>
        <v>0</v>
      </c>
      <c r="N4"/>
    </row>
    <row r="5" spans="3:14" x14ac:dyDescent="0.25">
      <c r="C5" s="5">
        <f>'[1]1_modeshare'!A3</f>
        <v>259</v>
      </c>
      <c r="D5" s="5">
        <f>'[1]1_modeshare'!B3</f>
        <v>2</v>
      </c>
      <c r="E5" s="3" t="str">
        <f>'[1]1_modeshare'!C3</f>
        <v xml:space="preserve">Joint               </v>
      </c>
      <c r="F5" s="3">
        <f>'[1]1_modeshare'!D3</f>
        <v>0</v>
      </c>
      <c r="G5" s="3">
        <f>'[1]1_modeshare'!E3</f>
        <v>0.51241400000000004</v>
      </c>
      <c r="H5" s="3">
        <f>'[1]1_modeshare'!F3</f>
        <v>0.37165599999999999</v>
      </c>
      <c r="I5" s="3">
        <f>'[1]1_modeshare'!G3</f>
        <v>9.5481999999999997E-2</v>
      </c>
      <c r="J5" s="3">
        <f>'[1]1_modeshare'!H3</f>
        <v>7.1199999999999996E-4</v>
      </c>
      <c r="K5" s="3">
        <f>'[1]1_modeshare'!I3</f>
        <v>1.9734000000000002E-2</v>
      </c>
      <c r="L5" s="3">
        <f>'[1]1_modeshare'!J3</f>
        <v>0</v>
      </c>
      <c r="M5" s="3">
        <f>'[1]1_modeshare'!K3</f>
        <v>0</v>
      </c>
      <c r="N5"/>
    </row>
    <row r="6" spans="3:14" x14ac:dyDescent="0.25">
      <c r="C6" s="5">
        <f>'[1]1_modeshare'!A4</f>
        <v>259</v>
      </c>
      <c r="D6" s="5">
        <f>'[1]1_modeshare'!B4</f>
        <v>3</v>
      </c>
      <c r="E6" s="3" t="str">
        <f>'[1]1_modeshare'!C4</f>
        <v xml:space="preserve">Visitor             </v>
      </c>
      <c r="F6" s="3">
        <f>'[1]1_modeshare'!D4</f>
        <v>6.0660000000000002E-3</v>
      </c>
      <c r="G6" s="3">
        <f>'[1]1_modeshare'!E4</f>
        <v>3.4347999999999997E-2</v>
      </c>
      <c r="H6" s="3">
        <f>'[1]1_modeshare'!F4</f>
        <v>0.538466</v>
      </c>
      <c r="I6" s="3">
        <f>'[1]1_modeshare'!G4</f>
        <v>0.29807699999999998</v>
      </c>
      <c r="J6" s="3">
        <f>'[1]1_modeshare'!H4</f>
        <v>0</v>
      </c>
      <c r="K6" s="3">
        <f>'[1]1_modeshare'!I4</f>
        <v>1.7769999999999999E-3</v>
      </c>
      <c r="L6" s="3">
        <f>'[1]1_modeshare'!J4</f>
        <v>0</v>
      </c>
      <c r="M6" s="3">
        <f>'[1]1_modeshare'!K4</f>
        <v>0.121263</v>
      </c>
      <c r="N6"/>
    </row>
    <row r="7" spans="3:14" x14ac:dyDescent="0.25">
      <c r="C7" s="5">
        <f>'[1]1_modeshare'!A5</f>
        <v>259</v>
      </c>
      <c r="D7" s="5">
        <f>'[1]1_modeshare'!B5</f>
        <v>4</v>
      </c>
      <c r="E7" s="3" t="str">
        <f>'[1]1_modeshare'!C5</f>
        <v xml:space="preserve">Internal-External   </v>
      </c>
      <c r="F7" s="3">
        <f>'[1]1_modeshare'!D5</f>
        <v>0.58329600000000004</v>
      </c>
      <c r="G7" s="3">
        <f>'[1]1_modeshare'!E5</f>
        <v>0.19308500000000001</v>
      </c>
      <c r="H7" s="3">
        <f>'[1]1_modeshare'!F5</f>
        <v>0.19207399999999999</v>
      </c>
      <c r="I7" s="3">
        <f>'[1]1_modeshare'!G5</f>
        <v>0</v>
      </c>
      <c r="J7" s="3">
        <f>'[1]1_modeshare'!H5</f>
        <v>0</v>
      </c>
      <c r="K7" s="3">
        <f>'[1]1_modeshare'!I5</f>
        <v>3.1543000000000002E-2</v>
      </c>
      <c r="L7" s="3">
        <f>'[1]1_modeshare'!J5</f>
        <v>0</v>
      </c>
      <c r="M7" s="3">
        <f>'[1]1_modeshare'!K5</f>
        <v>0</v>
      </c>
      <c r="N7"/>
    </row>
    <row r="8" spans="3:14" x14ac:dyDescent="0.25">
      <c r="C8" s="5">
        <f>'[1]1_modeshare'!A6</f>
        <v>259</v>
      </c>
      <c r="D8" s="5">
        <f>'[1]1_modeshare'!B6</f>
        <v>5</v>
      </c>
      <c r="E8" s="3" t="str">
        <f>'[1]1_modeshare'!C6</f>
        <v xml:space="preserve">Cross Border        </v>
      </c>
      <c r="F8" s="3">
        <f>'[1]1_modeshare'!D6</f>
        <v>0.26890900000000001</v>
      </c>
      <c r="G8" s="3">
        <f>'[1]1_modeshare'!E6</f>
        <v>0.28981400000000002</v>
      </c>
      <c r="H8" s="3">
        <f>'[1]1_modeshare'!F6</f>
        <v>0.25851299999999999</v>
      </c>
      <c r="I8" s="3">
        <f>'[1]1_modeshare'!G6</f>
        <v>0.114302</v>
      </c>
      <c r="J8" s="3">
        <f>'[1]1_modeshare'!H6</f>
        <v>0</v>
      </c>
      <c r="K8" s="3">
        <f>'[1]1_modeshare'!I6</f>
        <v>6.8459000000000006E-2</v>
      </c>
      <c r="L8" s="3">
        <f>'[1]1_modeshare'!J6</f>
        <v>0</v>
      </c>
      <c r="M8" s="3">
        <f>'[1]1_modeshare'!K6</f>
        <v>0</v>
      </c>
      <c r="N8"/>
    </row>
    <row r="9" spans="3:14" x14ac:dyDescent="0.25">
      <c r="C9" s="5">
        <f>'[1]1_modeshare'!A7</f>
        <v>259</v>
      </c>
      <c r="D9" s="5">
        <f>'[1]1_modeshare'!B7</f>
        <v>6</v>
      </c>
      <c r="E9" s="3" t="str">
        <f>'[1]1_modeshare'!C7</f>
        <v xml:space="preserve">Airport - CBX       </v>
      </c>
      <c r="F9" s="3">
        <f>'[1]1_modeshare'!D7</f>
        <v>3.551E-2</v>
      </c>
      <c r="G9" s="3">
        <f>'[1]1_modeshare'!E7</f>
        <v>0.214285</v>
      </c>
      <c r="H9" s="3">
        <f>'[1]1_modeshare'!F7</f>
        <v>0.75020399999999998</v>
      </c>
      <c r="I9" s="3">
        <f>'[1]1_modeshare'!G7</f>
        <v>0</v>
      </c>
      <c r="J9" s="3">
        <f>'[1]1_modeshare'!H7</f>
        <v>0</v>
      </c>
      <c r="K9" s="3">
        <f>'[1]1_modeshare'!I7</f>
        <v>0</v>
      </c>
      <c r="L9" s="3">
        <f>'[1]1_modeshare'!J7</f>
        <v>0</v>
      </c>
      <c r="M9" s="3">
        <f>'[1]1_modeshare'!K7</f>
        <v>0</v>
      </c>
      <c r="N9"/>
    </row>
    <row r="10" spans="3:14" x14ac:dyDescent="0.25">
      <c r="C10" s="5">
        <f>'[1]1_modeshare'!A8</f>
        <v>259</v>
      </c>
      <c r="D10" s="5">
        <f>'[1]1_modeshare'!B8</f>
        <v>7</v>
      </c>
      <c r="E10" s="3" t="str">
        <f>'[1]1_modeshare'!C8</f>
        <v xml:space="preserve">Airport - SAN       </v>
      </c>
      <c r="F10" s="3">
        <f>'[1]1_modeshare'!D8</f>
        <v>0.11294999999999999</v>
      </c>
      <c r="G10" s="3">
        <f>'[1]1_modeshare'!E8</f>
        <v>0.35958600000000002</v>
      </c>
      <c r="H10" s="3">
        <f>'[1]1_modeshare'!F8</f>
        <v>0.51501300000000005</v>
      </c>
      <c r="I10" s="3">
        <f>'[1]1_modeshare'!G8</f>
        <v>0</v>
      </c>
      <c r="J10" s="3">
        <f>'[1]1_modeshare'!H8</f>
        <v>0</v>
      </c>
      <c r="K10" s="3">
        <f>'[1]1_modeshare'!I8</f>
        <v>1.2449E-2</v>
      </c>
      <c r="L10" s="3">
        <f>'[1]1_modeshare'!J8</f>
        <v>0</v>
      </c>
      <c r="M10" s="3">
        <f>'[1]1_modeshare'!K8</f>
        <v>0</v>
      </c>
      <c r="N10"/>
    </row>
    <row r="11" spans="3:14" x14ac:dyDescent="0.25">
      <c r="C11" s="24">
        <f>'[1]1_modeshare'!A9</f>
        <v>259</v>
      </c>
      <c r="D11" s="24">
        <f>'[1]1_modeshare'!B9</f>
        <v>99</v>
      </c>
      <c r="E11" s="25" t="str">
        <f>'[1]1_modeshare'!C9</f>
        <v>ResidentialModels</v>
      </c>
      <c r="F11" s="25">
        <f>'[1]1_modeshare'!D9</f>
        <v>0.44603799999999999</v>
      </c>
      <c r="G11" s="25">
        <f>'[1]1_modeshare'!E9</f>
        <v>0.24735499999999999</v>
      </c>
      <c r="H11" s="25">
        <f>'[1]1_modeshare'!F9</f>
        <v>0.19952900000000001</v>
      </c>
      <c r="I11" s="25">
        <f>'[1]1_modeshare'!G9</f>
        <v>7.3287000000000005E-2</v>
      </c>
      <c r="J11" s="25">
        <f>'[1]1_modeshare'!H9</f>
        <v>7.9459999999999999E-3</v>
      </c>
      <c r="K11" s="25">
        <f>'[1]1_modeshare'!I9</f>
        <v>1.5311999999999999E-2</v>
      </c>
      <c r="L11" s="25">
        <f>'[1]1_modeshare'!J9</f>
        <v>1.0529999999999999E-2</v>
      </c>
      <c r="M11" s="25">
        <f>'[1]1_modeshare'!K9</f>
        <v>0</v>
      </c>
      <c r="N11"/>
    </row>
    <row r="12" spans="3:14" x14ac:dyDescent="0.25">
      <c r="C12" s="26">
        <f>'[1]1_modeshare'!A10</f>
        <v>259</v>
      </c>
      <c r="D12" s="22">
        <f>'[1]1_modeshare'!B10</f>
        <v>100</v>
      </c>
      <c r="E12" s="23" t="str">
        <f>'[1]1_modeshare'!C10</f>
        <v>AllModels</v>
      </c>
      <c r="F12" s="23">
        <f>'[1]1_modeshare'!D10</f>
        <v>0.42193599999999998</v>
      </c>
      <c r="G12" s="23">
        <f>'[1]1_modeshare'!E10</f>
        <v>0.240396</v>
      </c>
      <c r="H12" s="23">
        <f>'[1]1_modeshare'!F10</f>
        <v>0.21610699999999999</v>
      </c>
      <c r="I12" s="23">
        <f>'[1]1_modeshare'!G10</f>
        <v>8.3252000000000007E-2</v>
      </c>
      <c r="J12" s="23">
        <f>'[1]1_modeshare'!H10</f>
        <v>7.365E-3</v>
      </c>
      <c r="K12" s="23">
        <f>'[1]1_modeshare'!I10</f>
        <v>1.6306000000000001E-2</v>
      </c>
      <c r="L12" s="23">
        <f>'[1]1_modeshare'!J10</f>
        <v>9.7610000000000006E-3</v>
      </c>
      <c r="M12" s="23">
        <f>'[1]1_modeshare'!K10</f>
        <v>4.8729999999999997E-3</v>
      </c>
      <c r="N1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C1:AI12"/>
  <sheetViews>
    <sheetView showGridLines="0" workbookViewId="0">
      <selection activeCell="F7" sqref="F7"/>
    </sheetView>
  </sheetViews>
  <sheetFormatPr defaultRowHeight="15" x14ac:dyDescent="0.25"/>
  <cols>
    <col min="1" max="1" width="7.7109375" style="4" customWidth="1"/>
    <col min="2" max="2" width="9.140625" style="4" customWidth="1"/>
    <col min="3" max="3" width="13.42578125" style="5" bestFit="1" customWidth="1"/>
    <col min="4" max="4" width="16" style="5" bestFit="1" customWidth="1"/>
    <col min="5" max="5" width="20.28515625" style="6" customWidth="1"/>
    <col min="6" max="6" width="8.140625" customWidth="1"/>
    <col min="7" max="7" width="12.42578125" style="31" customWidth="1"/>
    <col min="8" max="8" width="9.140625" style="6" customWidth="1"/>
    <col min="9" max="9" width="8.5703125" style="6" customWidth="1"/>
    <col min="10" max="10" width="7.7109375" style="6" customWidth="1"/>
    <col min="11" max="11" width="15" style="6" customWidth="1"/>
    <col min="12" max="12" width="12.42578125" style="6" customWidth="1"/>
    <col min="13" max="13" width="10" style="6" customWidth="1"/>
    <col min="14" max="14" width="15" style="6" customWidth="1"/>
    <col min="15" max="15" width="14.140625" style="6" customWidth="1"/>
    <col min="16" max="16" width="15.85546875" style="6" customWidth="1"/>
    <col min="17" max="17" width="8.5703125" style="6" customWidth="1"/>
    <col min="18" max="18" width="16.5703125" style="6" bestFit="1" customWidth="1"/>
    <col min="19" max="19" width="12.85546875" bestFit="1" customWidth="1"/>
    <col min="20" max="20" width="9" style="6" customWidth="1"/>
    <col min="21" max="21" width="8.42578125" style="6" customWidth="1"/>
    <col min="22" max="22" width="8.28515625" customWidth="1"/>
    <col min="23" max="23" width="7.28515625" style="6" customWidth="1"/>
    <col min="24" max="24" width="10.5703125" style="6" bestFit="1" customWidth="1"/>
    <col min="25" max="25" width="19.85546875" style="4" customWidth="1"/>
    <col min="26" max="26" width="19.85546875" style="6" customWidth="1"/>
    <col min="27" max="28" width="17.7109375" bestFit="1" customWidth="1"/>
    <col min="29" max="29" width="11.85546875" style="6" bestFit="1" customWidth="1"/>
    <col min="30" max="30" width="22.5703125" style="6" bestFit="1" customWidth="1"/>
    <col min="32" max="32" width="19.85546875" style="6" bestFit="1" customWidth="1"/>
    <col min="33" max="34" width="17.7109375" style="6" customWidth="1"/>
    <col min="35" max="35" width="11.85546875" style="31" customWidth="1"/>
    <col min="36" max="36" width="22.5703125" style="4" bestFit="1" customWidth="1"/>
    <col min="37" max="37" width="11.85546875" style="4" bestFit="1" customWidth="1"/>
    <col min="38" max="38" width="22.5703125" style="4" bestFit="1" customWidth="1"/>
    <col min="39" max="16384" width="9.140625" style="4"/>
  </cols>
  <sheetData>
    <row r="1" spans="3:35" x14ac:dyDescent="0.25">
      <c r="F1" s="31"/>
      <c r="G1" s="6"/>
      <c r="R1" s="4"/>
      <c r="S1" s="6"/>
      <c r="V1" s="6"/>
      <c r="Y1" s="6"/>
      <c r="AA1" s="6"/>
      <c r="AB1" s="6"/>
      <c r="AC1" s="31"/>
      <c r="AE1" s="6"/>
      <c r="AF1" s="4"/>
      <c r="AG1" s="4"/>
      <c r="AH1" s="4"/>
      <c r="AI1" s="4"/>
    </row>
    <row r="2" spans="3:35" x14ac:dyDescent="0.25">
      <c r="E2" s="4"/>
      <c r="F2" s="31"/>
      <c r="G2" s="6"/>
      <c r="R2" s="4"/>
      <c r="S2" s="6"/>
      <c r="V2" s="6"/>
      <c r="Y2" s="6"/>
      <c r="AA2" s="6"/>
      <c r="AB2" s="6"/>
      <c r="AC2" s="31"/>
      <c r="AD2" s="4"/>
      <c r="AE2" s="4"/>
      <c r="AF2" s="4"/>
      <c r="AG2" s="4"/>
      <c r="AH2" s="4"/>
      <c r="AI2" s="4"/>
    </row>
    <row r="3" spans="3:35" x14ac:dyDescent="0.25">
      <c r="C3" s="4" t="s">
        <v>2</v>
      </c>
      <c r="D3" s="4" t="s">
        <v>75</v>
      </c>
      <c r="E3" s="4" t="s">
        <v>76</v>
      </c>
      <c r="F3" s="30" t="s">
        <v>10</v>
      </c>
      <c r="G3" s="4" t="s">
        <v>11</v>
      </c>
      <c r="H3" s="4" t="s">
        <v>12</v>
      </c>
      <c r="I3" s="4" t="s">
        <v>13</v>
      </c>
      <c r="J3" s="4" t="s">
        <v>14</v>
      </c>
      <c r="K3" s="4" t="s">
        <v>15</v>
      </c>
      <c r="L3" s="4" t="s">
        <v>16</v>
      </c>
      <c r="M3" s="4" t="s">
        <v>17</v>
      </c>
      <c r="N3" s="4" t="s">
        <v>18</v>
      </c>
      <c r="O3" s="4" t="s">
        <v>19</v>
      </c>
      <c r="P3" s="4" t="s">
        <v>78</v>
      </c>
      <c r="Q3" s="4" t="s">
        <v>20</v>
      </c>
      <c r="R3" s="4" t="s">
        <v>77</v>
      </c>
      <c r="S3" s="4" t="s">
        <v>79</v>
      </c>
      <c r="T3" s="4" t="s">
        <v>21</v>
      </c>
      <c r="U3" s="4" t="s">
        <v>9</v>
      </c>
      <c r="V3" s="4" t="s">
        <v>23</v>
      </c>
      <c r="W3" s="4" t="s">
        <v>24</v>
      </c>
      <c r="X3" s="4" t="s">
        <v>22</v>
      </c>
      <c r="Y3" s="4" t="s">
        <v>25</v>
      </c>
      <c r="Z3" s="4" t="s">
        <v>26</v>
      </c>
      <c r="AA3" s="4" t="s">
        <v>27</v>
      </c>
      <c r="AB3" s="4" t="s">
        <v>28</v>
      </c>
      <c r="AC3" s="30" t="s">
        <v>80</v>
      </c>
      <c r="AD3" s="4" t="s">
        <v>29</v>
      </c>
      <c r="AE3" s="4"/>
      <c r="AF3" s="4"/>
      <c r="AG3" s="4"/>
      <c r="AH3" s="4"/>
      <c r="AI3" s="4"/>
    </row>
    <row r="4" spans="3:35" x14ac:dyDescent="0.25">
      <c r="C4" s="5">
        <f>'[1]4_PtripLengthByPurpose'!A2</f>
        <v>259</v>
      </c>
      <c r="D4" s="5">
        <f>'[1]4_PtripLengthByPurpose'!B2</f>
        <v>1</v>
      </c>
      <c r="E4" s="4" t="str">
        <f>'[1]4_PtripLengthByPurpose'!C2</f>
        <v xml:space="preserve">Individual          </v>
      </c>
      <c r="F4" s="32">
        <f>'[1]4_PtripLengthByPurpose'!D2</f>
        <v>9.4928310000000007</v>
      </c>
      <c r="G4" s="32">
        <f>'[1]4_PtripLengthByPurpose'!E2</f>
        <v>8.1009429999999991</v>
      </c>
      <c r="H4" s="32">
        <f>'[1]4_PtripLengthByPurpose'!F2</f>
        <v>4.8159700000000001</v>
      </c>
      <c r="I4" s="32">
        <f>'[1]4_PtripLengthByPurpose'!G2</f>
        <v>5.2200629999999997</v>
      </c>
      <c r="J4" s="32">
        <f>'[1]4_PtripLengthByPurpose'!H2</f>
        <v>4.5492480000000004</v>
      </c>
      <c r="K4" s="32">
        <f>'[1]4_PtripLengthByPurpose'!I2</f>
        <v>5.1666270000000001</v>
      </c>
      <c r="L4" s="32">
        <f>'[1]4_PtripLengthByPurpose'!J2</f>
        <v>5.6274879999999996</v>
      </c>
      <c r="M4" s="32">
        <f>'[1]4_PtripLengthByPurpose'!K2</f>
        <v>6.3271059999999997</v>
      </c>
      <c r="N4" s="32">
        <f>'[1]4_PtripLengthByPurpose'!L2</f>
        <v>5.7568669999999997</v>
      </c>
      <c r="O4" s="32">
        <f>'[1]4_PtripLengthByPurpose'!M2</f>
        <v>3.697476</v>
      </c>
      <c r="P4" s="32">
        <f>'[1]4_PtripLengthByPurpose'!N2</f>
        <v>6.9893710000000002</v>
      </c>
      <c r="Q4" s="32">
        <f>'[1]4_PtripLengthByPurpose'!O2</f>
        <v>6.489973</v>
      </c>
      <c r="R4" s="6">
        <f>'[1]4_PtripLengthByPurpose'!P2</f>
        <v>0</v>
      </c>
      <c r="S4" s="6">
        <f>'[1]4_PtripLengthByPurpose'!Q2</f>
        <v>0</v>
      </c>
      <c r="T4" s="6">
        <f>'[1]4_PtripLengthByPurpose'!R2</f>
        <v>0</v>
      </c>
      <c r="U4" s="6">
        <f>'[1]4_PtripLengthByPurpose'!S2</f>
        <v>0</v>
      </c>
      <c r="V4" s="6">
        <f>'[1]4_PtripLengthByPurpose'!T2</f>
        <v>0</v>
      </c>
      <c r="W4" s="6">
        <f>'[1]4_PtripLengthByPurpose'!U2</f>
        <v>0</v>
      </c>
      <c r="X4" s="6">
        <f>'[1]4_PtripLengthByPurpose'!V2</f>
        <v>0</v>
      </c>
      <c r="Y4" s="6">
        <f>'[1]4_PtripLengthByPurpose'!W2</f>
        <v>0</v>
      </c>
      <c r="Z4" s="6">
        <f>'[1]4_PtripLengthByPurpose'!X2</f>
        <v>0</v>
      </c>
      <c r="AA4" s="6">
        <f>'[1]4_PtripLengthByPurpose'!Y2</f>
        <v>0</v>
      </c>
      <c r="AB4" s="4">
        <f>'[1]4_PtripLengthByPurpose'!Z2</f>
        <v>0</v>
      </c>
      <c r="AC4" s="30">
        <f>'[1]4_PtripLengthByPurpose'!AA2</f>
        <v>0</v>
      </c>
      <c r="AD4" s="4">
        <f>'[1]4_PtripLengthByPurpose'!AB2</f>
        <v>6.1039199999999996</v>
      </c>
      <c r="AE4" s="4"/>
      <c r="AF4" s="4"/>
      <c r="AG4" s="4"/>
      <c r="AH4" s="4"/>
      <c r="AI4" s="4"/>
    </row>
    <row r="5" spans="3:35" x14ac:dyDescent="0.25">
      <c r="C5" s="5">
        <f>'[1]4_PtripLengthByPurpose'!A3</f>
        <v>259</v>
      </c>
      <c r="D5" s="5">
        <f>'[1]4_PtripLengthByPurpose'!B3</f>
        <v>2</v>
      </c>
      <c r="E5" s="4" t="str">
        <f>'[1]4_PtripLengthByPurpose'!C3</f>
        <v xml:space="preserve">Joint               </v>
      </c>
      <c r="F5" s="31">
        <f>'[1]4_PtripLengthByPurpose'!D3</f>
        <v>0</v>
      </c>
      <c r="G5" s="6">
        <f>'[1]4_PtripLengthByPurpose'!E3</f>
        <v>0</v>
      </c>
      <c r="H5" s="6">
        <f>'[1]4_PtripLengthByPurpose'!F3</f>
        <v>0</v>
      </c>
      <c r="I5" s="32">
        <f>'[1]4_PtripLengthByPurpose'!G3</f>
        <v>4.8287500000000003</v>
      </c>
      <c r="J5" s="32">
        <f>'[1]4_PtripLengthByPurpose'!H3</f>
        <v>4.6018239999999997</v>
      </c>
      <c r="K5" s="32">
        <f>'[1]4_PtripLengthByPurpose'!I3</f>
        <v>6.1238070000000002</v>
      </c>
      <c r="L5" s="32">
        <f>'[1]4_PtripLengthByPurpose'!J3</f>
        <v>5.3073480000000002</v>
      </c>
      <c r="M5" s="32">
        <f>'[1]4_PtripLengthByPurpose'!K3</f>
        <v>6.407349</v>
      </c>
      <c r="N5" s="32">
        <f>'[1]4_PtripLengthByPurpose'!L3</f>
        <v>5.3705689999999997</v>
      </c>
      <c r="O5" s="6">
        <f>'[1]4_PtripLengthByPurpose'!M3</f>
        <v>0</v>
      </c>
      <c r="P5" s="6">
        <f>'[1]4_PtripLengthByPurpose'!N3</f>
        <v>0</v>
      </c>
      <c r="Q5" s="32">
        <f>'[1]4_PtripLengthByPurpose'!O3</f>
        <v>5.9558850000000003</v>
      </c>
      <c r="R5" s="6">
        <f>'[1]4_PtripLengthByPurpose'!P3</f>
        <v>0</v>
      </c>
      <c r="S5" s="6">
        <f>'[1]4_PtripLengthByPurpose'!Q3</f>
        <v>0</v>
      </c>
      <c r="T5" s="6">
        <f>'[1]4_PtripLengthByPurpose'!R3</f>
        <v>0</v>
      </c>
      <c r="U5" s="6">
        <f>'[1]4_PtripLengthByPurpose'!S3</f>
        <v>0</v>
      </c>
      <c r="V5" s="6">
        <f>'[1]4_PtripLengthByPurpose'!T3</f>
        <v>0</v>
      </c>
      <c r="W5" s="6">
        <f>'[1]4_PtripLengthByPurpose'!U3</f>
        <v>0</v>
      </c>
      <c r="X5" s="6">
        <f>'[1]4_PtripLengthByPurpose'!V3</f>
        <v>0</v>
      </c>
      <c r="Y5" s="6">
        <f>'[1]4_PtripLengthByPurpose'!W3</f>
        <v>0</v>
      </c>
      <c r="Z5" s="6">
        <f>'[1]4_PtripLengthByPurpose'!X3</f>
        <v>0</v>
      </c>
      <c r="AA5" s="6">
        <f>'[1]4_PtripLengthByPurpose'!Y3</f>
        <v>0</v>
      </c>
      <c r="AB5" s="4">
        <f>'[1]4_PtripLengthByPurpose'!Z3</f>
        <v>0</v>
      </c>
      <c r="AC5" s="30">
        <f>'[1]4_PtripLengthByPurpose'!AA3</f>
        <v>0</v>
      </c>
      <c r="AD5" s="4">
        <f>'[1]4_PtripLengthByPurpose'!AB3</f>
        <v>5.5511429999999997</v>
      </c>
      <c r="AE5" s="4"/>
      <c r="AF5" s="4"/>
      <c r="AG5" s="4"/>
      <c r="AH5" s="4"/>
      <c r="AI5" s="4"/>
    </row>
    <row r="6" spans="3:35" x14ac:dyDescent="0.25">
      <c r="C6" s="5">
        <f>'[1]4_PtripLengthByPurpose'!A4</f>
        <v>259</v>
      </c>
      <c r="D6" s="5">
        <f>'[1]4_PtripLengthByPurpose'!B4</f>
        <v>3</v>
      </c>
      <c r="E6" s="4" t="str">
        <f>'[1]4_PtripLengthByPurpose'!C4</f>
        <v xml:space="preserve">Visitor             </v>
      </c>
      <c r="F6" s="31">
        <f>'[1]4_PtripLengthByPurpose'!D4</f>
        <v>1.4403999999999999</v>
      </c>
      <c r="G6" s="6">
        <f>'[1]4_PtripLengthByPurpose'!E4</f>
        <v>0</v>
      </c>
      <c r="H6" s="6">
        <f>'[1]4_PtripLengthByPurpose'!F4</f>
        <v>0</v>
      </c>
      <c r="I6" s="6">
        <f>'[1]4_PtripLengthByPurpose'!G4</f>
        <v>0</v>
      </c>
      <c r="J6" s="6">
        <f>'[1]4_PtripLengthByPurpose'!H4</f>
        <v>0</v>
      </c>
      <c r="K6" s="6">
        <f>'[1]4_PtripLengthByPurpose'!I4</f>
        <v>0</v>
      </c>
      <c r="L6" s="6">
        <f>'[1]4_PtripLengthByPurpose'!J4</f>
        <v>0</v>
      </c>
      <c r="M6" s="6">
        <f>'[1]4_PtripLengthByPurpose'!K4</f>
        <v>0</v>
      </c>
      <c r="N6" s="6">
        <f>'[1]4_PtripLengthByPurpose'!L4</f>
        <v>0</v>
      </c>
      <c r="O6" s="6">
        <f>'[1]4_PtripLengthByPurpose'!M4</f>
        <v>0</v>
      </c>
      <c r="P6" s="6">
        <f>'[1]4_PtripLengthByPurpose'!N4</f>
        <v>0</v>
      </c>
      <c r="Q6" s="6">
        <f>'[1]4_PtripLengthByPurpose'!O4</f>
        <v>0</v>
      </c>
      <c r="R6" s="6">
        <f>'[1]4_PtripLengthByPurpose'!P4</f>
        <v>0</v>
      </c>
      <c r="S6" s="7">
        <f>'[1]4_PtripLengthByPurpose'!Q4</f>
        <v>8.491384</v>
      </c>
      <c r="T6" s="7">
        <f>'[1]4_PtripLengthByPurpose'!R4</f>
        <v>3.836722</v>
      </c>
      <c r="U6" s="6">
        <f>'[1]4_PtripLengthByPurpose'!S4</f>
        <v>0</v>
      </c>
      <c r="V6" s="6">
        <f>'[1]4_PtripLengthByPurpose'!T4</f>
        <v>0</v>
      </c>
      <c r="W6" s="6">
        <f>'[1]4_PtripLengthByPurpose'!U4</f>
        <v>0</v>
      </c>
      <c r="X6" s="6">
        <f>'[1]4_PtripLengthByPurpose'!V4</f>
        <v>0</v>
      </c>
      <c r="Y6" s="6">
        <f>'[1]4_PtripLengthByPurpose'!W4</f>
        <v>0</v>
      </c>
      <c r="Z6" s="6">
        <f>'[1]4_PtripLengthByPurpose'!X4</f>
        <v>0</v>
      </c>
      <c r="AA6" s="6">
        <f>'[1]4_PtripLengthByPurpose'!Y4</f>
        <v>0</v>
      </c>
      <c r="AB6" s="4">
        <f>'[1]4_PtripLengthByPurpose'!Z4</f>
        <v>0</v>
      </c>
      <c r="AC6" s="30">
        <f>'[1]4_PtripLengthByPurpose'!AA4</f>
        <v>8.5982979999999998</v>
      </c>
      <c r="AD6" s="4">
        <f>'[1]4_PtripLengthByPurpose'!AB4</f>
        <v>7.5416509999999999</v>
      </c>
      <c r="AE6" s="4"/>
      <c r="AF6" s="4"/>
      <c r="AG6" s="4"/>
      <c r="AH6" s="4"/>
      <c r="AI6" s="4"/>
    </row>
    <row r="7" spans="3:35" x14ac:dyDescent="0.25">
      <c r="C7" s="5">
        <f>'[1]4_PtripLengthByPurpose'!A5</f>
        <v>259</v>
      </c>
      <c r="D7" s="5">
        <f>'[1]4_PtripLengthByPurpose'!B5</f>
        <v>4</v>
      </c>
      <c r="E7" s="4" t="str">
        <f>'[1]4_PtripLengthByPurpose'!C5</f>
        <v xml:space="preserve">Internal-External   </v>
      </c>
      <c r="F7" s="31">
        <f>'[1]4_PtripLengthByPurpose'!D5</f>
        <v>0</v>
      </c>
      <c r="G7" s="6">
        <f>'[1]4_PtripLengthByPurpose'!E5</f>
        <v>0</v>
      </c>
      <c r="H7" s="6">
        <f>'[1]4_PtripLengthByPurpose'!F5</f>
        <v>0</v>
      </c>
      <c r="I7" s="6">
        <f>'[1]4_PtripLengthByPurpose'!G5</f>
        <v>0</v>
      </c>
      <c r="J7" s="6">
        <f>'[1]4_PtripLengthByPurpose'!H5</f>
        <v>0</v>
      </c>
      <c r="K7" s="6">
        <f>'[1]4_PtripLengthByPurpose'!I5</f>
        <v>0</v>
      </c>
      <c r="L7" s="6">
        <f>'[1]4_PtripLengthByPurpose'!J5</f>
        <v>0</v>
      </c>
      <c r="M7" s="6">
        <f>'[1]4_PtripLengthByPurpose'!K5</f>
        <v>0</v>
      </c>
      <c r="N7" s="6">
        <f>'[1]4_PtripLengthByPurpose'!L5</f>
        <v>0</v>
      </c>
      <c r="O7" s="6">
        <f>'[1]4_PtripLengthByPurpose'!M5</f>
        <v>0</v>
      </c>
      <c r="P7" s="6">
        <f>'[1]4_PtripLengthByPurpose'!N5</f>
        <v>0</v>
      </c>
      <c r="Q7" s="6">
        <f>'[1]4_PtripLengthByPurpose'!O5</f>
        <v>0</v>
      </c>
      <c r="R7" s="32">
        <f>'[1]4_PtripLengthByPurpose'!P5</f>
        <v>35.169674000000001</v>
      </c>
      <c r="S7" s="6">
        <f>'[1]4_PtripLengthByPurpose'!Q5</f>
        <v>0</v>
      </c>
      <c r="T7" s="6">
        <f>'[1]4_PtripLengthByPurpose'!R5</f>
        <v>0</v>
      </c>
      <c r="U7" s="6">
        <f>'[1]4_PtripLengthByPurpose'!S5</f>
        <v>0</v>
      </c>
      <c r="V7" s="6">
        <f>'[1]4_PtripLengthByPurpose'!T5</f>
        <v>0</v>
      </c>
      <c r="W7" s="6">
        <f>'[1]4_PtripLengthByPurpose'!U5</f>
        <v>0</v>
      </c>
      <c r="X7" s="6">
        <f>'[1]4_PtripLengthByPurpose'!V5</f>
        <v>0</v>
      </c>
      <c r="Y7" s="6">
        <f>'[1]4_PtripLengthByPurpose'!W5</f>
        <v>0</v>
      </c>
      <c r="Z7" s="6">
        <f>'[1]4_PtripLengthByPurpose'!X5</f>
        <v>0</v>
      </c>
      <c r="AA7" s="6">
        <f>'[1]4_PtripLengthByPurpose'!Y5</f>
        <v>0</v>
      </c>
      <c r="AB7" s="4">
        <f>'[1]4_PtripLengthByPurpose'!Z5</f>
        <v>0</v>
      </c>
      <c r="AC7" s="30">
        <f>'[1]4_PtripLengthByPurpose'!AA5</f>
        <v>0</v>
      </c>
      <c r="AD7" s="4">
        <f>'[1]4_PtripLengthByPurpose'!AB5</f>
        <v>35.169674000000001</v>
      </c>
      <c r="AE7" s="4"/>
      <c r="AF7" s="4"/>
      <c r="AG7" s="4"/>
      <c r="AH7" s="4"/>
      <c r="AI7" s="4"/>
    </row>
    <row r="8" spans="3:35" x14ac:dyDescent="0.25">
      <c r="C8" s="5">
        <f>'[1]4_PtripLengthByPurpose'!A6</f>
        <v>259</v>
      </c>
      <c r="D8" s="5">
        <f>'[1]4_PtripLengthByPurpose'!B6</f>
        <v>5</v>
      </c>
      <c r="E8" s="4" t="str">
        <f>'[1]4_PtripLengthByPurpose'!C6</f>
        <v xml:space="preserve">Cross Border        </v>
      </c>
      <c r="F8" s="31">
        <f>'[1]4_PtripLengthByPurpose'!D6</f>
        <v>8.290597</v>
      </c>
      <c r="G8" s="6">
        <f>'[1]4_PtripLengthByPurpose'!E6</f>
        <v>0</v>
      </c>
      <c r="H8" s="7">
        <f>'[1]4_PtripLengthByPurpose'!F6</f>
        <v>7.7984309999999999</v>
      </c>
      <c r="I8" s="6">
        <f>'[1]4_PtripLengthByPurpose'!G6</f>
        <v>0</v>
      </c>
      <c r="J8" s="7">
        <f>'[1]4_PtripLengthByPurpose'!H6</f>
        <v>6.6418910000000002</v>
      </c>
      <c r="K8" s="6">
        <f>'[1]4_PtripLengthByPurpose'!I6</f>
        <v>0</v>
      </c>
      <c r="L8" s="6">
        <f>'[1]4_PtripLengthByPurpose'!J6</f>
        <v>0</v>
      </c>
      <c r="M8" s="6">
        <f>'[1]4_PtripLengthByPurpose'!K6</f>
        <v>0</v>
      </c>
      <c r="N8" s="6">
        <f>'[1]4_PtripLengthByPurpose'!L6</f>
        <v>0</v>
      </c>
      <c r="O8" s="6">
        <f>'[1]4_PtripLengthByPurpose'!M6</f>
        <v>0</v>
      </c>
      <c r="P8" s="6">
        <f>'[1]4_PtripLengthByPurpose'!N6</f>
        <v>0</v>
      </c>
      <c r="Q8" s="6">
        <f>'[1]4_PtripLengthByPurpose'!O6</f>
        <v>0</v>
      </c>
      <c r="R8" s="6">
        <f>'[1]4_PtripLengthByPurpose'!P6</f>
        <v>0</v>
      </c>
      <c r="S8" s="6">
        <f>'[1]4_PtripLengthByPurpose'!Q6</f>
        <v>0</v>
      </c>
      <c r="T8" s="6">
        <f>'[1]4_PtripLengthByPurpose'!R6</f>
        <v>0</v>
      </c>
      <c r="U8" s="7">
        <f>'[1]4_PtripLengthByPurpose'!S6</f>
        <v>6.7499229999999999</v>
      </c>
      <c r="V8" s="7">
        <f>'[1]4_PtripLengthByPurpose'!T6</f>
        <v>6.7936839999999998</v>
      </c>
      <c r="W8" s="7">
        <f>'[1]4_PtripLengthByPurpose'!U6</f>
        <v>7.1389310000000004</v>
      </c>
      <c r="X8" s="6">
        <f>'[1]4_PtripLengthByPurpose'!V6</f>
        <v>0</v>
      </c>
      <c r="Y8" s="6">
        <f>'[1]4_PtripLengthByPurpose'!W6</f>
        <v>0</v>
      </c>
      <c r="Z8" s="6">
        <f>'[1]4_PtripLengthByPurpose'!X6</f>
        <v>0</v>
      </c>
      <c r="AA8" s="6">
        <f>'[1]4_PtripLengthByPurpose'!Y6</f>
        <v>0</v>
      </c>
      <c r="AB8" s="4">
        <f>'[1]4_PtripLengthByPurpose'!Z6</f>
        <v>0</v>
      </c>
      <c r="AC8" s="30">
        <f>'[1]4_PtripLengthByPurpose'!AA6</f>
        <v>9.238175</v>
      </c>
      <c r="AD8" s="4">
        <f>'[1]4_PtripLengthByPurpose'!AB6</f>
        <v>7.5137020000000003</v>
      </c>
      <c r="AE8" s="4"/>
      <c r="AF8" s="4"/>
      <c r="AG8" s="4"/>
      <c r="AH8" s="4"/>
      <c r="AI8" s="4"/>
    </row>
    <row r="9" spans="3:35" x14ac:dyDescent="0.25">
      <c r="C9" s="5">
        <f>'[1]4_PtripLengthByPurpose'!A7</f>
        <v>259</v>
      </c>
      <c r="D9" s="5">
        <f>'[1]4_PtripLengthByPurpose'!B7</f>
        <v>6</v>
      </c>
      <c r="E9" s="4" t="str">
        <f>'[1]4_PtripLengthByPurpose'!C7</f>
        <v xml:space="preserve">Airport - CBX       </v>
      </c>
      <c r="F9" s="31">
        <f>'[1]4_PtripLengthByPurpose'!D7</f>
        <v>0</v>
      </c>
      <c r="G9" s="6">
        <f>'[1]4_PtripLengthByPurpose'!E7</f>
        <v>0</v>
      </c>
      <c r="H9" s="6">
        <f>'[1]4_PtripLengthByPurpose'!F7</f>
        <v>0</v>
      </c>
      <c r="I9" s="6">
        <f>'[1]4_PtripLengthByPurpose'!G7</f>
        <v>0</v>
      </c>
      <c r="J9" s="6">
        <f>'[1]4_PtripLengthByPurpose'!H7</f>
        <v>0</v>
      </c>
      <c r="K9" s="6">
        <f>'[1]4_PtripLengthByPurpose'!I7</f>
        <v>0</v>
      </c>
      <c r="L9" s="6">
        <f>'[1]4_PtripLengthByPurpose'!J7</f>
        <v>0</v>
      </c>
      <c r="M9" s="6">
        <f>'[1]4_PtripLengthByPurpose'!K7</f>
        <v>0</v>
      </c>
      <c r="N9" s="6">
        <f>'[1]4_PtripLengthByPurpose'!L7</f>
        <v>0</v>
      </c>
      <c r="O9" s="6">
        <f>'[1]4_PtripLengthByPurpose'!M7</f>
        <v>0</v>
      </c>
      <c r="P9" s="6">
        <f>'[1]4_PtripLengthByPurpose'!N7</f>
        <v>0</v>
      </c>
      <c r="Q9" s="6">
        <f>'[1]4_PtripLengthByPurpose'!O7</f>
        <v>0</v>
      </c>
      <c r="R9" s="6">
        <f>'[1]4_PtripLengthByPurpose'!P7</f>
        <v>0</v>
      </c>
      <c r="S9" s="6">
        <f>'[1]4_PtripLengthByPurpose'!Q7</f>
        <v>0</v>
      </c>
      <c r="T9" s="6">
        <f>'[1]4_PtripLengthByPurpose'!R7</f>
        <v>0</v>
      </c>
      <c r="U9" s="6">
        <f>'[1]4_PtripLengthByPurpose'!S7</f>
        <v>0</v>
      </c>
      <c r="V9" s="6">
        <f>'[1]4_PtripLengthByPurpose'!T7</f>
        <v>0</v>
      </c>
      <c r="W9" s="6">
        <f>'[1]4_PtripLengthByPurpose'!U7</f>
        <v>0</v>
      </c>
      <c r="X9" s="7">
        <f>'[1]4_PtripLengthByPurpose'!V7</f>
        <v>77.748839000000004</v>
      </c>
      <c r="Y9" s="7">
        <f>'[1]4_PtripLengthByPurpose'!W7</f>
        <v>20.909227999999999</v>
      </c>
      <c r="Z9" s="7">
        <f>'[1]4_PtripLengthByPurpose'!X7</f>
        <v>28.920045000000002</v>
      </c>
      <c r="AA9" s="7">
        <f>'[1]4_PtripLengthByPurpose'!Y7</f>
        <v>15.472310999999999</v>
      </c>
      <c r="AB9" s="27">
        <f>'[1]4_PtripLengthByPurpose'!Z7</f>
        <v>26.384074999999999</v>
      </c>
      <c r="AC9" s="30">
        <f>'[1]4_PtripLengthByPurpose'!AA7</f>
        <v>0</v>
      </c>
      <c r="AD9" s="4">
        <f>'[1]4_PtripLengthByPurpose'!AB7</f>
        <v>60.821457000000002</v>
      </c>
      <c r="AE9" s="4"/>
      <c r="AF9" s="4"/>
      <c r="AG9" s="4"/>
      <c r="AH9" s="4"/>
      <c r="AI9" s="4"/>
    </row>
    <row r="10" spans="3:35" x14ac:dyDescent="0.25">
      <c r="C10" s="5">
        <f>'[1]4_PtripLengthByPurpose'!A8</f>
        <v>259</v>
      </c>
      <c r="D10" s="5">
        <f>'[1]4_PtripLengthByPurpose'!B8</f>
        <v>7</v>
      </c>
      <c r="E10" s="4" t="str">
        <f>'[1]4_PtripLengthByPurpose'!C8</f>
        <v xml:space="preserve">Airport - SAN       </v>
      </c>
      <c r="F10" s="31">
        <f>'[1]4_PtripLengthByPurpose'!D8</f>
        <v>0</v>
      </c>
      <c r="G10" s="6">
        <f>'[1]4_PtripLengthByPurpose'!E8</f>
        <v>0</v>
      </c>
      <c r="H10" s="6">
        <f>'[1]4_PtripLengthByPurpose'!F8</f>
        <v>0</v>
      </c>
      <c r="I10" s="6">
        <f>'[1]4_PtripLengthByPurpose'!G8</f>
        <v>0</v>
      </c>
      <c r="J10" s="6">
        <f>'[1]4_PtripLengthByPurpose'!H8</f>
        <v>0</v>
      </c>
      <c r="K10" s="6">
        <f>'[1]4_PtripLengthByPurpose'!I8</f>
        <v>0</v>
      </c>
      <c r="L10" s="6">
        <f>'[1]4_PtripLengthByPurpose'!J8</f>
        <v>0</v>
      </c>
      <c r="M10" s="6">
        <f>'[1]4_PtripLengthByPurpose'!K8</f>
        <v>0</v>
      </c>
      <c r="N10" s="6">
        <f>'[1]4_PtripLengthByPurpose'!L8</f>
        <v>0</v>
      </c>
      <c r="O10" s="6">
        <f>'[1]4_PtripLengthByPurpose'!M8</f>
        <v>0</v>
      </c>
      <c r="P10" s="6">
        <f>'[1]4_PtripLengthByPurpose'!N8</f>
        <v>0</v>
      </c>
      <c r="Q10" s="6">
        <f>'[1]4_PtripLengthByPurpose'!O8</f>
        <v>0</v>
      </c>
      <c r="R10" s="6">
        <f>'[1]4_PtripLengthByPurpose'!P8</f>
        <v>0</v>
      </c>
      <c r="S10" s="6">
        <f>'[1]4_PtripLengthByPurpose'!Q8</f>
        <v>0</v>
      </c>
      <c r="T10" s="6">
        <f>'[1]4_PtripLengthByPurpose'!R8</f>
        <v>0</v>
      </c>
      <c r="U10" s="6">
        <f>'[1]4_PtripLengthByPurpose'!S8</f>
        <v>0</v>
      </c>
      <c r="V10" s="6">
        <f>'[1]4_PtripLengthByPurpose'!T8</f>
        <v>0</v>
      </c>
      <c r="W10" s="6">
        <f>'[1]4_PtripLengthByPurpose'!U8</f>
        <v>0</v>
      </c>
      <c r="X10" s="7">
        <f>'[1]4_PtripLengthByPurpose'!V8</f>
        <v>61.967275000000001</v>
      </c>
      <c r="Y10" s="7">
        <f>'[1]4_PtripLengthByPurpose'!W8</f>
        <v>18.715534999999999</v>
      </c>
      <c r="Z10" s="7">
        <f>'[1]4_PtripLengthByPurpose'!X8</f>
        <v>18.659548000000001</v>
      </c>
      <c r="AA10" s="7">
        <f>'[1]4_PtripLengthByPurpose'!Y8</f>
        <v>13.576503000000001</v>
      </c>
      <c r="AB10" s="27">
        <f>'[1]4_PtripLengthByPurpose'!Z8</f>
        <v>14.701688000000001</v>
      </c>
      <c r="AC10" s="30">
        <f>'[1]4_PtripLengthByPurpose'!AA8</f>
        <v>0</v>
      </c>
      <c r="AD10" s="4">
        <f>'[1]4_PtripLengthByPurpose'!AB8</f>
        <v>19.36863</v>
      </c>
      <c r="AE10" s="4"/>
      <c r="AF10" s="4"/>
      <c r="AG10" s="4"/>
      <c r="AH10" s="4"/>
      <c r="AI10" s="4"/>
    </row>
    <row r="11" spans="3:35" x14ac:dyDescent="0.25">
      <c r="C11" s="5">
        <f>'[1]4_PtripLengthByPurpose'!A9</f>
        <v>259</v>
      </c>
      <c r="D11" s="5">
        <f>'[1]4_PtripLengthByPurpose'!B9</f>
        <v>99</v>
      </c>
      <c r="E11" s="4" t="str">
        <f>'[1]4_PtripLengthByPurpose'!C9</f>
        <v>ResidentialModels</v>
      </c>
      <c r="F11" s="14">
        <f>'[1]4_PtripLengthByPurpose'!D9</f>
        <v>9.4928310000000007</v>
      </c>
      <c r="G11" s="14">
        <f>'[1]4_PtripLengthByPurpose'!E9</f>
        <v>8.1009429999999991</v>
      </c>
      <c r="H11" s="14">
        <f>'[1]4_PtripLengthByPurpose'!F9</f>
        <v>4.8159700000000001</v>
      </c>
      <c r="I11" s="14">
        <f>'[1]4_PtripLengthByPurpose'!G9</f>
        <v>5.2079079999999998</v>
      </c>
      <c r="J11" s="14">
        <f>'[1]4_PtripLengthByPurpose'!H9</f>
        <v>4.5582739999999999</v>
      </c>
      <c r="K11" s="14">
        <f>'[1]4_PtripLengthByPurpose'!I9</f>
        <v>5.3479260000000002</v>
      </c>
      <c r="L11" s="14">
        <f>'[1]4_PtripLengthByPurpose'!J9</f>
        <v>5.5856839999999996</v>
      </c>
      <c r="M11" s="14">
        <f>'[1]4_PtripLengthByPurpose'!K9</f>
        <v>6.3396330000000001</v>
      </c>
      <c r="N11" s="14">
        <f>'[1]4_PtripLengthByPurpose'!L9</f>
        <v>5.6845679999999996</v>
      </c>
      <c r="O11" s="14">
        <f>'[1]4_PtripLengthByPurpose'!M9</f>
        <v>3.697476</v>
      </c>
      <c r="P11" s="14">
        <f>'[1]4_PtripLengthByPurpose'!N9</f>
        <v>6.9893710000000002</v>
      </c>
      <c r="Q11" s="14">
        <f>'[1]4_PtripLengthByPurpose'!O9</f>
        <v>6.4417309999999999</v>
      </c>
      <c r="R11" s="14">
        <f>'[1]4_PtripLengthByPurpose'!P9</f>
        <v>35.169674000000001</v>
      </c>
      <c r="S11" s="6">
        <f>'[1]4_PtripLengthByPurpose'!Q9</f>
        <v>0</v>
      </c>
      <c r="T11" s="6">
        <f>'[1]4_PtripLengthByPurpose'!R9</f>
        <v>0</v>
      </c>
      <c r="U11" s="6">
        <f>'[1]4_PtripLengthByPurpose'!S9</f>
        <v>0</v>
      </c>
      <c r="V11" s="6">
        <f>'[1]4_PtripLengthByPurpose'!T9</f>
        <v>0</v>
      </c>
      <c r="W11" s="6">
        <f>'[1]4_PtripLengthByPurpose'!U9</f>
        <v>0</v>
      </c>
      <c r="X11" s="6">
        <f>'[1]4_PtripLengthByPurpose'!V9</f>
        <v>0</v>
      </c>
      <c r="Y11" s="6">
        <f>'[1]4_PtripLengthByPurpose'!W9</f>
        <v>0</v>
      </c>
      <c r="Z11" s="6">
        <f>'[1]4_PtripLengthByPurpose'!X9</f>
        <v>0</v>
      </c>
      <c r="AA11" s="6">
        <f>'[1]4_PtripLengthByPurpose'!Y9</f>
        <v>0</v>
      </c>
      <c r="AB11" s="4">
        <f>'[1]4_PtripLengthByPurpose'!Z9</f>
        <v>0</v>
      </c>
      <c r="AC11" s="30">
        <f>'[1]4_PtripLengthByPurpose'!AA9</f>
        <v>0</v>
      </c>
      <c r="AD11" s="4">
        <f>'[1]4_PtripLengthByPurpose'!AB9</f>
        <v>6.355575</v>
      </c>
      <c r="AE11" s="4"/>
      <c r="AF11" s="4"/>
      <c r="AG11" s="4"/>
      <c r="AH11" s="4"/>
      <c r="AI11" s="4"/>
    </row>
    <row r="12" spans="3:35" x14ac:dyDescent="0.25">
      <c r="C12" s="5">
        <f>'[1]4_PtripLengthByPurpose'!A10</f>
        <v>259</v>
      </c>
      <c r="D12" s="5">
        <f>'[1]4_PtripLengthByPurpose'!B10</f>
        <v>100</v>
      </c>
      <c r="E12" s="4" t="str">
        <f>'[1]4_PtripLengthByPurpose'!C10</f>
        <v>AllModels</v>
      </c>
      <c r="F12" s="31">
        <f>'[1]4_PtripLengthByPurpose'!D10</f>
        <v>9.282705</v>
      </c>
      <c r="G12" s="6">
        <f>'[1]4_PtripLengthByPurpose'!E10</f>
        <v>8.1009429999999991</v>
      </c>
      <c r="H12" s="6">
        <f>'[1]4_PtripLengthByPurpose'!F10</f>
        <v>4.8373020000000002</v>
      </c>
      <c r="I12" s="6">
        <f>'[1]4_PtripLengthByPurpose'!G10</f>
        <v>5.2079079999999998</v>
      </c>
      <c r="J12" s="6">
        <f>'[1]4_PtripLengthByPurpose'!H10</f>
        <v>4.8101599999999998</v>
      </c>
      <c r="K12" s="6">
        <f>'[1]4_PtripLengthByPurpose'!I10</f>
        <v>5.3479260000000002</v>
      </c>
      <c r="L12" s="6">
        <f>'[1]4_PtripLengthByPurpose'!J10</f>
        <v>5.5856839999999996</v>
      </c>
      <c r="M12" s="6">
        <f>'[1]4_PtripLengthByPurpose'!K10</f>
        <v>6.3396330000000001</v>
      </c>
      <c r="N12" s="6">
        <f>'[1]4_PtripLengthByPurpose'!L10</f>
        <v>5.6845679999999996</v>
      </c>
      <c r="O12" s="6">
        <f>'[1]4_PtripLengthByPurpose'!M10</f>
        <v>3.697476</v>
      </c>
      <c r="P12" s="6">
        <f>'[1]4_PtripLengthByPurpose'!N10</f>
        <v>6.9893710000000002</v>
      </c>
      <c r="Q12" s="6">
        <f>'[1]4_PtripLengthByPurpose'!O10</f>
        <v>6.4417309999999999</v>
      </c>
      <c r="R12" s="6">
        <f>'[1]4_PtripLengthByPurpose'!P10</f>
        <v>35.169674000000001</v>
      </c>
      <c r="S12" s="6">
        <f>'[1]4_PtripLengthByPurpose'!Q10</f>
        <v>8.491384</v>
      </c>
      <c r="T12" s="6">
        <f>'[1]4_PtripLengthByPurpose'!R10</f>
        <v>3.836722</v>
      </c>
      <c r="U12" s="6">
        <f>'[1]4_PtripLengthByPurpose'!S10</f>
        <v>6.7499229999999999</v>
      </c>
      <c r="V12" s="6">
        <f>'[1]4_PtripLengthByPurpose'!T10</f>
        <v>6.7936839999999998</v>
      </c>
      <c r="W12" s="6">
        <f>'[1]4_PtripLengthByPurpose'!U10</f>
        <v>7.1389310000000004</v>
      </c>
      <c r="X12" s="6">
        <f>'[1]4_PtripLengthByPurpose'!V10</f>
        <v>69.829294000000004</v>
      </c>
      <c r="Y12" s="6">
        <f>'[1]4_PtripLengthByPurpose'!W10</f>
        <v>18.776163</v>
      </c>
      <c r="Z12" s="6">
        <f>'[1]4_PtripLengthByPurpose'!X10</f>
        <v>19.321304000000001</v>
      </c>
      <c r="AA12" s="6">
        <f>'[1]4_PtripLengthByPurpose'!Y10</f>
        <v>13.604053</v>
      </c>
      <c r="AB12" s="4">
        <f>'[1]4_PtripLengthByPurpose'!Z10</f>
        <v>14.924543</v>
      </c>
      <c r="AC12" s="30">
        <f>'[1]4_PtripLengthByPurpose'!AA10</f>
        <v>8.7990809999999993</v>
      </c>
      <c r="AD12" s="4">
        <f>'[1]4_PtripLengthByPurpose'!AB10</f>
        <v>6.4985179999999998</v>
      </c>
      <c r="AE12" s="4"/>
      <c r="AF12" s="4"/>
      <c r="AG12" s="4"/>
      <c r="AH12" s="4"/>
      <c r="AI12" s="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C3:N12"/>
  <sheetViews>
    <sheetView showGridLines="0" workbookViewId="0">
      <selection activeCell="F7" sqref="F7"/>
    </sheetView>
  </sheetViews>
  <sheetFormatPr defaultRowHeight="15" x14ac:dyDescent="0.25"/>
  <cols>
    <col min="1" max="1" width="27.28515625" customWidth="1"/>
    <col min="3" max="3" width="13.42578125" bestFit="1" customWidth="1"/>
    <col min="4" max="4" width="16" bestFit="1" customWidth="1"/>
    <col min="5" max="5" width="20.28515625" bestFit="1" customWidth="1"/>
    <col min="6" max="6" width="7" style="6" bestFit="1" customWidth="1"/>
    <col min="7" max="8" width="8.28515625" style="6" bestFit="1" customWidth="1"/>
    <col min="9" max="9" width="8.5703125" style="6" bestFit="1" customWidth="1"/>
    <col min="10" max="10" width="7.140625" style="6" bestFit="1" customWidth="1"/>
    <col min="11" max="11" width="10.7109375" style="6" bestFit="1" customWidth="1"/>
    <col min="12" max="12" width="7.85546875" style="6" bestFit="1" customWidth="1"/>
    <col min="13" max="13" width="7.28515625" style="6" bestFit="1" customWidth="1"/>
    <col min="14" max="14" width="20.5703125" style="6" bestFit="1" customWidth="1"/>
  </cols>
  <sheetData>
    <row r="3" spans="3:14" x14ac:dyDescent="0.25">
      <c r="C3" s="6" t="s">
        <v>2</v>
      </c>
      <c r="D3" s="6" t="s">
        <v>75</v>
      </c>
      <c r="E3" s="6" t="s">
        <v>76</v>
      </c>
      <c r="F3" s="6" t="s">
        <v>3</v>
      </c>
      <c r="G3" s="6" t="s">
        <v>4</v>
      </c>
      <c r="H3" s="6" t="s">
        <v>5</v>
      </c>
      <c r="I3" s="6" t="s">
        <v>32</v>
      </c>
      <c r="J3" s="6" t="s">
        <v>33</v>
      </c>
      <c r="K3" s="6" t="s">
        <v>34</v>
      </c>
      <c r="L3" s="6" t="s">
        <v>35</v>
      </c>
      <c r="M3" s="6" t="s">
        <v>31</v>
      </c>
      <c r="N3" s="6" t="s">
        <v>36</v>
      </c>
    </row>
    <row r="4" spans="3:14" x14ac:dyDescent="0.25">
      <c r="C4">
        <f>'[1]5_PtripLengthByMode'!A2</f>
        <v>259</v>
      </c>
      <c r="D4">
        <f>'[1]5_PtripLengthByMode'!B2</f>
        <v>1</v>
      </c>
      <c r="E4" t="str">
        <f>'[1]5_PtripLengthByMode'!C2</f>
        <v xml:space="preserve">Individual          </v>
      </c>
      <c r="F4" s="6">
        <f>'[1]5_PtripLengthByMode'!D2</f>
        <v>7.159554</v>
      </c>
      <c r="G4" s="6">
        <f>'[1]5_PtripLengthByMode'!E2</f>
        <v>6.4608119999999998</v>
      </c>
      <c r="H4" s="6">
        <f>'[1]5_PtripLengthByMode'!F2</f>
        <v>4.9507979999999998</v>
      </c>
      <c r="I4" s="6">
        <f>'[1]5_PtripLengthByMode'!G2</f>
        <v>0.82663600000000004</v>
      </c>
      <c r="J4" s="6">
        <f>'[1]5_PtripLengthByMode'!H2</f>
        <v>2.9139740000000001</v>
      </c>
      <c r="K4" s="6">
        <f>'[1]5_PtripLengthByMode'!I2</f>
        <v>9.0918299999999999</v>
      </c>
      <c r="L4" s="6">
        <f>'[1]5_PtripLengthByMode'!J2</f>
        <v>4.1853920000000002</v>
      </c>
      <c r="M4" s="6">
        <f>'[1]5_PtripLengthByMode'!K2</f>
        <v>0</v>
      </c>
      <c r="N4" s="6">
        <f>'[1]5_PtripLengthByMode'!L2</f>
        <v>6.1039199999999996</v>
      </c>
    </row>
    <row r="5" spans="3:14" x14ac:dyDescent="0.25">
      <c r="C5">
        <f>'[1]5_PtripLengthByMode'!A3</f>
        <v>259</v>
      </c>
      <c r="D5">
        <f>'[1]5_PtripLengthByMode'!B3</f>
        <v>2</v>
      </c>
      <c r="E5" t="str">
        <f>'[1]5_PtripLengthByMode'!C3</f>
        <v xml:space="preserve">Joint               </v>
      </c>
      <c r="F5" s="6">
        <f>'[1]5_PtripLengthByMode'!D3</f>
        <v>0</v>
      </c>
      <c r="G5" s="6">
        <f>'[1]5_PtripLengthByMode'!E3</f>
        <v>6.3215750000000002</v>
      </c>
      <c r="H5" s="6">
        <f>'[1]5_PtripLengthByMode'!F3</f>
        <v>5.5987730000000004</v>
      </c>
      <c r="I5" s="6">
        <f>'[1]5_PtripLengthByMode'!G3</f>
        <v>0.83354499999999998</v>
      </c>
      <c r="J5" s="6">
        <f>'[1]5_PtripLengthByMode'!H3</f>
        <v>1.8568229999999999</v>
      </c>
      <c r="K5" s="6">
        <f>'[1]5_PtripLengthByMode'!I3</f>
        <v>7.6083420000000004</v>
      </c>
      <c r="L5" s="6">
        <f>'[1]5_PtripLengthByMode'!J3</f>
        <v>0</v>
      </c>
      <c r="M5" s="6">
        <f>'[1]5_PtripLengthByMode'!K3</f>
        <v>0</v>
      </c>
      <c r="N5" s="6">
        <f>'[1]5_PtripLengthByMode'!L3</f>
        <v>5.5511429999999997</v>
      </c>
    </row>
    <row r="6" spans="3:14" x14ac:dyDescent="0.25">
      <c r="C6">
        <f>'[1]5_PtripLengthByMode'!A4</f>
        <v>259</v>
      </c>
      <c r="D6">
        <f>'[1]5_PtripLengthByMode'!B4</f>
        <v>3</v>
      </c>
      <c r="E6" t="str">
        <f>'[1]5_PtripLengthByMode'!C4</f>
        <v xml:space="preserve">Visitor             </v>
      </c>
      <c r="F6" s="6">
        <f>'[1]5_PtripLengthByMode'!D4</f>
        <v>9.6426379999999998</v>
      </c>
      <c r="G6" s="6">
        <f>'[1]5_PtripLengthByMode'!E4</f>
        <v>11.716576</v>
      </c>
      <c r="H6" s="6">
        <f>'[1]5_PtripLengthByMode'!F4</f>
        <v>11.552063</v>
      </c>
      <c r="I6" s="6">
        <f>'[1]5_PtripLengthByMode'!G4</f>
        <v>0.99663800000000002</v>
      </c>
      <c r="J6" s="6">
        <f>'[1]5_PtripLengthByMode'!H4</f>
        <v>0</v>
      </c>
      <c r="K6" s="6">
        <f>'[1]5_PtripLengthByMode'!I4</f>
        <v>8.5737649999999999</v>
      </c>
      <c r="L6" s="6">
        <f>'[1]5_PtripLengthByMode'!J4</f>
        <v>0</v>
      </c>
      <c r="M6" s="6">
        <f>'[1]5_PtripLengthByMode'!K4</f>
        <v>4.5190570000000001</v>
      </c>
      <c r="N6" s="6">
        <f>'[1]5_PtripLengthByMode'!L4</f>
        <v>7.5416509999999999</v>
      </c>
    </row>
    <row r="7" spans="3:14" x14ac:dyDescent="0.25">
      <c r="C7">
        <f>'[1]5_PtripLengthByMode'!A5</f>
        <v>259</v>
      </c>
      <c r="D7">
        <f>'[1]5_PtripLengthByMode'!B5</f>
        <v>4</v>
      </c>
      <c r="E7" t="str">
        <f>'[1]5_PtripLengthByMode'!C5</f>
        <v xml:space="preserve">Internal-External   </v>
      </c>
      <c r="F7" s="6">
        <f>'[1]5_PtripLengthByMode'!D5</f>
        <v>35.408712000000001</v>
      </c>
      <c r="G7" s="6">
        <f>'[1]5_PtripLengthByMode'!E5</f>
        <v>35.759611</v>
      </c>
      <c r="H7" s="6">
        <f>'[1]5_PtripLengthByMode'!F5</f>
        <v>35.983131999999998</v>
      </c>
      <c r="I7" s="6">
        <f>'[1]5_PtripLengthByMode'!G5</f>
        <v>0</v>
      </c>
      <c r="J7" s="6">
        <f>'[1]5_PtripLengthByMode'!H5</f>
        <v>0</v>
      </c>
      <c r="K7" s="6">
        <f>'[1]5_PtripLengthByMode'!I5</f>
        <v>22.184820999999999</v>
      </c>
      <c r="L7" s="6">
        <f>'[1]5_PtripLengthByMode'!J5</f>
        <v>0</v>
      </c>
      <c r="M7" s="6">
        <f>'[1]5_PtripLengthByMode'!K5</f>
        <v>0</v>
      </c>
      <c r="N7" s="6">
        <f>'[1]5_PtripLengthByMode'!L5</f>
        <v>35.169674000000001</v>
      </c>
    </row>
    <row r="8" spans="3:14" x14ac:dyDescent="0.25">
      <c r="C8">
        <f>'[1]5_PtripLengthByMode'!A6</f>
        <v>259</v>
      </c>
      <c r="D8">
        <f>'[1]5_PtripLengthByMode'!B6</f>
        <v>5</v>
      </c>
      <c r="E8" t="str">
        <f>'[1]5_PtripLengthByMode'!C6</f>
        <v xml:space="preserve">Cross Border        </v>
      </c>
      <c r="F8" s="6">
        <f>'[1]5_PtripLengthByMode'!D6</f>
        <v>8.6098710000000001</v>
      </c>
      <c r="G8" s="6">
        <f>'[1]5_PtripLengthByMode'!E6</f>
        <v>8.0022870000000008</v>
      </c>
      <c r="H8" s="6">
        <f>'[1]5_PtripLengthByMode'!F6</f>
        <v>7.8876759999999999</v>
      </c>
      <c r="I8" s="6">
        <f>'[1]5_PtripLengthByMode'!G6</f>
        <v>0.74475499999999994</v>
      </c>
      <c r="J8" s="6">
        <f>'[1]5_PtripLengthByMode'!H6</f>
        <v>0</v>
      </c>
      <c r="K8" s="6">
        <f>'[1]5_PtripLengthByMode'!I6</f>
        <v>11.029048</v>
      </c>
      <c r="L8" s="6">
        <f>'[1]5_PtripLengthByMode'!J6</f>
        <v>0</v>
      </c>
      <c r="M8" s="6">
        <f>'[1]5_PtripLengthByMode'!K6</f>
        <v>0</v>
      </c>
      <c r="N8" s="6">
        <f>'[1]5_PtripLengthByMode'!L6</f>
        <v>7.5137020000000003</v>
      </c>
    </row>
    <row r="9" spans="3:14" x14ac:dyDescent="0.25">
      <c r="C9">
        <f>'[1]5_PtripLengthByMode'!A7</f>
        <v>259</v>
      </c>
      <c r="D9">
        <f>'[1]5_PtripLengthByMode'!B7</f>
        <v>6</v>
      </c>
      <c r="E9" t="str">
        <f>'[1]5_PtripLengthByMode'!C7</f>
        <v xml:space="preserve">Airport - CBX       </v>
      </c>
      <c r="F9" s="6">
        <f>'[1]5_PtripLengthByMode'!D7</f>
        <v>57.225796000000003</v>
      </c>
      <c r="G9" s="6">
        <f>'[1]5_PtripLengthByMode'!E7</f>
        <v>56.819268999999998</v>
      </c>
      <c r="H9" s="6">
        <f>'[1]5_PtripLengthByMode'!F7</f>
        <v>62.134825999999997</v>
      </c>
      <c r="I9" s="6">
        <f>'[1]5_PtripLengthByMode'!G7</f>
        <v>0</v>
      </c>
      <c r="J9" s="6">
        <f>'[1]5_PtripLengthByMode'!H7</f>
        <v>0</v>
      </c>
      <c r="K9" s="6">
        <f>'[1]5_PtripLengthByMode'!I7</f>
        <v>0</v>
      </c>
      <c r="L9" s="6">
        <f>'[1]5_PtripLengthByMode'!J7</f>
        <v>0</v>
      </c>
      <c r="M9" s="6">
        <f>'[1]5_PtripLengthByMode'!K7</f>
        <v>0</v>
      </c>
      <c r="N9" s="6">
        <f>'[1]5_PtripLengthByMode'!L7</f>
        <v>60.821457000000002</v>
      </c>
    </row>
    <row r="10" spans="3:14" x14ac:dyDescent="0.25">
      <c r="C10" s="1">
        <f>'[1]5_PtripLengthByMode'!A8</f>
        <v>259</v>
      </c>
      <c r="D10" s="1">
        <f>'[1]5_PtripLengthByMode'!B8</f>
        <v>7</v>
      </c>
      <c r="E10" s="1" t="str">
        <f>'[1]5_PtripLengthByMode'!C8</f>
        <v xml:space="preserve">Airport - SAN       </v>
      </c>
      <c r="F10" s="6">
        <f>'[1]5_PtripLengthByMode'!D8</f>
        <v>16.648337000000001</v>
      </c>
      <c r="G10" s="6">
        <f>'[1]5_PtripLengthByMode'!E8</f>
        <v>19.239336000000002</v>
      </c>
      <c r="H10" s="6">
        <f>'[1]5_PtripLengthByMode'!F8</f>
        <v>19.346499000000001</v>
      </c>
      <c r="I10" s="6">
        <f>'[1]5_PtripLengthByMode'!G8</f>
        <v>0</v>
      </c>
      <c r="J10" s="6">
        <f>'[1]5_PtripLengthByMode'!H8</f>
        <v>0</v>
      </c>
      <c r="K10" s="6">
        <f>'[1]5_PtripLengthByMode'!I8</f>
        <v>48.698396000000002</v>
      </c>
      <c r="L10" s="6">
        <f>'[1]5_PtripLengthByMode'!J8</f>
        <v>0</v>
      </c>
      <c r="M10" s="6">
        <f>'[1]5_PtripLengthByMode'!K8</f>
        <v>0</v>
      </c>
      <c r="N10" s="6">
        <f>'[1]5_PtripLengthByMode'!L8</f>
        <v>19.36863</v>
      </c>
    </row>
    <row r="11" spans="3:14" x14ac:dyDescent="0.25">
      <c r="C11" s="15">
        <f>'[1]5_PtripLengthByMode'!A9</f>
        <v>259</v>
      </c>
      <c r="D11" s="15">
        <f>'[1]5_PtripLengthByMode'!B9</f>
        <v>99</v>
      </c>
      <c r="E11" s="15" t="str">
        <f>'[1]5_PtripLengthByMode'!C9</f>
        <v>ResidentialModels</v>
      </c>
      <c r="F11" s="13">
        <f>'[1]5_PtripLengthByMode'!D9</f>
        <v>7.5435949999999998</v>
      </c>
      <c r="G11" s="13">
        <f>'[1]5_PtripLengthByMode'!E9</f>
        <v>6.6722149999999996</v>
      </c>
      <c r="H11" s="13">
        <f>'[1]5_PtripLengthByMode'!F9</f>
        <v>5.3716210000000002</v>
      </c>
      <c r="I11" s="13">
        <f>'[1]5_PtripLengthByMode'!G9</f>
        <v>0.82745800000000003</v>
      </c>
      <c r="J11" s="13">
        <f>'[1]5_PtripLengthByMode'!H9</f>
        <v>2.9053149999999999</v>
      </c>
      <c r="K11" s="13">
        <f>'[1]5_PtripLengthByMode'!I9</f>
        <v>9.1975350000000002</v>
      </c>
      <c r="L11" s="13">
        <f>'[1]5_PtripLengthByMode'!J9</f>
        <v>4.1853920000000002</v>
      </c>
      <c r="M11" s="13">
        <f>'[1]5_PtripLengthByMode'!K9</f>
        <v>0</v>
      </c>
      <c r="N11" s="13">
        <f>'[1]5_PtripLengthByMode'!L9</f>
        <v>6.355575</v>
      </c>
    </row>
    <row r="12" spans="3:14" x14ac:dyDescent="0.25">
      <c r="C12" s="16">
        <f>'[1]5_PtripLengthByMode'!A10</f>
        <v>259</v>
      </c>
      <c r="D12" s="16">
        <f>'[1]5_PtripLengthByMode'!B10</f>
        <v>100</v>
      </c>
      <c r="E12" s="16" t="str">
        <f>'[1]5_PtripLengthByMode'!C10</f>
        <v>AllModels</v>
      </c>
      <c r="F12" s="14">
        <f>'[1]5_PtripLengthByMode'!D10</f>
        <v>7.5741560000000003</v>
      </c>
      <c r="G12" s="14">
        <f>'[1]5_PtripLengthByMode'!E10</f>
        <v>6.8254299999999999</v>
      </c>
      <c r="H12" s="14">
        <f>'[1]5_PtripLengthByMode'!F10</f>
        <v>6.2549789999999996</v>
      </c>
      <c r="I12" s="14">
        <f>'[1]5_PtripLengthByMode'!G10</f>
        <v>0.84848699999999999</v>
      </c>
      <c r="J12" s="14">
        <f>'[1]5_PtripLengthByMode'!H10</f>
        <v>2.9053149999999999</v>
      </c>
      <c r="K12" s="14">
        <f>'[1]5_PtripLengthByMode'!I10</f>
        <v>9.5196579999999997</v>
      </c>
      <c r="L12" s="14">
        <f>'[1]5_PtripLengthByMode'!J10</f>
        <v>4.1853920000000002</v>
      </c>
      <c r="M12" s="14">
        <f>'[1]5_PtripLengthByMode'!K10</f>
        <v>4.5190570000000001</v>
      </c>
      <c r="N12" s="14">
        <f>'[1]5_PtripLengthByMode'!L10</f>
        <v>6.4985179999999998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499984740745262"/>
  </sheetPr>
  <dimension ref="C3:J14"/>
  <sheetViews>
    <sheetView showGridLines="0" workbookViewId="0">
      <selection activeCell="F11" sqref="F11"/>
    </sheetView>
  </sheetViews>
  <sheetFormatPr defaultRowHeight="15" x14ac:dyDescent="0.25"/>
  <cols>
    <col min="1" max="1" width="27.85546875" customWidth="1"/>
    <col min="3" max="3" width="13.42578125" bestFit="1" customWidth="1"/>
    <col min="4" max="4" width="5.42578125" bestFit="1" customWidth="1"/>
    <col min="5" max="5" width="23.140625" bestFit="1" customWidth="1"/>
    <col min="6" max="6" width="11.7109375" style="8" bestFit="1" customWidth="1"/>
    <col min="7" max="7" width="12.140625" style="8" bestFit="1" customWidth="1"/>
    <col min="8" max="8" width="10.85546875" style="8" bestFit="1" customWidth="1"/>
    <col min="9" max="9" width="10.140625" style="8" bestFit="1" customWidth="1"/>
    <col min="10" max="10" width="17.140625" style="6" bestFit="1" customWidth="1"/>
  </cols>
  <sheetData>
    <row r="3" spans="3:10" x14ac:dyDescent="0.25">
      <c r="C3" s="8" t="s">
        <v>2</v>
      </c>
      <c r="D3" s="8" t="s">
        <v>43</v>
      </c>
      <c r="E3" s="8" t="s">
        <v>44</v>
      </c>
      <c r="F3" s="8" t="s">
        <v>45</v>
      </c>
      <c r="G3" s="8" t="s">
        <v>46</v>
      </c>
      <c r="H3" s="8" t="s">
        <v>47</v>
      </c>
      <c r="I3" s="8" t="s">
        <v>48</v>
      </c>
      <c r="J3" s="8" t="s">
        <v>49</v>
      </c>
    </row>
    <row r="4" spans="3:10" x14ac:dyDescent="0.25">
      <c r="C4">
        <f>'[1]23_VMT'!A2</f>
        <v>259</v>
      </c>
      <c r="D4">
        <f>'[1]23_VMT'!B2</f>
        <v>1</v>
      </c>
      <c r="E4" t="str">
        <f>'[1]23_VMT'!C2</f>
        <v>Freeway</v>
      </c>
      <c r="F4" s="8">
        <f>'[1]23_VMT'!D2</f>
        <v>39962615.824730001</v>
      </c>
      <c r="G4" s="8">
        <f>'[1]23_VMT'!E2</f>
        <v>4210614.0886129998</v>
      </c>
      <c r="H4" s="8">
        <f>'[1]23_VMT'!F2</f>
        <v>9160.937124</v>
      </c>
      <c r="I4" s="8">
        <f>'[1]23_VMT'!G2</f>
        <v>44182390.850451998</v>
      </c>
      <c r="J4" s="6">
        <f>'[1]23_VMT'!H2</f>
        <v>13.50263</v>
      </c>
    </row>
    <row r="5" spans="3:10" x14ac:dyDescent="0.25">
      <c r="C5">
        <f>'[1]23_VMT'!A3</f>
        <v>259</v>
      </c>
      <c r="D5">
        <f>'[1]23_VMT'!B3</f>
        <v>2</v>
      </c>
      <c r="E5" t="str">
        <f>'[1]23_VMT'!C3</f>
        <v>PrimeArterial</v>
      </c>
      <c r="F5" s="8">
        <f>'[1]23_VMT'!D3</f>
        <v>5950812.927468</v>
      </c>
      <c r="G5" s="8">
        <f>'[1]23_VMT'!E3</f>
        <v>411528.211534</v>
      </c>
      <c r="H5" s="8">
        <f>'[1]23_VMT'!F3</f>
        <v>12490.974525</v>
      </c>
      <c r="I5" s="8">
        <f>'[1]23_VMT'!G3</f>
        <v>6374832.1135010002</v>
      </c>
      <c r="J5" s="6">
        <f>'[1]23_VMT'!H3</f>
        <v>1.9482189999999999</v>
      </c>
    </row>
    <row r="6" spans="3:10" x14ac:dyDescent="0.25">
      <c r="C6">
        <f>'[1]23_VMT'!A4</f>
        <v>259</v>
      </c>
      <c r="D6">
        <f>'[1]23_VMT'!B4</f>
        <v>3</v>
      </c>
      <c r="E6" t="str">
        <f>'[1]23_VMT'!C4</f>
        <v>MajorArterial</v>
      </c>
      <c r="F6" s="8">
        <f>'[1]23_VMT'!D4</f>
        <v>12070734.899799</v>
      </c>
      <c r="G6" s="8">
        <f>'[1]23_VMT'!E4</f>
        <v>643575.08854000003</v>
      </c>
      <c r="H6" s="8">
        <f>'[1]23_VMT'!F4</f>
        <v>51655.937722000002</v>
      </c>
      <c r="I6" s="8">
        <f>'[1]23_VMT'!G4</f>
        <v>12765965.926024999</v>
      </c>
      <c r="J6" s="6">
        <f>'[1]23_VMT'!H4</f>
        <v>3.901421</v>
      </c>
    </row>
    <row r="7" spans="3:10" x14ac:dyDescent="0.25">
      <c r="C7">
        <f>'[1]23_VMT'!A5</f>
        <v>259</v>
      </c>
      <c r="D7">
        <f>'[1]23_VMT'!B5</f>
        <v>4</v>
      </c>
      <c r="E7" t="str">
        <f>'[1]23_VMT'!C5</f>
        <v>Collector</v>
      </c>
      <c r="F7" s="8">
        <f>'[1]23_VMT'!D5</f>
        <v>4788636.8370730001</v>
      </c>
      <c r="G7" s="8">
        <f>'[1]23_VMT'!E5</f>
        <v>276519.948409</v>
      </c>
      <c r="H7" s="8">
        <f>'[1]23_VMT'!F5</f>
        <v>17863.994523000001</v>
      </c>
      <c r="I7" s="8">
        <f>'[1]23_VMT'!G5</f>
        <v>5083020.779999</v>
      </c>
      <c r="J7" s="6">
        <f>'[1]23_VMT'!H5</f>
        <v>1.5534269999999999</v>
      </c>
    </row>
    <row r="8" spans="3:10" x14ac:dyDescent="0.25">
      <c r="C8">
        <f>'[1]23_VMT'!A6</f>
        <v>259</v>
      </c>
      <c r="D8">
        <f>'[1]23_VMT'!B6</f>
        <v>5</v>
      </c>
      <c r="E8" t="str">
        <f>'[1]23_VMT'!C6</f>
        <v>LocalCollector</v>
      </c>
      <c r="F8" s="8">
        <f>'[1]23_VMT'!D6</f>
        <v>3456368.7961980002</v>
      </c>
      <c r="G8" s="8">
        <f>'[1]23_VMT'!E6</f>
        <v>158418.419616</v>
      </c>
      <c r="H8" s="8">
        <f>'[1]23_VMT'!F6</f>
        <v>9398.0934450000004</v>
      </c>
      <c r="I8" s="8">
        <f>'[1]23_VMT'!G6</f>
        <v>3624185.3092769999</v>
      </c>
      <c r="J8" s="6">
        <f>'[1]23_VMT'!H6</f>
        <v>1.107591</v>
      </c>
    </row>
    <row r="9" spans="3:10" x14ac:dyDescent="0.25">
      <c r="C9">
        <f>'[1]23_VMT'!A7</f>
        <v>259</v>
      </c>
      <c r="D9">
        <f>'[1]23_VMT'!B7</f>
        <v>6</v>
      </c>
      <c r="E9" t="str">
        <f>'[1]23_VMT'!C7</f>
        <v>RuralCollector</v>
      </c>
      <c r="F9" s="8">
        <f>'[1]23_VMT'!D7</f>
        <v>803276.89305299998</v>
      </c>
      <c r="G9" s="8">
        <f>'[1]23_VMT'!E7</f>
        <v>39288.295856999997</v>
      </c>
      <c r="H9" s="8">
        <f>'[1]23_VMT'!F7</f>
        <v>51.261164999999998</v>
      </c>
      <c r="I9" s="8">
        <f>'[1]23_VMT'!G7</f>
        <v>842616.45008099999</v>
      </c>
      <c r="J9" s="6">
        <f>'[1]23_VMT'!H7</f>
        <v>0.25751200000000002</v>
      </c>
    </row>
    <row r="10" spans="3:10" x14ac:dyDescent="0.25">
      <c r="C10">
        <f>'[1]23_VMT'!A8</f>
        <v>259</v>
      </c>
      <c r="D10">
        <f>'[1]23_VMT'!B8</f>
        <v>7</v>
      </c>
      <c r="E10" t="str">
        <f>'[1]23_VMT'!C8</f>
        <v>LocalRoad</v>
      </c>
      <c r="F10" s="8">
        <f>'[1]23_VMT'!D8</f>
        <v>2243111.71526</v>
      </c>
      <c r="G10" s="8">
        <f>'[1]23_VMT'!E8</f>
        <v>139052.438609</v>
      </c>
      <c r="H10" s="8">
        <f>'[1]23_VMT'!F8</f>
        <v>3393.0506350000001</v>
      </c>
      <c r="I10" s="8">
        <f>'[1]23_VMT'!G8</f>
        <v>2385557.2045820002</v>
      </c>
      <c r="J10" s="6">
        <f>'[1]23_VMT'!H8</f>
        <v>0.72905200000000003</v>
      </c>
    </row>
    <row r="11" spans="3:10" x14ac:dyDescent="0.25">
      <c r="C11">
        <f>'[1]23_VMT'!A9</f>
        <v>259</v>
      </c>
      <c r="D11">
        <f>'[1]23_VMT'!B9</f>
        <v>8</v>
      </c>
      <c r="E11" t="str">
        <f>'[1]23_VMT'!C9</f>
        <v>FreewayConnectorRamp</v>
      </c>
      <c r="F11" s="8">
        <f>'[1]23_VMT'!D9</f>
        <v>1625856.3046800001</v>
      </c>
      <c r="G11" s="8">
        <f>'[1]23_VMT'!E9</f>
        <v>155398.73912899999</v>
      </c>
      <c r="H11" s="8">
        <f>'[1]23_VMT'!F9</f>
        <v>203.3415</v>
      </c>
      <c r="I11" s="8">
        <f>'[1]23_VMT'!G9</f>
        <v>1781458.385304</v>
      </c>
      <c r="J11" s="6">
        <f>'[1]23_VMT'!H9</f>
        <v>0.54443299999999994</v>
      </c>
    </row>
    <row r="12" spans="3:10" x14ac:dyDescent="0.25">
      <c r="C12">
        <f>'[1]23_VMT'!A10</f>
        <v>259</v>
      </c>
      <c r="D12">
        <f>'[1]23_VMT'!B10</f>
        <v>9</v>
      </c>
      <c r="E12" t="str">
        <f>'[1]23_VMT'!C10</f>
        <v>LocalRamp</v>
      </c>
      <c r="F12" s="8">
        <f>'[1]23_VMT'!D10</f>
        <v>2346679.3697500001</v>
      </c>
      <c r="G12" s="8">
        <f>'[1]23_VMT'!E10</f>
        <v>171390.09666099999</v>
      </c>
      <c r="H12" s="8">
        <f>'[1]23_VMT'!F10</f>
        <v>1985.763406</v>
      </c>
      <c r="I12" s="8">
        <f>'[1]23_VMT'!G10</f>
        <v>2520055.2298409999</v>
      </c>
      <c r="J12" s="6">
        <f>'[1]23_VMT'!H10</f>
        <v>0.77015599999999995</v>
      </c>
    </row>
    <row r="13" spans="3:10" x14ac:dyDescent="0.25">
      <c r="C13">
        <f>'[1]23_VMT'!A11</f>
        <v>259</v>
      </c>
      <c r="D13">
        <f>'[1]23_VMT'!B11</f>
        <v>10</v>
      </c>
      <c r="E13" t="str">
        <f>'[1]23_VMT'!C11</f>
        <v>ZoneConnector</v>
      </c>
      <c r="F13" s="8">
        <f>'[1]23_VMT'!D11</f>
        <v>3624001.5950989998</v>
      </c>
      <c r="G13" s="8">
        <f>'[1]23_VMT'!E11</f>
        <v>191926.77332800001</v>
      </c>
      <c r="H13" s="8">
        <f>'[1]23_VMT'!F11</f>
        <v>0</v>
      </c>
      <c r="I13" s="8">
        <f>'[1]23_VMT'!G11</f>
        <v>3815928.368456</v>
      </c>
      <c r="J13" s="6">
        <f>'[1]23_VMT'!H11</f>
        <v>1.1661900000000001</v>
      </c>
    </row>
    <row r="14" spans="3:10" x14ac:dyDescent="0.25">
      <c r="C14" s="11">
        <f>'[1]23_VMT'!A12</f>
        <v>259</v>
      </c>
      <c r="D14" s="11">
        <f>'[1]23_VMT'!B12</f>
        <v>100</v>
      </c>
      <c r="E14" s="11" t="str">
        <f>'[1]23_VMT'!C12</f>
        <v>AllClasses</v>
      </c>
      <c r="F14" s="12">
        <f>'[1]23_VMT'!D12</f>
        <v>76872095.163110003</v>
      </c>
      <c r="G14" s="12">
        <f>'[1]23_VMT'!E12</f>
        <v>6397712.100296</v>
      </c>
      <c r="H14" s="12">
        <f>'[1]23_VMT'!F12</f>
        <v>106203.354045</v>
      </c>
      <c r="I14" s="12">
        <f>'[1]23_VMT'!G12</f>
        <v>83376010.617517993</v>
      </c>
      <c r="J14" s="7">
        <f>'[1]23_VMT'!H12</f>
        <v>25.480637000000002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C3:K14"/>
  <sheetViews>
    <sheetView showGridLines="0" workbookViewId="0">
      <selection activeCell="F10" sqref="F10"/>
    </sheetView>
  </sheetViews>
  <sheetFormatPr defaultRowHeight="15" x14ac:dyDescent="0.25"/>
  <cols>
    <col min="1" max="1" width="27.42578125" customWidth="1"/>
    <col min="3" max="3" width="13.42578125" bestFit="1" customWidth="1"/>
    <col min="4" max="4" width="5.42578125" bestFit="1" customWidth="1"/>
    <col min="5" max="5" width="23.140625" bestFit="1" customWidth="1"/>
    <col min="6" max="6" width="11.140625" style="8" bestFit="1" customWidth="1"/>
    <col min="7" max="7" width="11.5703125" style="8" bestFit="1" customWidth="1"/>
    <col min="8" max="8" width="10.28515625" style="8" bestFit="1" customWidth="1"/>
    <col min="9" max="9" width="9.28515625" style="8" bestFit="1" customWidth="1"/>
    <col min="10" max="10" width="16.5703125" style="4" bestFit="1" customWidth="1"/>
    <col min="11" max="11" width="24.7109375" style="6" bestFit="1" customWidth="1"/>
  </cols>
  <sheetData>
    <row r="3" spans="3:11" x14ac:dyDescent="0.25">
      <c r="C3" s="8" t="s">
        <v>2</v>
      </c>
      <c r="D3" s="8" t="s">
        <v>43</v>
      </c>
      <c r="E3" s="8" t="s">
        <v>44</v>
      </c>
      <c r="F3" s="8" t="s">
        <v>50</v>
      </c>
      <c r="G3" s="8" t="s">
        <v>51</v>
      </c>
      <c r="H3" s="8" t="s">
        <v>52</v>
      </c>
      <c r="I3" s="8" t="s">
        <v>53</v>
      </c>
      <c r="J3" s="8" t="s">
        <v>54</v>
      </c>
      <c r="K3" s="6" t="s">
        <v>81</v>
      </c>
    </row>
    <row r="4" spans="3:11" x14ac:dyDescent="0.25">
      <c r="C4">
        <f>'[1]6_VHT'!A2</f>
        <v>259</v>
      </c>
      <c r="D4">
        <f>'[1]6_VHT'!B2</f>
        <v>1</v>
      </c>
      <c r="E4" t="str">
        <f>'[1]6_VHT'!C2</f>
        <v>Freeway</v>
      </c>
      <c r="F4" s="8">
        <f>'[1]6_VHT'!D2</f>
        <v>676068.91732057813</v>
      </c>
      <c r="G4" s="8">
        <f>'[1]6_VHT'!E2</f>
        <v>70368.053906701258</v>
      </c>
      <c r="H4" s="8">
        <f>'[1]6_VHT'!F2</f>
        <v>154.9091840951339</v>
      </c>
      <c r="I4" s="8">
        <f>'[1]6_VHT'!G2</f>
        <v>746591.8804113745</v>
      </c>
      <c r="J4" s="4">
        <f>'[1]6_VHT'!H2</f>
        <v>0.22816679779769719</v>
      </c>
      <c r="K4" s="6">
        <f>'[1]6_VHT'!I2</f>
        <v>13.69000786786183</v>
      </c>
    </row>
    <row r="5" spans="3:11" x14ac:dyDescent="0.25">
      <c r="C5">
        <f>'[1]6_VHT'!A3</f>
        <v>259</v>
      </c>
      <c r="D5">
        <f>'[1]6_VHT'!B3</f>
        <v>2</v>
      </c>
      <c r="E5" t="str">
        <f>'[1]6_VHT'!C3</f>
        <v>PrimeArterial</v>
      </c>
      <c r="F5" s="8">
        <f>'[1]6_VHT'!D3</f>
        <v>238669.9020739999</v>
      </c>
      <c r="G5" s="8">
        <f>'[1]6_VHT'!E3</f>
        <v>16322.243711107871</v>
      </c>
      <c r="H5" s="8">
        <f>'[1]6_VHT'!F3</f>
        <v>482.651305190534</v>
      </c>
      <c r="I5" s="8">
        <f>'[1]6_VHT'!G3</f>
        <v>255474.79709029829</v>
      </c>
      <c r="J5" s="4">
        <f>'[1]6_VHT'!H3</f>
        <v>7.8075944702199765E-2</v>
      </c>
      <c r="K5" s="6">
        <f>'[1]6_VHT'!I3</f>
        <v>4.6845566821319853</v>
      </c>
    </row>
    <row r="6" spans="3:11" x14ac:dyDescent="0.25">
      <c r="C6">
        <f>'[1]6_VHT'!A4</f>
        <v>259</v>
      </c>
      <c r="D6">
        <f>'[1]6_VHT'!B4</f>
        <v>3</v>
      </c>
      <c r="E6" t="str">
        <f>'[1]6_VHT'!C4</f>
        <v>MajorArterial</v>
      </c>
      <c r="F6" s="8">
        <f>'[1]6_VHT'!D4</f>
        <v>537511.56841825543</v>
      </c>
      <c r="G6" s="8">
        <f>'[1]6_VHT'!E4</f>
        <v>27306.510165350988</v>
      </c>
      <c r="H6" s="8">
        <f>'[1]6_VHT'!F4</f>
        <v>2640.1059068158302</v>
      </c>
      <c r="I6" s="8">
        <f>'[1]6_VHT'!G4</f>
        <v>567458.18449042225</v>
      </c>
      <c r="J6" s="4">
        <f>'[1]6_VHT'!H4</f>
        <v>0.1734215442685143</v>
      </c>
      <c r="K6" s="6">
        <f>'[1]6_VHT'!I4</f>
        <v>10.405292656110859</v>
      </c>
    </row>
    <row r="7" spans="3:11" x14ac:dyDescent="0.25">
      <c r="C7">
        <f>'[1]6_VHT'!A5</f>
        <v>259</v>
      </c>
      <c r="D7">
        <f>'[1]6_VHT'!B5</f>
        <v>4</v>
      </c>
      <c r="E7" t="str">
        <f>'[1]6_VHT'!C5</f>
        <v>Collector</v>
      </c>
      <c r="F7" s="8">
        <f>'[1]6_VHT'!D5</f>
        <v>215366.9044313842</v>
      </c>
      <c r="G7" s="8">
        <f>'[1]6_VHT'!E5</f>
        <v>11727.770487276979</v>
      </c>
      <c r="H7" s="8">
        <f>'[1]6_VHT'!F5</f>
        <v>938.48195276965305</v>
      </c>
      <c r="I7" s="8">
        <f>'[1]6_VHT'!G5</f>
        <v>228033.1568714309</v>
      </c>
      <c r="J7" s="4">
        <f>'[1]6_VHT'!H5</f>
        <v>6.9689473673871002E-2</v>
      </c>
      <c r="K7" s="6">
        <f>'[1]6_VHT'!I5</f>
        <v>4.1813684204322614</v>
      </c>
    </row>
    <row r="8" spans="3:11" x14ac:dyDescent="0.25">
      <c r="C8">
        <f>'[1]6_VHT'!A6</f>
        <v>259</v>
      </c>
      <c r="D8">
        <f>'[1]6_VHT'!B6</f>
        <v>5</v>
      </c>
      <c r="E8" t="str">
        <f>'[1]6_VHT'!C6</f>
        <v>LocalCollector</v>
      </c>
      <c r="F8" s="8">
        <f>'[1]6_VHT'!D6</f>
        <v>175910.07556512731</v>
      </c>
      <c r="G8" s="8">
        <f>'[1]6_VHT'!E6</f>
        <v>7441.3292173337704</v>
      </c>
      <c r="H8" s="8">
        <f>'[1]6_VHT'!F6</f>
        <v>534.21155958705162</v>
      </c>
      <c r="I8" s="8">
        <f>'[1]6_VHT'!G6</f>
        <v>183885.61634204819</v>
      </c>
      <c r="J8" s="4">
        <f>'[1]6_VHT'!H6</f>
        <v>5.6197493359695809E-2</v>
      </c>
      <c r="K8" s="6">
        <f>'[1]6_VHT'!I6</f>
        <v>3.371849601581749</v>
      </c>
    </row>
    <row r="9" spans="3:11" x14ac:dyDescent="0.25">
      <c r="C9">
        <f>'[1]6_VHT'!A7</f>
        <v>259</v>
      </c>
      <c r="D9">
        <f>'[1]6_VHT'!B7</f>
        <v>6</v>
      </c>
      <c r="E9" t="str">
        <f>'[1]6_VHT'!C7</f>
        <v>RuralCollector</v>
      </c>
      <c r="F9" s="8">
        <f>'[1]6_VHT'!D7</f>
        <v>21865.08539572743</v>
      </c>
      <c r="G9" s="8">
        <f>'[1]6_VHT'!E7</f>
        <v>1052.5355970598509</v>
      </c>
      <c r="H9" s="8">
        <f>'[1]6_VHT'!F7</f>
        <v>1.0802022522500481</v>
      </c>
      <c r="I9" s="8">
        <f>'[1]6_VHT'!G7</f>
        <v>22918.701195039539</v>
      </c>
      <c r="J9" s="4">
        <f>'[1]6_VHT'!H7</f>
        <v>7.0042104643209804E-3</v>
      </c>
      <c r="K9" s="6">
        <f>'[1]6_VHT'!I7</f>
        <v>0.42025262785925882</v>
      </c>
    </row>
    <row r="10" spans="3:11" x14ac:dyDescent="0.25">
      <c r="C10">
        <f>'[1]6_VHT'!A8</f>
        <v>259</v>
      </c>
      <c r="D10">
        <f>'[1]6_VHT'!B8</f>
        <v>7</v>
      </c>
      <c r="E10" t="str">
        <f>'[1]6_VHT'!C8</f>
        <v>LocalRoad</v>
      </c>
      <c r="F10" s="8">
        <f>'[1]6_VHT'!D8</f>
        <v>178606.08148343241</v>
      </c>
      <c r="G10" s="8">
        <f>'[1]6_VHT'!E8</f>
        <v>9892.7143118108525</v>
      </c>
      <c r="H10" s="8">
        <f>'[1]6_VHT'!F8</f>
        <v>247.04431850407289</v>
      </c>
      <c r="I10" s="8">
        <f>'[1]6_VHT'!G8</f>
        <v>188745.84011374731</v>
      </c>
      <c r="J10" s="4">
        <f>'[1]6_VHT'!H8</f>
        <v>5.7682831900958548E-2</v>
      </c>
      <c r="K10" s="6">
        <f>'[1]6_VHT'!I8</f>
        <v>3.4609699140575132</v>
      </c>
    </row>
    <row r="11" spans="3:11" x14ac:dyDescent="0.25">
      <c r="C11">
        <f>'[1]6_VHT'!A9</f>
        <v>259</v>
      </c>
      <c r="D11">
        <f>'[1]6_VHT'!B9</f>
        <v>8</v>
      </c>
      <c r="E11" t="str">
        <f>'[1]6_VHT'!C9</f>
        <v>FreewayConnectorRamp</v>
      </c>
      <c r="F11" s="8">
        <f>'[1]6_VHT'!D9</f>
        <v>43704.905586163157</v>
      </c>
      <c r="G11" s="8">
        <f>'[1]6_VHT'!E9</f>
        <v>3870.3473609636421</v>
      </c>
      <c r="H11" s="8">
        <f>'[1]6_VHT'!F9</f>
        <v>7.4340173797841498</v>
      </c>
      <c r="I11" s="8">
        <f>'[1]6_VHT'!G9</f>
        <v>47582.686964506589</v>
      </c>
      <c r="J11" s="4">
        <f>'[1]6_VHT'!H9</f>
        <v>1.4541799341990661E-2</v>
      </c>
      <c r="K11" s="6">
        <f>'[1]6_VHT'!I9</f>
        <v>0.87250796051943968</v>
      </c>
    </row>
    <row r="12" spans="3:11" x14ac:dyDescent="0.25">
      <c r="C12">
        <f>'[1]6_VHT'!A10</f>
        <v>259</v>
      </c>
      <c r="D12">
        <f>'[1]6_VHT'!B10</f>
        <v>9</v>
      </c>
      <c r="E12" t="str">
        <f>'[1]6_VHT'!C10</f>
        <v>LocalRamp</v>
      </c>
      <c r="F12" s="8">
        <f>'[1]6_VHT'!D10</f>
        <v>156560.93844132451</v>
      </c>
      <c r="G12" s="8">
        <f>'[1]6_VHT'!E10</f>
        <v>10541.346131700569</v>
      </c>
      <c r="H12" s="8">
        <f>'[1]6_VHT'!F10</f>
        <v>112.53810647624719</v>
      </c>
      <c r="I12" s="8">
        <f>'[1]6_VHT'!G10</f>
        <v>167214.82267950129</v>
      </c>
      <c r="J12" s="4">
        <f>'[1]6_VHT'!H10</f>
        <v>5.1102713056655827E-2</v>
      </c>
      <c r="K12" s="6">
        <f>'[1]6_VHT'!I10</f>
        <v>3.0661627833993501</v>
      </c>
    </row>
    <row r="13" spans="3:11" x14ac:dyDescent="0.25">
      <c r="C13">
        <f>'[1]6_VHT'!A11</f>
        <v>259</v>
      </c>
      <c r="D13">
        <f>'[1]6_VHT'!B11</f>
        <v>10</v>
      </c>
      <c r="E13" t="str">
        <f>'[1]6_VHT'!C11</f>
        <v>ZoneConnector</v>
      </c>
      <c r="F13" s="8">
        <f>'[1]6_VHT'!D11</f>
        <v>152874.87012535901</v>
      </c>
      <c r="G13" s="8">
        <f>'[1]6_VHT'!E11</f>
        <v>7933.4372665423443</v>
      </c>
      <c r="H13" s="8">
        <f>'[1]6_VHT'!F11</f>
        <v>0</v>
      </c>
      <c r="I13" s="8">
        <f>'[1]6_VHT'!G11</f>
        <v>160808.30739190141</v>
      </c>
      <c r="J13" s="4">
        <f>'[1]6_VHT'!H11</f>
        <v>4.9144810598075309E-2</v>
      </c>
      <c r="K13" s="6">
        <f>'[1]6_VHT'!I11</f>
        <v>2.948688635884519</v>
      </c>
    </row>
    <row r="14" spans="3:11" x14ac:dyDescent="0.25">
      <c r="C14" s="11">
        <f>'[1]6_VHT'!A12</f>
        <v>259</v>
      </c>
      <c r="D14" s="11">
        <f>'[1]6_VHT'!B12</f>
        <v>100</v>
      </c>
      <c r="E14" s="11" t="str">
        <f>'[1]6_VHT'!C12</f>
        <v>AllClasses</v>
      </c>
      <c r="F14" s="12">
        <f>'[1]6_VHT'!D12</f>
        <v>2397139.2488413509</v>
      </c>
      <c r="G14" s="12">
        <f>'[1]6_VHT'!E12</f>
        <v>166456.2881558481</v>
      </c>
      <c r="H14" s="12">
        <f>'[1]6_VHT'!F12</f>
        <v>5118.4565530705568</v>
      </c>
      <c r="I14" s="12">
        <f>'[1]6_VHT'!G12</f>
        <v>2568713.9935502699</v>
      </c>
      <c r="J14" s="27">
        <f>'[1]6_VHT'!H12</f>
        <v>0.78502761916397945</v>
      </c>
      <c r="K14" s="7">
        <f>'[1]6_VHT'!I12</f>
        <v>47.101657149838758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499984740745262"/>
  </sheetPr>
  <dimension ref="C3:K15"/>
  <sheetViews>
    <sheetView showGridLines="0" workbookViewId="0">
      <selection activeCell="F9" sqref="F9"/>
    </sheetView>
  </sheetViews>
  <sheetFormatPr defaultRowHeight="15" x14ac:dyDescent="0.25"/>
  <cols>
    <col min="1" max="1" width="27.140625" customWidth="1"/>
    <col min="3" max="3" width="13.42578125" bestFit="1" customWidth="1"/>
    <col min="4" max="4" width="5.42578125" bestFit="1" customWidth="1"/>
    <col min="5" max="5" width="23.140625" bestFit="1" customWidth="1"/>
    <col min="6" max="6" width="11.5703125" style="8" bestFit="1" customWidth="1"/>
    <col min="7" max="7" width="12" style="8" bestFit="1" customWidth="1"/>
    <col min="8" max="8" width="10.7109375" style="8" bestFit="1" customWidth="1"/>
    <col min="9" max="9" width="9.7109375" style="8" bestFit="1" customWidth="1"/>
    <col min="10" max="10" width="17" style="4" bestFit="1" customWidth="1"/>
    <col min="11" max="11" width="30.7109375" style="6" bestFit="1" customWidth="1"/>
  </cols>
  <sheetData>
    <row r="3" spans="3:11" x14ac:dyDescent="0.25">
      <c r="C3" s="8" t="s">
        <v>2</v>
      </c>
      <c r="D3" s="8" t="s">
        <v>43</v>
      </c>
      <c r="E3" s="8" t="s">
        <v>44</v>
      </c>
      <c r="F3" s="8" t="s">
        <v>55</v>
      </c>
      <c r="G3" s="8" t="s">
        <v>56</v>
      </c>
      <c r="H3" s="8" t="s">
        <v>57</v>
      </c>
      <c r="I3" s="8" t="s">
        <v>58</v>
      </c>
      <c r="J3" s="8" t="s">
        <v>59</v>
      </c>
      <c r="K3" s="6" t="s">
        <v>82</v>
      </c>
    </row>
    <row r="4" spans="3:11" x14ac:dyDescent="0.25">
      <c r="C4">
        <f>'[1]7_VHD'!A2</f>
        <v>259</v>
      </c>
      <c r="D4">
        <f>'[1]7_VHD'!B2</f>
        <v>1</v>
      </c>
      <c r="E4" t="str">
        <f>'[1]7_VHD'!C2</f>
        <v>Freeway</v>
      </c>
      <c r="F4" s="8">
        <f>'[1]7_VHD'!D2</f>
        <v>61708.056958983863</v>
      </c>
      <c r="G4" s="8">
        <f>'[1]7_VHD'!E2</f>
        <v>5572.4196644710901</v>
      </c>
      <c r="H4" s="8">
        <f>'[1]7_VHD'!F2</f>
        <v>11.05678273116928</v>
      </c>
      <c r="I4" s="8">
        <f>'[1]7_VHD'!G2</f>
        <v>67291.533406186121</v>
      </c>
      <c r="J4" s="4">
        <f>'[1]7_VHD'!H2</f>
        <v>2.056504242682939E-2</v>
      </c>
      <c r="K4" s="6">
        <f>'[1]7_VHD'!I2</f>
        <v>1.2339025456097641</v>
      </c>
    </row>
    <row r="5" spans="3:11" x14ac:dyDescent="0.25">
      <c r="C5">
        <f>'[1]7_VHD'!A3</f>
        <v>259</v>
      </c>
      <c r="D5">
        <f>'[1]7_VHD'!B3</f>
        <v>2</v>
      </c>
      <c r="E5" t="str">
        <f>'[1]7_VHD'!C3</f>
        <v>PrimeArterial</v>
      </c>
      <c r="F5" s="8">
        <f>'[1]7_VHD'!D3</f>
        <v>75065.367471525242</v>
      </c>
      <c r="G5" s="8">
        <f>'[1]7_VHD'!E3</f>
        <v>5060.5560176226954</v>
      </c>
      <c r="H5" s="8">
        <f>'[1]7_VHD'!F3</f>
        <v>125.6861773189468</v>
      </c>
      <c r="I5" s="8">
        <f>'[1]7_VHD'!G3</f>
        <v>80251.609666466873</v>
      </c>
      <c r="J5" s="4">
        <f>'[1]7_VHD'!H3</f>
        <v>2.4525786143855709E-2</v>
      </c>
      <c r="K5" s="6">
        <f>'[1]7_VHD'!I3</f>
        <v>1.471547168631343</v>
      </c>
    </row>
    <row r="6" spans="3:11" x14ac:dyDescent="0.25">
      <c r="C6">
        <f>'[1]7_VHD'!A4</f>
        <v>259</v>
      </c>
      <c r="D6">
        <f>'[1]7_VHD'!B4</f>
        <v>3</v>
      </c>
      <c r="E6" t="str">
        <f>'[1]7_VHD'!C4</f>
        <v>MajorArterial</v>
      </c>
      <c r="F6" s="8">
        <f>'[1]7_VHD'!D4</f>
        <v>150146.1267629682</v>
      </c>
      <c r="G6" s="8">
        <f>'[1]7_VHD'!E4</f>
        <v>7366.7533197673383</v>
      </c>
      <c r="H6" s="8">
        <f>'[1]7_VHD'!F4</f>
        <v>621.73557081295337</v>
      </c>
      <c r="I6" s="8">
        <f>'[1]7_VHD'!G4</f>
        <v>158134.61565354851</v>
      </c>
      <c r="J6" s="4">
        <f>'[1]7_VHD'!H4</f>
        <v>4.8327700610350827E-2</v>
      </c>
      <c r="K6" s="6">
        <f>'[1]7_VHD'!I4</f>
        <v>2.8996620366210499</v>
      </c>
    </row>
    <row r="7" spans="3:11" x14ac:dyDescent="0.25">
      <c r="C7">
        <f>'[1]7_VHD'!A5</f>
        <v>259</v>
      </c>
      <c r="D7">
        <f>'[1]7_VHD'!B5</f>
        <v>4</v>
      </c>
      <c r="E7" t="str">
        <f>'[1]7_VHD'!C5</f>
        <v>Collector</v>
      </c>
      <c r="F7" s="8">
        <f>'[1]7_VHD'!D5</f>
        <v>53794.602263366178</v>
      </c>
      <c r="G7" s="8">
        <f>'[1]7_VHD'!E5</f>
        <v>2736.512611621265</v>
      </c>
      <c r="H7" s="8">
        <f>'[1]7_VHD'!F5</f>
        <v>213.69560217364321</v>
      </c>
      <c r="I7" s="8">
        <f>'[1]7_VHD'!G5</f>
        <v>56744.810477161089</v>
      </c>
      <c r="J7" s="4">
        <f>'[1]7_VHD'!H5</f>
        <v>1.7341846379412891E-2</v>
      </c>
      <c r="K7" s="6">
        <f>'[1]7_VHD'!I5</f>
        <v>1.0405107827647739</v>
      </c>
    </row>
    <row r="8" spans="3:11" x14ac:dyDescent="0.25">
      <c r="C8">
        <f>'[1]7_VHD'!A6</f>
        <v>259</v>
      </c>
      <c r="D8">
        <f>'[1]7_VHD'!B6</f>
        <v>5</v>
      </c>
      <c r="E8" t="str">
        <f>'[1]7_VHD'!C6</f>
        <v>LocalCollector</v>
      </c>
      <c r="F8" s="8">
        <f>'[1]7_VHD'!D6</f>
        <v>35916.608013730292</v>
      </c>
      <c r="G8" s="8">
        <f>'[1]7_VHD'!E6</f>
        <v>1479.463042697389</v>
      </c>
      <c r="H8" s="8">
        <f>'[1]7_VHD'!F6</f>
        <v>107.7035231663436</v>
      </c>
      <c r="I8" s="8">
        <f>'[1]7_VHD'!G6</f>
        <v>37503.774579594021</v>
      </c>
      <c r="J8" s="4">
        <f>'[1]7_VHD'!H6</f>
        <v>1.1461571409586769E-2</v>
      </c>
      <c r="K8" s="6">
        <f>'[1]7_VHD'!I6</f>
        <v>0.68769428457520709</v>
      </c>
    </row>
    <row r="9" spans="3:11" x14ac:dyDescent="0.25">
      <c r="C9">
        <f>'[1]7_VHD'!A7</f>
        <v>259</v>
      </c>
      <c r="D9">
        <f>'[1]7_VHD'!B7</f>
        <v>6</v>
      </c>
      <c r="E9" t="str">
        <f>'[1]7_VHD'!C7</f>
        <v>RuralCollector</v>
      </c>
      <c r="F9" s="8">
        <f>'[1]7_VHD'!D7</f>
        <v>1713.425076517387</v>
      </c>
      <c r="G9" s="8">
        <f>'[1]7_VHD'!E7</f>
        <v>63.658745064677028</v>
      </c>
      <c r="H9" s="8">
        <f>'[1]7_VHD'!F7</f>
        <v>0.14818061532734769</v>
      </c>
      <c r="I9" s="8">
        <f>'[1]7_VHD'!G7</f>
        <v>1777.232002197391</v>
      </c>
      <c r="J9" s="4">
        <f>'[1]7_VHD'!H7</f>
        <v>5.4314190325982796E-4</v>
      </c>
      <c r="K9" s="6">
        <f>'[1]7_VHD'!I7</f>
        <v>3.2588514195589752E-2</v>
      </c>
    </row>
    <row r="10" spans="3:11" x14ac:dyDescent="0.25">
      <c r="C10">
        <f>'[1]7_VHD'!A8</f>
        <v>259</v>
      </c>
      <c r="D10">
        <f>'[1]7_VHD'!B8</f>
        <v>7</v>
      </c>
      <c r="E10" t="str">
        <f>'[1]7_VHD'!C8</f>
        <v>LocalRoad</v>
      </c>
      <c r="F10" s="8">
        <f>'[1]7_VHD'!D8</f>
        <v>71943.569135218946</v>
      </c>
      <c r="G10" s="8">
        <f>'[1]7_VHD'!E8</f>
        <v>3719.4145370708388</v>
      </c>
      <c r="H10" s="8">
        <f>'[1]7_VHD'!F8</f>
        <v>77.382169987776621</v>
      </c>
      <c r="I10" s="8">
        <f>'[1]7_VHD'!G8</f>
        <v>75740.365842277562</v>
      </c>
      <c r="J10" s="4">
        <f>'[1]7_VHD'!H8</f>
        <v>2.3147099763175048E-2</v>
      </c>
      <c r="K10" s="6">
        <f>'[1]7_VHD'!I8</f>
        <v>1.3888259857905041</v>
      </c>
    </row>
    <row r="11" spans="3:11" x14ac:dyDescent="0.25">
      <c r="C11">
        <f>'[1]7_VHD'!A9</f>
        <v>259</v>
      </c>
      <c r="D11">
        <f>'[1]7_VHD'!B9</f>
        <v>8</v>
      </c>
      <c r="E11" t="str">
        <f>'[1]7_VHD'!C9</f>
        <v>FreewayConnectorRamp</v>
      </c>
      <c r="F11" s="8">
        <f>'[1]7_VHD'!D9</f>
        <v>10053.050605055911</v>
      </c>
      <c r="G11" s="8">
        <f>'[1]7_VHD'!E9</f>
        <v>807.81004375585439</v>
      </c>
      <c r="H11" s="8">
        <f>'[1]7_VHD'!F9</f>
        <v>1.315434389657183</v>
      </c>
      <c r="I11" s="8">
        <f>'[1]7_VHD'!G9</f>
        <v>10862.176083201421</v>
      </c>
      <c r="J11" s="4">
        <f>'[1]7_VHD'!H9</f>
        <v>3.3196020463726471E-3</v>
      </c>
      <c r="K11" s="6">
        <f>'[1]7_VHD'!I9</f>
        <v>0.1991761227823588</v>
      </c>
    </row>
    <row r="12" spans="3:11" x14ac:dyDescent="0.25">
      <c r="C12">
        <f>'[1]7_VHD'!A10</f>
        <v>259</v>
      </c>
      <c r="D12">
        <f>'[1]7_VHD'!B10</f>
        <v>9</v>
      </c>
      <c r="E12" t="str">
        <f>'[1]7_VHD'!C10</f>
        <v>LocalRamp</v>
      </c>
      <c r="F12" s="8">
        <f>'[1]7_VHD'!D10</f>
        <v>73617.547869423244</v>
      </c>
      <c r="G12" s="8">
        <f>'[1]7_VHD'!E10</f>
        <v>4577.0923530780437</v>
      </c>
      <c r="H12" s="8">
        <f>'[1]7_VHD'!F10</f>
        <v>46.413972812862788</v>
      </c>
      <c r="I12" s="8">
        <f>'[1]7_VHD'!G10</f>
        <v>78241.054195314151</v>
      </c>
      <c r="J12" s="4">
        <f>'[1]7_VHD'!H10</f>
        <v>2.391133798860013E-2</v>
      </c>
      <c r="K12" s="6">
        <f>'[1]7_VHD'!I10</f>
        <v>1.4346802793160081</v>
      </c>
    </row>
    <row r="13" spans="3:11" x14ac:dyDescent="0.25">
      <c r="C13" s="1">
        <f>'[1]7_VHD'!A11</f>
        <v>259</v>
      </c>
      <c r="D13" s="1">
        <f>'[1]7_VHD'!B11</f>
        <v>10</v>
      </c>
      <c r="E13" s="1" t="str">
        <f>'[1]7_VHD'!C11</f>
        <v>ZoneConnector</v>
      </c>
      <c r="F13" s="8">
        <f>'[1]7_VHD'!D11</f>
        <v>0</v>
      </c>
      <c r="G13" s="8">
        <f>'[1]7_VHD'!E11</f>
        <v>0</v>
      </c>
      <c r="H13" s="8">
        <f>'[1]7_VHD'!F11</f>
        <v>0</v>
      </c>
      <c r="I13" s="8">
        <f>'[1]7_VHD'!G11</f>
        <v>0</v>
      </c>
      <c r="J13" s="4">
        <f>'[1]7_VHD'!H11</f>
        <v>0</v>
      </c>
      <c r="K13" s="6">
        <f>'[1]7_VHD'!I11</f>
        <v>0</v>
      </c>
    </row>
    <row r="14" spans="3:11" x14ac:dyDescent="0.25">
      <c r="C14" s="1">
        <f>'[1]7_VHD'!A12</f>
        <v>259</v>
      </c>
      <c r="D14" s="1">
        <f>'[1]7_VHD'!B12</f>
        <v>100</v>
      </c>
      <c r="E14" s="1" t="str">
        <f>'[1]7_VHD'!C12</f>
        <v>AllClasses</v>
      </c>
      <c r="F14" s="8">
        <f>'[1]7_VHD'!D12</f>
        <v>533958.35415678925</v>
      </c>
      <c r="G14" s="8">
        <f>'[1]7_VHD'!E12</f>
        <v>31383.680335149191</v>
      </c>
      <c r="H14" s="8">
        <f>'[1]7_VHD'!F12</f>
        <v>1205.13741400868</v>
      </c>
      <c r="I14" s="8">
        <f>'[1]7_VHD'!G12</f>
        <v>566547.17190594715</v>
      </c>
      <c r="J14" s="4">
        <f>'[1]7_VHD'!H12</f>
        <v>0.17314312867144321</v>
      </c>
      <c r="K14" s="6">
        <f>'[1]7_VHD'!I12</f>
        <v>10.388587720286599</v>
      </c>
    </row>
    <row r="15" spans="3:11" s="28" customFormat="1" x14ac:dyDescent="0.25">
      <c r="F15" s="29"/>
      <c r="G15" s="29"/>
      <c r="H15" s="29"/>
      <c r="I15" s="29"/>
      <c r="J15" s="30"/>
      <c r="K15" s="3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79998168889431442"/>
  </sheetPr>
  <dimension ref="C3:M14"/>
  <sheetViews>
    <sheetView showGridLines="0" workbookViewId="0">
      <selection activeCell="F6" sqref="F6"/>
    </sheetView>
  </sheetViews>
  <sheetFormatPr defaultRowHeight="15" x14ac:dyDescent="0.25"/>
  <cols>
    <col min="1" max="1" width="27.5703125" customWidth="1"/>
    <col min="3" max="3" width="13.42578125" bestFit="1" customWidth="1"/>
    <col min="4" max="4" width="10.140625" bestFit="1" customWidth="1"/>
    <col min="5" max="5" width="12.42578125" bestFit="1" customWidth="1"/>
    <col min="6" max="6" width="16.5703125" bestFit="1" customWidth="1"/>
    <col min="7" max="7" width="11.28515625" bestFit="1" customWidth="1"/>
    <col min="8" max="8" width="16.42578125" bestFit="1" customWidth="1"/>
    <col min="9" max="9" width="15.5703125" bestFit="1" customWidth="1"/>
    <col min="10" max="10" width="22.42578125" bestFit="1" customWidth="1"/>
    <col min="11" max="11" width="13.5703125" bestFit="1" customWidth="1"/>
    <col min="12" max="12" width="11.28515625" style="8" bestFit="1" customWidth="1"/>
    <col min="13" max="13" width="16.5703125" style="8" bestFit="1" customWidth="1"/>
  </cols>
  <sheetData>
    <row r="3" spans="3:13" x14ac:dyDescent="0.25">
      <c r="C3" t="s">
        <v>2</v>
      </c>
      <c r="D3" t="s">
        <v>83</v>
      </c>
      <c r="E3" t="s">
        <v>84</v>
      </c>
      <c r="F3" t="s">
        <v>37</v>
      </c>
      <c r="G3" t="s">
        <v>38</v>
      </c>
      <c r="H3" t="s">
        <v>85</v>
      </c>
      <c r="I3" t="s">
        <v>86</v>
      </c>
      <c r="J3" t="s">
        <v>87</v>
      </c>
      <c r="K3" t="s">
        <v>41</v>
      </c>
      <c r="L3" s="1" t="s">
        <v>39</v>
      </c>
      <c r="M3" s="1" t="s">
        <v>40</v>
      </c>
    </row>
    <row r="4" spans="3:13" x14ac:dyDescent="0.25">
      <c r="C4">
        <f>'[1]8_TransitBoardingByMode'!A2</f>
        <v>259</v>
      </c>
      <c r="D4">
        <f>'[1]8_TransitBoardingByMode'!B2</f>
        <v>2</v>
      </c>
      <c r="E4" t="str">
        <f>'[1]8_TransitBoardingByMode'!C2</f>
        <v>EA</v>
      </c>
      <c r="F4" s="8">
        <f>'[1]8_TransitBoardingByMode'!D2</f>
        <v>398.45176700000002</v>
      </c>
      <c r="G4" s="8">
        <f>'[1]8_TransitBoardingByMode'!E2</f>
        <v>5650.207539</v>
      </c>
      <c r="H4" s="8">
        <f>'[1]8_TransitBoardingByMode'!F2</f>
        <v>577.59171200000003</v>
      </c>
      <c r="I4" s="8">
        <f>'[1]8_TransitBoardingByMode'!G2</f>
        <v>455.76918699999999</v>
      </c>
      <c r="J4" s="8">
        <f>'[1]8_TransitBoardingByMode'!H2</f>
        <v>0</v>
      </c>
      <c r="K4" s="8">
        <f>'[1]8_TransitBoardingByMode'!I2</f>
        <v>1002.140597</v>
      </c>
      <c r="L4" s="8">
        <f>'[1]8_TransitBoardingByMode'!J2</f>
        <v>5953.9828010000001</v>
      </c>
      <c r="M4" s="8">
        <f>'[1]8_TransitBoardingByMode'!K2</f>
        <v>14038.143603</v>
      </c>
    </row>
    <row r="5" spans="3:13" x14ac:dyDescent="0.25">
      <c r="C5">
        <f>'[1]8_TransitBoardingByMode'!A3</f>
        <v>259</v>
      </c>
      <c r="D5">
        <f>'[1]8_TransitBoardingByMode'!B3</f>
        <v>3</v>
      </c>
      <c r="E5" t="str">
        <f>'[1]8_TransitBoardingByMode'!C3</f>
        <v>AM</v>
      </c>
      <c r="F5" s="8">
        <f>'[1]8_TransitBoardingByMode'!D3</f>
        <v>1890.0681440000001</v>
      </c>
      <c r="G5" s="8">
        <f>'[1]8_TransitBoardingByMode'!E3</f>
        <v>23683.276905999999</v>
      </c>
      <c r="H5" s="8">
        <f>'[1]8_TransitBoardingByMode'!F3</f>
        <v>2968.0031450000001</v>
      </c>
      <c r="I5" s="8">
        <f>'[1]8_TransitBoardingByMode'!G3</f>
        <v>2989.9833100000001</v>
      </c>
      <c r="J5" s="8">
        <f>'[1]8_TransitBoardingByMode'!H3</f>
        <v>44.993527</v>
      </c>
      <c r="K5" s="8">
        <f>'[1]8_TransitBoardingByMode'!I3</f>
        <v>4562.4589050000004</v>
      </c>
      <c r="L5" s="8">
        <f>'[1]8_TransitBoardingByMode'!J3</f>
        <v>30600.709698999999</v>
      </c>
      <c r="M5" s="8">
        <f>'[1]8_TransitBoardingByMode'!K3</f>
        <v>66739.493635999999</v>
      </c>
    </row>
    <row r="6" spans="3:13" x14ac:dyDescent="0.25">
      <c r="C6">
        <f>'[1]8_TransitBoardingByMode'!A4</f>
        <v>259</v>
      </c>
      <c r="D6">
        <f>'[1]8_TransitBoardingByMode'!B4</f>
        <v>4</v>
      </c>
      <c r="E6" t="str">
        <f>'[1]8_TransitBoardingByMode'!C4</f>
        <v>MD</v>
      </c>
      <c r="F6" s="8">
        <f>'[1]8_TransitBoardingByMode'!D4</f>
        <v>753.40213100000005</v>
      </c>
      <c r="G6" s="8">
        <f>'[1]8_TransitBoardingByMode'!E4</f>
        <v>35514.156172000003</v>
      </c>
      <c r="H6" s="8">
        <f>'[1]8_TransitBoardingByMode'!F4</f>
        <v>2680.7008850000002</v>
      </c>
      <c r="I6" s="8">
        <f>'[1]8_TransitBoardingByMode'!G4</f>
        <v>5019.7662289999998</v>
      </c>
      <c r="J6" s="8">
        <f>'[1]8_TransitBoardingByMode'!H4</f>
        <v>0</v>
      </c>
      <c r="K6" s="8">
        <f>'[1]8_TransitBoardingByMode'!I4</f>
        <v>5290.5563089999996</v>
      </c>
      <c r="L6" s="8">
        <f>'[1]8_TransitBoardingByMode'!J4</f>
        <v>58799.565930999997</v>
      </c>
      <c r="M6" s="8">
        <f>'[1]8_TransitBoardingByMode'!K4</f>
        <v>108058.14765699999</v>
      </c>
    </row>
    <row r="7" spans="3:13" x14ac:dyDescent="0.25">
      <c r="C7">
        <f>'[1]8_TransitBoardingByMode'!A5</f>
        <v>259</v>
      </c>
      <c r="D7">
        <f>'[1]8_TransitBoardingByMode'!B5</f>
        <v>5</v>
      </c>
      <c r="E7" t="str">
        <f>'[1]8_TransitBoardingByMode'!C5</f>
        <v>PM</v>
      </c>
      <c r="F7" s="8">
        <f>'[1]8_TransitBoardingByMode'!D5</f>
        <v>1884.6275800000001</v>
      </c>
      <c r="G7" s="8">
        <f>'[1]8_TransitBoardingByMode'!E5</f>
        <v>33908.181530000002</v>
      </c>
      <c r="H7" s="8">
        <f>'[1]8_TransitBoardingByMode'!F5</f>
        <v>3796.5300999999999</v>
      </c>
      <c r="I7" s="8">
        <f>'[1]8_TransitBoardingByMode'!G5</f>
        <v>4472.3177429999996</v>
      </c>
      <c r="J7" s="8">
        <f>'[1]8_TransitBoardingByMode'!H5</f>
        <v>125.489087</v>
      </c>
      <c r="K7" s="8">
        <f>'[1]8_TransitBoardingByMode'!I5</f>
        <v>5885.4841130000004</v>
      </c>
      <c r="L7" s="8">
        <f>'[1]8_TransitBoardingByMode'!J5</f>
        <v>49086.746249999997</v>
      </c>
      <c r="M7" s="8">
        <f>'[1]8_TransitBoardingByMode'!K5</f>
        <v>99159.376403000002</v>
      </c>
    </row>
    <row r="8" spans="3:13" x14ac:dyDescent="0.25">
      <c r="C8">
        <f>'[1]8_TransitBoardingByMode'!A6</f>
        <v>259</v>
      </c>
      <c r="D8">
        <f>'[1]8_TransitBoardingByMode'!B6</f>
        <v>6</v>
      </c>
      <c r="E8" t="str">
        <f>'[1]8_TransitBoardingByMode'!C6</f>
        <v>EV</v>
      </c>
      <c r="F8" s="8">
        <f>'[1]8_TransitBoardingByMode'!D6</f>
        <v>299</v>
      </c>
      <c r="G8" s="8">
        <f>'[1]8_TransitBoardingByMode'!E6</f>
        <v>19296.63206</v>
      </c>
      <c r="H8" s="8">
        <f>'[1]8_TransitBoardingByMode'!F6</f>
        <v>1333.047746</v>
      </c>
      <c r="I8" s="8">
        <f>'[1]8_TransitBoardingByMode'!G6</f>
        <v>2278.504985</v>
      </c>
      <c r="J8" s="8">
        <f>'[1]8_TransitBoardingByMode'!H6</f>
        <v>0</v>
      </c>
      <c r="K8" s="8">
        <f>'[1]8_TransitBoardingByMode'!I6</f>
        <v>2379.6563970000002</v>
      </c>
      <c r="L8" s="8">
        <f>'[1]8_TransitBoardingByMode'!J6</f>
        <v>27661.9427</v>
      </c>
      <c r="M8" s="8">
        <f>'[1]8_TransitBoardingByMode'!K6</f>
        <v>53248.783887999998</v>
      </c>
    </row>
    <row r="9" spans="3:13" x14ac:dyDescent="0.25">
      <c r="C9" s="9">
        <f>'[1]8_TransitBoardingByMode'!A7</f>
        <v>259</v>
      </c>
      <c r="D9" s="9">
        <f>'[1]8_TransitBoardingByMode'!B7</f>
        <v>100</v>
      </c>
      <c r="E9" s="9" t="str">
        <f>'[1]8_TransitBoardingByMode'!C7</f>
        <v>Day</v>
      </c>
      <c r="F9" s="10">
        <f>'[1]8_TransitBoardingByMode'!D7</f>
        <v>5225.5496220000005</v>
      </c>
      <c r="G9" s="10">
        <f>'[1]8_TransitBoardingByMode'!E7</f>
        <v>118052.454207</v>
      </c>
      <c r="H9" s="10">
        <f>'[1]8_TransitBoardingByMode'!F7</f>
        <v>11355.873588</v>
      </c>
      <c r="I9" s="10">
        <f>'[1]8_TransitBoardingByMode'!G7</f>
        <v>15216.341453999999</v>
      </c>
      <c r="J9" s="10">
        <f>'[1]8_TransitBoardingByMode'!H7</f>
        <v>170.48261400000001</v>
      </c>
      <c r="K9" s="10">
        <f>'[1]8_TransitBoardingByMode'!I7</f>
        <v>19120.296321000002</v>
      </c>
      <c r="L9" s="10">
        <f>'[1]8_TransitBoardingByMode'!J7</f>
        <v>172102.94738100001</v>
      </c>
      <c r="M9" s="10">
        <f>'[1]8_TransitBoardingByMode'!K7</f>
        <v>341243.94518699998</v>
      </c>
    </row>
    <row r="14" spans="3:13" x14ac:dyDescent="0.25">
      <c r="K14" s="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C1:O15"/>
  <sheetViews>
    <sheetView showGridLines="0" zoomScale="90" zoomScaleNormal="90" workbookViewId="0">
      <selection activeCell="F7" sqref="F7"/>
    </sheetView>
  </sheetViews>
  <sheetFormatPr defaultRowHeight="15" x14ac:dyDescent="0.25"/>
  <cols>
    <col min="1" max="1" width="30.85546875" customWidth="1"/>
    <col min="3" max="3" width="13.42578125" bestFit="1" customWidth="1"/>
    <col min="4" max="4" width="16" customWidth="1"/>
    <col min="5" max="5" width="20.28515625" customWidth="1"/>
    <col min="6" max="6" width="13.28515625" bestFit="1" customWidth="1"/>
    <col min="7" max="7" width="17.140625" style="1" bestFit="1" customWidth="1"/>
    <col min="8" max="8" width="25" style="1" bestFit="1" customWidth="1"/>
    <col min="9" max="9" width="12.5703125" style="1" bestFit="1" customWidth="1"/>
    <col min="10" max="10" width="16.28515625" style="1" bestFit="1" customWidth="1"/>
    <col min="11" max="11" width="24.140625" style="1" bestFit="1" customWidth="1"/>
    <col min="12" max="12" width="12.5703125" style="1" bestFit="1" customWidth="1"/>
    <col min="13" max="13" width="16.28515625" style="1" bestFit="1" customWidth="1"/>
    <col min="14" max="14" width="24.140625" style="1" bestFit="1" customWidth="1"/>
    <col min="15" max="15" width="18.140625" style="1" bestFit="1" customWidth="1"/>
    <col min="16" max="16" width="18.140625" customWidth="1"/>
    <col min="17" max="17" width="17.5703125" customWidth="1"/>
    <col min="18" max="18" width="26.42578125" customWidth="1"/>
    <col min="19" max="19" width="15.7109375" customWidth="1"/>
    <col min="20" max="20" width="22.42578125" customWidth="1"/>
    <col min="21" max="21" width="31.28515625" customWidth="1"/>
    <col min="22" max="22" width="15.7109375" customWidth="1"/>
    <col min="23" max="23" width="22.42578125" customWidth="1"/>
    <col min="24" max="24" width="31.28515625" customWidth="1"/>
    <col min="25" max="25" width="18.140625" customWidth="1"/>
  </cols>
  <sheetData>
    <row r="1" spans="3:15" x14ac:dyDescent="0.25">
      <c r="F1" s="1"/>
      <c r="O1"/>
    </row>
    <row r="2" spans="3:15" x14ac:dyDescent="0.25">
      <c r="F2" s="1"/>
      <c r="O2"/>
    </row>
    <row r="3" spans="3:15" x14ac:dyDescent="0.25">
      <c r="C3" t="s">
        <v>2</v>
      </c>
      <c r="D3" t="s">
        <v>75</v>
      </c>
      <c r="E3" t="s">
        <v>76</v>
      </c>
      <c r="F3" s="1" t="s">
        <v>88</v>
      </c>
      <c r="G3" s="1" t="s">
        <v>89</v>
      </c>
      <c r="H3" s="1" t="s">
        <v>90</v>
      </c>
      <c r="I3" s="1" t="s">
        <v>91</v>
      </c>
      <c r="J3" s="1" t="s">
        <v>92</v>
      </c>
      <c r="K3" s="1" t="s">
        <v>93</v>
      </c>
      <c r="L3" s="1" t="s">
        <v>94</v>
      </c>
      <c r="M3" s="1" t="s">
        <v>95</v>
      </c>
      <c r="N3" s="1" t="s">
        <v>96</v>
      </c>
      <c r="O3" t="s">
        <v>42</v>
      </c>
    </row>
    <row r="4" spans="3:15" x14ac:dyDescent="0.25">
      <c r="C4">
        <f>'[1]9_TransitTripsbyMode'!A2</f>
        <v>259</v>
      </c>
      <c r="D4">
        <f>'[1]9_TransitTripsbyMode'!B2</f>
        <v>1</v>
      </c>
      <c r="E4" t="str">
        <f>'[1]9_TransitTripsbyMode'!C2</f>
        <v xml:space="preserve">Individual          </v>
      </c>
      <c r="F4" s="1">
        <f>'[1]9_TransitTripsbyMode'!D2</f>
        <v>70773</v>
      </c>
      <c r="G4" s="1">
        <f>'[1]9_TransitTripsbyMode'!E2</f>
        <v>38825</v>
      </c>
      <c r="H4" s="1">
        <f>'[1]9_TransitTripsbyMode'!F2</f>
        <v>27193</v>
      </c>
      <c r="I4" s="1">
        <f>'[1]9_TransitTripsbyMode'!G2</f>
        <v>2513</v>
      </c>
      <c r="J4" s="1">
        <f>'[1]9_TransitTripsbyMode'!H2</f>
        <v>10564</v>
      </c>
      <c r="K4" s="1">
        <f>'[1]9_TransitTripsbyMode'!I2</f>
        <v>1808</v>
      </c>
      <c r="L4" s="1">
        <f>'[1]9_TransitTripsbyMode'!J2</f>
        <v>4356</v>
      </c>
      <c r="M4" s="1">
        <f>'[1]9_TransitTripsbyMode'!K2</f>
        <v>20663</v>
      </c>
      <c r="N4" s="1">
        <f>'[1]9_TransitTripsbyMode'!L2</f>
        <v>2544</v>
      </c>
      <c r="O4">
        <f>'[1]9_TransitTripsbyMode'!M2</f>
        <v>179239</v>
      </c>
    </row>
    <row r="5" spans="3:15" x14ac:dyDescent="0.25">
      <c r="C5">
        <f>'[1]9_TransitTripsbyMode'!A3</f>
        <v>259</v>
      </c>
      <c r="D5">
        <f>'[1]9_TransitTripsbyMode'!B3</f>
        <v>2</v>
      </c>
      <c r="E5" t="str">
        <f>'[1]9_TransitTripsbyMode'!C3</f>
        <v xml:space="preserve">Joint               </v>
      </c>
      <c r="F5" s="1">
        <f>'[1]9_TransitTripsbyMode'!D3</f>
        <v>10955</v>
      </c>
      <c r="G5" s="1">
        <f>'[1]9_TransitTripsbyMode'!E3</f>
        <v>4346</v>
      </c>
      <c r="H5" s="1">
        <f>'[1]9_TransitTripsbyMode'!F3</f>
        <v>2916</v>
      </c>
      <c r="I5" s="1">
        <f>'[1]9_TransitTripsbyMode'!G3</f>
        <v>0</v>
      </c>
      <c r="J5" s="1">
        <f>'[1]9_TransitTripsbyMode'!H3</f>
        <v>0</v>
      </c>
      <c r="K5" s="1">
        <f>'[1]9_TransitTripsbyMode'!I3</f>
        <v>0</v>
      </c>
      <c r="L5" s="1">
        <f>'[1]9_TransitTripsbyMode'!J3</f>
        <v>1635</v>
      </c>
      <c r="M5" s="1">
        <f>'[1]9_TransitTripsbyMode'!K3</f>
        <v>3645</v>
      </c>
      <c r="N5" s="1">
        <f>'[1]9_TransitTripsbyMode'!L3</f>
        <v>1021</v>
      </c>
      <c r="O5">
        <f>'[1]9_TransitTripsbyMode'!M3</f>
        <v>24518</v>
      </c>
    </row>
    <row r="6" spans="3:15" x14ac:dyDescent="0.25">
      <c r="C6">
        <f>'[1]9_TransitTripsbyMode'!A4</f>
        <v>259</v>
      </c>
      <c r="D6">
        <f>'[1]9_TransitTripsbyMode'!B4</f>
        <v>3</v>
      </c>
      <c r="E6" t="str">
        <f>'[1]9_TransitTripsbyMode'!C4</f>
        <v xml:space="preserve">Visitor             </v>
      </c>
      <c r="F6" s="1">
        <f>'[1]9_TransitTripsbyMode'!D4</f>
        <v>313</v>
      </c>
      <c r="G6" s="1">
        <f>'[1]9_TransitTripsbyMode'!E4</f>
        <v>604</v>
      </c>
      <c r="H6" s="1">
        <f>'[1]9_TransitTripsbyMode'!F4</f>
        <v>131</v>
      </c>
      <c r="I6" s="1">
        <f>'[1]9_TransitTripsbyMode'!G4</f>
        <v>0</v>
      </c>
      <c r="J6" s="1">
        <f>'[1]9_TransitTripsbyMode'!H4</f>
        <v>0</v>
      </c>
      <c r="K6" s="1">
        <f>'[1]9_TransitTripsbyMode'!I4</f>
        <v>0</v>
      </c>
      <c r="L6" s="1">
        <f>'[1]9_TransitTripsbyMode'!J4</f>
        <v>0</v>
      </c>
      <c r="M6" s="1">
        <f>'[1]9_TransitTripsbyMode'!K4</f>
        <v>0</v>
      </c>
      <c r="N6" s="1">
        <f>'[1]9_TransitTripsbyMode'!L4</f>
        <v>0</v>
      </c>
      <c r="O6">
        <f>'[1]9_TransitTripsbyMode'!M4</f>
        <v>1048</v>
      </c>
    </row>
    <row r="7" spans="3:15" x14ac:dyDescent="0.25">
      <c r="C7">
        <f>'[1]9_TransitTripsbyMode'!A5</f>
        <v>259</v>
      </c>
      <c r="D7">
        <f>'[1]9_TransitTripsbyMode'!B5</f>
        <v>4</v>
      </c>
      <c r="E7" t="str">
        <f>'[1]9_TransitTripsbyMode'!C5</f>
        <v xml:space="preserve">Internal-External   </v>
      </c>
      <c r="F7" s="1">
        <f>'[1]9_TransitTripsbyMode'!D5</f>
        <v>216</v>
      </c>
      <c r="G7" s="1">
        <f>'[1]9_TransitTripsbyMode'!E5</f>
        <v>599</v>
      </c>
      <c r="H7" s="1">
        <f>'[1]9_TransitTripsbyMode'!F5</f>
        <v>425</v>
      </c>
      <c r="I7" s="1">
        <f>'[1]9_TransitTripsbyMode'!G5</f>
        <v>38</v>
      </c>
      <c r="J7" s="1">
        <f>'[1]9_TransitTripsbyMode'!H5</f>
        <v>1994</v>
      </c>
      <c r="K7" s="1">
        <f>'[1]9_TransitTripsbyMode'!I5</f>
        <v>71</v>
      </c>
      <c r="L7" s="1">
        <f>'[1]9_TransitTripsbyMode'!J5</f>
        <v>18</v>
      </c>
      <c r="M7" s="1">
        <f>'[1]9_TransitTripsbyMode'!K5</f>
        <v>1059</v>
      </c>
      <c r="N7" s="1">
        <f>'[1]9_TransitTripsbyMode'!L5</f>
        <v>39</v>
      </c>
      <c r="O7">
        <f>'[1]9_TransitTripsbyMode'!M5</f>
        <v>4459</v>
      </c>
    </row>
    <row r="8" spans="3:15" x14ac:dyDescent="0.25">
      <c r="C8">
        <f>'[1]9_TransitTripsbyMode'!A6</f>
        <v>259</v>
      </c>
      <c r="D8">
        <f>'[1]9_TransitTripsbyMode'!B6</f>
        <v>5</v>
      </c>
      <c r="E8" t="str">
        <f>'[1]9_TransitTripsbyMode'!C6</f>
        <v xml:space="preserve">Cross Border        </v>
      </c>
      <c r="F8" s="1">
        <f>'[1]9_TransitTripsbyMode'!D6</f>
        <v>4230</v>
      </c>
      <c r="G8" s="1">
        <f>'[1]9_TransitTripsbyMode'!E6</f>
        <v>20558</v>
      </c>
      <c r="H8" s="1">
        <f>'[1]9_TransitTripsbyMode'!F6</f>
        <v>4549</v>
      </c>
      <c r="I8" s="1">
        <f>'[1]9_TransitTripsbyMode'!G6</f>
        <v>0</v>
      </c>
      <c r="J8" s="1">
        <f>'[1]9_TransitTripsbyMode'!H6</f>
        <v>0</v>
      </c>
      <c r="K8" s="1">
        <f>'[1]9_TransitTripsbyMode'!I6</f>
        <v>0</v>
      </c>
      <c r="L8" s="1">
        <f>'[1]9_TransitTripsbyMode'!J6</f>
        <v>0</v>
      </c>
      <c r="M8" s="1">
        <f>'[1]9_TransitTripsbyMode'!K6</f>
        <v>0</v>
      </c>
      <c r="N8" s="1">
        <f>'[1]9_TransitTripsbyMode'!L6</f>
        <v>0</v>
      </c>
      <c r="O8">
        <f>'[1]9_TransitTripsbyMode'!M6</f>
        <v>29337</v>
      </c>
    </row>
    <row r="9" spans="3:15" x14ac:dyDescent="0.25">
      <c r="C9">
        <f>'[1]9_TransitTripsbyMode'!A7</f>
        <v>259</v>
      </c>
      <c r="D9">
        <f>'[1]9_TransitTripsbyMode'!B7</f>
        <v>67</v>
      </c>
      <c r="E9" t="str">
        <f>'[1]9_TransitTripsbyMode'!C7</f>
        <v>Airport - CBX/SAN</v>
      </c>
      <c r="F9" s="1">
        <f>'[1]9_TransitTripsbyMode'!D7</f>
        <v>33</v>
      </c>
      <c r="G9" s="1">
        <f>'[1]9_TransitTripsbyMode'!E7</f>
        <v>0</v>
      </c>
      <c r="H9" s="1">
        <f>'[1]9_TransitTripsbyMode'!F7</f>
        <v>37</v>
      </c>
      <c r="I9" s="1">
        <f>'[1]9_TransitTripsbyMode'!G7</f>
        <v>0</v>
      </c>
      <c r="J9" s="1">
        <f>'[1]9_TransitTripsbyMode'!H7</f>
        <v>0</v>
      </c>
      <c r="K9" s="1">
        <f>'[1]9_TransitTripsbyMode'!I7</f>
        <v>0</v>
      </c>
      <c r="L9" s="1">
        <f>'[1]9_TransitTripsbyMode'!J7</f>
        <v>0</v>
      </c>
      <c r="M9" s="1">
        <f>'[1]9_TransitTripsbyMode'!K7</f>
        <v>0</v>
      </c>
      <c r="N9" s="1">
        <f>'[1]9_TransitTripsbyMode'!L7</f>
        <v>537</v>
      </c>
      <c r="O9">
        <f>'[1]9_TransitTripsbyMode'!M7</f>
        <v>607</v>
      </c>
    </row>
    <row r="10" spans="3:15" x14ac:dyDescent="0.25">
      <c r="C10" s="28">
        <f>'[1]9_TransitTripsbyMode'!A8</f>
        <v>259</v>
      </c>
      <c r="D10" s="28">
        <f>'[1]9_TransitTripsbyMode'!B8</f>
        <v>99</v>
      </c>
      <c r="E10" s="28" t="str">
        <f>'[1]9_TransitTripsbyMode'!C8</f>
        <v>ResidentialModels</v>
      </c>
      <c r="F10" s="1">
        <f>'[1]9_TransitTripsbyMode'!D8</f>
        <v>81944</v>
      </c>
      <c r="G10" s="1">
        <f>'[1]9_TransitTripsbyMode'!E8</f>
        <v>43770</v>
      </c>
      <c r="H10" s="1">
        <f>'[1]9_TransitTripsbyMode'!F8</f>
        <v>30534</v>
      </c>
      <c r="I10" s="1">
        <f>'[1]9_TransitTripsbyMode'!G8</f>
        <v>2551</v>
      </c>
      <c r="J10" s="1">
        <f>'[1]9_TransitTripsbyMode'!H8</f>
        <v>12558</v>
      </c>
      <c r="K10" s="1">
        <f>'[1]9_TransitTripsbyMode'!I8</f>
        <v>1879</v>
      </c>
      <c r="L10" s="1">
        <f>'[1]9_TransitTripsbyMode'!J8</f>
        <v>6009</v>
      </c>
      <c r="M10" s="1">
        <f>'[1]9_TransitTripsbyMode'!K8</f>
        <v>25367</v>
      </c>
      <c r="N10" s="1">
        <f>'[1]9_TransitTripsbyMode'!L8</f>
        <v>3604</v>
      </c>
      <c r="O10">
        <f>'[1]9_TransitTripsbyMode'!M8</f>
        <v>208216</v>
      </c>
    </row>
    <row r="11" spans="3:15" x14ac:dyDescent="0.25">
      <c r="C11" s="9">
        <f>'[1]9_TransitTripsbyMode'!A9</f>
        <v>259</v>
      </c>
      <c r="D11" s="9">
        <f>'[1]9_TransitTripsbyMode'!B9</f>
        <v>100</v>
      </c>
      <c r="E11" s="9" t="str">
        <f>'[1]9_TransitTripsbyMode'!C9</f>
        <v>AllModels</v>
      </c>
      <c r="F11" s="9">
        <f>'[1]9_TransitTripsbyMode'!D9</f>
        <v>86520</v>
      </c>
      <c r="G11" s="9">
        <f>'[1]9_TransitTripsbyMode'!E9</f>
        <v>64932</v>
      </c>
      <c r="H11" s="9">
        <f>'[1]9_TransitTripsbyMode'!F9</f>
        <v>35251</v>
      </c>
      <c r="I11" s="9">
        <f>'[1]9_TransitTripsbyMode'!G9</f>
        <v>2551</v>
      </c>
      <c r="J11" s="9">
        <f>'[1]9_TransitTripsbyMode'!H9</f>
        <v>12558</v>
      </c>
      <c r="K11" s="9">
        <f>'[1]9_TransitTripsbyMode'!I9</f>
        <v>1879</v>
      </c>
      <c r="L11" s="9">
        <f>'[1]9_TransitTripsbyMode'!J9</f>
        <v>6009</v>
      </c>
      <c r="M11" s="9">
        <f>'[1]9_TransitTripsbyMode'!K9</f>
        <v>25367</v>
      </c>
      <c r="N11" s="9">
        <f>'[1]9_TransitTripsbyMode'!L9</f>
        <v>4141</v>
      </c>
      <c r="O11" s="9">
        <f>'[1]9_TransitTripsbyMode'!M9</f>
        <v>239208</v>
      </c>
    </row>
    <row r="14" spans="3:15" x14ac:dyDescent="0.25">
      <c r="E14" s="1"/>
    </row>
    <row r="15" spans="3:15" x14ac:dyDescent="0.25">
      <c r="E15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1_ModeShare</vt:lpstr>
      <vt:lpstr>4_PtripLengthByPurpose</vt:lpstr>
      <vt:lpstr>5_PtripLengthByMode</vt:lpstr>
      <vt:lpstr>23_VMT</vt:lpstr>
      <vt:lpstr>6_VHT</vt:lpstr>
      <vt:lpstr>7_VHD</vt:lpstr>
      <vt:lpstr>8_TransitBoardingByMode</vt:lpstr>
      <vt:lpstr>9_TransitTripsbyMode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Yun</dc:creator>
  <cp:lastModifiedBy>Ma, Yun</cp:lastModifiedBy>
  <dcterms:created xsi:type="dcterms:W3CDTF">2018-02-06T18:20:25Z</dcterms:created>
  <dcterms:modified xsi:type="dcterms:W3CDTF">2019-02-14T23:11:07Z</dcterms:modified>
</cp:coreProperties>
</file>